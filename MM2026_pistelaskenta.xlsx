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5c22742d7244f1a/Tiedostot/Projektit/Veikkaus/2026 Futis/"/>
    </mc:Choice>
  </mc:AlternateContent>
  <xr:revisionPtr revIDLastSave="116" documentId="11_7294C2C476730CB8D0D490D8B06D716BDD4BE950" xr6:coauthVersionLast="47" xr6:coauthVersionMax="47" xr10:uidLastSave="{67268E17-A1C6-4740-BA1B-01E104DE226E}"/>
  <bookViews>
    <workbookView xWindow="2535" yWindow="990" windowWidth="32625" windowHeight="19245" tabRatio="790" xr2:uid="{00000000-000D-0000-FFFF-FFFF00000000}"/>
  </bookViews>
  <sheets>
    <sheet name="Tulokset" sheetId="1" r:id="rId1"/>
    <sheet name="Pisteet" sheetId="2" r:id="rId2"/>
    <sheet name="Laskenta" sheetId="3" r:id="rId3"/>
    <sheet name="1" sheetId="4" r:id="rId4"/>
    <sheet name="2" sheetId="5" r:id="rId5"/>
    <sheet name="3" sheetId="6" r:id="rId6"/>
    <sheet name="4" sheetId="7" r:id="rId7"/>
    <sheet name="5" sheetId="8" r:id="rId8"/>
    <sheet name="6" sheetId="9" r:id="rId9"/>
    <sheet name="7" sheetId="10" r:id="rId10"/>
    <sheet name="8" sheetId="11" r:id="rId11"/>
    <sheet name="9" sheetId="12" r:id="rId12"/>
    <sheet name="10" sheetId="13" r:id="rId13"/>
    <sheet name="11" sheetId="14" r:id="rId14"/>
    <sheet name="12" sheetId="15" r:id="rId15"/>
    <sheet name="13" sheetId="16" r:id="rId16"/>
    <sheet name="14" sheetId="17" r:id="rId17"/>
    <sheet name="15" sheetId="18" r:id="rId18"/>
    <sheet name="16" sheetId="19" r:id="rId19"/>
    <sheet name="17" sheetId="20" r:id="rId20"/>
    <sheet name="18" sheetId="21" r:id="rId21"/>
    <sheet name="19" sheetId="22" r:id="rId22"/>
    <sheet name="20" sheetId="23" r:id="rId23"/>
    <sheet name="21" sheetId="24" r:id="rId24"/>
    <sheet name="22" sheetId="25" r:id="rId25"/>
    <sheet name="23" sheetId="26" r:id="rId26"/>
    <sheet name="24" sheetId="27" r:id="rId27"/>
    <sheet name="25" sheetId="28" r:id="rId28"/>
    <sheet name="26" sheetId="29" r:id="rId29"/>
    <sheet name="27" sheetId="30" r:id="rId30"/>
    <sheet name="28" sheetId="31" r:id="rId31"/>
    <sheet name="29" sheetId="32" r:id="rId32"/>
    <sheet name="30" sheetId="33" r:id="rId33"/>
    <sheet name="31" sheetId="34" r:id="rId34"/>
    <sheet name="32" sheetId="35" r:id="rId35"/>
    <sheet name="33" sheetId="36" r:id="rId36"/>
    <sheet name="34" sheetId="37" r:id="rId37"/>
    <sheet name="35" sheetId="38" r:id="rId38"/>
    <sheet name="36" sheetId="39" r:id="rId39"/>
    <sheet name="37" sheetId="40" r:id="rId40"/>
    <sheet name="38" sheetId="41" r:id="rId41"/>
    <sheet name="39" sheetId="42" r:id="rId42"/>
    <sheet name="40" sheetId="43" r:id="rId4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43" i="3" l="1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A3" i="2"/>
  <c r="CQ34" i="3"/>
  <c r="DB38" i="3"/>
  <c r="ED27" i="3"/>
  <c r="DF32" i="3"/>
  <c r="CV43" i="3"/>
  <c r="CJ31" i="3"/>
  <c r="CH42" i="3"/>
  <c r="DT29" i="3"/>
  <c r="DJ40" i="3"/>
  <c r="DF28" i="3"/>
  <c r="CV39" i="3"/>
  <c r="DW43" i="3"/>
  <c r="EC33" i="3"/>
  <c r="DO24" i="3"/>
  <c r="CP28" i="3"/>
  <c r="CK19" i="3"/>
  <c r="EB32" i="3"/>
  <c r="CV37" i="3"/>
  <c r="DD43" i="3"/>
  <c r="CR31" i="3"/>
  <c r="CP42" i="3"/>
  <c r="EC29" i="3"/>
  <c r="DR40" i="3"/>
  <c r="DN28" i="3"/>
  <c r="DD39" i="3"/>
  <c r="CR27" i="3"/>
  <c r="CP38" i="3"/>
  <c r="DY38" i="3"/>
  <c r="CN29" i="3"/>
  <c r="DQ19" i="3"/>
  <c r="CW28" i="3"/>
  <c r="EC14" i="3"/>
  <c r="B39" i="3"/>
  <c r="CK42" i="3"/>
  <c r="DR32" i="3"/>
  <c r="DU24" i="3"/>
  <c r="DD31" i="3"/>
  <c r="CY23" i="3"/>
  <c r="CP30" i="3"/>
  <c r="EB21" i="3"/>
  <c r="DR28" i="3"/>
  <c r="DM20" i="3"/>
  <c r="DK43" i="3"/>
  <c r="CQ19" i="3"/>
  <c r="DG22" i="3"/>
  <c r="CT37" i="3"/>
  <c r="DC16" i="3"/>
  <c r="CN25" i="3"/>
  <c r="CL28" i="3"/>
  <c r="CG20" i="3"/>
  <c r="CO38" i="3"/>
  <c r="CF36" i="3"/>
  <c r="DQ36" i="3"/>
  <c r="DH30" i="3"/>
  <c r="CU35" i="3"/>
  <c r="DX26" i="3"/>
  <c r="CG34" i="3"/>
  <c r="DB25" i="3"/>
  <c r="DI32" i="3"/>
  <c r="CN24" i="3"/>
  <c r="DV18" i="3"/>
  <c r="CQ8" i="3"/>
  <c r="CZ17" i="3"/>
  <c r="DS6" i="3"/>
  <c r="CY33" i="3"/>
  <c r="EC24" i="3"/>
  <c r="CD43" i="3"/>
  <c r="DX18" i="3"/>
  <c r="DV41" i="3"/>
  <c r="DB17" i="3"/>
  <c r="CZ40" i="3"/>
  <c r="CN16" i="3"/>
  <c r="CD39" i="3"/>
  <c r="DO43" i="3"/>
  <c r="DV37" i="3"/>
  <c r="CK38" i="3"/>
  <c r="DA24" i="3"/>
  <c r="DR10" i="3"/>
  <c r="CE23" i="3"/>
  <c r="DD9" i="3"/>
  <c r="DD38" i="3"/>
  <c r="ED40" i="3"/>
  <c r="CZ32" i="3"/>
  <c r="DK24" i="3"/>
  <c r="CD31" i="3"/>
  <c r="CW23" i="3"/>
  <c r="DV29" i="3"/>
  <c r="DY21" i="3"/>
  <c r="CZ28" i="3"/>
  <c r="DC20" i="3"/>
  <c r="EB42" i="3"/>
  <c r="CO19" i="3"/>
  <c r="CV36" i="3"/>
  <c r="CY15" i="3"/>
  <c r="CX31" i="3"/>
  <c r="DR13" i="3"/>
  <c r="DT24" i="3"/>
  <c r="CJ22" i="3"/>
  <c r="DF19" i="3"/>
  <c r="DX15" i="3"/>
  <c r="CR20" i="3"/>
  <c r="EB36" i="3"/>
  <c r="EC18" i="3"/>
  <c r="DR36" i="3"/>
  <c r="CE34" i="3"/>
  <c r="DM38" i="3"/>
  <c r="CL22" i="3"/>
  <c r="EB35" i="3"/>
  <c r="DL21" i="3"/>
  <c r="ED9" i="3"/>
  <c r="CN22" i="3"/>
  <c r="DB30" i="3"/>
  <c r="DS13" i="3"/>
  <c r="CT18" i="3"/>
  <c r="DX10" i="3"/>
  <c r="CX24" i="3"/>
  <c r="CZ13" i="3"/>
  <c r="CT36" i="3"/>
  <c r="CV26" i="3"/>
  <c r="DJ23" i="3"/>
  <c r="DQ31" i="3"/>
  <c r="CU9" i="3"/>
  <c r="CT9" i="3"/>
  <c r="CD37" i="3"/>
  <c r="DR23" i="3"/>
  <c r="CE31" i="3"/>
  <c r="DG12" i="3"/>
  <c r="CR41" i="3"/>
  <c r="CW38" i="3"/>
  <c r="EC34" i="3"/>
  <c r="DB27" i="3"/>
  <c r="DX28" i="3"/>
  <c r="EB20" i="3"/>
  <c r="DA43" i="3"/>
  <c r="DM19" i="3"/>
  <c r="CE42" i="3"/>
  <c r="CQ18" i="3"/>
  <c r="DO40" i="3"/>
  <c r="DS16" i="3"/>
  <c r="CS39" i="3"/>
  <c r="DE15" i="3"/>
  <c r="DD26" i="3"/>
  <c r="DN11" i="3"/>
  <c r="CP25" i="3"/>
  <c r="CR10" i="3"/>
  <c r="DV33" i="3"/>
  <c r="CI26" i="3"/>
  <c r="DI43" i="3"/>
  <c r="DU19" i="3"/>
  <c r="CM42" i="3"/>
  <c r="CY18" i="3"/>
  <c r="DW40" i="3"/>
  <c r="EB16" i="3"/>
  <c r="DA39" i="3"/>
  <c r="DM15" i="3"/>
  <c r="CE38" i="3"/>
  <c r="CP39" i="3"/>
  <c r="CX25" i="3"/>
  <c r="CZ10" i="3"/>
  <c r="EA23" i="3"/>
  <c r="CD9" i="3"/>
  <c r="DS38" i="3"/>
  <c r="DH42" i="3"/>
  <c r="DG32" i="3"/>
  <c r="DU43" i="3"/>
  <c r="CK31" i="3"/>
  <c r="CY42" i="3"/>
  <c r="DU29" i="3"/>
  <c r="EB40" i="3"/>
  <c r="CY28" i="3"/>
  <c r="DM39" i="3"/>
  <c r="DP43" i="3"/>
  <c r="DJ36" i="3"/>
  <c r="EA37" i="3"/>
  <c r="B31" i="3"/>
  <c r="DV24" i="3"/>
  <c r="CU40" i="3"/>
  <c r="DQ27" i="3"/>
  <c r="CI34" i="3"/>
  <c r="CT38" i="3"/>
  <c r="DK32" i="3"/>
  <c r="CF37" i="3"/>
  <c r="CW31" i="3"/>
  <c r="DP35" i="3"/>
  <c r="DY29" i="3"/>
  <c r="CT34" i="3"/>
  <c r="DC28" i="3"/>
  <c r="CF33" i="3"/>
  <c r="DE41" i="3"/>
  <c r="CK8" i="3"/>
  <c r="DA35" i="3"/>
  <c r="DU6" i="3"/>
  <c r="CS29" i="3"/>
  <c r="DT33" i="3"/>
  <c r="EC39" i="3"/>
  <c r="DP27" i="3"/>
  <c r="DN38" i="3"/>
  <c r="CE41" i="3"/>
  <c r="CR37" i="3"/>
  <c r="DG35" i="3"/>
  <c r="EC35" i="3"/>
  <c r="DC29" i="3"/>
  <c r="DN34" i="3"/>
  <c r="DI26" i="3"/>
  <c r="DY18" i="3"/>
  <c r="DP12" i="3"/>
  <c r="DT32" i="3"/>
  <c r="CT11" i="3"/>
  <c r="CV35" i="3"/>
  <c r="DD27" i="3"/>
  <c r="CR29" i="3"/>
  <c r="CE21" i="3"/>
  <c r="EC27" i="3"/>
  <c r="DO19" i="3"/>
  <c r="DU42" i="3"/>
  <c r="CS18" i="3"/>
  <c r="CY41" i="3"/>
  <c r="ED16" i="3"/>
  <c r="EB39" i="3"/>
  <c r="DP42" i="3"/>
  <c r="DN26" i="3"/>
  <c r="CX16" i="3"/>
  <c r="DB24" i="3"/>
  <c r="CM14" i="3"/>
  <c r="CG39" i="3"/>
  <c r="CM36" i="3"/>
  <c r="DA33" i="3"/>
  <c r="DT38" i="3"/>
  <c r="CD16" i="3"/>
  <c r="DI34" i="3"/>
  <c r="EB41" i="3"/>
  <c r="DG24" i="3"/>
  <c r="CQ15" i="3"/>
  <c r="DJ18" i="3"/>
  <c r="DJ11" i="3"/>
  <c r="CK23" i="3"/>
  <c r="EC10" i="3"/>
  <c r="CH18" i="3"/>
  <c r="DK14" i="3"/>
  <c r="CH10" i="3"/>
  <c r="CR13" i="3"/>
  <c r="DQ24" i="3"/>
  <c r="DW20" i="3"/>
  <c r="DY30" i="3"/>
  <c r="DJ14" i="3"/>
  <c r="CT30" i="3"/>
  <c r="CF31" i="3"/>
  <c r="CJ10" i="3"/>
  <c r="CW41" i="3"/>
  <c r="DA17" i="3"/>
  <c r="EB34" i="3"/>
  <c r="EA27" i="3"/>
  <c r="DM33" i="3"/>
  <c r="CX26" i="3"/>
  <c r="CQ32" i="3"/>
  <c r="DE43" i="3"/>
  <c r="DS30" i="3"/>
  <c r="CI42" i="3"/>
  <c r="DE29" i="3"/>
  <c r="DA29" i="3"/>
  <c r="CH17" i="3"/>
  <c r="CT40" i="3"/>
  <c r="DJ15" i="3"/>
  <c r="DV30" i="3"/>
  <c r="CI40" i="3"/>
  <c r="CM16" i="3"/>
  <c r="DU33" i="3"/>
  <c r="DF26" i="3"/>
  <c r="CY32" i="3"/>
  <c r="DM43" i="3"/>
  <c r="EB30" i="3"/>
  <c r="CQ42" i="3"/>
  <c r="DM29" i="3"/>
  <c r="DS40" i="3"/>
  <c r="CQ28" i="3"/>
  <c r="CZ41" i="3"/>
  <c r="DR15" i="3"/>
  <c r="DL35" i="3"/>
  <c r="DN35" i="3"/>
  <c r="DI41" i="3"/>
  <c r="CG29" i="3"/>
  <c r="CW35" i="3"/>
  <c r="DH39" i="3"/>
  <c r="DY33" i="3"/>
  <c r="CL38" i="3"/>
  <c r="DC32" i="3"/>
  <c r="B37" i="3"/>
  <c r="CO31" i="3"/>
  <c r="DH35" i="3"/>
  <c r="DQ29" i="3"/>
  <c r="CL34" i="3"/>
  <c r="CV30" i="3"/>
  <c r="CY9" i="3"/>
  <c r="CY40" i="3"/>
  <c r="EB7" i="3"/>
  <c r="DG30" i="3"/>
  <c r="EA34" i="3"/>
  <c r="CJ41" i="3"/>
  <c r="B29" i="3"/>
  <c r="DT39" i="3"/>
  <c r="DH27" i="3"/>
  <c r="DF38" i="3"/>
  <c r="DE40" i="3"/>
  <c r="CJ37" i="3"/>
  <c r="DA34" i="3"/>
  <c r="DT35" i="3"/>
  <c r="ED28" i="3"/>
  <c r="DW23" i="3"/>
  <c r="B14" i="3"/>
  <c r="DS17" i="3"/>
  <c r="DH12" i="3"/>
  <c r="DB36" i="3"/>
  <c r="CO32" i="3"/>
  <c r="DF30" i="3"/>
  <c r="CS22" i="3"/>
  <c r="CJ29" i="3"/>
  <c r="ED20" i="3"/>
  <c r="EB43" i="3"/>
  <c r="DG19" i="3"/>
  <c r="DM42" i="3"/>
  <c r="CK18" i="3"/>
  <c r="CQ41" i="3"/>
  <c r="DU16" i="3"/>
  <c r="CR34" i="3"/>
  <c r="DV20" i="3"/>
  <c r="DP25" i="3"/>
  <c r="DY15" i="3"/>
  <c r="CG42" i="3"/>
  <c r="DC17" i="3"/>
  <c r="DK35" i="3"/>
  <c r="CP27" i="3"/>
  <c r="CW34" i="3"/>
  <c r="DR25" i="3"/>
  <c r="DY32" i="3"/>
  <c r="DD24" i="3"/>
  <c r="DC31" i="3"/>
  <c r="CP23" i="3"/>
  <c r="CO30" i="3"/>
  <c r="DR21" i="3"/>
  <c r="CT16" i="3"/>
  <c r="DM40" i="3"/>
  <c r="DG43" i="3"/>
  <c r="DM25" i="3"/>
  <c r="CQ33" i="3"/>
  <c r="DE30" i="3"/>
  <c r="DJ43" i="3"/>
  <c r="DK33" i="3"/>
  <c r="ED22" i="3"/>
  <c r="CV9" i="3"/>
  <c r="DG21" i="3"/>
  <c r="CH8" i="3"/>
  <c r="DM9" i="3"/>
  <c r="CL10" i="3"/>
  <c r="DX42" i="3"/>
  <c r="CL4" i="3"/>
  <c r="CK30" i="3"/>
  <c r="DT23" i="3"/>
  <c r="CS19" i="3"/>
  <c r="DR8" i="3"/>
  <c r="CK14" i="3"/>
  <c r="CM7" i="3"/>
  <c r="CR23" i="3"/>
  <c r="CE11" i="3"/>
  <c r="B15" i="3"/>
  <c r="DD25" i="3"/>
  <c r="DK16" i="3"/>
  <c r="CJ28" i="3"/>
  <c r="EA16" i="3"/>
  <c r="DM22" i="3"/>
  <c r="CO8" i="3"/>
  <c r="CM5" i="3"/>
  <c r="CG13" i="3"/>
  <c r="DO36" i="3"/>
  <c r="CI28" i="3"/>
  <c r="DN6" i="3"/>
  <c r="CF29" i="3"/>
  <c r="CV38" i="3"/>
  <c r="DA40" i="3"/>
  <c r="CG35" i="3"/>
  <c r="EC20" i="3"/>
  <c r="CI23" i="3"/>
  <c r="CH33" i="3"/>
  <c r="CX22" i="3"/>
  <c r="CF34" i="3"/>
  <c r="CL14" i="3"/>
  <c r="DX27" i="3"/>
  <c r="CP37" i="3"/>
  <c r="CM39" i="3"/>
  <c r="DQ33" i="3"/>
  <c r="DV19" i="3"/>
  <c r="DS21" i="3"/>
  <c r="DR31" i="3"/>
  <c r="CJ21" i="3"/>
  <c r="CX29" i="3"/>
  <c r="CF13" i="3"/>
  <c r="CM21" i="3"/>
  <c r="CU42" i="3"/>
  <c r="CK28" i="3"/>
  <c r="DL39" i="3"/>
  <c r="DI25" i="3"/>
  <c r="DP26" i="3"/>
  <c r="DW36" i="3"/>
  <c r="ED26" i="3"/>
  <c r="DQ22" i="3"/>
  <c r="DY23" i="3"/>
  <c r="CJ26" i="3"/>
  <c r="CS31" i="3"/>
  <c r="DF33" i="3"/>
  <c r="EA28" i="3"/>
  <c r="CV40" i="3"/>
  <c r="CF16" i="3"/>
  <c r="DB42" i="3"/>
  <c r="DS15" i="3"/>
  <c r="DR33" i="3"/>
  <c r="CI38" i="3"/>
  <c r="DF15" i="3"/>
  <c r="CN37" i="3"/>
  <c r="DC38" i="3"/>
  <c r="CO34" i="3"/>
  <c r="DG38" i="3"/>
  <c r="DQ21" i="3"/>
  <c r="DX31" i="3"/>
  <c r="DV21" i="3"/>
  <c r="CL16" i="3"/>
  <c r="DY37" i="3"/>
  <c r="CK21" i="3"/>
  <c r="DK41" i="3"/>
  <c r="DA27" i="3"/>
  <c r="CL39" i="3"/>
  <c r="DE27" i="3"/>
  <c r="CN27" i="3"/>
  <c r="CU25" i="3"/>
  <c r="DF16" i="3"/>
  <c r="DW21" i="3"/>
  <c r="DO32" i="3"/>
  <c r="DW34" i="3"/>
  <c r="CO21" i="3"/>
  <c r="CY5" i="3"/>
  <c r="CR30" i="3"/>
  <c r="CQ17" i="3"/>
  <c r="DR37" i="3"/>
  <c r="CK10" i="3"/>
  <c r="CN7" i="3"/>
  <c r="EA26" i="3"/>
  <c r="CR14" i="3"/>
  <c r="DA14" i="3"/>
  <c r="DC40" i="3"/>
  <c r="CP13" i="3"/>
  <c r="CP9" i="3"/>
  <c r="DD30" i="3"/>
  <c r="DJ31" i="3"/>
  <c r="CS10" i="3"/>
  <c r="CH26" i="3"/>
  <c r="DO23" i="3"/>
  <c r="DL36" i="3"/>
  <c r="CQ27" i="3"/>
  <c r="CH37" i="3"/>
  <c r="CE39" i="3"/>
  <c r="DI33" i="3"/>
  <c r="DN19" i="3"/>
  <c r="DK21" i="3"/>
  <c r="DC19" i="3"/>
  <c r="EA20" i="3"/>
  <c r="DW42" i="3"/>
  <c r="DN31" i="3"/>
  <c r="EB25" i="3"/>
  <c r="DR35" i="3"/>
  <c r="DW37" i="3"/>
  <c r="CU32" i="3"/>
  <c r="CZ18" i="3"/>
  <c r="DE20" i="3"/>
  <c r="CW18" i="3"/>
  <c r="DT19" i="3"/>
  <c r="DU31" i="3"/>
  <c r="DR17" i="3"/>
  <c r="DD40" i="3"/>
  <c r="CG41" i="3"/>
  <c r="DT42" i="3"/>
  <c r="CX38" i="3"/>
  <c r="CM24" i="3"/>
  <c r="CT25" i="3"/>
  <c r="CJ24" i="3"/>
  <c r="DG25" i="3"/>
  <c r="DP37" i="3"/>
  <c r="DM23" i="3"/>
  <c r="CF20" i="3"/>
  <c r="ED29" i="3"/>
  <c r="CJ32" i="3"/>
  <c r="DS43" i="3"/>
  <c r="CX35" i="3"/>
  <c r="CI43" i="3"/>
  <c r="CV25" i="3"/>
  <c r="DT40" i="3"/>
  <c r="CM43" i="3"/>
  <c r="DO42" i="3"/>
  <c r="DY25" i="3"/>
  <c r="DX35" i="3"/>
  <c r="CO37" i="3"/>
  <c r="DQ32" i="3"/>
  <c r="CK37" i="3"/>
  <c r="CU20" i="3"/>
  <c r="ED6" i="3"/>
  <c r="CZ20" i="3"/>
  <c r="CK32" i="3"/>
  <c r="DM31" i="3"/>
  <c r="DB41" i="3"/>
  <c r="CG36" i="3"/>
  <c r="DR42" i="3"/>
  <c r="B38" i="3"/>
  <c r="B43" i="3"/>
  <c r="DX25" i="3"/>
  <c r="DB11" i="3"/>
  <c r="CO14" i="3"/>
  <c r="CJ43" i="3"/>
  <c r="CJ39" i="3"/>
  <c r="CQ37" i="3"/>
  <c r="DG15" i="3"/>
  <c r="CX43" i="3"/>
  <c r="CR42" i="3"/>
  <c r="EC36" i="3"/>
  <c r="DO27" i="3"/>
  <c r="DB28" i="3"/>
  <c r="CM27" i="3"/>
  <c r="DY10" i="3"/>
  <c r="CS6" i="3"/>
  <c r="CM4" i="3"/>
  <c r="CV8" i="3"/>
  <c r="CG28" i="3"/>
  <c r="CV13" i="3"/>
  <c r="CP4" i="3"/>
  <c r="ED8" i="3"/>
  <c r="CU14" i="3"/>
  <c r="DO13" i="3"/>
  <c r="CI16" i="3"/>
  <c r="DP40" i="3"/>
  <c r="CF38" i="3"/>
  <c r="CT35" i="3"/>
  <c r="DI20" i="3"/>
  <c r="DO21" i="3"/>
  <c r="CP8" i="3"/>
  <c r="CS20" i="3"/>
  <c r="DR6" i="3"/>
  <c r="CK7" i="3"/>
  <c r="DX7" i="3"/>
  <c r="DU21" i="3"/>
  <c r="DK40" i="3"/>
  <c r="DC18" i="3"/>
  <c r="DR16" i="3"/>
  <c r="DS18" i="3"/>
  <c r="CQ4" i="3"/>
  <c r="DV16" i="3"/>
  <c r="DU25" i="3"/>
  <c r="DY13" i="3"/>
  <c r="CO6" i="3"/>
  <c r="DO7" i="3"/>
  <c r="CL30" i="3"/>
  <c r="DT12" i="3"/>
  <c r="DE26" i="3"/>
  <c r="CO17" i="3"/>
  <c r="DO11" i="3"/>
  <c r="CS12" i="3"/>
  <c r="CU12" i="3"/>
  <c r="DU38" i="3"/>
  <c r="DN43" i="3"/>
  <c r="CZ7" i="3"/>
  <c r="DK8" i="3"/>
  <c r="DL33" i="3"/>
  <c r="EA30" i="3"/>
  <c r="CX28" i="3"/>
  <c r="CI24" i="3"/>
  <c r="CV27" i="3"/>
  <c r="DD12" i="3"/>
  <c r="CF26" i="3"/>
  <c r="CP11" i="3"/>
  <c r="DT43" i="3"/>
  <c r="DL4" i="3"/>
  <c r="DH10" i="3"/>
  <c r="CT20" i="3"/>
  <c r="DR9" i="3"/>
  <c r="DW9" i="3"/>
  <c r="EC4" i="3"/>
  <c r="CN20" i="3"/>
  <c r="CU17" i="3"/>
  <c r="DN40" i="3"/>
  <c r="CQ29" i="3"/>
  <c r="CN31" i="3"/>
  <c r="DO26" i="3"/>
  <c r="CV28" i="3"/>
  <c r="DS11" i="3"/>
  <c r="DM28" i="3"/>
  <c r="CD40" i="3"/>
  <c r="CH19" i="3"/>
  <c r="CO16" i="3"/>
  <c r="CZ39" i="3"/>
  <c r="EA43" i="3"/>
  <c r="CH30" i="3"/>
  <c r="DA25" i="3"/>
  <c r="DH26" i="3"/>
  <c r="DM10" i="3"/>
  <c r="DU26" i="3"/>
  <c r="CZ29" i="3"/>
  <c r="DS24" i="3"/>
  <c r="CL21" i="3"/>
  <c r="DV28" i="3"/>
  <c r="CX33" i="3"/>
  <c r="CM35" i="3"/>
  <c r="DV39" i="3"/>
  <c r="B16" i="3"/>
  <c r="CD15" i="3"/>
  <c r="DK15" i="3"/>
  <c r="DM34" i="3"/>
  <c r="ED43" i="3"/>
  <c r="CO27" i="3"/>
  <c r="CK22" i="3"/>
  <c r="CU38" i="3"/>
  <c r="CR40" i="3"/>
  <c r="CY38" i="3"/>
  <c r="DI21" i="3"/>
  <c r="DT25" i="3"/>
  <c r="DN21" i="3"/>
  <c r="DJ39" i="3"/>
  <c r="DS32" i="3"/>
  <c r="CE16" i="3"/>
  <c r="CH27" i="3"/>
  <c r="CS27" i="3"/>
  <c r="DN29" i="3"/>
  <c r="CW27" i="3"/>
  <c r="CF27" i="3"/>
  <c r="EB6" i="3"/>
  <c r="DI15" i="3"/>
  <c r="CH29" i="3"/>
  <c r="DV38" i="3"/>
  <c r="CE40" i="3"/>
  <c r="CV16" i="3"/>
  <c r="CV33" i="3"/>
  <c r="DC34" i="3"/>
  <c r="CZ33" i="3"/>
  <c r="DE38" i="3"/>
  <c r="DL9" i="3"/>
  <c r="CS4" i="3"/>
  <c r="DI37" i="3"/>
  <c r="DT20" i="3"/>
  <c r="CU30" i="3"/>
  <c r="DX14" i="3"/>
  <c r="B10" i="3"/>
  <c r="DT28" i="3"/>
  <c r="CF17" i="3"/>
  <c r="DT15" i="3"/>
  <c r="CY43" i="3"/>
  <c r="DO9" i="3"/>
  <c r="DV14" i="3"/>
  <c r="CT28" i="3"/>
  <c r="DM4" i="3"/>
  <c r="DF42" i="3"/>
  <c r="CW10" i="3"/>
  <c r="CJ12" i="3"/>
  <c r="CW15" i="3"/>
  <c r="CF12" i="3"/>
  <c r="CS21" i="3"/>
  <c r="DG34" i="3"/>
  <c r="DP4" i="3"/>
  <c r="DR34" i="3"/>
  <c r="CP32" i="3"/>
  <c r="DD29" i="3"/>
  <c r="DQ30" i="3"/>
  <c r="DX30" i="3"/>
  <c r="DJ13" i="3"/>
  <c r="CL27" i="3"/>
  <c r="CV12" i="3"/>
  <c r="DS36" i="3"/>
  <c r="DR5" i="3"/>
  <c r="EC12" i="3"/>
  <c r="CJ25" i="3"/>
  <c r="CN12" i="3"/>
  <c r="DU14" i="3"/>
  <c r="DH7" i="3"/>
  <c r="DS4" i="3"/>
  <c r="CJ4" i="3"/>
  <c r="CT6" i="3"/>
  <c r="DF6" i="3"/>
  <c r="CD10" i="3"/>
  <c r="CX7" i="3"/>
  <c r="CF30" i="3"/>
  <c r="DR7" i="3"/>
  <c r="DY8" i="3"/>
  <c r="DP20" i="3"/>
  <c r="DB31" i="3"/>
  <c r="CU7" i="3"/>
  <c r="CT4" i="3"/>
  <c r="DJ24" i="3"/>
  <c r="DD22" i="3"/>
  <c r="DL40" i="3"/>
  <c r="CG19" i="3"/>
  <c r="CX15" i="3"/>
  <c r="CS34" i="3"/>
  <c r="DG26" i="3"/>
  <c r="EC5" i="3"/>
  <c r="B18" i="3"/>
  <c r="EC43" i="3"/>
  <c r="DH16" i="3"/>
  <c r="DO33" i="3"/>
  <c r="DH31" i="3"/>
  <c r="CL35" i="3"/>
  <c r="DG14" i="3"/>
  <c r="DP32" i="3"/>
  <c r="CY14" i="3"/>
  <c r="DL13" i="3"/>
  <c r="DM21" i="3"/>
  <c r="DQ37" i="3"/>
  <c r="DN23" i="3"/>
  <c r="DS25" i="3"/>
  <c r="DJ35" i="3"/>
  <c r="DO37" i="3"/>
  <c r="CM32" i="3"/>
  <c r="CR18" i="3"/>
  <c r="EA7" i="3"/>
  <c r="CO18" i="3"/>
  <c r="DN30" i="3"/>
  <c r="DC36" i="3"/>
  <c r="CZ22" i="3"/>
  <c r="DM24" i="3"/>
  <c r="DD34" i="3"/>
  <c r="DA36" i="3"/>
  <c r="CG31" i="3"/>
  <c r="CD17" i="3"/>
  <c r="DT6" i="3"/>
  <c r="DY16" i="3"/>
  <c r="DS35" i="3"/>
  <c r="CX42" i="3"/>
  <c r="DA30" i="3"/>
  <c r="DF35" i="3"/>
  <c r="DI39" i="3"/>
  <c r="DF41" i="3"/>
  <c r="EA36" i="3"/>
  <c r="DW22" i="3"/>
  <c r="DE9" i="3"/>
  <c r="DT22" i="3"/>
  <c r="DX40" i="3"/>
  <c r="DL31" i="3"/>
  <c r="CS17" i="3"/>
  <c r="DP18" i="3"/>
  <c r="DG28" i="3"/>
  <c r="DT30" i="3"/>
  <c r="DE42" i="3"/>
  <c r="EA29" i="3"/>
  <c r="CH12" i="3"/>
  <c r="CX20" i="3"/>
  <c r="CN30" i="3"/>
  <c r="DY36" i="3"/>
  <c r="CS41" i="3"/>
  <c r="DC24" i="3"/>
  <c r="DB34" i="3"/>
  <c r="DQ35" i="3"/>
  <c r="CU31" i="3"/>
  <c r="CU43" i="3"/>
  <c r="DA19" i="3"/>
  <c r="DG5" i="3"/>
  <c r="CK35" i="3"/>
  <c r="B42" i="3"/>
  <c r="CQ30" i="3"/>
  <c r="DD36" i="3"/>
  <c r="DI30" i="3"/>
  <c r="DD41" i="3"/>
  <c r="DH36" i="3"/>
  <c r="DI31" i="3"/>
  <c r="CQ38" i="3"/>
  <c r="CN10" i="3"/>
  <c r="DS31" i="3"/>
  <c r="DT37" i="3"/>
  <c r="CN32" i="3"/>
  <c r="CM31" i="3"/>
  <c r="ED13" i="3"/>
  <c r="DS23" i="3"/>
  <c r="DQ15" i="3"/>
  <c r="CJ34" i="3"/>
  <c r="DJ5" i="3"/>
  <c r="DV8" i="3"/>
  <c r="DS9" i="3"/>
  <c r="CZ23" i="3"/>
  <c r="EB5" i="3"/>
  <c r="CQ22" i="3"/>
  <c r="CU10" i="3"/>
  <c r="DV26" i="3"/>
  <c r="DJ41" i="3"/>
  <c r="CR36" i="3"/>
  <c r="CO9" i="3"/>
  <c r="CV18" i="3"/>
  <c r="CG4" i="3"/>
  <c r="DD16" i="3"/>
  <c r="CQ39" i="3"/>
  <c r="CO28" i="3"/>
  <c r="CJ7" i="3"/>
  <c r="CD19" i="3"/>
  <c r="CE32" i="3"/>
  <c r="DV17" i="3"/>
  <c r="DC43" i="3"/>
  <c r="CF41" i="3"/>
  <c r="DQ28" i="3"/>
  <c r="CN17" i="3"/>
  <c r="CN42" i="3"/>
  <c r="DN16" i="3"/>
  <c r="DD28" i="3"/>
  <c r="DB22" i="3"/>
  <c r="CR26" i="3"/>
  <c r="DK13" i="3"/>
  <c r="CQ14" i="3"/>
  <c r="DU11" i="3"/>
  <c r="DT17" i="3"/>
  <c r="DN42" i="3"/>
  <c r="DP28" i="3"/>
  <c r="B34" i="3"/>
  <c r="CG9" i="3"/>
  <c r="DT9" i="3"/>
  <c r="DQ13" i="3"/>
  <c r="EC21" i="3"/>
  <c r="ED19" i="3"/>
  <c r="CV23" i="3"/>
  <c r="DQ7" i="3"/>
  <c r="ED31" i="3"/>
  <c r="DE35" i="3"/>
  <c r="DU27" i="3"/>
  <c r="DX41" i="3"/>
  <c r="DJ38" i="3"/>
  <c r="CT43" i="3"/>
  <c r="DQ12" i="3"/>
  <c r="DN37" i="3"/>
  <c r="CU11" i="3"/>
  <c r="CL25" i="3"/>
  <c r="DP21" i="3"/>
  <c r="EB27" i="3"/>
  <c r="DK4" i="3"/>
  <c r="EB24" i="3"/>
  <c r="DC4" i="3"/>
  <c r="DR22" i="3"/>
  <c r="DS42" i="3"/>
  <c r="DT31" i="3"/>
  <c r="CU36" i="3"/>
  <c r="DE24" i="3"/>
  <c r="CS36" i="3"/>
  <c r="CQ16" i="3"/>
  <c r="CL43" i="3"/>
  <c r="CO35" i="3"/>
  <c r="CQ23" i="3"/>
  <c r="CE35" i="3"/>
  <c r="CT14" i="3"/>
  <c r="DH32" i="3"/>
  <c r="EA40" i="3"/>
  <c r="DB29" i="3"/>
  <c r="CJ40" i="3"/>
  <c r="CG40" i="3"/>
  <c r="DM37" i="3"/>
  <c r="CX30" i="3"/>
  <c r="CT17" i="3"/>
  <c r="DF29" i="3"/>
  <c r="CF8" i="3"/>
  <c r="CR43" i="3"/>
  <c r="DC35" i="3"/>
  <c r="CO23" i="3"/>
  <c r="CU34" i="3"/>
  <c r="CY37" i="3"/>
  <c r="DN32" i="3"/>
  <c r="DH40" i="3"/>
  <c r="DF31" i="3"/>
  <c r="CP40" i="3"/>
  <c r="CT42" i="3"/>
  <c r="DF23" i="3"/>
  <c r="CP35" i="3"/>
  <c r="CU33" i="3"/>
  <c r="DT7" i="3"/>
  <c r="DH19" i="3"/>
  <c r="CR33" i="3"/>
  <c r="DH5" i="3"/>
  <c r="DL14" i="3"/>
  <c r="DG13" i="3"/>
  <c r="CQ25" i="3"/>
  <c r="EC16" i="3"/>
  <c r="DD33" i="3"/>
  <c r="CZ43" i="3"/>
  <c r="CT24" i="3"/>
  <c r="DF36" i="3"/>
  <c r="DI19" i="3"/>
  <c r="DT18" i="3"/>
  <c r="DY5" i="3"/>
  <c r="DA12" i="3"/>
  <c r="DA5" i="3"/>
  <c r="DA28" i="3"/>
  <c r="DX33" i="3"/>
  <c r="CX39" i="3"/>
  <c r="DD42" i="3"/>
  <c r="CD6" i="3"/>
  <c r="CM30" i="3"/>
  <c r="DJ32" i="3"/>
  <c r="CZ34" i="3"/>
  <c r="CX41" i="3"/>
  <c r="B5" i="3"/>
  <c r="CP36" i="3"/>
  <c r="CG38" i="3"/>
  <c r="DH18" i="3"/>
  <c r="DL30" i="3"/>
  <c r="CL9" i="3"/>
  <c r="CM37" i="3"/>
  <c r="EC42" i="3"/>
  <c r="CU24" i="3"/>
  <c r="DI35" i="3"/>
  <c r="CW42" i="3"/>
  <c r="DQ18" i="3"/>
  <c r="CR32" i="3"/>
  <c r="B36" i="3"/>
  <c r="CV41" i="3"/>
  <c r="DC30" i="3"/>
  <c r="DV23" i="3"/>
  <c r="CW37" i="3"/>
  <c r="CS37" i="3"/>
  <c r="DJ30" i="3"/>
  <c r="CF24" i="3"/>
  <c r="DF40" i="3"/>
  <c r="CR15" i="3"/>
  <c r="CD20" i="3"/>
  <c r="CZ5" i="3"/>
  <c r="CG5" i="3"/>
  <c r="CJ11" i="3"/>
  <c r="DJ9" i="3"/>
  <c r="DV12" i="3"/>
  <c r="CU26" i="3"/>
  <c r="DK7" i="3"/>
  <c r="DK36" i="3"/>
  <c r="CP15" i="3"/>
  <c r="CG22" i="3"/>
  <c r="DA42" i="3"/>
  <c r="CJ18" i="3"/>
  <c r="CI19" i="3"/>
  <c r="CM41" i="3"/>
  <c r="CY4" i="3"/>
  <c r="DH8" i="3"/>
  <c r="DA10" i="3"/>
  <c r="CT23" i="3"/>
  <c r="CH41" i="3"/>
  <c r="DC9" i="3"/>
  <c r="DO16" i="3"/>
  <c r="CW24" i="3"/>
  <c r="DT8" i="3"/>
  <c r="EA19" i="3"/>
  <c r="CN5" i="3"/>
  <c r="CW33" i="3"/>
  <c r="DR29" i="3"/>
  <c r="DO29" i="3"/>
  <c r="CN43" i="3"/>
  <c r="ED32" i="3"/>
  <c r="DA20" i="3"/>
  <c r="DX21" i="3"/>
  <c r="CV15" i="3"/>
  <c r="CS11" i="3"/>
  <c r="DE12" i="3"/>
  <c r="DT13" i="3"/>
  <c r="DQ10" i="3"/>
  <c r="CM13" i="3"/>
  <c r="CG8" i="3"/>
  <c r="CG21" i="3"/>
  <c r="CT27" i="3"/>
  <c r="CV5" i="3"/>
  <c r="CO12" i="3"/>
  <c r="DG7" i="3"/>
  <c r="CG11" i="3"/>
  <c r="CT19" i="3"/>
  <c r="CH24" i="3"/>
  <c r="DM8" i="3"/>
  <c r="DL43" i="3"/>
  <c r="CL36" i="3"/>
  <c r="DH33" i="3"/>
  <c r="CD25" i="3"/>
  <c r="DL38" i="3"/>
  <c r="DC11" i="3"/>
  <c r="DX32" i="3"/>
  <c r="CO10" i="3"/>
  <c r="DV15" i="3"/>
  <c r="CV19" i="3"/>
  <c r="DQ17" i="3"/>
  <c r="CQ24" i="3"/>
  <c r="CH43" i="3"/>
  <c r="CT22" i="3"/>
  <c r="DP15" i="3"/>
  <c r="CJ35" i="3"/>
  <c r="DS27" i="3"/>
  <c r="DD18" i="3"/>
  <c r="DF10" i="3"/>
  <c r="CL23" i="3"/>
  <c r="DM17" i="3"/>
  <c r="CW4" i="3"/>
  <c r="CI18" i="3"/>
  <c r="DK18" i="3"/>
  <c r="CL41" i="3"/>
  <c r="DQ41" i="3"/>
  <c r="CO40" i="3"/>
  <c r="CL7" i="3"/>
  <c r="CP43" i="3"/>
  <c r="DC21" i="3"/>
  <c r="DL23" i="3"/>
  <c r="CX14" i="3"/>
  <c r="CL13" i="3"/>
  <c r="DE17" i="3"/>
  <c r="CD8" i="3"/>
  <c r="DB43" i="3"/>
  <c r="CW32" i="3"/>
  <c r="B6" i="3"/>
  <c r="DB18" i="3"/>
  <c r="B7" i="3"/>
  <c r="DQ14" i="3"/>
  <c r="DL22" i="3"/>
  <c r="DI8" i="3"/>
  <c r="DP19" i="3"/>
  <c r="EA12" i="3"/>
  <c r="DC6" i="3"/>
  <c r="DD8" i="3"/>
  <c r="DD23" i="3"/>
  <c r="DE6" i="3"/>
  <c r="CL26" i="3"/>
  <c r="DN22" i="3"/>
  <c r="B25" i="3"/>
  <c r="EB8" i="3"/>
  <c r="CF5" i="3"/>
  <c r="CK12" i="3"/>
  <c r="EA42" i="3"/>
  <c r="CL6" i="3"/>
  <c r="DE8" i="3"/>
  <c r="CT33" i="3"/>
  <c r="CN35" i="3"/>
  <c r="CG16" i="3"/>
  <c r="DR43" i="3"/>
  <c r="CS25" i="3"/>
  <c r="DE10" i="3"/>
  <c r="CH34" i="3"/>
  <c r="B40" i="3"/>
  <c r="DL42" i="3"/>
  <c r="CE24" i="3"/>
  <c r="CQ9" i="3"/>
  <c r="CU39" i="3"/>
  <c r="B20" i="3"/>
  <c r="EA31" i="3"/>
  <c r="DX34" i="3"/>
  <c r="DV13" i="3"/>
  <c r="CS28" i="3"/>
  <c r="DQ25" i="3"/>
  <c r="CG37" i="3"/>
  <c r="EC31" i="3"/>
  <c r="CP20" i="3"/>
  <c r="DN33" i="3"/>
  <c r="EC40" i="3"/>
  <c r="DJ42" i="3"/>
  <c r="DG36" i="3"/>
  <c r="DU36" i="3"/>
  <c r="DK38" i="3"/>
  <c r="DO38" i="3"/>
  <c r="CH32" i="3"/>
  <c r="CL37" i="3"/>
  <c r="CX8" i="3"/>
  <c r="DI28" i="3"/>
  <c r="CN41" i="3"/>
  <c r="CP21" i="3"/>
  <c r="ED14" i="3"/>
  <c r="DS12" i="3"/>
  <c r="DH4" i="3"/>
  <c r="DS20" i="3"/>
  <c r="DW5" i="3"/>
  <c r="DQ43" i="3"/>
  <c r="CE7" i="3"/>
  <c r="B41" i="3"/>
  <c r="CF43" i="3"/>
  <c r="DF8" i="3"/>
  <c r="CK4" i="3"/>
  <c r="ED36" i="3"/>
  <c r="EA41" i="3"/>
  <c r="DD20" i="3"/>
  <c r="DK5" i="3"/>
  <c r="CI4" i="3"/>
  <c r="CH4" i="3"/>
  <c r="DP10" i="3"/>
  <c r="CW8" i="3"/>
  <c r="CJ33" i="3"/>
  <c r="DB6" i="3"/>
  <c r="CV20" i="3"/>
  <c r="DG9" i="3"/>
  <c r="DF14" i="3"/>
  <c r="DV25" i="3"/>
  <c r="DM26" i="3"/>
  <c r="DY20" i="3"/>
  <c r="CT21" i="3"/>
  <c r="DB35" i="3"/>
  <c r="B33" i="3"/>
  <c r="DX8" i="3"/>
  <c r="CE19" i="3"/>
  <c r="DE14" i="3"/>
  <c r="DS29" i="3"/>
  <c r="DM5" i="3"/>
  <c r="DP9" i="3"/>
  <c r="DE4" i="3"/>
  <c r="DL18" i="3"/>
  <c r="DJ21" i="3"/>
  <c r="DY19" i="3"/>
  <c r="DU40" i="3"/>
  <c r="CF7" i="3"/>
  <c r="CZ6" i="3"/>
  <c r="CN14" i="3"/>
  <c r="DL28" i="3"/>
  <c r="DR27" i="3"/>
  <c r="B22" i="3"/>
  <c r="DJ6" i="3"/>
  <c r="CZ31" i="3"/>
  <c r="CI31" i="3"/>
  <c r="DC25" i="3"/>
  <c r="CV10" i="3"/>
  <c r="DC41" i="3"/>
  <c r="DJ7" i="3"/>
  <c r="CK25" i="3"/>
  <c r="CV6" i="3"/>
  <c r="DL26" i="3"/>
  <c r="CE29" i="3"/>
  <c r="CD23" i="3"/>
  <c r="CS15" i="3"/>
  <c r="CV22" i="3"/>
  <c r="CT12" i="3"/>
  <c r="DD11" i="3"/>
  <c r="DL10" i="3"/>
  <c r="CD5" i="3"/>
  <c r="DB21" i="3"/>
  <c r="DB4" i="3"/>
  <c r="CW11" i="3"/>
  <c r="DU35" i="3"/>
  <c r="CJ36" i="3"/>
  <c r="DV27" i="3"/>
  <c r="DF34" i="3"/>
  <c r="DR18" i="3"/>
  <c r="ED11" i="3"/>
  <c r="DG16" i="3"/>
  <c r="CN21" i="3"/>
  <c r="CS33" i="3"/>
  <c r="DF13" i="3"/>
  <c r="CQ7" i="3"/>
  <c r="DU9" i="3"/>
  <c r="DM32" i="3"/>
  <c r="DI10" i="3"/>
  <c r="CM40" i="3"/>
  <c r="CR17" i="3"/>
  <c r="CO25" i="3"/>
  <c r="CX13" i="3"/>
  <c r="DF12" i="3"/>
  <c r="CH5" i="3"/>
  <c r="CE9" i="3"/>
  <c r="DE39" i="3"/>
  <c r="ED25" i="3"/>
  <c r="DI29" i="3"/>
  <c r="DT21" i="3"/>
  <c r="CQ20" i="3"/>
  <c r="EA32" i="3"/>
  <c r="CQ40" i="3"/>
  <c r="DR24" i="3"/>
  <c r="EB31" i="3"/>
  <c r="DY34" i="3"/>
  <c r="EC37" i="3"/>
  <c r="DN15" i="3"/>
  <c r="DC10" i="3"/>
  <c r="DU30" i="3"/>
  <c r="EB29" i="3"/>
  <c r="DV36" i="3"/>
  <c r="DN27" i="3"/>
  <c r="CW9" i="3"/>
  <c r="EA35" i="3"/>
  <c r="CK17" i="3"/>
  <c r="CY39" i="3"/>
  <c r="EC19" i="3"/>
  <c r="DX11" i="3"/>
  <c r="CO41" i="3"/>
  <c r="CK41" i="3"/>
  <c r="CY19" i="3"/>
  <c r="DO25" i="3"/>
  <c r="EB18" i="3"/>
  <c r="CE30" i="3"/>
  <c r="CI30" i="3"/>
  <c r="CV24" i="3"/>
  <c r="CT41" i="3"/>
  <c r="CK33" i="3"/>
  <c r="CH36" i="3"/>
  <c r="CD36" i="3"/>
  <c r="DQ38" i="3"/>
  <c r="DH20" i="3"/>
  <c r="DC39" i="3"/>
  <c r="CI13" i="3"/>
  <c r="CL24" i="3"/>
  <c r="CH7" i="3"/>
  <c r="CG7" i="3"/>
  <c r="DN9" i="3"/>
  <c r="CZ8" i="3"/>
  <c r="ED41" i="3"/>
  <c r="CM9" i="3"/>
  <c r="CK40" i="3"/>
  <c r="ED5" i="3"/>
  <c r="CY30" i="3"/>
  <c r="DR30" i="3"/>
  <c r="CS32" i="3"/>
  <c r="CE14" i="3"/>
  <c r="DG27" i="3"/>
  <c r="DX12" i="3"/>
  <c r="CF28" i="3"/>
  <c r="EA17" i="3"/>
  <c r="CP41" i="3"/>
  <c r="CW22" i="3"/>
  <c r="CH6" i="3"/>
  <c r="DK22" i="3"/>
  <c r="EB13" i="3"/>
  <c r="DG11" i="3"/>
  <c r="CH25" i="3"/>
  <c r="CH39" i="3"/>
  <c r="DY42" i="3"/>
  <c r="CD28" i="3"/>
  <c r="EC32" i="3"/>
  <c r="CL5" i="3"/>
  <c r="DB39" i="3"/>
  <c r="DU28" i="3"/>
  <c r="DD37" i="3"/>
  <c r="CI20" i="3"/>
  <c r="DB7" i="3"/>
  <c r="DS26" i="3"/>
  <c r="DU10" i="3"/>
  <c r="DK27" i="3"/>
  <c r="DM35" i="3"/>
  <c r="DH15" i="3"/>
  <c r="CP7" i="3"/>
  <c r="DX5" i="3"/>
  <c r="DH9" i="3"/>
  <c r="DT4" i="3"/>
  <c r="CQ10" i="3"/>
  <c r="DG17" i="3"/>
  <c r="CS9" i="3"/>
  <c r="DW19" i="3"/>
  <c r="DT14" i="3"/>
  <c r="DV9" i="3"/>
  <c r="DT10" i="3"/>
  <c r="DH37" i="3"/>
  <c r="B35" i="3"/>
  <c r="CL32" i="3"/>
  <c r="CX19" i="3"/>
  <c r="CE33" i="3"/>
  <c r="DA15" i="3"/>
  <c r="DW27" i="3"/>
  <c r="EC13" i="3"/>
  <c r="CJ8" i="3"/>
  <c r="DW8" i="3"/>
  <c r="CT26" i="3"/>
  <c r="DI14" i="3"/>
  <c r="DH23" i="3"/>
  <c r="DS39" i="3"/>
  <c r="CF21" i="3"/>
  <c r="DE13" i="3"/>
  <c r="DW15" i="3"/>
  <c r="DT26" i="3"/>
  <c r="EC9" i="3"/>
  <c r="DH38" i="3"/>
  <c r="CH16" i="3"/>
  <c r="DO31" i="3"/>
  <c r="DF11" i="3"/>
  <c r="DI16" i="3"/>
  <c r="CU23" i="3"/>
  <c r="CY16" i="3"/>
  <c r="CF22" i="3"/>
  <c r="CP34" i="3"/>
  <c r="DL19" i="3"/>
  <c r="DI24" i="3"/>
  <c r="B23" i="3"/>
  <c r="CL33" i="3"/>
  <c r="CY34" i="3"/>
  <c r="CD7" i="3"/>
  <c r="DA37" i="3"/>
  <c r="DK6" i="3"/>
  <c r="DE28" i="3"/>
  <c r="DV22" i="3"/>
  <c r="DW14" i="3"/>
  <c r="CF19" i="3"/>
  <c r="CX12" i="3"/>
  <c r="CN4" i="3"/>
  <c r="CS30" i="3"/>
  <c r="CJ15" i="3"/>
  <c r="DO18" i="3"/>
  <c r="EC41" i="3"/>
  <c r="DB32" i="3"/>
  <c r="EA33" i="3"/>
  <c r="CK34" i="3"/>
  <c r="DV4" i="3"/>
  <c r="DV40" i="3"/>
  <c r="CV31" i="3"/>
  <c r="EC28" i="3"/>
  <c r="CM29" i="3"/>
  <c r="CZ38" i="3"/>
  <c r="CD30" i="3"/>
  <c r="DI36" i="3"/>
  <c r="CL17" i="3"/>
  <c r="CI17" i="3"/>
  <c r="CG43" i="3"/>
  <c r="DG23" i="3"/>
  <c r="DN41" i="3"/>
  <c r="CG23" i="3"/>
  <c r="EC22" i="3"/>
  <c r="CO39" i="3"/>
  <c r="CH31" i="3"/>
  <c r="EC30" i="3"/>
  <c r="CZ30" i="3"/>
  <c r="B21" i="3"/>
  <c r="CE28" i="3"/>
  <c r="DJ17" i="3"/>
  <c r="DY35" i="3"/>
  <c r="ED35" i="3"/>
  <c r="DO5" i="3"/>
  <c r="CD41" i="3"/>
  <c r="DK11" i="3"/>
  <c r="DW13" i="3"/>
  <c r="DB16" i="3"/>
  <c r="CJ5" i="3"/>
  <c r="DM11" i="3"/>
  <c r="DR14" i="3"/>
  <c r="CH28" i="3"/>
  <c r="CF9" i="3"/>
  <c r="CR38" i="3"/>
  <c r="CK20" i="3"/>
  <c r="EB28" i="3"/>
  <c r="DS33" i="3"/>
  <c r="CL42" i="3"/>
  <c r="CG25" i="3"/>
  <c r="DP8" i="3"/>
  <c r="CD24" i="3"/>
  <c r="CQ13" i="3"/>
  <c r="CW36" i="3"/>
  <c r="DW35" i="3"/>
  <c r="DQ4" i="3"/>
  <c r="ED12" i="3"/>
  <c r="CH40" i="3"/>
  <c r="DJ12" i="3"/>
  <c r="CH20" i="3"/>
  <c r="DD6" i="3"/>
  <c r="EB9" i="3"/>
  <c r="DD15" i="3"/>
  <c r="ED42" i="3"/>
  <c r="CO36" i="3"/>
  <c r="DL25" i="3"/>
  <c r="CN38" i="3"/>
  <c r="DB40" i="3"/>
  <c r="CP19" i="3"/>
  <c r="EA6" i="3"/>
  <c r="DA11" i="3"/>
  <c r="ED18" i="3"/>
  <c r="EC6" i="3"/>
  <c r="DP24" i="3"/>
  <c r="CX27" i="3"/>
  <c r="CN36" i="3"/>
  <c r="DC8" i="3"/>
  <c r="DW32" i="3"/>
  <c r="CG32" i="3"/>
  <c r="CZ36" i="3"/>
  <c r="CF35" i="3"/>
  <c r="DP5" i="3"/>
  <c r="DM18" i="3"/>
  <c r="CI36" i="3"/>
  <c r="DP29" i="3"/>
  <c r="DR38" i="3"/>
  <c r="CZ15" i="3"/>
  <c r="CL31" i="3"/>
  <c r="DH28" i="3"/>
  <c r="DU41" i="3"/>
  <c r="DJ27" i="3"/>
  <c r="CM19" i="3"/>
  <c r="DT5" i="3"/>
  <c r="DW17" i="3"/>
  <c r="DF4" i="3"/>
  <c r="DW16" i="3"/>
  <c r="CK27" i="3"/>
  <c r="CP12" i="3"/>
  <c r="ED34" i="3"/>
  <c r="CZ11" i="3"/>
  <c r="DE22" i="3"/>
  <c r="DX4" i="3"/>
  <c r="DW29" i="3"/>
  <c r="DG4" i="3"/>
  <c r="CR8" i="3"/>
  <c r="DE7" i="3"/>
  <c r="EA11" i="3"/>
  <c r="CD12" i="3"/>
  <c r="CI27" i="3"/>
  <c r="CQ26" i="3"/>
  <c r="DP30" i="3"/>
  <c r="B17" i="3"/>
  <c r="DV5" i="3"/>
  <c r="DB12" i="3"/>
  <c r="DE37" i="3"/>
  <c r="CI9" i="3"/>
  <c r="EA10" i="3"/>
  <c r="EB26" i="3"/>
  <c r="CO15" i="3"/>
  <c r="CP24" i="3"/>
  <c r="DL32" i="3"/>
  <c r="CE36" i="3"/>
  <c r="CK36" i="3"/>
  <c r="CG24" i="3"/>
  <c r="DF7" i="3"/>
  <c r="ED17" i="3"/>
  <c r="CJ6" i="3"/>
  <c r="CM17" i="3"/>
  <c r="CL15" i="3"/>
  <c r="CW16" i="3"/>
  <c r="CJ23" i="3"/>
  <c r="CP26" i="3"/>
  <c r="CV14" i="3"/>
  <c r="CR22" i="3"/>
  <c r="CY26" i="3"/>
  <c r="CD38" i="3"/>
  <c r="CH35" i="3"/>
  <c r="DU15" i="3"/>
  <c r="CT31" i="3"/>
  <c r="DX43" i="3"/>
  <c r="CY22" i="3"/>
  <c r="CR28" i="3"/>
  <c r="DW28" i="3"/>
  <c r="CM33" i="3"/>
  <c r="DH25" i="3"/>
  <c r="DH14" i="3"/>
  <c r="DW7" i="3"/>
  <c r="CK39" i="3"/>
  <c r="DP36" i="3"/>
  <c r="CF23" i="3"/>
  <c r="CX9" i="3"/>
  <c r="DK39" i="3"/>
  <c r="DL7" i="3"/>
  <c r="DB8" i="3"/>
  <c r="DY40" i="3"/>
  <c r="CZ9" i="3"/>
  <c r="DN17" i="3"/>
  <c r="DL29" i="3"/>
  <c r="DW12" i="3"/>
  <c r="DD10" i="3"/>
  <c r="CH38" i="3"/>
  <c r="CY17" i="3"/>
  <c r="CN28" i="3"/>
  <c r="CI7" i="3"/>
  <c r="CU5" i="3"/>
  <c r="CK26" i="3"/>
  <c r="DP22" i="3"/>
  <c r="DE36" i="3"/>
  <c r="CW19" i="3"/>
  <c r="CH22" i="3"/>
  <c r="DJ20" i="3"/>
  <c r="EB11" i="3"/>
  <c r="CS8" i="3"/>
  <c r="DC7" i="3"/>
  <c r="DU4" i="3"/>
  <c r="DO6" i="3"/>
  <c r="DX17" i="3"/>
  <c r="CR39" i="3"/>
  <c r="DL6" i="3"/>
  <c r="DW26" i="3"/>
  <c r="CF42" i="3"/>
  <c r="CM38" i="3"/>
  <c r="DL16" i="3"/>
  <c r="EC38" i="3"/>
  <c r="DY39" i="3"/>
  <c r="CH23" i="3"/>
  <c r="CZ37" i="3"/>
  <c r="CM23" i="3"/>
  <c r="CL11" i="3"/>
  <c r="CW7" i="3"/>
  <c r="DK25" i="3"/>
  <c r="DH11" i="3"/>
  <c r="DP41" i="3"/>
  <c r="DI12" i="3"/>
  <c r="CW25" i="3"/>
  <c r="CZ14" i="3"/>
  <c r="DD17" i="3"/>
  <c r="DP33" i="3"/>
  <c r="DK9" i="3"/>
  <c r="CF32" i="3"/>
  <c r="DX39" i="3"/>
  <c r="CN34" i="3"/>
  <c r="DP31" i="3"/>
  <c r="CZ16" i="3"/>
  <c r="CG10" i="3"/>
  <c r="DA8" i="3"/>
  <c r="CZ42" i="3"/>
  <c r="DU18" i="3"/>
  <c r="DO35" i="3"/>
  <c r="CY27" i="3"/>
  <c r="CI35" i="3"/>
  <c r="DM36" i="3"/>
  <c r="CO24" i="3"/>
  <c r="CN26" i="3"/>
  <c r="DX24" i="3"/>
  <c r="CX34" i="3"/>
  <c r="CN8" i="3"/>
  <c r="B8" i="3"/>
  <c r="CE8" i="3"/>
  <c r="CI21" i="3"/>
  <c r="CW5" i="3"/>
  <c r="CI11" i="3"/>
  <c r="CG18" i="3"/>
  <c r="DH6" i="3"/>
  <c r="CE4" i="3"/>
  <c r="B13" i="3"/>
  <c r="DQ6" i="3"/>
  <c r="DH43" i="3"/>
  <c r="DO34" i="3"/>
  <c r="CF14" i="3"/>
  <c r="CQ35" i="3"/>
  <c r="DV43" i="3"/>
  <c r="CX23" i="3"/>
  <c r="CU28" i="3"/>
  <c r="CE43" i="3"/>
  <c r="DP11" i="3"/>
  <c r="DS10" i="3"/>
  <c r="CJ27" i="3"/>
  <c r="B12" i="3"/>
  <c r="DE33" i="3"/>
  <c r="DR41" i="3"/>
  <c r="CO20" i="3"/>
  <c r="DP34" i="3"/>
  <c r="CS16" i="3"/>
  <c r="CU16" i="3"/>
  <c r="DA13" i="3"/>
  <c r="DF21" i="3"/>
  <c r="DX6" i="3"/>
  <c r="DV42" i="3"/>
  <c r="DY28" i="3"/>
  <c r="DU22" i="3"/>
  <c r="CY8" i="3"/>
  <c r="DX13" i="3"/>
  <c r="CD22" i="3"/>
  <c r="DW24" i="3"/>
  <c r="CN18" i="3"/>
  <c r="DN8" i="3"/>
  <c r="DL11" i="3"/>
  <c r="DL41" i="3"/>
  <c r="DL8" i="3"/>
  <c r="EC17" i="3"/>
  <c r="CX21" i="3"/>
  <c r="DD7" i="3"/>
  <c r="DJ26" i="3"/>
  <c r="DL27" i="3"/>
  <c r="DC5" i="3"/>
  <c r="CJ38" i="3"/>
  <c r="CS40" i="3"/>
  <c r="DP7" i="3"/>
  <c r="DJ4" i="3"/>
  <c r="EB15" i="3"/>
  <c r="EA8" i="3"/>
  <c r="CG12" i="3"/>
  <c r="CN9" i="3"/>
  <c r="DG6" i="3"/>
  <c r="CY13" i="3"/>
  <c r="DE18" i="3"/>
  <c r="CU29" i="3"/>
  <c r="CI37" i="3"/>
  <c r="CP33" i="3"/>
  <c r="DC27" i="3"/>
  <c r="DW33" i="3"/>
  <c r="DT34" i="3"/>
  <c r="EB17" i="3"/>
  <c r="DE31" i="3"/>
  <c r="DH17" i="3"/>
  <c r="DJ34" i="3"/>
  <c r="DA32" i="3"/>
  <c r="DX22" i="3"/>
  <c r="DO30" i="3"/>
  <c r="DD19" i="3"/>
  <c r="CT5" i="3"/>
  <c r="DA4" i="3"/>
  <c r="DO12" i="3"/>
  <c r="DN14" i="3"/>
  <c r="CG26" i="3"/>
  <c r="DU37" i="3"/>
  <c r="DE19" i="3"/>
  <c r="CO29" i="3"/>
  <c r="DK34" i="3"/>
  <c r="CM12" i="3"/>
  <c r="DQ20" i="3"/>
  <c r="DK37" i="3"/>
  <c r="ED21" i="3"/>
  <c r="CN6" i="3"/>
  <c r="DV6" i="3"/>
  <c r="CH13" i="3"/>
  <c r="CW21" i="3"/>
  <c r="DW6" i="3"/>
  <c r="DY31" i="3"/>
  <c r="DW10" i="3"/>
  <c r="DE23" i="3"/>
  <c r="DY17" i="3"/>
  <c r="DP16" i="3"/>
  <c r="CT15" i="3"/>
  <c r="CS26" i="3"/>
  <c r="CS13" i="3"/>
  <c r="CK13" i="3"/>
  <c r="EA18" i="3"/>
  <c r="DY24" i="3"/>
  <c r="DF5" i="3"/>
  <c r="CZ21" i="3"/>
  <c r="DB15" i="3"/>
  <c r="CP10" i="3"/>
  <c r="EC7" i="3"/>
  <c r="EC8" i="3"/>
  <c r="DJ33" i="3"/>
  <c r="CV29" i="3"/>
  <c r="DG33" i="3"/>
  <c r="CU8" i="3"/>
  <c r="DD4" i="3"/>
  <c r="CO13" i="3"/>
  <c r="CM26" i="3"/>
  <c r="DY7" i="3"/>
  <c r="DO41" i="3"/>
  <c r="CM34" i="3"/>
  <c r="CX5" i="3"/>
  <c r="DK42" i="3"/>
  <c r="CP6" i="3"/>
  <c r="CS23" i="3"/>
  <c r="CQ21" i="3"/>
  <c r="DF9" i="3"/>
  <c r="DP14" i="3"/>
  <c r="DJ29" i="3"/>
  <c r="DV7" i="3"/>
  <c r="CS7" i="3"/>
  <c r="CZ25" i="3"/>
  <c r="DR11" i="3"/>
  <c r="CN19" i="3"/>
  <c r="CN15" i="3"/>
  <c r="CQ5" i="3"/>
  <c r="DR12" i="3"/>
  <c r="DJ16" i="3"/>
  <c r="DU7" i="3"/>
  <c r="DI5" i="3"/>
  <c r="DX16" i="3"/>
  <c r="B26" i="3"/>
  <c r="DF20" i="3"/>
  <c r="EA38" i="3"/>
  <c r="DE25" i="3"/>
  <c r="CY20" i="3"/>
  <c r="DB19" i="3"/>
  <c r="DN10" i="3"/>
  <c r="DW30" i="3"/>
  <c r="DD35" i="3"/>
  <c r="CZ19" i="3"/>
  <c r="DA22" i="3"/>
  <c r="CO43" i="3"/>
  <c r="DB13" i="3"/>
  <c r="CR24" i="3"/>
  <c r="DO10" i="3"/>
  <c r="DP17" i="3"/>
  <c r="CD27" i="3"/>
  <c r="CR11" i="3"/>
  <c r="EB14" i="3"/>
  <c r="CP29" i="3"/>
  <c r="CR7" i="3"/>
  <c r="DE32" i="3"/>
  <c r="DH34" i="3"/>
  <c r="DW18" i="3"/>
  <c r="CI14" i="3"/>
  <c r="CF18" i="3"/>
  <c r="CX36" i="3"/>
  <c r="B32" i="3"/>
  <c r="CE18" i="3"/>
  <c r="DA16" i="3"/>
  <c r="DY14" i="3"/>
  <c r="CD33" i="3"/>
  <c r="EC26" i="3"/>
  <c r="ED7" i="3"/>
  <c r="CD14" i="3"/>
  <c r="CV32" i="3"/>
  <c r="CZ4" i="3"/>
  <c r="CU21" i="3"/>
  <c r="ED10" i="3"/>
  <c r="DY41" i="3"/>
  <c r="CT7" i="3"/>
  <c r="DB20" i="3"/>
  <c r="EB19" i="3"/>
  <c r="ED33" i="3"/>
  <c r="CJ19" i="3"/>
  <c r="CP17" i="3"/>
  <c r="DI38" i="3"/>
  <c r="CW12" i="3"/>
  <c r="CV34" i="3"/>
  <c r="DJ28" i="3"/>
  <c r="DG29" i="3"/>
  <c r="EB33" i="3"/>
  <c r="DG42" i="3"/>
  <c r="DI17" i="3"/>
  <c r="DO28" i="3"/>
  <c r="DS28" i="3"/>
  <c r="CL19" i="3"/>
  <c r="CL29" i="3"/>
  <c r="DL37" i="3"/>
  <c r="DF27" i="3"/>
  <c r="DG40" i="3"/>
  <c r="DP39" i="3"/>
  <c r="DD5" i="3"/>
  <c r="DK12" i="3"/>
  <c r="EB22" i="3"/>
  <c r="B30" i="3"/>
  <c r="DI23" i="3"/>
  <c r="CS14" i="3"/>
  <c r="CH14" i="3"/>
  <c r="CI5" i="3"/>
  <c r="CU15" i="3"/>
  <c r="CO42" i="3"/>
  <c r="CT29" i="3"/>
  <c r="EB23" i="3"/>
  <c r="CR12" i="3"/>
  <c r="CQ12" i="3"/>
  <c r="CW43" i="3"/>
  <c r="DA6" i="3"/>
  <c r="DI22" i="3"/>
  <c r="DA31" i="3"/>
  <c r="DX29" i="3"/>
  <c r="DI40" i="3"/>
  <c r="CZ35" i="3"/>
  <c r="DG18" i="3"/>
  <c r="DU32" i="3"/>
  <c r="DQ39" i="3"/>
  <c r="CY24" i="3"/>
  <c r="ED39" i="3"/>
  <c r="DV35" i="3"/>
  <c r="CH15" i="3"/>
  <c r="CM28" i="3"/>
  <c r="DG39" i="3"/>
  <c r="CF11" i="3"/>
  <c r="CE12" i="3"/>
  <c r="ED30" i="3"/>
  <c r="B24" i="3"/>
  <c r="DD21" i="3"/>
  <c r="DQ5" i="3"/>
  <c r="CI10" i="3"/>
  <c r="DK23" i="3"/>
  <c r="DR20" i="3"/>
  <c r="CY6" i="3"/>
  <c r="DB33" i="3"/>
  <c r="CK29" i="3"/>
  <c r="CU19" i="3"/>
  <c r="DC22" i="3"/>
  <c r="DF25" i="3"/>
  <c r="ED37" i="3"/>
  <c r="DM13" i="3"/>
  <c r="DC33" i="3"/>
  <c r="DX20" i="3"/>
  <c r="DT16" i="3"/>
  <c r="DQ16" i="3"/>
  <c r="CN11" i="3"/>
  <c r="CI22" i="3"/>
  <c r="EA13" i="3"/>
  <c r="DI11" i="3"/>
  <c r="CM10" i="3"/>
  <c r="DD14" i="3"/>
  <c r="DT11" i="3"/>
  <c r="CR35" i="3"/>
  <c r="DI13" i="3"/>
  <c r="CM25" i="3"/>
  <c r="DY27" i="3"/>
  <c r="DG31" i="3"/>
  <c r="CM20" i="3"/>
  <c r="CW20" i="3"/>
  <c r="DE5" i="3"/>
  <c r="DS22" i="3"/>
  <c r="EA25" i="3"/>
  <c r="CJ16" i="3"/>
  <c r="DX19" i="3"/>
  <c r="CM8" i="3"/>
  <c r="CG33" i="3"/>
  <c r="CM11" i="3"/>
  <c r="DQ8" i="3"/>
  <c r="DA9" i="3"/>
  <c r="ED38" i="3"/>
  <c r="CT10" i="3"/>
  <c r="CE10" i="3"/>
  <c r="CG17" i="3"/>
  <c r="CH21" i="3"/>
  <c r="CO22" i="3"/>
  <c r="DB9" i="3"/>
  <c r="CX40" i="3"/>
  <c r="DX9" i="3"/>
  <c r="CU4" i="3"/>
  <c r="DF37" i="3"/>
  <c r="CU22" i="3"/>
  <c r="EC25" i="3"/>
  <c r="DF18" i="3"/>
  <c r="DQ40" i="3"/>
  <c r="CS35" i="3"/>
  <c r="DF22" i="3"/>
  <c r="CP18" i="3"/>
  <c r="CO26" i="3"/>
  <c r="EA5" i="3"/>
  <c r="DC42" i="3"/>
  <c r="DC15" i="3"/>
  <c r="CP14" i="3"/>
  <c r="CQ6" i="3"/>
  <c r="CN40" i="3"/>
  <c r="CM22" i="3"/>
  <c r="EC23" i="3"/>
  <c r="CF15" i="3"/>
  <c r="EA22" i="3"/>
  <c r="DC26" i="3"/>
  <c r="DI4" i="3"/>
  <c r="EA21" i="3"/>
  <c r="DI9" i="3"/>
  <c r="DW41" i="3"/>
  <c r="DN36" i="3"/>
  <c r="CY35" i="3"/>
  <c r="CD35" i="3"/>
  <c r="DL34" i="3"/>
  <c r="CN13" i="3"/>
  <c r="ED15" i="3"/>
  <c r="CS24" i="3"/>
  <c r="DJ25" i="3"/>
  <c r="CI15" i="3"/>
  <c r="DV34" i="3"/>
  <c r="DT41" i="3"/>
  <c r="CW6" i="3"/>
  <c r="CJ13" i="3"/>
  <c r="CJ14" i="3"/>
  <c r="DH22" i="3"/>
  <c r="CG14" i="3"/>
  <c r="CY21" i="3"/>
  <c r="CY11" i="3"/>
  <c r="DX37" i="3"/>
  <c r="CV7" i="3"/>
  <c r="DN4" i="3"/>
  <c r="CK5" i="3"/>
  <c r="DJ37" i="3"/>
  <c r="CX32" i="3"/>
  <c r="CN23" i="3"/>
  <c r="CK15" i="3"/>
  <c r="DB14" i="3"/>
  <c r="CS42" i="3"/>
  <c r="ED4" i="3"/>
  <c r="CE6" i="3"/>
  <c r="CP31" i="3"/>
  <c r="CV17" i="3"/>
  <c r="CX18" i="3"/>
  <c r="DO15" i="3"/>
  <c r="DY26" i="3"/>
  <c r="CH9" i="3"/>
  <c r="CX11" i="3"/>
  <c r="EA9" i="3"/>
  <c r="DV31" i="3"/>
  <c r="DL15" i="3"/>
  <c r="DY4" i="3"/>
  <c r="CM18" i="3"/>
  <c r="CD13" i="3"/>
  <c r="DG20" i="3"/>
  <c r="CS43" i="3"/>
  <c r="DW31" i="3"/>
  <c r="CG30" i="3"/>
  <c r="DA18" i="3"/>
  <c r="CU41" i="3"/>
  <c r="CD32" i="3"/>
  <c r="CI41" i="3"/>
  <c r="EC15" i="3"/>
  <c r="CR4" i="3"/>
  <c r="EC11" i="3"/>
  <c r="DR4" i="3"/>
  <c r="DS14" i="3"/>
  <c r="CE13" i="3"/>
  <c r="DG37" i="3"/>
  <c r="DC14" i="3"/>
  <c r="CE22" i="3"/>
  <c r="EB4" i="3"/>
  <c r="CV4" i="3"/>
  <c r="CH11" i="3"/>
  <c r="B4" i="3"/>
  <c r="CW14" i="3"/>
  <c r="CM15" i="3"/>
  <c r="CK6" i="3"/>
  <c r="EA15" i="3"/>
  <c r="DO4" i="3"/>
  <c r="DH29" i="3"/>
  <c r="CR19" i="3"/>
  <c r="DE34" i="3"/>
  <c r="CK24" i="3"/>
  <c r="CI12" i="3"/>
  <c r="DI7" i="3"/>
  <c r="DK26" i="3"/>
  <c r="EA4" i="3"/>
  <c r="CQ36" i="3"/>
  <c r="DN13" i="3"/>
  <c r="DO17" i="3"/>
  <c r="DW11" i="3"/>
  <c r="CU18" i="3"/>
  <c r="DR19" i="3"/>
  <c r="DI18" i="3"/>
  <c r="CF4" i="3"/>
  <c r="DU5" i="3"/>
  <c r="DY11" i="3"/>
  <c r="CI8" i="3"/>
  <c r="DA41" i="3"/>
  <c r="DC23" i="3"/>
  <c r="DO39" i="3"/>
  <c r="DO22" i="3"/>
  <c r="CD29" i="3"/>
  <c r="EB37" i="3"/>
  <c r="DN7" i="3"/>
  <c r="CQ43" i="3"/>
  <c r="DU12" i="3"/>
  <c r="CT32" i="3"/>
  <c r="DG8" i="3"/>
  <c r="B27" i="3"/>
  <c r="CR5" i="3"/>
  <c r="CJ30" i="3"/>
  <c r="CY25" i="3"/>
  <c r="DP6" i="3"/>
  <c r="CT8" i="3"/>
  <c r="DI6" i="3"/>
  <c r="CY7" i="3"/>
  <c r="DV11" i="3"/>
  <c r="DN12" i="3"/>
  <c r="DF17" i="3"/>
  <c r="DU17" i="3"/>
  <c r="DY12" i="3"/>
  <c r="DH13" i="3"/>
  <c r="CK11" i="3"/>
  <c r="CJ17" i="3"/>
  <c r="DJ10" i="3"/>
  <c r="CU6" i="3"/>
  <c r="CO11" i="3"/>
  <c r="CL40" i="3"/>
  <c r="DQ23" i="3"/>
  <c r="EA14" i="3"/>
  <c r="DM7" i="3"/>
  <c r="CW30" i="3"/>
  <c r="DB23" i="3"/>
  <c r="DY43" i="3"/>
  <c r="ED23" i="3"/>
  <c r="CG6" i="3"/>
  <c r="DT27" i="3"/>
  <c r="CD34" i="3"/>
  <c r="B28" i="3"/>
  <c r="CW29" i="3"/>
  <c r="CY12" i="3"/>
  <c r="DY9" i="3"/>
  <c r="DJ8" i="3"/>
  <c r="DL17" i="3"/>
  <c r="CP22" i="3"/>
  <c r="DN5" i="3"/>
  <c r="DI27" i="3"/>
  <c r="CY29" i="3"/>
  <c r="DU20" i="3"/>
  <c r="DQ26" i="3"/>
  <c r="CQ11" i="3"/>
  <c r="CF40" i="3"/>
  <c r="CO5" i="3"/>
  <c r="DL5" i="3"/>
  <c r="DG10" i="3"/>
  <c r="DJ19" i="3"/>
  <c r="EA39" i="3"/>
  <c r="DH21" i="3"/>
  <c r="DY22" i="3"/>
  <c r="CE17" i="3"/>
  <c r="DS37" i="3"/>
  <c r="DU34" i="3"/>
  <c r="DD13" i="3"/>
  <c r="DS7" i="3"/>
  <c r="CX17" i="3"/>
  <c r="CJ9" i="3"/>
  <c r="DM14" i="3"/>
  <c r="DL24" i="3"/>
  <c r="CI33" i="3"/>
  <c r="B19" i="3"/>
  <c r="CR16" i="3"/>
  <c r="CX4" i="3"/>
  <c r="CD11" i="3"/>
  <c r="DX38" i="3"/>
  <c r="DO20" i="3"/>
  <c r="DP38" i="3"/>
  <c r="CD21" i="3"/>
  <c r="DU39" i="3"/>
  <c r="CO33" i="3"/>
  <c r="DG41" i="3"/>
  <c r="DN20" i="3"/>
  <c r="CU37" i="3"/>
  <c r="DD32" i="3"/>
  <c r="CS5" i="3"/>
  <c r="CX37" i="3"/>
  <c r="DQ34" i="3"/>
  <c r="DO8" i="3"/>
  <c r="DI42" i="3"/>
  <c r="CW39" i="3"/>
  <c r="DQ42" i="3"/>
  <c r="CP5" i="3"/>
  <c r="DM12" i="3"/>
  <c r="CY31" i="3"/>
  <c r="CQ31" i="3"/>
  <c r="DS5" i="3"/>
  <c r="CD18" i="3"/>
  <c r="DL20" i="3"/>
  <c r="DK31" i="3"/>
  <c r="CL12" i="3"/>
  <c r="CK9" i="3"/>
  <c r="DH24" i="3"/>
  <c r="DK19" i="3"/>
  <c r="DQ11" i="3"/>
  <c r="CJ20" i="3"/>
  <c r="B11" i="3"/>
  <c r="DK10" i="3"/>
  <c r="CI29" i="3"/>
  <c r="CD4" i="3"/>
  <c r="CV21" i="3"/>
  <c r="DS41" i="3"/>
  <c r="DK20" i="3"/>
  <c r="DM41" i="3"/>
  <c r="CE27" i="3"/>
  <c r="EB10" i="3"/>
  <c r="CX6" i="3"/>
  <c r="CV11" i="3"/>
  <c r="DV10" i="3"/>
  <c r="DU23" i="3"/>
  <c r="DN24" i="3"/>
  <c r="CE26" i="3"/>
  <c r="EB12" i="3"/>
  <c r="CI25" i="3"/>
  <c r="CZ24" i="3"/>
  <c r="DF43" i="3"/>
  <c r="CE37" i="3"/>
  <c r="DJ22" i="3"/>
  <c r="DN18" i="3"/>
  <c r="DC37" i="3"/>
  <c r="B9" i="3"/>
  <c r="CE20" i="3"/>
  <c r="CR9" i="3"/>
  <c r="CG15" i="3"/>
  <c r="EA24" i="3"/>
  <c r="DS34" i="3"/>
  <c r="DB5" i="3"/>
  <c r="CY10" i="3"/>
  <c r="DA7" i="3"/>
  <c r="CM6" i="3"/>
  <c r="DR39" i="3"/>
  <c r="DU13" i="3"/>
  <c r="CN39" i="3"/>
  <c r="DE11" i="3"/>
  <c r="CU27" i="3"/>
  <c r="DN39" i="3"/>
  <c r="CT39" i="3"/>
  <c r="CK16" i="3"/>
  <c r="DC13" i="3"/>
  <c r="CF6" i="3"/>
  <c r="CU13" i="3"/>
  <c r="DA26" i="3"/>
  <c r="DK29" i="3"/>
  <c r="DT36" i="3"/>
  <c r="DQ9" i="3"/>
  <c r="CE5" i="3"/>
  <c r="DA21" i="3"/>
  <c r="CY36" i="3"/>
  <c r="CI39" i="3"/>
  <c r="DM27" i="3"/>
  <c r="DS19" i="3"/>
  <c r="CT13" i="3"/>
  <c r="DR26" i="3"/>
  <c r="CR25" i="3"/>
  <c r="CK43" i="3"/>
  <c r="DW25" i="3"/>
  <c r="DA38" i="3"/>
  <c r="DE16" i="3"/>
  <c r="DA23" i="3"/>
  <c r="DW38" i="3"/>
  <c r="CL8" i="3"/>
  <c r="CR6" i="3"/>
  <c r="CR21" i="3"/>
  <c r="DW4" i="3"/>
  <c r="DK17" i="3"/>
  <c r="ED24" i="3"/>
  <c r="DF39" i="3"/>
  <c r="DM6" i="3"/>
  <c r="DS8" i="3"/>
  <c r="CI32" i="3"/>
  <c r="DO14" i="3"/>
  <c r="CZ26" i="3"/>
  <c r="DH41" i="3"/>
  <c r="CL20" i="3"/>
  <c r="DU8" i="3"/>
  <c r="CW40" i="3"/>
  <c r="CG27" i="3"/>
  <c r="DK28" i="3"/>
  <c r="CO7" i="3"/>
  <c r="CF10" i="3"/>
  <c r="DB37" i="3"/>
  <c r="DW39" i="3"/>
  <c r="DE21" i="3"/>
  <c r="CE25" i="3"/>
  <c r="DL12" i="3"/>
  <c r="EB38" i="3"/>
  <c r="DC12" i="3"/>
  <c r="DX23" i="3"/>
  <c r="CW13" i="3"/>
  <c r="CE15" i="3"/>
  <c r="CI6" i="3"/>
  <c r="CP16" i="3"/>
  <c r="CJ42" i="3"/>
  <c r="DY6" i="3"/>
  <c r="CZ12" i="3"/>
  <c r="CF39" i="3"/>
  <c r="CW17" i="3"/>
  <c r="DB10" i="3"/>
  <c r="CX10" i="3"/>
  <c r="DK30" i="3"/>
  <c r="CL18" i="3"/>
  <c r="DB26" i="3"/>
  <c r="CF25" i="3"/>
  <c r="DN25" i="3"/>
  <c r="DM30" i="3"/>
  <c r="CZ27" i="3"/>
  <c r="CN33" i="3"/>
  <c r="CV42" i="3"/>
  <c r="DX36" i="3"/>
  <c r="DV32" i="3"/>
  <c r="DF24" i="3"/>
  <c r="CS38" i="3"/>
  <c r="DM16" i="3"/>
  <c r="CD42" i="3"/>
  <c r="DP23" i="3"/>
  <c r="CD26" i="3"/>
  <c r="DP13" i="3"/>
  <c r="CW26" i="3"/>
  <c r="CO4" i="3"/>
  <c r="C12" i="3" l="1"/>
  <c r="G24" i="3"/>
  <c r="C28" i="3"/>
  <c r="G34" i="3"/>
  <c r="C40" i="3"/>
  <c r="G42" i="3"/>
  <c r="C16" i="3"/>
  <c r="G10" i="3"/>
  <c r="C17" i="3"/>
  <c r="G38" i="3"/>
  <c r="G30" i="3"/>
  <c r="G28" i="3"/>
  <c r="G23" i="3"/>
  <c r="G27" i="3"/>
  <c r="G14" i="3"/>
  <c r="C21" i="3"/>
  <c r="C25" i="3"/>
  <c r="C31" i="3"/>
  <c r="G13" i="3"/>
  <c r="G15" i="3"/>
  <c r="G19" i="3"/>
  <c r="C35" i="3"/>
  <c r="C38" i="3"/>
  <c r="C4" i="3"/>
  <c r="C8" i="3"/>
  <c r="G11" i="3"/>
  <c r="C14" i="3"/>
  <c r="C32" i="3"/>
  <c r="C5" i="3"/>
  <c r="G17" i="3"/>
  <c r="G20" i="3"/>
  <c r="G40" i="3"/>
  <c r="C8" i="2"/>
  <c r="E12" i="3"/>
  <c r="E22" i="3"/>
  <c r="C9" i="2"/>
  <c r="D8" i="3"/>
  <c r="D4" i="3"/>
  <c r="E4" i="3"/>
  <c r="C13" i="2"/>
  <c r="D12" i="3"/>
  <c r="E8" i="3"/>
  <c r="C17" i="2"/>
  <c r="E18" i="3"/>
  <c r="C27" i="2"/>
  <c r="D26" i="3"/>
  <c r="C6" i="2"/>
  <c r="D5" i="3"/>
  <c r="E5" i="3"/>
  <c r="C10" i="2"/>
  <c r="D9" i="3"/>
  <c r="E9" i="3"/>
  <c r="C14" i="2"/>
  <c r="D13" i="3"/>
  <c r="E13" i="3"/>
  <c r="C7" i="2"/>
  <c r="D6" i="3"/>
  <c r="E6" i="3"/>
  <c r="C11" i="2"/>
  <c r="D10" i="3"/>
  <c r="E10" i="3"/>
  <c r="C15" i="2"/>
  <c r="D14" i="3"/>
  <c r="E14" i="3"/>
  <c r="C19" i="2"/>
  <c r="D18" i="3"/>
  <c r="E26" i="3"/>
  <c r="D7" i="3"/>
  <c r="E7" i="3"/>
  <c r="C12" i="2"/>
  <c r="D11" i="3"/>
  <c r="E11" i="3"/>
  <c r="C16" i="2"/>
  <c r="D15" i="3"/>
  <c r="D29" i="3"/>
  <c r="C23" i="2"/>
  <c r="D22" i="3"/>
  <c r="E37" i="3"/>
  <c r="E15" i="3"/>
  <c r="C20" i="2"/>
  <c r="D19" i="3"/>
  <c r="E19" i="3"/>
  <c r="C24" i="2"/>
  <c r="D23" i="3"/>
  <c r="E23" i="3"/>
  <c r="C28" i="2"/>
  <c r="D27" i="3"/>
  <c r="C34" i="2"/>
  <c r="D33" i="3"/>
  <c r="E41" i="3"/>
  <c r="D16" i="3"/>
  <c r="E16" i="3"/>
  <c r="C21" i="2"/>
  <c r="D20" i="3"/>
  <c r="E20" i="3"/>
  <c r="C25" i="2"/>
  <c r="D24" i="3"/>
  <c r="E24" i="3"/>
  <c r="C29" i="2"/>
  <c r="E27" i="3"/>
  <c r="E29" i="3"/>
  <c r="C38" i="2"/>
  <c r="D37" i="3"/>
  <c r="C18" i="2"/>
  <c r="D17" i="3"/>
  <c r="E17" i="3"/>
  <c r="C22" i="2"/>
  <c r="D21" i="3"/>
  <c r="E21" i="3"/>
  <c r="C26" i="2"/>
  <c r="D25" i="3"/>
  <c r="E25" i="3"/>
  <c r="C30" i="2"/>
  <c r="E33" i="3"/>
  <c r="F40" i="3"/>
  <c r="C42" i="2"/>
  <c r="D41" i="3"/>
  <c r="C31" i="2"/>
  <c r="D30" i="3"/>
  <c r="E30" i="3"/>
  <c r="C35" i="2"/>
  <c r="D34" i="3"/>
  <c r="E34" i="3"/>
  <c r="F37" i="3"/>
  <c r="C39" i="2"/>
  <c r="D38" i="3"/>
  <c r="E38" i="3"/>
  <c r="F41" i="3"/>
  <c r="C43" i="2"/>
  <c r="D42" i="3"/>
  <c r="E42" i="3"/>
  <c r="C32" i="2"/>
  <c r="D31" i="3"/>
  <c r="E31" i="3"/>
  <c r="C36" i="2"/>
  <c r="D35" i="3"/>
  <c r="E35" i="3"/>
  <c r="F38" i="3"/>
  <c r="C40" i="2"/>
  <c r="D39" i="3"/>
  <c r="E39" i="3"/>
  <c r="F42" i="3"/>
  <c r="C44" i="2"/>
  <c r="D43" i="3"/>
  <c r="E43" i="3"/>
  <c r="D28" i="3"/>
  <c r="E28" i="3"/>
  <c r="C33" i="2"/>
  <c r="D32" i="3"/>
  <c r="E32" i="3"/>
  <c r="C37" i="2"/>
  <c r="D36" i="3"/>
  <c r="E36" i="3"/>
  <c r="F39" i="3"/>
  <c r="C41" i="2"/>
  <c r="D40" i="3"/>
  <c r="E40" i="3"/>
  <c r="F43" i="3"/>
  <c r="C45" i="2"/>
  <c r="G6" i="3"/>
  <c r="G5" i="3"/>
  <c r="G9" i="3"/>
  <c r="C10" i="3"/>
  <c r="G36" i="3"/>
  <c r="C36" i="3"/>
  <c r="G8" i="3"/>
  <c r="C9" i="3"/>
  <c r="G4" i="3"/>
  <c r="G7" i="3"/>
  <c r="G12" i="3"/>
  <c r="C13" i="3"/>
  <c r="C11" i="3"/>
  <c r="C6" i="3"/>
  <c r="C7" i="3"/>
  <c r="C15" i="3"/>
  <c r="G16" i="3"/>
  <c r="C24" i="3"/>
  <c r="G26" i="3"/>
  <c r="C26" i="3"/>
  <c r="C34" i="3"/>
  <c r="C19" i="3"/>
  <c r="G21" i="3"/>
  <c r="C23" i="3"/>
  <c r="G25" i="3"/>
  <c r="G18" i="3"/>
  <c r="C18" i="3"/>
  <c r="C27" i="3"/>
  <c r="G29" i="3"/>
  <c r="C29" i="3"/>
  <c r="C20" i="3"/>
  <c r="G22" i="3"/>
  <c r="C22" i="3"/>
  <c r="G33" i="3"/>
  <c r="C33" i="3"/>
  <c r="C39" i="3"/>
  <c r="C42" i="3"/>
  <c r="G32" i="3"/>
  <c r="G37" i="3"/>
  <c r="C37" i="3"/>
  <c r="C43" i="3"/>
  <c r="C30" i="3"/>
  <c r="G41" i="3"/>
  <c r="C41" i="3"/>
  <c r="G31" i="3"/>
  <c r="G35" i="3"/>
  <c r="G39" i="3"/>
  <c r="G43" i="3"/>
  <c r="F36" i="3" l="1"/>
  <c r="F35" i="3"/>
  <c r="F34" i="3"/>
  <c r="G36" i="2" s="1"/>
  <c r="F33" i="3"/>
  <c r="G35" i="2" s="1"/>
  <c r="F32" i="3"/>
  <c r="G34" i="2" s="1"/>
  <c r="F31" i="3"/>
  <c r="G33" i="2" s="1"/>
  <c r="F30" i="3"/>
  <c r="G32" i="2" s="1"/>
  <c r="F29" i="3"/>
  <c r="G31" i="2" s="1"/>
  <c r="F26" i="3"/>
  <c r="G28" i="2" s="1"/>
  <c r="F28" i="3"/>
  <c r="G30" i="2" s="1"/>
  <c r="F8" i="3"/>
  <c r="G10" i="2" s="1"/>
  <c r="F10" i="3"/>
  <c r="G12" i="2" s="1"/>
  <c r="F23" i="3"/>
  <c r="G25" i="2" s="1"/>
  <c r="F9" i="3"/>
  <c r="G11" i="2" s="1"/>
  <c r="F22" i="3"/>
  <c r="G24" i="2" s="1"/>
  <c r="F6" i="3"/>
  <c r="G8" i="2" s="1"/>
  <c r="F15" i="3"/>
  <c r="G17" i="2" s="1"/>
  <c r="F12" i="3"/>
  <c r="G14" i="2" s="1"/>
  <c r="F13" i="3"/>
  <c r="G15" i="2" s="1"/>
  <c r="F24" i="3"/>
  <c r="G26" i="2" s="1"/>
  <c r="F21" i="3"/>
  <c r="G23" i="2" s="1"/>
  <c r="F11" i="3"/>
  <c r="G13" i="2" s="1"/>
  <c r="F16" i="3"/>
  <c r="G18" i="2" s="1"/>
  <c r="F4" i="3"/>
  <c r="G6" i="2" s="1"/>
  <c r="F20" i="3"/>
  <c r="G22" i="2" s="1"/>
  <c r="F7" i="3"/>
  <c r="G9" i="2" s="1"/>
  <c r="F18" i="3"/>
  <c r="G20" i="2" s="1"/>
  <c r="F17" i="3"/>
  <c r="G19" i="2" s="1"/>
  <c r="F27" i="3"/>
  <c r="G29" i="2" s="1"/>
  <c r="F14" i="3"/>
  <c r="G16" i="2" s="1"/>
  <c r="F5" i="3"/>
  <c r="G7" i="2" s="1"/>
  <c r="F25" i="3"/>
  <c r="G27" i="2" s="1"/>
  <c r="F19" i="3"/>
  <c r="G21" i="2" s="1"/>
  <c r="G37" i="2"/>
  <c r="F37" i="2"/>
  <c r="H37" i="2"/>
  <c r="E37" i="2"/>
  <c r="D37" i="2"/>
  <c r="H28" i="2"/>
  <c r="F28" i="2"/>
  <c r="E28" i="2"/>
  <c r="D28" i="2"/>
  <c r="E15" i="2"/>
  <c r="D15" i="2"/>
  <c r="H15" i="2"/>
  <c r="F15" i="2"/>
  <c r="F42" i="2"/>
  <c r="E42" i="2"/>
  <c r="H42" i="2"/>
  <c r="G42" i="2"/>
  <c r="A42" i="2" s="1"/>
  <c r="D42" i="2"/>
  <c r="F16" i="2"/>
  <c r="E16" i="2"/>
  <c r="D16" i="2"/>
  <c r="H16" i="2"/>
  <c r="F17" i="2"/>
  <c r="E17" i="2"/>
  <c r="D17" i="2"/>
  <c r="H17" i="2"/>
  <c r="H44" i="2"/>
  <c r="G44" i="2"/>
  <c r="A44" i="2" s="1"/>
  <c r="F44" i="2"/>
  <c r="D44" i="2"/>
  <c r="E44" i="2"/>
  <c r="H36" i="2"/>
  <c r="F36" i="2"/>
  <c r="E36" i="2"/>
  <c r="D36" i="2"/>
  <c r="G43" i="2"/>
  <c r="A43" i="2" s="1"/>
  <c r="F43" i="2"/>
  <c r="E43" i="2"/>
  <c r="D43" i="2"/>
  <c r="H43" i="2"/>
  <c r="H35" i="2"/>
  <c r="E35" i="2"/>
  <c r="D35" i="2"/>
  <c r="F35" i="2"/>
  <c r="E9" i="2"/>
  <c r="F9" i="2"/>
  <c r="D9" i="2"/>
  <c r="H9" i="2"/>
  <c r="F40" i="2"/>
  <c r="E40" i="2"/>
  <c r="D40" i="2"/>
  <c r="H40" i="2"/>
  <c r="G40" i="2"/>
  <c r="A40" i="2" s="1"/>
  <c r="H18" i="2"/>
  <c r="F18" i="2"/>
  <c r="D18" i="2"/>
  <c r="E18" i="2"/>
  <c r="F21" i="2"/>
  <c r="H21" i="2"/>
  <c r="E21" i="2"/>
  <c r="D21" i="2"/>
  <c r="H20" i="2"/>
  <c r="F20" i="2"/>
  <c r="E20" i="2"/>
  <c r="D20" i="2"/>
  <c r="E7" i="2"/>
  <c r="H7" i="2"/>
  <c r="D7" i="2"/>
  <c r="F7" i="2"/>
  <c r="D38" i="2"/>
  <c r="H38" i="2"/>
  <c r="G38" i="2"/>
  <c r="F38" i="2"/>
  <c r="E38" i="2"/>
  <c r="F25" i="2"/>
  <c r="E25" i="2"/>
  <c r="H25" i="2"/>
  <c r="D25" i="2"/>
  <c r="H19" i="2"/>
  <c r="E19" i="2"/>
  <c r="D19" i="2"/>
  <c r="F19" i="2"/>
  <c r="E11" i="2"/>
  <c r="D11" i="2"/>
  <c r="H11" i="2"/>
  <c r="F11" i="2"/>
  <c r="D14" i="2"/>
  <c r="H14" i="2"/>
  <c r="E14" i="2"/>
  <c r="F14" i="2"/>
  <c r="D6" i="2"/>
  <c r="H6" i="2"/>
  <c r="F6" i="2"/>
  <c r="E6" i="2"/>
  <c r="E31" i="2"/>
  <c r="D31" i="2"/>
  <c r="H31" i="2"/>
  <c r="F31" i="2"/>
  <c r="H26" i="2"/>
  <c r="F26" i="2"/>
  <c r="D26" i="2"/>
  <c r="E26" i="2"/>
  <c r="D30" i="2"/>
  <c r="H30" i="2"/>
  <c r="F30" i="2"/>
  <c r="E30" i="2"/>
  <c r="F24" i="2"/>
  <c r="E24" i="2"/>
  <c r="D24" i="2"/>
  <c r="H24" i="2"/>
  <c r="E39" i="2"/>
  <c r="D39" i="2"/>
  <c r="H39" i="2"/>
  <c r="G39" i="2"/>
  <c r="A39" i="2" s="1"/>
  <c r="F39" i="2"/>
  <c r="F45" i="2"/>
  <c r="H45" i="2"/>
  <c r="D45" i="2"/>
  <c r="G45" i="2"/>
  <c r="A45" i="2" s="1"/>
  <c r="E45" i="2"/>
  <c r="E41" i="2"/>
  <c r="D41" i="2"/>
  <c r="H41" i="2"/>
  <c r="G41" i="2"/>
  <c r="A41" i="2" s="1"/>
  <c r="F41" i="2"/>
  <c r="F33" i="2"/>
  <c r="E33" i="2"/>
  <c r="H33" i="2"/>
  <c r="D33" i="2"/>
  <c r="D22" i="2"/>
  <c r="H22" i="2"/>
  <c r="F22" i="2"/>
  <c r="E22" i="2"/>
  <c r="H34" i="2"/>
  <c r="F34" i="2"/>
  <c r="D34" i="2"/>
  <c r="E34" i="2"/>
  <c r="E23" i="2"/>
  <c r="D23" i="2"/>
  <c r="H23" i="2"/>
  <c r="F23" i="2"/>
  <c r="H12" i="2"/>
  <c r="F12" i="2"/>
  <c r="E12" i="2"/>
  <c r="D12" i="2"/>
  <c r="F13" i="2"/>
  <c r="H13" i="2"/>
  <c r="E13" i="2"/>
  <c r="D13" i="2"/>
  <c r="F32" i="2"/>
  <c r="E32" i="2"/>
  <c r="D32" i="2"/>
  <c r="H32" i="2"/>
  <c r="H27" i="2"/>
  <c r="E27" i="2"/>
  <c r="D27" i="2"/>
  <c r="F27" i="2"/>
  <c r="F8" i="2"/>
  <c r="D8" i="2"/>
  <c r="H8" i="2"/>
  <c r="E8" i="2"/>
  <c r="F29" i="2"/>
  <c r="D29" i="2"/>
  <c r="H29" i="2"/>
  <c r="E29" i="2"/>
  <c r="H10" i="2"/>
  <c r="F10" i="2"/>
  <c r="D10" i="2"/>
  <c r="E10" i="2"/>
  <c r="A38" i="2" l="1"/>
  <c r="A37" i="2"/>
  <c r="A36" i="2"/>
  <c r="A35" i="2"/>
  <c r="A33" i="2"/>
  <c r="A34" i="2"/>
  <c r="A32" i="2"/>
  <c r="A31" i="2"/>
  <c r="A30" i="2"/>
  <c r="A11" i="2"/>
  <c r="A18" i="2"/>
  <c r="A15" i="2"/>
  <c r="A8" i="2"/>
  <c r="A23" i="2"/>
  <c r="A26" i="2"/>
  <c r="A29" i="2"/>
  <c r="A25" i="2"/>
  <c r="A6" i="2"/>
  <c r="A19" i="2"/>
  <c r="A10" i="2"/>
  <c r="A13" i="2"/>
  <c r="A20" i="2"/>
  <c r="A9" i="2"/>
  <c r="A7" i="2"/>
  <c r="A14" i="2"/>
  <c r="A27" i="2"/>
  <c r="A12" i="2"/>
  <c r="A24" i="2"/>
  <c r="A21" i="2"/>
  <c r="A17" i="2"/>
  <c r="A22" i="2"/>
  <c r="A16" i="2"/>
  <c r="A28" i="2"/>
</calcChain>
</file>

<file path=xl/sharedStrings.xml><?xml version="1.0" encoding="utf-8"?>
<sst xmlns="http://schemas.openxmlformats.org/spreadsheetml/2006/main" count="23235" uniqueCount="398">
  <si>
    <t>MM 2026 - veikkaajien pisteet</t>
  </si>
  <si>
    <t>Yhteenveto päivittyy Tulokset-välilehdelle syötettyjen toteutuneiden tulosten perusteella.</t>
  </si>
  <si>
    <t>Sija</t>
  </si>
  <si>
    <t>Välilehti</t>
  </si>
  <si>
    <t>Osallistuja</t>
  </si>
  <si>
    <t>Ottelupisteet</t>
  </si>
  <si>
    <t>Lohkopisteet</t>
  </si>
  <si>
    <t>Finaali/3-4</t>
  </si>
  <si>
    <t>Yhteensä</t>
  </si>
  <si>
    <t>Täsmälleen oikein</t>
  </si>
  <si>
    <t>Tasatilanteet</t>
  </si>
  <si>
    <t>Sija huomioi ensin kokonaispisteet ja sen jälkeen täsmälleen oikein veikatut ottelut.</t>
  </si>
  <si>
    <t>Pisteytystiivistelmä</t>
  </si>
  <si>
    <t>Ottelut: 1-X-2 pitää olla oikein. Täysin oikea tulos 6 p.</t>
  </si>
  <si>
    <t>Ei-tasapelit: oikea 1-X-2 on edellytys; pisteet = max(0, 6 - maalimäärävirheiden summa).</t>
  </si>
  <si>
    <t>Esim. tulos 5-1 ja veikkaus 1-0: virhe 4+1=5, pisteet 6-5=1.</t>
  </si>
  <si>
    <t>Tasapelit: täysin oikea tasapeli 6 p, muu oikea tasapeli 3 p.</t>
  </si>
  <si>
    <t>Finaali ja sijat 3-4: jokainen oikea joukkue kategoriassa 2 p.</t>
  </si>
  <si>
    <t>MM 2026 - tulosten syöttö</t>
  </si>
  <si>
    <t>Lohkojen ja finaalivaiheen tulokset</t>
  </si>
  <si>
    <t>Syötä toteutuneet maalit sarakkeisiin G ja I. Jätä kesken olevat/pelaamattomat ottelut tyhjiksi.</t>
  </si>
  <si>
    <t>Syötä lohkojen lopullinen järjestys sekä finaalijoukkueet. Lohko- ja finaalipisteet päivittyvät Pisteet-välilehdelle.</t>
  </si>
  <si>
    <t>Otteluiden tulokset</t>
  </si>
  <si>
    <t>Nro</t>
  </si>
  <si>
    <t>Pvm</t>
  </si>
  <si>
    <t>Lohko</t>
  </si>
  <si>
    <t>Joukkue 1</t>
  </si>
  <si>
    <t>-</t>
  </si>
  <si>
    <t>Joukkue 2</t>
  </si>
  <si>
    <t>Maalit 1</t>
  </si>
  <si>
    <t>Maalit 2</t>
  </si>
  <si>
    <t>Sijoitus</t>
  </si>
  <si>
    <t>Lohko A</t>
  </si>
  <si>
    <t>Lohko B</t>
  </si>
  <si>
    <t>Lohko C</t>
  </si>
  <si>
    <t>Lohko D</t>
  </si>
  <si>
    <t>Lohko E</t>
  </si>
  <si>
    <t>Lohko F</t>
  </si>
  <si>
    <t>11.6. klo 22</t>
  </si>
  <si>
    <t>A</t>
  </si>
  <si>
    <t>Meksiko</t>
  </si>
  <si>
    <t>Etelä-Afrikka</t>
  </si>
  <si>
    <t>12.6. klo 05</t>
  </si>
  <si>
    <t>Etelä-Korea</t>
  </si>
  <si>
    <t>Tshekki</t>
  </si>
  <si>
    <t>12.6. klo 22</t>
  </si>
  <si>
    <t>B</t>
  </si>
  <si>
    <t>Kanada</t>
  </si>
  <si>
    <t>Bosnia ja Hertsegovina</t>
  </si>
  <si>
    <t>13.6. klo 04</t>
  </si>
  <si>
    <t>D</t>
  </si>
  <si>
    <t>USA</t>
  </si>
  <si>
    <t>Paraguay</t>
  </si>
  <si>
    <t>14.6. klo 04</t>
  </si>
  <si>
    <t>C</t>
  </si>
  <si>
    <t>Haiti</t>
  </si>
  <si>
    <t>Skotlanti</t>
  </si>
  <si>
    <t>14.6. klo 07</t>
  </si>
  <si>
    <t>Australia</t>
  </si>
  <si>
    <t>Turkki</t>
  </si>
  <si>
    <t>Lohko G</t>
  </si>
  <si>
    <t>Lohko H</t>
  </si>
  <si>
    <t>Lohko I</t>
  </si>
  <si>
    <t>Lohko J</t>
  </si>
  <si>
    <t>Lohko K</t>
  </si>
  <si>
    <t>Lohko L</t>
  </si>
  <si>
    <t>14.6. klo 01</t>
  </si>
  <si>
    <t>Brasilia</t>
  </si>
  <si>
    <t>Marokko</t>
  </si>
  <si>
    <t>13.6. klo 22</t>
  </si>
  <si>
    <t>Qatar</t>
  </si>
  <si>
    <t>Sveitsi</t>
  </si>
  <si>
    <t>15.6. klo 02</t>
  </si>
  <si>
    <t>E</t>
  </si>
  <si>
    <t>Norsunluurannikko</t>
  </si>
  <si>
    <t>Ecuador</t>
  </si>
  <si>
    <t>14.6. klo 20</t>
  </si>
  <si>
    <t>Saksa</t>
  </si>
  <si>
    <t>Curaçao</t>
  </si>
  <si>
    <t>14.6. klo 23</t>
  </si>
  <si>
    <t>F</t>
  </si>
  <si>
    <t>Hollanti</t>
  </si>
  <si>
    <t>Japani</t>
  </si>
  <si>
    <t>15.6. klo 05</t>
  </si>
  <si>
    <t>Ruotsi</t>
  </si>
  <si>
    <t>Tunisia</t>
  </si>
  <si>
    <t>16.6. klo 01</t>
  </si>
  <si>
    <t>H</t>
  </si>
  <si>
    <t>Saudi-Arabia</t>
  </si>
  <si>
    <t>Uruguay</t>
  </si>
  <si>
    <t>Finaalijoukkueet ja sijat 3-4</t>
  </si>
  <si>
    <t>15.6. klo 19</t>
  </si>
  <si>
    <t>Espanja</t>
  </si>
  <si>
    <t>Kap Verde</t>
  </si>
  <si>
    <t>16.6. klo 04</t>
  </si>
  <si>
    <t>G</t>
  </si>
  <si>
    <t>Iran</t>
  </si>
  <si>
    <t>Uusi-Seelanti</t>
  </si>
  <si>
    <t>Finaalijoukkue 1</t>
  </si>
  <si>
    <t>15.6. klo 22</t>
  </si>
  <si>
    <t>Belgia</t>
  </si>
  <si>
    <t>Egypti</t>
  </si>
  <si>
    <t>Finaalijoukkue 2</t>
  </si>
  <si>
    <t>16.6. klo 22</t>
  </si>
  <si>
    <t>I</t>
  </si>
  <si>
    <t>Ranska</t>
  </si>
  <si>
    <t>Senegal</t>
  </si>
  <si>
    <t>17.6. klo 01</t>
  </si>
  <si>
    <t>Irak</t>
  </si>
  <si>
    <t>Norja</t>
  </si>
  <si>
    <t>Sijat 3-4, joukkue 1</t>
  </si>
  <si>
    <t>17.6. klo 04</t>
  </si>
  <si>
    <t>J</t>
  </si>
  <si>
    <t>Argentiina</t>
  </si>
  <si>
    <t>Algeria</t>
  </si>
  <si>
    <t>Sijat 3-4, joukkue 2</t>
  </si>
  <si>
    <t>17.6. klo 07</t>
  </si>
  <si>
    <t>Itävalta</t>
  </si>
  <si>
    <t>Jordania</t>
  </si>
  <si>
    <t>18.6. klo 02</t>
  </si>
  <si>
    <t>L</t>
  </si>
  <si>
    <t>Ghana</t>
  </si>
  <si>
    <t>Panama</t>
  </si>
  <si>
    <t>17.6. klo 23</t>
  </si>
  <si>
    <t>Englanti</t>
  </si>
  <si>
    <t>Kroatia</t>
  </si>
  <si>
    <t>17.6. klo 20</t>
  </si>
  <si>
    <t>K</t>
  </si>
  <si>
    <t>Portugali</t>
  </si>
  <si>
    <t>Kongon DR</t>
  </si>
  <si>
    <t>18.6. klo 05</t>
  </si>
  <si>
    <t>Uzbekistan</t>
  </si>
  <si>
    <t>Kolumbia</t>
  </si>
  <si>
    <t>18.6. klo 19</t>
  </si>
  <si>
    <t>18.6. klo 22</t>
  </si>
  <si>
    <t>19.6. klo 01</t>
  </si>
  <si>
    <t>19.6. klo 04</t>
  </si>
  <si>
    <t>20.6. klo 04</t>
  </si>
  <si>
    <t>20.6. klo 01</t>
  </si>
  <si>
    <t>20.6. klo 07</t>
  </si>
  <si>
    <t>19.6. klo 22</t>
  </si>
  <si>
    <t>20.6. klo 23</t>
  </si>
  <si>
    <t>21.6. klo 03</t>
  </si>
  <si>
    <t>20.6. klo 20</t>
  </si>
  <si>
    <t>21.6. klo 07</t>
  </si>
  <si>
    <t>22.6. klo 01</t>
  </si>
  <si>
    <t>21.6. klo 19</t>
  </si>
  <si>
    <t>21.6. klo 22</t>
  </si>
  <si>
    <t>22.6. klo 04</t>
  </si>
  <si>
    <t>23.6. klo 03</t>
  </si>
  <si>
    <t>23.6. klo 00</t>
  </si>
  <si>
    <t>22.6. klo 20</t>
  </si>
  <si>
    <t>23.6. klo 06</t>
  </si>
  <si>
    <t>23.6. klo 23</t>
  </si>
  <si>
    <t>24.6. klo 02</t>
  </si>
  <si>
    <t>23.6. klo 20</t>
  </si>
  <si>
    <t>24.6. klo 05</t>
  </si>
  <si>
    <t>25.6. klo 01</t>
  </si>
  <si>
    <t>24.6. klo 22</t>
  </si>
  <si>
    <t>25.6. klo 04</t>
  </si>
  <si>
    <t>25.6. klo 23</t>
  </si>
  <si>
    <t>26.6. klo 02</t>
  </si>
  <si>
    <t>26.6. klo 05</t>
  </si>
  <si>
    <t>26.6. klo 22</t>
  </si>
  <si>
    <t>27.6. klo 06</t>
  </si>
  <si>
    <t>27.6. klo 03</t>
  </si>
  <si>
    <t>28.6. klo 00</t>
  </si>
  <si>
    <t>28.6. klo 05</t>
  </si>
  <si>
    <t>28.6. klo 02.30</t>
  </si>
  <si>
    <t>Laskenta - älä muokkaa</t>
  </si>
  <si>
    <t>Täällä ovat pisteytyskaavat. Veikkausvälilehdillä 1-40 ei ole pisteytyskaavoja. Ottelupisteissä oikea 1-X-2 on edellytys; ei erillistä voittajapistettä. Ei-tasapeleissä pisteet = max(0, 6 - maalimäärävirheiden summa).</t>
  </si>
  <si>
    <t>Finaali/3-4-pisteet</t>
  </si>
  <si>
    <t>Ottelu 1</t>
  </si>
  <si>
    <t>Ottelu 2</t>
  </si>
  <si>
    <t>Ottelu 3</t>
  </si>
  <si>
    <t>Ottelu 4</t>
  </si>
  <si>
    <t>Ottelu 5</t>
  </si>
  <si>
    <t>Ottelu 6</t>
  </si>
  <si>
    <t>Ottelu 7</t>
  </si>
  <si>
    <t>Ottelu 8</t>
  </si>
  <si>
    <t>Ottelu 9</t>
  </si>
  <si>
    <t>Ottelu 10</t>
  </si>
  <si>
    <t>Ottelu 11</t>
  </si>
  <si>
    <t>Ottelu 12</t>
  </si>
  <si>
    <t>Ottelu 13</t>
  </si>
  <si>
    <t>Ottelu 14</t>
  </si>
  <si>
    <t>Ottelu 15</t>
  </si>
  <si>
    <t>Ottelu 16</t>
  </si>
  <si>
    <t>Ottelu 17</t>
  </si>
  <si>
    <t>Ottelu 18</t>
  </si>
  <si>
    <t>Ottelu 19</t>
  </si>
  <si>
    <t>Ottelu 20</t>
  </si>
  <si>
    <t>Ottelu 21</t>
  </si>
  <si>
    <t>Ottelu 22</t>
  </si>
  <si>
    <t>Ottelu 23</t>
  </si>
  <si>
    <t>Ottelu 24</t>
  </si>
  <si>
    <t>Ottelu 25</t>
  </si>
  <si>
    <t>Ottelu 26</t>
  </si>
  <si>
    <t>Ottelu 27</t>
  </si>
  <si>
    <t>Ottelu 28</t>
  </si>
  <si>
    <t>Ottelu 29</t>
  </si>
  <si>
    <t>Ottelu 30</t>
  </si>
  <si>
    <t>Ottelu 31</t>
  </si>
  <si>
    <t>Ottelu 32</t>
  </si>
  <si>
    <t>Ottelu 33</t>
  </si>
  <si>
    <t>Ottelu 34</t>
  </si>
  <si>
    <t>Ottelu 35</t>
  </si>
  <si>
    <t>Ottelu 36</t>
  </si>
  <si>
    <t>Ottelu 37</t>
  </si>
  <si>
    <t>Ottelu 38</t>
  </si>
  <si>
    <t>Ottelu 39</t>
  </si>
  <si>
    <t>Ottelu 40</t>
  </si>
  <si>
    <t>Ottelu 41</t>
  </si>
  <si>
    <t>Ottelu 42</t>
  </si>
  <si>
    <t>Ottelu 43</t>
  </si>
  <si>
    <t>Ottelu 44</t>
  </si>
  <si>
    <t>Ottelu 45</t>
  </si>
  <si>
    <t>Ottelu 46</t>
  </si>
  <si>
    <t>Ottelu 47</t>
  </si>
  <si>
    <t>Ottelu 48</t>
  </si>
  <si>
    <t>Ottelu 49</t>
  </si>
  <si>
    <t>Ottelu 50</t>
  </si>
  <si>
    <t>Ottelu 51</t>
  </si>
  <si>
    <t>Ottelu 52</t>
  </si>
  <si>
    <t>Ottelu 53</t>
  </si>
  <si>
    <t>Ottelu 54</t>
  </si>
  <si>
    <t>Ottelu 55</t>
  </si>
  <si>
    <t>Ottelu 56</t>
  </si>
  <si>
    <t>Ottelu 57</t>
  </si>
  <si>
    <t>Ottelu 58</t>
  </si>
  <si>
    <t>Ottelu 59</t>
  </si>
  <si>
    <t>Ottelu 60</t>
  </si>
  <si>
    <t>Ottelu 61</t>
  </si>
  <si>
    <t>Ottelu 62</t>
  </si>
  <si>
    <t>Ottelu 63</t>
  </si>
  <si>
    <t>Ottelu 64</t>
  </si>
  <si>
    <t>Ottelu 65</t>
  </si>
  <si>
    <t>Ottelu 66</t>
  </si>
  <si>
    <t>Ottelu 67</t>
  </si>
  <si>
    <t>Ottelu 68</t>
  </si>
  <si>
    <t>Ottelu 69</t>
  </si>
  <si>
    <t>Ottelu 70</t>
  </si>
  <si>
    <t>Ottelu 71</t>
  </si>
  <si>
    <t>Ottelu 72</t>
  </si>
  <si>
    <t>Lohko 1</t>
  </si>
  <si>
    <t>Lohko 2</t>
  </si>
  <si>
    <t>Lohko 3</t>
  </si>
  <si>
    <t>Lohko 4</t>
  </si>
  <si>
    <t>Lohko 5</t>
  </si>
  <si>
    <t>Lohko 6</t>
  </si>
  <si>
    <t>Lohko 7</t>
  </si>
  <si>
    <t>Lohko 8</t>
  </si>
  <si>
    <t>Lohko 9</t>
  </si>
  <si>
    <t>Lohko 10</t>
  </si>
  <si>
    <t>Lohko 11</t>
  </si>
  <si>
    <t>Lohko 12</t>
  </si>
  <si>
    <t>Lohko 13</t>
  </si>
  <si>
    <t>Lohko 14</t>
  </si>
  <si>
    <t>Lohko 15</t>
  </si>
  <si>
    <t>Lohko 16</t>
  </si>
  <si>
    <t>Lohko 17</t>
  </si>
  <si>
    <t>Lohko 18</t>
  </si>
  <si>
    <t>Lohko 19</t>
  </si>
  <si>
    <t>Lohko 20</t>
  </si>
  <si>
    <t>Lohko 21</t>
  </si>
  <si>
    <t>Lohko 22</t>
  </si>
  <si>
    <t>Lohko 23</t>
  </si>
  <si>
    <t>Lohko 24</t>
  </si>
  <si>
    <t>Lohko 25</t>
  </si>
  <si>
    <t>Lohko 26</t>
  </si>
  <si>
    <t>Lohko 27</t>
  </si>
  <si>
    <t>Lohko 28</t>
  </si>
  <si>
    <t>Lohko 29</t>
  </si>
  <si>
    <t>Lohko 30</t>
  </si>
  <si>
    <t>Lohko 31</t>
  </si>
  <si>
    <t>Lohko 32</t>
  </si>
  <si>
    <t>Lohko 33</t>
  </si>
  <si>
    <t>Lohko 34</t>
  </si>
  <si>
    <t>Lohko 35</t>
  </si>
  <si>
    <t>Lohko 36</t>
  </si>
  <si>
    <t>Lohko 37</t>
  </si>
  <si>
    <t>Lohko 38</t>
  </si>
  <si>
    <t>Lohko 39</t>
  </si>
  <si>
    <t>Lohko 40</t>
  </si>
  <si>
    <t>Lohko 41</t>
  </si>
  <si>
    <t>Lohko 42</t>
  </si>
  <si>
    <t>Lohko 43</t>
  </si>
  <si>
    <t>Lohko 44</t>
  </si>
  <si>
    <t>Lohko 45</t>
  </si>
  <si>
    <t>Lohko 46</t>
  </si>
  <si>
    <t>Lohko 47</t>
  </si>
  <si>
    <t>Lohko 48</t>
  </si>
  <si>
    <t>Finalisti 1</t>
  </si>
  <si>
    <t>Finalisti 2</t>
  </si>
  <si>
    <t>Sijat 3-4 / 1</t>
  </si>
  <si>
    <t>Sijat 3-4 / 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</si>
  <si>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</si>
  <si>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</si>
  <si>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</si>
  <si>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</si>
  <si>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</si>
  <si>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</si>
  <si>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</si>
  <si>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</si>
  <si>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</si>
  <si>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</si>
  <si>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</si>
  <si>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</si>
  <si>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</si>
  <si>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</si>
  <si>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</si>
  <si>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</si>
  <si>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</si>
  <si>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</si>
  <si>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</si>
  <si>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</si>
  <si>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</si>
  <si>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</si>
  <si>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</si>
  <si>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</si>
  <si>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</si>
  <si>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</si>
  <si>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</si>
  <si>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</si>
  <si>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</si>
  <si>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</si>
  <si>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Osallistuja:</t>
  </si>
  <si>
    <t>Mike Salmon</t>
  </si>
  <si>
    <t>Alkulohkojen ottelut</t>
  </si>
  <si>
    <t>Ottelu</t>
  </si>
  <si>
    <t>Veikkaus</t>
  </si>
  <si>
    <t>Tulos</t>
  </si>
  <si>
    <t>Pisteet</t>
  </si>
  <si>
    <t>Taulukko 1. Laita joukkueet tähän taulukkoon.</t>
  </si>
  <si>
    <t>Tässä lohkojen joukkueet mielivaltaisessa järjestyksessä.</t>
  </si>
  <si>
    <t>Finaalijoukkueet:</t>
  </si>
  <si>
    <t>Sijoilla 3-4:</t>
  </si>
  <si>
    <t>Pisteet yhteensä:</t>
  </si>
  <si>
    <t>ArtsiKerho</t>
  </si>
  <si>
    <t xml:space="preserve">Englanti </t>
  </si>
  <si>
    <t>Johnny Rotten</t>
  </si>
  <si>
    <t xml:space="preserve">USA </t>
  </si>
  <si>
    <t>Etelä korea</t>
  </si>
  <si>
    <t>Curacao</t>
  </si>
  <si>
    <t>The Moka</t>
  </si>
  <si>
    <t>LOHKO F</t>
  </si>
  <si>
    <t>meksiko</t>
  </si>
  <si>
    <t>Usa</t>
  </si>
  <si>
    <t>Tsekki</t>
  </si>
  <si>
    <t>Bosnia Hertegovina</t>
  </si>
  <si>
    <t>Sedu</t>
  </si>
  <si>
    <t>Pauli Koponen</t>
  </si>
  <si>
    <t>Pora</t>
  </si>
  <si>
    <t>Rikhard Moeller-Kalanmaksaoeljy</t>
  </si>
  <si>
    <t>Tuurilla</t>
  </si>
  <si>
    <t>PoHan Pullistus</t>
  </si>
  <si>
    <t>Profeetta Möttönen</t>
  </si>
  <si>
    <t>Xhakku</t>
  </si>
  <si>
    <t>Ice Cold</t>
  </si>
  <si>
    <t xml:space="preserve"> | </t>
  </si>
  <si>
    <t>: |</t>
  </si>
  <si>
    <t>Eski66</t>
  </si>
  <si>
    <t>Suomaldinho</t>
  </si>
  <si>
    <t>Sipolovic</t>
  </si>
  <si>
    <t>Ibaldo de Lima</t>
  </si>
  <si>
    <t>Teo ja Noel</t>
  </si>
  <si>
    <t>Shampoo</t>
  </si>
  <si>
    <t>Tero H</t>
  </si>
  <si>
    <t xml:space="preserve">Iran </t>
  </si>
  <si>
    <t>Heinomar</t>
  </si>
  <si>
    <t>Neyney</t>
  </si>
  <si>
    <t xml:space="preserve">- </t>
  </si>
  <si>
    <t>Agueero</t>
  </si>
  <si>
    <t>Rosaldo</t>
  </si>
  <si>
    <t>Carey Lily</t>
  </si>
  <si>
    <t>Drent</t>
  </si>
  <si>
    <t>Esko</t>
  </si>
  <si>
    <t>Jossu</t>
  </si>
  <si>
    <t>Repetti</t>
  </si>
  <si>
    <t xml:space="preserve">Kroatia </t>
  </si>
  <si>
    <t xml:space="preserve">Meksiko </t>
  </si>
  <si>
    <t xml:space="preserve">Hollanti </t>
  </si>
  <si>
    <t xml:space="preserve">Etelä-Afrikka </t>
  </si>
  <si>
    <t xml:space="preserve">Skotlanti </t>
  </si>
  <si>
    <t xml:space="preserve">Paraguay </t>
  </si>
  <si>
    <t xml:space="preserve">Etelä-Korea </t>
  </si>
  <si>
    <t xml:space="preserve">Brasilia </t>
  </si>
  <si>
    <t xml:space="preserve">Australia </t>
  </si>
  <si>
    <t xml:space="preserve">Tshekki </t>
  </si>
  <si>
    <t xml:space="preserve">Marokko </t>
  </si>
  <si>
    <t xml:space="preserve">Turkki </t>
  </si>
  <si>
    <t xml:space="preserve">Uusi-Seelanti </t>
  </si>
  <si>
    <t xml:space="preserve">Belgia </t>
  </si>
  <si>
    <t xml:space="preserve">Egypti </t>
  </si>
  <si>
    <t>Tommy Favorite</t>
  </si>
  <si>
    <t>werner strandhügel</t>
  </si>
  <si>
    <t>Chica</t>
  </si>
  <si>
    <t>Sanukka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</si>
</sst>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d\.m\.;@"/>
    <numFmt numFmtId="166" formatCode="d\.m\."/>
  </numFmts>
  <fonts count="34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b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Carlito"/>
    </font>
    <font>
      <sz val="12"/>
      <color rgb="FF000000"/>
      <name val="Aptos Narrow"/>
      <family val="2"/>
    </font>
    <font>
      <b/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16"/>
      <color rgb="FFFFFFFF"/>
      <name val="Aptos Narrow"/>
      <family val="2"/>
    </font>
    <font>
      <i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rgb="FF000000"/>
      <name val="Calibri"/>
      <family val="2"/>
      <scheme val="minor"/>
    </font>
    <font>
      <b/>
      <u/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</font>
    <font>
      <sz val="11"/>
      <name val="Calibri"/>
      <family val="2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u/>
      <sz val="12"/>
      <name val="Arial"/>
      <family val="2"/>
      <charset val="1"/>
    </font>
    <font>
      <b/>
      <sz val="14"/>
      <name val="Arial"/>
      <family val="2"/>
      <charset val="1"/>
    </font>
    <font>
      <i/>
      <sz val="12"/>
      <name val="Arial"/>
      <family val="2"/>
      <charset val="1"/>
    </font>
    <font>
      <u/>
      <sz val="12"/>
      <color indexed="12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gray125">
        <bgColor indexed="9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8064A2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E0E0"/>
        <bgColor rgb="FFCCFFCC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19">
    <xf numFmtId="0" fontId="0" fillId="0" borderId="27"/>
    <xf numFmtId="0" fontId="18" fillId="0" borderId="27"/>
    <xf numFmtId="0" fontId="8" fillId="0" borderId="27"/>
    <xf numFmtId="0" fontId="8" fillId="0" borderId="27"/>
    <xf numFmtId="0" fontId="9" fillId="0" borderId="27"/>
    <xf numFmtId="0" fontId="8" fillId="0" borderId="27"/>
    <xf numFmtId="0" fontId="18" fillId="0" borderId="27"/>
    <xf numFmtId="0" fontId="22" fillId="0" borderId="27"/>
    <xf numFmtId="0" fontId="24" fillId="0" borderId="27"/>
    <xf numFmtId="0" fontId="25" fillId="0" borderId="27"/>
    <xf numFmtId="0" fontId="2" fillId="0" borderId="27"/>
    <xf numFmtId="0" fontId="27" fillId="0" borderId="27"/>
    <xf numFmtId="0" fontId="27" fillId="0" borderId="27"/>
    <xf numFmtId="0" fontId="2" fillId="0" borderId="27">
      <alignment vertical="center"/>
    </xf>
    <xf numFmtId="0" fontId="33" fillId="0" borderId="27">
      <alignment vertical="top"/>
      <protection locked="0"/>
    </xf>
    <xf numFmtId="0" fontId="33" fillId="0" borderId="27">
      <protection locked="0"/>
    </xf>
    <xf numFmtId="0" fontId="2" fillId="0" borderId="27"/>
    <xf numFmtId="0" fontId="1" fillId="0" borderId="27"/>
    <xf numFmtId="0" fontId="22" fillId="0" borderId="27"/>
  </cellStyleXfs>
  <cellXfs count="506">
    <xf numFmtId="0" fontId="0" fillId="0" borderId="0" xfId="0" applyBorder="1"/>
    <xf numFmtId="0" fontId="2" fillId="0" borderId="0" xfId="1" applyFont="1" applyBorder="1"/>
    <xf numFmtId="0" fontId="2" fillId="2" borderId="0" xfId="1" applyFont="1" applyFill="1" applyBorder="1" applyAlignment="1">
      <alignment horizontal="right"/>
    </xf>
    <xf numFmtId="164" fontId="2" fillId="2" borderId="0" xfId="1" applyNumberFormat="1" applyFont="1" applyFill="1" applyBorder="1" applyAlignment="1">
      <alignment horizontal="center"/>
    </xf>
    <xf numFmtId="0" fontId="2" fillId="2" borderId="0" xfId="1" applyFont="1" applyFill="1" applyBorder="1"/>
    <xf numFmtId="0" fontId="2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/>
    <xf numFmtId="0" fontId="2" fillId="2" borderId="2" xfId="1" applyFont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/>
    <xf numFmtId="0" fontId="2" fillId="2" borderId="3" xfId="1" applyFont="1" applyFill="1" applyBorder="1"/>
    <xf numFmtId="0" fontId="5" fillId="2" borderId="0" xfId="1" applyFont="1" applyFill="1" applyBorder="1" applyAlignment="1">
      <alignment horizontal="right"/>
    </xf>
    <xf numFmtId="0" fontId="3" fillId="2" borderId="0" xfId="1" applyFont="1" applyFill="1" applyBorder="1"/>
    <xf numFmtId="0" fontId="2" fillId="2" borderId="4" xfId="1" applyFont="1" applyFill="1" applyBorder="1" applyAlignment="1">
      <alignment horizontal="center"/>
    </xf>
    <xf numFmtId="0" fontId="2" fillId="4" borderId="0" xfId="1" applyFont="1" applyFill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2" fillId="5" borderId="5" xfId="1" applyFont="1" applyFill="1" applyBorder="1"/>
    <xf numFmtId="0" fontId="2" fillId="5" borderId="6" xfId="1" applyFont="1" applyFill="1" applyBorder="1"/>
    <xf numFmtId="0" fontId="6" fillId="2" borderId="0" xfId="1" applyFont="1" applyFill="1" applyBorder="1"/>
    <xf numFmtId="0" fontId="2" fillId="0" borderId="6" xfId="1" applyFont="1" applyBorder="1"/>
    <xf numFmtId="0" fontId="2" fillId="0" borderId="5" xfId="1" applyFont="1" applyBorder="1"/>
    <xf numFmtId="0" fontId="2" fillId="2" borderId="9" xfId="1" applyFont="1" applyFill="1" applyBorder="1" applyAlignment="1">
      <alignment horizontal="center"/>
    </xf>
    <xf numFmtId="0" fontId="2" fillId="0" borderId="9" xfId="1" applyFont="1" applyBorder="1" applyAlignment="1">
      <alignment horizontal="right"/>
    </xf>
    <xf numFmtId="0" fontId="2" fillId="3" borderId="10" xfId="1" applyFont="1" applyFill="1" applyBorder="1" applyAlignment="1">
      <alignment horizontal="center"/>
    </xf>
    <xf numFmtId="0" fontId="2" fillId="2" borderId="10" xfId="1" applyFont="1" applyFill="1" applyBorder="1" applyAlignment="1">
      <alignment horizontal="center"/>
    </xf>
    <xf numFmtId="0" fontId="2" fillId="2" borderId="11" xfId="1" applyFont="1" applyFill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2" fillId="0" borderId="9" xfId="1" applyFont="1" applyBorder="1"/>
    <xf numFmtId="0" fontId="2" fillId="2" borderId="7" xfId="1" applyFont="1" applyFill="1" applyBorder="1"/>
    <xf numFmtId="0" fontId="5" fillId="2" borderId="8" xfId="1" applyFont="1" applyFill="1" applyBorder="1" applyAlignment="1">
      <alignment horizontal="right"/>
    </xf>
    <xf numFmtId="164" fontId="6" fillId="2" borderId="0" xfId="1" applyNumberFormat="1" applyFont="1" applyFill="1" applyBorder="1"/>
    <xf numFmtId="164" fontId="3" fillId="2" borderId="0" xfId="1" applyNumberFormat="1" applyFont="1" applyFill="1" applyBorder="1" applyAlignment="1">
      <alignment horizontal="left"/>
    </xf>
    <xf numFmtId="164" fontId="4" fillId="2" borderId="0" xfId="1" applyNumberFormat="1" applyFont="1" applyFill="1" applyBorder="1" applyAlignment="1">
      <alignment horizontal="left"/>
    </xf>
    <xf numFmtId="165" fontId="2" fillId="4" borderId="9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2" fillId="2" borderId="0" xfId="1" applyFont="1" applyFill="1" applyBorder="1" applyAlignment="1">
      <alignment horizontal="left"/>
    </xf>
    <xf numFmtId="0" fontId="7" fillId="7" borderId="0" xfId="4" applyFont="1" applyFill="1" applyBorder="1"/>
    <xf numFmtId="0" fontId="3" fillId="5" borderId="5" xfId="1" applyFont="1" applyFill="1" applyBorder="1" applyAlignment="1">
      <alignment horizontal="center"/>
    </xf>
    <xf numFmtId="0" fontId="3" fillId="5" borderId="6" xfId="1" applyFont="1" applyFill="1" applyBorder="1" applyAlignment="1">
      <alignment horizontal="center"/>
    </xf>
    <xf numFmtId="0" fontId="2" fillId="0" borderId="9" xfId="1" applyFont="1" applyBorder="1" applyAlignment="1">
      <alignment horizontal="center"/>
    </xf>
    <xf numFmtId="0" fontId="11" fillId="7" borderId="0" xfId="4" applyFont="1" applyFill="1" applyBorder="1"/>
    <xf numFmtId="0" fontId="7" fillId="7" borderId="0" xfId="4" applyFont="1" applyFill="1" applyBorder="1" applyAlignment="1">
      <alignment horizontal="center"/>
    </xf>
    <xf numFmtId="0" fontId="7" fillId="7" borderId="0" xfId="4" applyFont="1" applyFill="1" applyBorder="1" applyAlignment="1">
      <alignment horizontal="right"/>
    </xf>
    <xf numFmtId="164" fontId="7" fillId="7" borderId="0" xfId="4" applyNumberFormat="1" applyFont="1" applyFill="1" applyBorder="1" applyAlignment="1">
      <alignment horizontal="left"/>
    </xf>
    <xf numFmtId="164" fontId="12" fillId="7" borderId="0" xfId="4" applyNumberFormat="1" applyFont="1" applyFill="1" applyBorder="1"/>
    <xf numFmtId="164" fontId="10" fillId="7" borderId="0" xfId="4" applyNumberFormat="1" applyFont="1" applyFill="1" applyBorder="1" applyAlignment="1">
      <alignment horizontal="left"/>
    </xf>
    <xf numFmtId="164" fontId="11" fillId="7" borderId="0" xfId="4" applyNumberFormat="1" applyFont="1" applyFill="1" applyBorder="1" applyAlignment="1">
      <alignment horizontal="left"/>
    </xf>
    <xf numFmtId="0" fontId="11" fillId="7" borderId="0" xfId="4" applyFont="1" applyFill="1" applyBorder="1" applyAlignment="1">
      <alignment horizontal="center"/>
    </xf>
    <xf numFmtId="0" fontId="12" fillId="7" borderId="0" xfId="4" applyFont="1" applyFill="1" applyBorder="1"/>
    <xf numFmtId="0" fontId="13" fillId="7" borderId="14" xfId="4" applyFont="1" applyFill="1" applyBorder="1" applyAlignment="1">
      <alignment horizontal="right"/>
    </xf>
    <xf numFmtId="166" fontId="7" fillId="6" borderId="15" xfId="4" applyNumberFormat="1" applyFont="1" applyFill="1" applyBorder="1" applyAlignment="1">
      <alignment horizontal="left"/>
    </xf>
    <xf numFmtId="0" fontId="7" fillId="7" borderId="15" xfId="4" applyFont="1" applyFill="1" applyBorder="1" applyAlignment="1">
      <alignment horizontal="center"/>
    </xf>
    <xf numFmtId="0" fontId="7" fillId="0" borderId="15" xfId="4" applyFont="1" applyBorder="1" applyAlignment="1">
      <alignment horizontal="right"/>
    </xf>
    <xf numFmtId="0" fontId="7" fillId="0" borderId="15" xfId="4" applyFont="1" applyBorder="1"/>
    <xf numFmtId="0" fontId="7" fillId="7" borderId="16" xfId="4" applyFont="1" applyFill="1" applyBorder="1"/>
    <xf numFmtId="0" fontId="7" fillId="7" borderId="17" xfId="4" applyFont="1" applyFill="1" applyBorder="1" applyAlignment="1">
      <alignment horizontal="center"/>
    </xf>
    <xf numFmtId="0" fontId="7" fillId="7" borderId="18" xfId="4" applyFont="1" applyFill="1" applyBorder="1" applyAlignment="1">
      <alignment horizontal="center"/>
    </xf>
    <xf numFmtId="0" fontId="7" fillId="6" borderId="0" xfId="4" applyFont="1" applyFill="1" applyBorder="1" applyAlignment="1">
      <alignment horizontal="center"/>
    </xf>
    <xf numFmtId="0" fontId="10" fillId="0" borderId="19" xfId="4" applyFont="1" applyBorder="1" applyAlignment="1">
      <alignment horizontal="center" vertical="center"/>
    </xf>
    <xf numFmtId="0" fontId="10" fillId="0" borderId="20" xfId="4" applyFont="1" applyBorder="1" applyAlignment="1">
      <alignment horizontal="center" vertical="center"/>
    </xf>
    <xf numFmtId="0" fontId="10" fillId="0" borderId="21" xfId="4" applyFont="1" applyBorder="1" applyAlignment="1">
      <alignment horizontal="center"/>
    </xf>
    <xf numFmtId="0" fontId="7" fillId="8" borderId="21" xfId="4" applyFont="1" applyFill="1" applyBorder="1"/>
    <xf numFmtId="0" fontId="10" fillId="0" borderId="22" xfId="4" applyFont="1" applyBorder="1" applyAlignment="1">
      <alignment horizontal="center"/>
    </xf>
    <xf numFmtId="0" fontId="7" fillId="8" borderId="22" xfId="4" applyFont="1" applyFill="1" applyBorder="1"/>
    <xf numFmtId="0" fontId="7" fillId="0" borderId="22" xfId="4" applyFont="1" applyBorder="1"/>
    <xf numFmtId="0" fontId="10" fillId="7" borderId="0" xfId="4" applyFont="1" applyFill="1" applyBorder="1"/>
    <xf numFmtId="0" fontId="7" fillId="0" borderId="21" xfId="4" applyFont="1" applyBorder="1"/>
    <xf numFmtId="0" fontId="7" fillId="7" borderId="23" xfId="4" applyFont="1" applyFill="1" applyBorder="1"/>
    <xf numFmtId="0" fontId="7" fillId="7" borderId="24" xfId="4" applyFont="1" applyFill="1" applyBorder="1" applyAlignment="1">
      <alignment horizontal="center"/>
    </xf>
    <xf numFmtId="0" fontId="7" fillId="7" borderId="25" xfId="4" applyFont="1" applyFill="1" applyBorder="1"/>
    <xf numFmtId="0" fontId="7" fillId="7" borderId="26" xfId="4" applyFont="1" applyFill="1" applyBorder="1" applyAlignment="1">
      <alignment horizontal="center"/>
    </xf>
    <xf numFmtId="0" fontId="13" fillId="7" borderId="0" xfId="4" applyFont="1" applyFill="1" applyBorder="1" applyAlignment="1">
      <alignment horizontal="right"/>
    </xf>
    <xf numFmtId="0" fontId="7" fillId="7" borderId="23" xfId="4" applyFont="1" applyFill="1" applyBorder="1" applyAlignment="1">
      <alignment horizontal="center"/>
    </xf>
    <xf numFmtId="164" fontId="7" fillId="7" borderId="0" xfId="4" applyNumberFormat="1" applyFont="1" applyFill="1" applyBorder="1" applyAlignment="1">
      <alignment horizontal="center"/>
    </xf>
    <xf numFmtId="0" fontId="7" fillId="7" borderId="0" xfId="4" applyFont="1" applyFill="1" applyBorder="1" applyAlignment="1">
      <alignment horizontal="left"/>
    </xf>
    <xf numFmtId="0" fontId="14" fillId="9" borderId="0" xfId="0" applyFont="1" applyFill="1" applyBorder="1"/>
    <xf numFmtId="0" fontId="15" fillId="0" borderId="0" xfId="0" applyFont="1" applyBorder="1" applyAlignment="1">
      <alignment wrapText="1"/>
    </xf>
    <xf numFmtId="0" fontId="16" fillId="10" borderId="0" xfId="0" applyFont="1" applyFill="1" applyBorder="1"/>
    <xf numFmtId="0" fontId="16" fillId="10" borderId="0" xfId="0" applyFont="1" applyFill="1" applyBorder="1" applyAlignment="1">
      <alignment horizontal="center"/>
    </xf>
    <xf numFmtId="0" fontId="14" fillId="9" borderId="0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15" fillId="0" borderId="0" xfId="0" applyFont="1" applyBorder="1" applyAlignment="1">
      <alignment vertical="center" wrapText="1"/>
    </xf>
    <xf numFmtId="0" fontId="16" fillId="10" borderId="0" xfId="0" applyFont="1" applyFill="1" applyBorder="1" applyAlignment="1">
      <alignment horizontal="center" vertical="center"/>
    </xf>
    <xf numFmtId="0" fontId="0" fillId="11" borderId="0" xfId="0" applyFill="1" applyBorder="1" applyAlignment="1">
      <alignment vertical="center"/>
    </xf>
    <xf numFmtId="0" fontId="16" fillId="10" borderId="0" xfId="0" applyFont="1" applyFill="1" applyBorder="1" applyAlignment="1">
      <alignment vertical="center"/>
    </xf>
    <xf numFmtId="0" fontId="14" fillId="12" borderId="0" xfId="0" applyFont="1" applyFill="1" applyBorder="1"/>
    <xf numFmtId="0" fontId="16" fillId="13" borderId="0" xfId="0" applyFont="1" applyFill="1" applyBorder="1" applyAlignment="1">
      <alignment horizontal="center"/>
    </xf>
    <xf numFmtId="0" fontId="0" fillId="0" borderId="0" xfId="0" applyBorder="1" applyAlignment="1">
      <alignment wrapText="1"/>
    </xf>
    <xf numFmtId="0" fontId="16" fillId="10" borderId="0" xfId="0" applyFont="1" applyFill="1" applyBorder="1" applyAlignment="1">
      <alignment wrapText="1"/>
    </xf>
    <xf numFmtId="1" fontId="0" fillId="11" borderId="0" xfId="0" applyNumberFormat="1" applyFill="1" applyBorder="1" applyAlignment="1">
      <alignment vertical="center"/>
    </xf>
    <xf numFmtId="1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left"/>
    </xf>
    <xf numFmtId="1" fontId="0" fillId="0" borderId="0" xfId="0" applyNumberFormat="1" applyBorder="1"/>
    <xf numFmtId="0" fontId="2" fillId="0" borderId="27" xfId="1" applyFont="1"/>
    <xf numFmtId="0" fontId="2" fillId="14" borderId="27" xfId="1" applyFont="1" applyFill="1" applyAlignment="1">
      <alignment horizontal="right"/>
    </xf>
    <xf numFmtId="164" fontId="18" fillId="14" borderId="27" xfId="1" applyNumberFormat="1" applyFill="1" applyAlignment="1">
      <alignment horizontal="center"/>
    </xf>
    <xf numFmtId="0" fontId="2" fillId="14" borderId="27" xfId="1" applyFont="1" applyFill="1"/>
    <xf numFmtId="0" fontId="2" fillId="14" borderId="27" xfId="1" applyFont="1" applyFill="1" applyAlignment="1">
      <alignment horizontal="center"/>
    </xf>
    <xf numFmtId="0" fontId="19" fillId="14" borderId="27" xfId="1" applyFont="1" applyFill="1" applyAlignment="1">
      <alignment horizontal="center"/>
    </xf>
    <xf numFmtId="0" fontId="19" fillId="14" borderId="27" xfId="1" applyFont="1" applyFill="1"/>
    <xf numFmtId="0" fontId="2" fillId="14" borderId="2" xfId="1" applyFont="1" applyFill="1" applyBorder="1" applyAlignment="1">
      <alignment horizontal="center"/>
    </xf>
    <xf numFmtId="0" fontId="2" fillId="14" borderId="1" xfId="1" applyFont="1" applyFill="1" applyBorder="1" applyAlignment="1">
      <alignment horizontal="center"/>
    </xf>
    <xf numFmtId="0" fontId="2" fillId="14" borderId="2" xfId="1" applyFont="1" applyFill="1" applyBorder="1"/>
    <xf numFmtId="0" fontId="2" fillId="14" borderId="3" xfId="1" applyFont="1" applyFill="1" applyBorder="1"/>
    <xf numFmtId="0" fontId="20" fillId="14" borderId="27" xfId="1" applyFont="1" applyFill="1" applyAlignment="1">
      <alignment horizontal="right"/>
    </xf>
    <xf numFmtId="0" fontId="17" fillId="14" borderId="27" xfId="1" applyFont="1" applyFill="1"/>
    <xf numFmtId="0" fontId="2" fillId="14" borderId="4" xfId="1" applyFont="1" applyFill="1" applyBorder="1" applyAlignment="1">
      <alignment horizontal="center"/>
    </xf>
    <xf numFmtId="0" fontId="2" fillId="15" borderId="27" xfId="1" applyFont="1" applyFill="1" applyAlignment="1">
      <alignment horizontal="center"/>
    </xf>
    <xf numFmtId="0" fontId="17" fillId="0" borderId="5" xfId="1" applyFont="1" applyBorder="1" applyAlignment="1">
      <alignment horizontal="center"/>
    </xf>
    <xf numFmtId="0" fontId="17" fillId="0" borderId="6" xfId="1" applyFont="1" applyBorder="1" applyAlignment="1">
      <alignment horizontal="center"/>
    </xf>
    <xf numFmtId="0" fontId="2" fillId="16" borderId="5" xfId="1" applyFont="1" applyFill="1" applyBorder="1"/>
    <xf numFmtId="0" fontId="2" fillId="16" borderId="6" xfId="1" applyFont="1" applyFill="1" applyBorder="1"/>
    <xf numFmtId="0" fontId="21" fillId="14" borderId="27" xfId="1" applyFont="1" applyFill="1"/>
    <xf numFmtId="0" fontId="18" fillId="0" borderId="6" xfId="1" applyBorder="1"/>
    <xf numFmtId="0" fontId="18" fillId="0" borderId="5" xfId="1" applyBorder="1"/>
    <xf numFmtId="0" fontId="2" fillId="14" borderId="27" xfId="1" quotePrefix="1" applyFont="1" applyFill="1" applyAlignment="1">
      <alignment horizontal="center"/>
    </xf>
    <xf numFmtId="0" fontId="2" fillId="14" borderId="9" xfId="1" applyFont="1" applyFill="1" applyBorder="1" applyAlignment="1">
      <alignment horizontal="center"/>
    </xf>
    <xf numFmtId="0" fontId="2" fillId="14" borderId="10" xfId="1" applyFont="1" applyFill="1" applyBorder="1" applyAlignment="1">
      <alignment horizontal="center"/>
    </xf>
    <xf numFmtId="0" fontId="2" fillId="14" borderId="11" xfId="1" applyFont="1" applyFill="1" applyBorder="1" applyAlignment="1">
      <alignment horizontal="center"/>
    </xf>
    <xf numFmtId="0" fontId="2" fillId="14" borderId="7" xfId="1" applyFont="1" applyFill="1" applyBorder="1"/>
    <xf numFmtId="0" fontId="20" fillId="14" borderId="8" xfId="1" applyFont="1" applyFill="1" applyBorder="1" applyAlignment="1">
      <alignment horizontal="right"/>
    </xf>
    <xf numFmtId="164" fontId="21" fillId="14" borderId="27" xfId="1" applyNumberFormat="1" applyFont="1" applyFill="1"/>
    <xf numFmtId="164" fontId="17" fillId="14" borderId="27" xfId="1" applyNumberFormat="1" applyFont="1" applyFill="1" applyAlignment="1">
      <alignment horizontal="left"/>
    </xf>
    <xf numFmtId="164" fontId="19" fillId="14" borderId="27" xfId="1" applyNumberFormat="1" applyFont="1" applyFill="1" applyAlignment="1">
      <alignment horizontal="left"/>
    </xf>
    <xf numFmtId="165" fontId="2" fillId="15" borderId="9" xfId="1" applyNumberFormat="1" applyFont="1" applyFill="1" applyBorder="1" applyAlignment="1">
      <alignment horizontal="left"/>
    </xf>
    <xf numFmtId="164" fontId="2" fillId="14" borderId="27" xfId="1" applyNumberFormat="1" applyFont="1" applyFill="1" applyAlignment="1">
      <alignment horizontal="left"/>
    </xf>
    <xf numFmtId="0" fontId="2" fillId="14" borderId="27" xfId="1" applyFont="1" applyFill="1" applyAlignment="1">
      <alignment horizontal="left"/>
    </xf>
    <xf numFmtId="0" fontId="2" fillId="16" borderId="6" xfId="1" applyFont="1" applyFill="1" applyBorder="1" applyAlignment="1">
      <alignment wrapText="1"/>
    </xf>
    <xf numFmtId="0" fontId="17" fillId="0" borderId="12" xfId="1" applyFont="1" applyBorder="1" applyAlignment="1">
      <alignment horizontal="center" vertical="center"/>
    </xf>
    <xf numFmtId="0" fontId="17" fillId="0" borderId="13" xfId="1" applyFont="1" applyBorder="1" applyAlignment="1">
      <alignment horizontal="center" vertical="center"/>
    </xf>
    <xf numFmtId="0" fontId="18" fillId="0" borderId="27" xfId="6"/>
    <xf numFmtId="0" fontId="18" fillId="14" borderId="27" xfId="6" applyFill="1" applyAlignment="1">
      <alignment horizontal="right"/>
    </xf>
    <xf numFmtId="164" fontId="18" fillId="14" borderId="27" xfId="6" applyNumberFormat="1" applyFill="1" applyAlignment="1">
      <alignment horizontal="center"/>
    </xf>
    <xf numFmtId="0" fontId="18" fillId="14" borderId="27" xfId="6" applyFill="1"/>
    <xf numFmtId="0" fontId="18" fillId="14" borderId="27" xfId="6" applyFill="1" applyAlignment="1">
      <alignment horizontal="center"/>
    </xf>
    <xf numFmtId="0" fontId="19" fillId="14" borderId="27" xfId="6" applyFont="1" applyFill="1" applyAlignment="1">
      <alignment horizontal="center"/>
    </xf>
    <xf numFmtId="0" fontId="19" fillId="14" borderId="27" xfId="6" applyFont="1" applyFill="1"/>
    <xf numFmtId="0" fontId="18" fillId="14" borderId="2" xfId="6" applyFill="1" applyBorder="1" applyAlignment="1">
      <alignment horizontal="center"/>
    </xf>
    <xf numFmtId="0" fontId="18" fillId="14" borderId="1" xfId="6" applyFill="1" applyBorder="1" applyAlignment="1">
      <alignment horizontal="center"/>
    </xf>
    <xf numFmtId="0" fontId="18" fillId="14" borderId="2" xfId="6" applyFill="1" applyBorder="1"/>
    <xf numFmtId="0" fontId="18" fillId="14" borderId="3" xfId="6" applyFill="1" applyBorder="1"/>
    <xf numFmtId="0" fontId="20" fillId="14" borderId="27" xfId="6" applyFont="1" applyFill="1" applyAlignment="1">
      <alignment horizontal="right"/>
    </xf>
    <xf numFmtId="0" fontId="17" fillId="14" borderId="27" xfId="6" applyFont="1" applyFill="1"/>
    <xf numFmtId="0" fontId="18" fillId="14" borderId="4" xfId="6" applyFill="1" applyBorder="1" applyAlignment="1">
      <alignment horizontal="center"/>
    </xf>
    <xf numFmtId="0" fontId="18" fillId="15" borderId="27" xfId="6" applyFill="1" applyAlignment="1">
      <alignment horizontal="center"/>
    </xf>
    <xf numFmtId="0" fontId="17" fillId="0" borderId="5" xfId="6" applyFont="1" applyBorder="1" applyAlignment="1">
      <alignment horizontal="center"/>
    </xf>
    <xf numFmtId="0" fontId="17" fillId="0" borderId="6" xfId="6" applyFont="1" applyBorder="1" applyAlignment="1">
      <alignment horizontal="center"/>
    </xf>
    <xf numFmtId="0" fontId="18" fillId="16" borderId="5" xfId="6" applyFill="1" applyBorder="1"/>
    <xf numFmtId="0" fontId="18" fillId="16" borderId="6" xfId="6" applyFill="1" applyBorder="1"/>
    <xf numFmtId="0" fontId="21" fillId="14" borderId="27" xfId="6" applyFont="1" applyFill="1"/>
    <xf numFmtId="0" fontId="18" fillId="0" borderId="6" xfId="6" applyBorder="1"/>
    <xf numFmtId="0" fontId="18" fillId="0" borderId="5" xfId="6" applyBorder="1"/>
    <xf numFmtId="0" fontId="18" fillId="14" borderId="27" xfId="6" quotePrefix="1" applyFill="1" applyAlignment="1">
      <alignment horizontal="center"/>
    </xf>
    <xf numFmtId="0" fontId="18" fillId="14" borderId="9" xfId="6" applyFill="1" applyBorder="1" applyAlignment="1">
      <alignment horizontal="center"/>
    </xf>
    <xf numFmtId="0" fontId="18" fillId="0" borderId="9" xfId="6" applyBorder="1" applyAlignment="1">
      <alignment horizontal="right"/>
    </xf>
    <xf numFmtId="0" fontId="18" fillId="3" borderId="10" xfId="6" applyFill="1" applyBorder="1" applyAlignment="1">
      <alignment horizontal="center"/>
    </xf>
    <xf numFmtId="0" fontId="18" fillId="14" borderId="10" xfId="6" applyFill="1" applyBorder="1" applyAlignment="1">
      <alignment horizontal="center"/>
    </xf>
    <xf numFmtId="0" fontId="18" fillId="14" borderId="11" xfId="6" applyFill="1" applyBorder="1" applyAlignment="1">
      <alignment horizontal="center"/>
    </xf>
    <xf numFmtId="0" fontId="17" fillId="0" borderId="12" xfId="6" applyFont="1" applyBorder="1" applyAlignment="1">
      <alignment horizontal="center" vertical="center"/>
    </xf>
    <xf numFmtId="0" fontId="17" fillId="0" borderId="13" xfId="6" applyFont="1" applyBorder="1" applyAlignment="1">
      <alignment horizontal="center" vertical="center"/>
    </xf>
    <xf numFmtId="0" fontId="18" fillId="0" borderId="9" xfId="6" applyBorder="1"/>
    <xf numFmtId="0" fontId="18" fillId="14" borderId="7" xfId="6" applyFill="1" applyBorder="1"/>
    <xf numFmtId="0" fontId="20" fillId="14" borderId="8" xfId="6" applyFont="1" applyFill="1" applyBorder="1" applyAlignment="1">
      <alignment horizontal="right"/>
    </xf>
    <xf numFmtId="164" fontId="21" fillId="14" borderId="27" xfId="6" applyNumberFormat="1" applyFont="1" applyFill="1"/>
    <xf numFmtId="164" fontId="17" fillId="14" borderId="27" xfId="6" applyNumberFormat="1" applyFont="1" applyFill="1" applyAlignment="1">
      <alignment horizontal="left"/>
    </xf>
    <xf numFmtId="164" fontId="19" fillId="14" borderId="27" xfId="6" applyNumberFormat="1" applyFont="1" applyFill="1" applyAlignment="1">
      <alignment horizontal="left"/>
    </xf>
    <xf numFmtId="165" fontId="18" fillId="15" borderId="9" xfId="6" applyNumberFormat="1" applyFill="1" applyBorder="1" applyAlignment="1">
      <alignment horizontal="left"/>
    </xf>
    <xf numFmtId="164" fontId="18" fillId="14" borderId="27" xfId="6" applyNumberFormat="1" applyFill="1" applyAlignment="1">
      <alignment horizontal="left"/>
    </xf>
    <xf numFmtId="0" fontId="18" fillId="14" borderId="27" xfId="6" applyFill="1" applyAlignment="1">
      <alignment horizontal="left"/>
    </xf>
    <xf numFmtId="0" fontId="0" fillId="14" borderId="27" xfId="0" applyFill="1" applyAlignment="1">
      <alignment horizontal="right"/>
    </xf>
    <xf numFmtId="164" fontId="2" fillId="14" borderId="27" xfId="0" applyNumberFormat="1" applyFont="1" applyFill="1" applyAlignment="1">
      <alignment horizontal="left"/>
    </xf>
    <xf numFmtId="0" fontId="0" fillId="14" borderId="27" xfId="0" applyFill="1"/>
    <xf numFmtId="0" fontId="0" fillId="14" borderId="27" xfId="0" applyFill="1" applyAlignment="1">
      <alignment horizontal="center"/>
    </xf>
    <xf numFmtId="164" fontId="6" fillId="14" borderId="27" xfId="0" applyNumberFormat="1" applyFont="1" applyFill="1"/>
    <xf numFmtId="164" fontId="3" fillId="14" borderId="27" xfId="0" applyNumberFormat="1" applyFont="1" applyFill="1" applyAlignment="1">
      <alignment horizontal="left"/>
    </xf>
    <xf numFmtId="164" fontId="19" fillId="14" borderId="27" xfId="0" applyNumberFormat="1" applyFont="1" applyFill="1" applyAlignment="1">
      <alignment horizontal="left"/>
    </xf>
    <xf numFmtId="0" fontId="19" fillId="14" borderId="27" xfId="0" applyFont="1" applyFill="1" applyAlignment="1">
      <alignment horizontal="center"/>
    </xf>
    <xf numFmtId="0" fontId="19" fillId="14" borderId="27" xfId="0" applyFont="1" applyFill="1"/>
    <xf numFmtId="0" fontId="6" fillId="14" borderId="27" xfId="0" applyFont="1" applyFill="1"/>
    <xf numFmtId="0" fontId="5" fillId="14" borderId="8" xfId="0" applyFont="1" applyFill="1" applyBorder="1" applyAlignment="1">
      <alignment horizontal="right"/>
    </xf>
    <xf numFmtId="165" fontId="0" fillId="15" borderId="9" xfId="0" applyNumberFormat="1" applyFill="1" applyBorder="1" applyAlignment="1">
      <alignment horizontal="left"/>
    </xf>
    <xf numFmtId="0" fontId="0" fillId="14" borderId="9" xfId="0" applyFill="1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9" xfId="0" applyBorder="1"/>
    <xf numFmtId="0" fontId="0" fillId="14" borderId="7" xfId="0" applyFill="1" applyBorder="1"/>
    <xf numFmtId="0" fontId="0" fillId="3" borderId="10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5" borderId="27" xfId="0" applyFill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0" fillId="16" borderId="5" xfId="0" applyFill="1" applyBorder="1"/>
    <xf numFmtId="0" fontId="3" fillId="0" borderId="6" xfId="0" applyFont="1" applyBorder="1" applyAlignment="1">
      <alignment horizontal="center"/>
    </xf>
    <xf numFmtId="0" fontId="0" fillId="16" borderId="6" xfId="0" applyFill="1" applyBorder="1"/>
    <xf numFmtId="0" fontId="2" fillId="0" borderId="6" xfId="0" applyFont="1" applyBorder="1"/>
    <xf numFmtId="0" fontId="3" fillId="14" borderId="27" xfId="0" applyFont="1" applyFill="1"/>
    <xf numFmtId="0" fontId="2" fillId="0" borderId="5" xfId="0" applyFont="1" applyBorder="1"/>
    <xf numFmtId="0" fontId="0" fillId="14" borderId="2" xfId="0" applyFill="1" applyBorder="1"/>
    <xf numFmtId="0" fontId="0" fillId="14" borderId="27" xfId="0" quotePrefix="1" applyFill="1" applyAlignment="1">
      <alignment horizontal="center"/>
    </xf>
    <xf numFmtId="0" fontId="0" fillId="14" borderId="4" xfId="0" applyFill="1" applyBorder="1" applyAlignment="1">
      <alignment horizontal="center"/>
    </xf>
    <xf numFmtId="164" fontId="0" fillId="14" borderId="27" xfId="0" applyNumberFormat="1" applyFill="1" applyAlignment="1">
      <alignment horizontal="left"/>
    </xf>
    <xf numFmtId="0" fontId="0" fillId="14" borderId="3" xfId="0" applyFill="1" applyBorder="1"/>
    <xf numFmtId="0" fontId="0" fillId="14" borderId="1" xfId="0" applyFill="1" applyBorder="1" applyAlignment="1">
      <alignment horizontal="center"/>
    </xf>
    <xf numFmtId="0" fontId="5" fillId="14" borderId="27" xfId="0" applyFont="1" applyFill="1" applyAlignment="1">
      <alignment horizontal="right"/>
    </xf>
    <xf numFmtId="0" fontId="0" fillId="14" borderId="2" xfId="0" applyFill="1" applyBorder="1" applyAlignment="1">
      <alignment horizontal="center"/>
    </xf>
    <xf numFmtId="164" fontId="2" fillId="14" borderId="27" xfId="0" applyNumberFormat="1" applyFont="1" applyFill="1" applyAlignment="1">
      <alignment horizontal="center"/>
    </xf>
    <xf numFmtId="0" fontId="0" fillId="14" borderId="27" xfId="0" applyFill="1" applyAlignment="1">
      <alignment horizontal="left"/>
    </xf>
    <xf numFmtId="164" fontId="2" fillId="14" borderId="27" xfId="1" applyNumberFormat="1" applyFont="1" applyFill="1" applyAlignment="1">
      <alignment horizontal="center"/>
    </xf>
    <xf numFmtId="0" fontId="5" fillId="14" borderId="27" xfId="1" applyFont="1" applyFill="1" applyAlignment="1">
      <alignment horizontal="right"/>
    </xf>
    <xf numFmtId="0" fontId="3" fillId="14" borderId="27" xfId="1" applyFont="1" applyFill="1"/>
    <xf numFmtId="0" fontId="6" fillId="14" borderId="27" xfId="1" applyFont="1" applyFill="1"/>
    <xf numFmtId="0" fontId="5" fillId="14" borderId="8" xfId="1" applyFont="1" applyFill="1" applyBorder="1" applyAlignment="1">
      <alignment horizontal="right"/>
    </xf>
    <xf numFmtId="164" fontId="6" fillId="14" borderId="27" xfId="1" applyNumberFormat="1" applyFont="1" applyFill="1"/>
    <xf numFmtId="164" fontId="3" fillId="14" borderId="27" xfId="1" applyNumberFormat="1" applyFont="1" applyFill="1" applyAlignment="1">
      <alignment horizontal="left"/>
    </xf>
    <xf numFmtId="0" fontId="7" fillId="18" borderId="27" xfId="7" applyFont="1" applyFill="1"/>
    <xf numFmtId="0" fontId="23" fillId="18" borderId="27" xfId="7" applyFont="1" applyFill="1"/>
    <xf numFmtId="0" fontId="7" fillId="18" borderId="27" xfId="7" applyFont="1" applyFill="1" applyAlignment="1">
      <alignment horizontal="center"/>
    </xf>
    <xf numFmtId="0" fontId="7" fillId="18" borderId="27" xfId="7" applyFont="1" applyFill="1" applyAlignment="1">
      <alignment horizontal="right"/>
    </xf>
    <xf numFmtId="164" fontId="7" fillId="18" borderId="27" xfId="7" applyNumberFormat="1" applyFont="1" applyFill="1" applyAlignment="1">
      <alignment horizontal="left"/>
    </xf>
    <xf numFmtId="164" fontId="12" fillId="18" borderId="27" xfId="7" applyNumberFormat="1" applyFont="1" applyFill="1"/>
    <xf numFmtId="164" fontId="10" fillId="18" borderId="27" xfId="7" applyNumberFormat="1" applyFont="1" applyFill="1" applyAlignment="1">
      <alignment horizontal="left"/>
    </xf>
    <xf numFmtId="164" fontId="23" fillId="18" borderId="27" xfId="7" applyNumberFormat="1" applyFont="1" applyFill="1" applyAlignment="1">
      <alignment horizontal="left"/>
    </xf>
    <xf numFmtId="0" fontId="23" fillId="18" borderId="27" xfId="7" applyFont="1" applyFill="1" applyAlignment="1">
      <alignment horizontal="center"/>
    </xf>
    <xf numFmtId="0" fontId="12" fillId="18" borderId="27" xfId="7" applyFont="1" applyFill="1"/>
    <xf numFmtId="0" fontId="13" fillId="18" borderId="14" xfId="7" applyFont="1" applyFill="1" applyBorder="1" applyAlignment="1">
      <alignment horizontal="right"/>
    </xf>
    <xf numFmtId="166" fontId="7" fillId="17" borderId="15" xfId="7" applyNumberFormat="1" applyFont="1" applyFill="1" applyBorder="1" applyAlignment="1">
      <alignment horizontal="left"/>
    </xf>
    <xf numFmtId="0" fontId="7" fillId="18" borderId="15" xfId="7" applyFont="1" applyFill="1" applyBorder="1" applyAlignment="1">
      <alignment horizontal="center"/>
    </xf>
    <xf numFmtId="0" fontId="7" fillId="0" borderId="15" xfId="7" applyFont="1" applyBorder="1" applyAlignment="1">
      <alignment horizontal="right"/>
    </xf>
    <xf numFmtId="0" fontId="7" fillId="0" borderId="15" xfId="7" applyFont="1" applyBorder="1"/>
    <xf numFmtId="0" fontId="7" fillId="18" borderId="16" xfId="7" applyFont="1" applyFill="1" applyBorder="1"/>
    <xf numFmtId="0" fontId="7" fillId="18" borderId="17" xfId="7" applyFont="1" applyFill="1" applyBorder="1" applyAlignment="1">
      <alignment horizontal="center"/>
    </xf>
    <xf numFmtId="0" fontId="7" fillId="18" borderId="18" xfId="7" applyFont="1" applyFill="1" applyBorder="1" applyAlignment="1">
      <alignment horizontal="center"/>
    </xf>
    <xf numFmtId="0" fontId="7" fillId="17" borderId="27" xfId="7" applyFont="1" applyFill="1" applyAlignment="1">
      <alignment horizontal="center"/>
    </xf>
    <xf numFmtId="0" fontId="10" fillId="0" borderId="19" xfId="7" applyFont="1" applyBorder="1" applyAlignment="1">
      <alignment horizontal="center" vertical="center"/>
    </xf>
    <xf numFmtId="0" fontId="10" fillId="0" borderId="20" xfId="7" applyFont="1" applyBorder="1" applyAlignment="1">
      <alignment horizontal="center" vertical="center"/>
    </xf>
    <xf numFmtId="0" fontId="10" fillId="0" borderId="21" xfId="7" applyFont="1" applyBorder="1" applyAlignment="1">
      <alignment horizontal="center"/>
    </xf>
    <xf numFmtId="0" fontId="10" fillId="0" borderId="22" xfId="7" applyFont="1" applyBorder="1" applyAlignment="1">
      <alignment horizontal="center"/>
    </xf>
    <xf numFmtId="0" fontId="7" fillId="0" borderId="22" xfId="7" applyFont="1" applyBorder="1"/>
    <xf numFmtId="0" fontId="10" fillId="18" borderId="27" xfId="7" applyFont="1" applyFill="1"/>
    <xf numFmtId="0" fontId="7" fillId="0" borderId="21" xfId="7" applyFont="1" applyBorder="1"/>
    <xf numFmtId="0" fontId="7" fillId="18" borderId="23" xfId="7" applyFont="1" applyFill="1" applyBorder="1"/>
    <xf numFmtId="0" fontId="7" fillId="18" borderId="27" xfId="7" quotePrefix="1" applyFont="1" applyFill="1" applyAlignment="1">
      <alignment horizontal="center"/>
    </xf>
    <xf numFmtId="0" fontId="7" fillId="18" borderId="24" xfId="7" applyFont="1" applyFill="1" applyBorder="1" applyAlignment="1">
      <alignment horizontal="center"/>
    </xf>
    <xf numFmtId="0" fontId="7" fillId="18" borderId="25" xfId="7" applyFont="1" applyFill="1" applyBorder="1"/>
    <xf numFmtId="0" fontId="7" fillId="18" borderId="26" xfId="7" applyFont="1" applyFill="1" applyBorder="1" applyAlignment="1">
      <alignment horizontal="center"/>
    </xf>
    <xf numFmtId="0" fontId="13" fillId="18" borderId="27" xfId="7" applyFont="1" applyFill="1" applyAlignment="1">
      <alignment horizontal="right"/>
    </xf>
    <xf numFmtId="0" fontId="7" fillId="18" borderId="23" xfId="7" applyFont="1" applyFill="1" applyBorder="1" applyAlignment="1">
      <alignment horizontal="center"/>
    </xf>
    <xf numFmtId="164" fontId="7" fillId="18" borderId="27" xfId="7" applyNumberFormat="1" applyFont="1" applyFill="1" applyAlignment="1">
      <alignment horizontal="center"/>
    </xf>
    <xf numFmtId="0" fontId="7" fillId="18" borderId="27" xfId="7" applyFont="1" applyFill="1" applyAlignment="1">
      <alignment horizontal="left"/>
    </xf>
    <xf numFmtId="0" fontId="2" fillId="18" borderId="27" xfId="8" applyFont="1" applyFill="1"/>
    <xf numFmtId="0" fontId="19" fillId="18" borderId="27" xfId="8" applyFont="1" applyFill="1"/>
    <xf numFmtId="0" fontId="2" fillId="18" borderId="27" xfId="8" applyFont="1" applyFill="1" applyAlignment="1">
      <alignment horizontal="center"/>
    </xf>
    <xf numFmtId="0" fontId="2" fillId="18" borderId="27" xfId="8" applyFont="1" applyFill="1" applyAlignment="1">
      <alignment horizontal="right"/>
    </xf>
    <xf numFmtId="164" fontId="2" fillId="18" borderId="27" xfId="8" applyNumberFormat="1" applyFont="1" applyFill="1" applyAlignment="1">
      <alignment horizontal="left"/>
    </xf>
    <xf numFmtId="164" fontId="6" fillId="18" borderId="27" xfId="8" applyNumberFormat="1" applyFont="1" applyFill="1"/>
    <xf numFmtId="164" fontId="3" fillId="18" borderId="27" xfId="8" applyNumberFormat="1" applyFont="1" applyFill="1" applyAlignment="1">
      <alignment horizontal="left"/>
    </xf>
    <xf numFmtId="164" fontId="19" fillId="18" borderId="27" xfId="8" applyNumberFormat="1" applyFont="1" applyFill="1" applyAlignment="1">
      <alignment horizontal="left"/>
    </xf>
    <xf numFmtId="0" fontId="19" fillId="18" borderId="27" xfId="8" applyFont="1" applyFill="1" applyAlignment="1">
      <alignment horizontal="center"/>
    </xf>
    <xf numFmtId="0" fontId="6" fillId="18" borderId="27" xfId="8" applyFont="1" applyFill="1"/>
    <xf numFmtId="0" fontId="5" fillId="18" borderId="14" xfId="8" applyFont="1" applyFill="1" applyBorder="1" applyAlignment="1">
      <alignment horizontal="right"/>
    </xf>
    <xf numFmtId="166" fontId="2" fillId="0" borderId="15" xfId="8" applyNumberFormat="1" applyFont="1" applyBorder="1" applyAlignment="1">
      <alignment horizontal="left"/>
    </xf>
    <xf numFmtId="0" fontId="2" fillId="18" borderId="15" xfId="8" applyFont="1" applyFill="1" applyBorder="1" applyAlignment="1">
      <alignment horizontal="center"/>
    </xf>
    <xf numFmtId="0" fontId="2" fillId="0" borderId="15" xfId="8" applyFont="1" applyBorder="1" applyAlignment="1">
      <alignment horizontal="right"/>
    </xf>
    <xf numFmtId="0" fontId="2" fillId="0" borderId="15" xfId="8" applyFont="1" applyBorder="1"/>
    <xf numFmtId="0" fontId="2" fillId="18" borderId="16" xfId="8" applyFont="1" applyFill="1" applyBorder="1"/>
    <xf numFmtId="0" fontId="2" fillId="18" borderId="17" xfId="8" applyFont="1" applyFill="1" applyBorder="1" applyAlignment="1">
      <alignment horizontal="center"/>
    </xf>
    <xf numFmtId="0" fontId="2" fillId="18" borderId="18" xfId="8" applyFont="1" applyFill="1" applyBorder="1" applyAlignment="1">
      <alignment horizontal="center"/>
    </xf>
    <xf numFmtId="0" fontId="2" fillId="0" borderId="27" xfId="8" applyFont="1" applyAlignment="1">
      <alignment horizontal="center"/>
    </xf>
    <xf numFmtId="0" fontId="3" fillId="0" borderId="19" xfId="8" applyFont="1" applyBorder="1" applyAlignment="1">
      <alignment horizontal="center" vertical="center"/>
    </xf>
    <xf numFmtId="0" fontId="3" fillId="0" borderId="20" xfId="8" applyFont="1" applyBorder="1" applyAlignment="1">
      <alignment horizontal="center" vertical="center"/>
    </xf>
    <xf numFmtId="0" fontId="3" fillId="0" borderId="21" xfId="8" applyFont="1" applyBorder="1" applyAlignment="1">
      <alignment horizontal="center"/>
    </xf>
    <xf numFmtId="0" fontId="3" fillId="0" borderId="22" xfId="8" applyFont="1" applyBorder="1" applyAlignment="1">
      <alignment horizontal="center"/>
    </xf>
    <xf numFmtId="0" fontId="2" fillId="0" borderId="22" xfId="8" applyFont="1" applyBorder="1"/>
    <xf numFmtId="0" fontId="3" fillId="18" borderId="27" xfId="8" applyFont="1" applyFill="1"/>
    <xf numFmtId="0" fontId="2" fillId="0" borderId="21" xfId="8" applyFont="1" applyBorder="1"/>
    <xf numFmtId="0" fontId="2" fillId="18" borderId="23" xfId="8" applyFont="1" applyFill="1" applyBorder="1"/>
    <xf numFmtId="0" fontId="2" fillId="18" borderId="27" xfId="8" quotePrefix="1" applyFont="1" applyFill="1" applyAlignment="1">
      <alignment horizontal="center"/>
    </xf>
    <xf numFmtId="0" fontId="2" fillId="18" borderId="24" xfId="8" applyFont="1" applyFill="1" applyBorder="1" applyAlignment="1">
      <alignment horizontal="center"/>
    </xf>
    <xf numFmtId="0" fontId="2" fillId="18" borderId="25" xfId="8" applyFont="1" applyFill="1" applyBorder="1"/>
    <xf numFmtId="0" fontId="2" fillId="18" borderId="26" xfId="8" applyFont="1" applyFill="1" applyBorder="1" applyAlignment="1">
      <alignment horizontal="center"/>
    </xf>
    <xf numFmtId="0" fontId="5" fillId="18" borderId="27" xfId="8" applyFont="1" applyFill="1" applyAlignment="1">
      <alignment horizontal="right"/>
    </xf>
    <xf numFmtId="0" fontId="2" fillId="18" borderId="23" xfId="8" applyFont="1" applyFill="1" applyBorder="1" applyAlignment="1">
      <alignment horizontal="center"/>
    </xf>
    <xf numFmtId="164" fontId="2" fillId="18" borderId="27" xfId="8" applyNumberFormat="1" applyFont="1" applyFill="1" applyAlignment="1">
      <alignment horizontal="center"/>
    </xf>
    <xf numFmtId="0" fontId="2" fillId="18" borderId="27" xfId="8" applyFont="1" applyFill="1" applyAlignment="1">
      <alignment horizontal="left"/>
    </xf>
    <xf numFmtId="0" fontId="2" fillId="19" borderId="21" xfId="8" applyFont="1" applyFill="1" applyBorder="1"/>
    <xf numFmtId="0" fontId="2" fillId="19" borderId="22" xfId="8" applyFont="1" applyFill="1" applyBorder="1"/>
    <xf numFmtId="0" fontId="7" fillId="19" borderId="21" xfId="7" applyFont="1" applyFill="1" applyBorder="1"/>
    <xf numFmtId="0" fontId="7" fillId="19" borderId="22" xfId="7" applyFont="1" applyFill="1" applyBorder="1"/>
    <xf numFmtId="0" fontId="25" fillId="0" borderId="27" xfId="9"/>
    <xf numFmtId="0" fontId="25" fillId="14" borderId="27" xfId="9" applyFill="1" applyAlignment="1">
      <alignment horizontal="right"/>
    </xf>
    <xf numFmtId="164" fontId="2" fillId="14" borderId="27" xfId="9" applyNumberFormat="1" applyFont="1" applyFill="1" applyAlignment="1">
      <alignment horizontal="center"/>
    </xf>
    <xf numFmtId="0" fontId="25" fillId="14" borderId="27" xfId="9" applyFill="1"/>
    <xf numFmtId="0" fontId="25" fillId="14" borderId="27" xfId="9" applyFill="1" applyAlignment="1">
      <alignment horizontal="center"/>
    </xf>
    <xf numFmtId="0" fontId="19" fillId="14" borderId="27" xfId="9" applyFont="1" applyFill="1" applyAlignment="1">
      <alignment horizontal="center"/>
    </xf>
    <xf numFmtId="0" fontId="19" fillId="14" borderId="27" xfId="9" applyFont="1" applyFill="1"/>
    <xf numFmtId="0" fontId="25" fillId="14" borderId="2" xfId="9" applyFill="1" applyBorder="1" applyAlignment="1">
      <alignment horizontal="center"/>
    </xf>
    <xf numFmtId="0" fontId="25" fillId="14" borderId="1" xfId="9" applyFill="1" applyBorder="1" applyAlignment="1">
      <alignment horizontal="center"/>
    </xf>
    <xf numFmtId="0" fontId="25" fillId="14" borderId="2" xfId="9" applyFill="1" applyBorder="1"/>
    <xf numFmtId="0" fontId="25" fillId="14" borderId="3" xfId="9" applyFill="1" applyBorder="1"/>
    <xf numFmtId="0" fontId="5" fillId="14" borderId="27" xfId="9" applyFont="1" applyFill="1" applyAlignment="1">
      <alignment horizontal="right"/>
    </xf>
    <xf numFmtId="0" fontId="3" fillId="14" borderId="27" xfId="9" applyFont="1" applyFill="1"/>
    <xf numFmtId="0" fontId="25" fillId="14" borderId="4" xfId="9" applyFill="1" applyBorder="1" applyAlignment="1">
      <alignment horizontal="center"/>
    </xf>
    <xf numFmtId="0" fontId="25" fillId="15" borderId="27" xfId="9" applyFill="1" applyAlignment="1">
      <alignment horizontal="center"/>
    </xf>
    <xf numFmtId="0" fontId="3" fillId="0" borderId="5" xfId="9" applyFont="1" applyBorder="1" applyAlignment="1">
      <alignment horizontal="center"/>
    </xf>
    <xf numFmtId="0" fontId="3" fillId="0" borderId="6" xfId="9" applyFont="1" applyBorder="1" applyAlignment="1">
      <alignment horizontal="center"/>
    </xf>
    <xf numFmtId="0" fontId="25" fillId="16" borderId="5" xfId="9" applyFill="1" applyBorder="1"/>
    <xf numFmtId="0" fontId="25" fillId="16" borderId="6" xfId="9" applyFill="1" applyBorder="1"/>
    <xf numFmtId="0" fontId="6" fillId="14" borderId="27" xfId="9" applyFont="1" applyFill="1"/>
    <xf numFmtId="0" fontId="2" fillId="0" borderId="6" xfId="9" applyFont="1" applyBorder="1"/>
    <xf numFmtId="0" fontId="2" fillId="0" borderId="5" xfId="9" applyFont="1" applyBorder="1"/>
    <xf numFmtId="0" fontId="25" fillId="14" borderId="27" xfId="9" quotePrefix="1" applyFill="1" applyAlignment="1">
      <alignment horizontal="center"/>
    </xf>
    <xf numFmtId="0" fontId="25" fillId="14" borderId="9" xfId="9" applyFill="1" applyBorder="1" applyAlignment="1">
      <alignment horizontal="center"/>
    </xf>
    <xf numFmtId="0" fontId="25" fillId="0" borderId="9" xfId="9" applyBorder="1" applyAlignment="1">
      <alignment horizontal="right"/>
    </xf>
    <xf numFmtId="0" fontId="25" fillId="3" borderId="10" xfId="9" applyFill="1" applyBorder="1" applyAlignment="1">
      <alignment horizontal="center"/>
    </xf>
    <xf numFmtId="0" fontId="25" fillId="14" borderId="10" xfId="9" applyFill="1" applyBorder="1" applyAlignment="1">
      <alignment horizontal="center"/>
    </xf>
    <xf numFmtId="0" fontId="25" fillId="14" borderId="11" xfId="9" applyFill="1" applyBorder="1" applyAlignment="1">
      <alignment horizontal="center"/>
    </xf>
    <xf numFmtId="0" fontId="3" fillId="0" borderId="12" xfId="9" applyFont="1" applyBorder="1" applyAlignment="1">
      <alignment horizontal="center" vertical="center"/>
    </xf>
    <xf numFmtId="0" fontId="3" fillId="0" borderId="13" xfId="9" applyFont="1" applyBorder="1" applyAlignment="1">
      <alignment horizontal="center" vertical="center"/>
    </xf>
    <xf numFmtId="0" fontId="25" fillId="0" borderId="9" xfId="9" applyBorder="1"/>
    <xf numFmtId="0" fontId="25" fillId="14" borderId="7" xfId="9" applyFill="1" applyBorder="1"/>
    <xf numFmtId="0" fontId="5" fillId="14" borderId="8" xfId="9" applyFont="1" applyFill="1" applyBorder="1" applyAlignment="1">
      <alignment horizontal="right"/>
    </xf>
    <xf numFmtId="164" fontId="6" fillId="14" borderId="27" xfId="9" applyNumberFormat="1" applyFont="1" applyFill="1"/>
    <xf numFmtId="164" fontId="3" fillId="14" borderId="27" xfId="9" applyNumberFormat="1" applyFont="1" applyFill="1" applyAlignment="1">
      <alignment horizontal="left"/>
    </xf>
    <xf numFmtId="164" fontId="19" fillId="14" borderId="27" xfId="9" applyNumberFormat="1" applyFont="1" applyFill="1" applyAlignment="1">
      <alignment horizontal="left"/>
    </xf>
    <xf numFmtId="165" fontId="25" fillId="15" borderId="9" xfId="9" applyNumberFormat="1" applyFill="1" applyBorder="1" applyAlignment="1">
      <alignment horizontal="left"/>
    </xf>
    <xf numFmtId="164" fontId="25" fillId="14" borderId="27" xfId="9" applyNumberFormat="1" applyFill="1" applyAlignment="1">
      <alignment horizontal="left"/>
    </xf>
    <xf numFmtId="0" fontId="25" fillId="14" borderId="27" xfId="9" applyFill="1" applyAlignment="1">
      <alignment horizontal="left"/>
    </xf>
    <xf numFmtId="1" fontId="0" fillId="0" borderId="27" xfId="0" applyNumberFormat="1" applyAlignment="1">
      <alignment horizontal="center"/>
    </xf>
    <xf numFmtId="1" fontId="0" fillId="0" borderId="27" xfId="0" applyNumberFormat="1" applyAlignment="1">
      <alignment horizontal="left"/>
    </xf>
    <xf numFmtId="0" fontId="0" fillId="0" borderId="27" xfId="0"/>
    <xf numFmtId="1" fontId="0" fillId="0" borderId="27" xfId="0" applyNumberFormat="1"/>
    <xf numFmtId="0" fontId="2" fillId="0" borderId="27" xfId="10"/>
    <xf numFmtId="0" fontId="2" fillId="20" borderId="27" xfId="10" applyFill="1"/>
    <xf numFmtId="0" fontId="30" fillId="20" borderId="27" xfId="10" applyFont="1" applyFill="1"/>
    <xf numFmtId="0" fontId="2" fillId="20" borderId="27" xfId="10" applyFill="1" applyAlignment="1">
      <alignment horizontal="center"/>
    </xf>
    <xf numFmtId="0" fontId="2" fillId="20" borderId="27" xfId="10" applyFill="1" applyAlignment="1">
      <alignment horizontal="right"/>
    </xf>
    <xf numFmtId="164" fontId="31" fillId="20" borderId="27" xfId="10" applyNumberFormat="1" applyFont="1" applyFill="1"/>
    <xf numFmtId="164" fontId="28" fillId="20" borderId="27" xfId="10" applyNumberFormat="1" applyFont="1" applyFill="1" applyAlignment="1">
      <alignment horizontal="left"/>
    </xf>
    <xf numFmtId="164" fontId="30" fillId="20" borderId="27" xfId="10" applyNumberFormat="1" applyFont="1" applyFill="1" applyAlignment="1">
      <alignment horizontal="left"/>
    </xf>
    <xf numFmtId="0" fontId="30" fillId="20" borderId="27" xfId="10" applyFont="1" applyFill="1" applyAlignment="1">
      <alignment horizontal="center"/>
    </xf>
    <xf numFmtId="0" fontId="31" fillId="20" borderId="27" xfId="10" applyFont="1" applyFill="1"/>
    <xf numFmtId="0" fontId="32" fillId="20" borderId="8" xfId="10" applyFont="1" applyFill="1" applyBorder="1" applyAlignment="1">
      <alignment horizontal="right"/>
    </xf>
    <xf numFmtId="165" fontId="2" fillId="20" borderId="9" xfId="10" applyNumberFormat="1" applyFill="1" applyBorder="1" applyAlignment="1">
      <alignment horizontal="left"/>
    </xf>
    <xf numFmtId="0" fontId="2" fillId="20" borderId="9" xfId="10" applyFill="1" applyBorder="1" applyAlignment="1">
      <alignment horizontal="center"/>
    </xf>
    <xf numFmtId="0" fontId="2" fillId="0" borderId="9" xfId="10" applyBorder="1" applyAlignment="1">
      <alignment horizontal="right"/>
    </xf>
    <xf numFmtId="0" fontId="2" fillId="0" borderId="9" xfId="10" applyBorder="1"/>
    <xf numFmtId="0" fontId="2" fillId="20" borderId="7" xfId="10" applyFill="1" applyBorder="1"/>
    <xf numFmtId="0" fontId="2" fillId="21" borderId="10" xfId="10" applyFill="1" applyBorder="1" applyAlignment="1">
      <alignment horizontal="center"/>
    </xf>
    <xf numFmtId="0" fontId="2" fillId="20" borderId="10" xfId="10" applyFill="1" applyBorder="1" applyAlignment="1">
      <alignment horizontal="center"/>
    </xf>
    <xf numFmtId="0" fontId="2" fillId="20" borderId="11" xfId="10" applyFill="1" applyBorder="1" applyAlignment="1">
      <alignment horizontal="center"/>
    </xf>
    <xf numFmtId="0" fontId="28" fillId="0" borderId="12" xfId="10" applyFont="1" applyBorder="1" applyAlignment="1">
      <alignment horizontal="center" vertical="center"/>
    </xf>
    <xf numFmtId="0" fontId="28" fillId="0" borderId="13" xfId="10" applyFont="1" applyBorder="1" applyAlignment="1">
      <alignment horizontal="center" vertical="center"/>
    </xf>
    <xf numFmtId="0" fontId="28" fillId="0" borderId="5" xfId="10" applyFont="1" applyBorder="1" applyAlignment="1">
      <alignment horizontal="center"/>
    </xf>
    <xf numFmtId="0" fontId="2" fillId="19" borderId="5" xfId="10" applyFill="1" applyBorder="1"/>
    <xf numFmtId="0" fontId="28" fillId="0" borderId="6" xfId="10" applyFont="1" applyBorder="1" applyAlignment="1">
      <alignment horizontal="center"/>
    </xf>
    <xf numFmtId="0" fontId="2" fillId="19" borderId="6" xfId="10" applyFill="1" applyBorder="1"/>
    <xf numFmtId="0" fontId="29" fillId="0" borderId="6" xfId="10" applyFont="1" applyBorder="1"/>
    <xf numFmtId="0" fontId="28" fillId="20" borderId="27" xfId="10" applyFont="1" applyFill="1"/>
    <xf numFmtId="0" fontId="29" fillId="0" borderId="5" xfId="10" applyFont="1" applyBorder="1"/>
    <xf numFmtId="0" fontId="2" fillId="20" borderId="2" xfId="10" applyFill="1" applyBorder="1"/>
    <xf numFmtId="0" fontId="2" fillId="20" borderId="4" xfId="10" applyFill="1" applyBorder="1" applyAlignment="1">
      <alignment horizontal="center"/>
    </xf>
    <xf numFmtId="164" fontId="2" fillId="20" borderId="27" xfId="10" applyNumberFormat="1" applyFill="1" applyAlignment="1">
      <alignment horizontal="left"/>
    </xf>
    <xf numFmtId="0" fontId="2" fillId="20" borderId="3" xfId="10" applyFill="1" applyBorder="1"/>
    <xf numFmtId="0" fontId="2" fillId="20" borderId="1" xfId="10" applyFill="1" applyBorder="1" applyAlignment="1">
      <alignment horizontal="center"/>
    </xf>
    <xf numFmtId="0" fontId="32" fillId="20" borderId="27" xfId="10" applyFont="1" applyFill="1" applyAlignment="1">
      <alignment horizontal="right"/>
    </xf>
    <xf numFmtId="0" fontId="2" fillId="20" borderId="2" xfId="10" applyFill="1" applyBorder="1" applyAlignment="1">
      <alignment horizontal="center"/>
    </xf>
    <xf numFmtId="164" fontId="29" fillId="20" borderId="27" xfId="10" applyNumberFormat="1" applyFont="1" applyFill="1" applyAlignment="1">
      <alignment horizontal="center"/>
    </xf>
    <xf numFmtId="0" fontId="2" fillId="20" borderId="27" xfId="10" applyFill="1" applyAlignment="1">
      <alignment horizontal="left"/>
    </xf>
    <xf numFmtId="0" fontId="2" fillId="14" borderId="27" xfId="10" applyFill="1" applyAlignment="1">
      <alignment horizontal="right"/>
    </xf>
    <xf numFmtId="164" fontId="2" fillId="14" borderId="27" xfId="10" applyNumberFormat="1" applyFill="1" applyAlignment="1">
      <alignment horizontal="center"/>
    </xf>
    <xf numFmtId="0" fontId="2" fillId="14" borderId="27" xfId="10" applyFill="1"/>
    <xf numFmtId="0" fontId="2" fillId="14" borderId="27" xfId="10" applyFill="1" applyAlignment="1">
      <alignment horizontal="center"/>
    </xf>
    <xf numFmtId="0" fontId="19" fillId="14" borderId="27" xfId="10" applyFont="1" applyFill="1" applyAlignment="1">
      <alignment horizontal="center"/>
    </xf>
    <xf numFmtId="0" fontId="19" fillId="14" borderId="27" xfId="10" applyFont="1" applyFill="1"/>
    <xf numFmtId="0" fontId="2" fillId="14" borderId="2" xfId="10" applyFill="1" applyBorder="1" applyAlignment="1">
      <alignment horizontal="center"/>
    </xf>
    <xf numFmtId="0" fontId="2" fillId="14" borderId="1" xfId="10" applyFill="1" applyBorder="1" applyAlignment="1">
      <alignment horizontal="center"/>
    </xf>
    <xf numFmtId="0" fontId="2" fillId="14" borderId="2" xfId="10" applyFill="1" applyBorder="1"/>
    <xf numFmtId="0" fontId="2" fillId="14" borderId="3" xfId="10" applyFill="1" applyBorder="1"/>
    <xf numFmtId="0" fontId="5" fillId="14" borderId="27" xfId="10" applyFont="1" applyFill="1" applyAlignment="1">
      <alignment horizontal="right"/>
    </xf>
    <xf numFmtId="0" fontId="3" fillId="14" borderId="27" xfId="10" applyFont="1" applyFill="1"/>
    <xf numFmtId="0" fontId="2" fillId="14" borderId="4" xfId="10" applyFill="1" applyBorder="1" applyAlignment="1">
      <alignment horizontal="center"/>
    </xf>
    <xf numFmtId="0" fontId="2" fillId="15" borderId="27" xfId="10" applyFill="1" applyAlignment="1">
      <alignment horizontal="center"/>
    </xf>
    <xf numFmtId="0" fontId="3" fillId="0" borderId="5" xfId="10" applyFont="1" applyBorder="1" applyAlignment="1">
      <alignment horizontal="center"/>
    </xf>
    <xf numFmtId="0" fontId="3" fillId="0" borderId="6" xfId="10" applyFont="1" applyBorder="1" applyAlignment="1">
      <alignment horizontal="center"/>
    </xf>
    <xf numFmtId="0" fontId="2" fillId="16" borderId="5" xfId="10" applyFill="1" applyBorder="1"/>
    <xf numFmtId="0" fontId="2" fillId="16" borderId="6" xfId="10" applyFill="1" applyBorder="1"/>
    <xf numFmtId="0" fontId="6" fillId="14" borderId="27" xfId="10" applyFont="1" applyFill="1"/>
    <xf numFmtId="0" fontId="2" fillId="0" borderId="6" xfId="10" applyBorder="1"/>
    <xf numFmtId="0" fontId="2" fillId="0" borderId="5" xfId="10" applyBorder="1"/>
    <xf numFmtId="0" fontId="2" fillId="14" borderId="27" xfId="10" quotePrefix="1" applyFill="1" applyAlignment="1">
      <alignment horizontal="center"/>
    </xf>
    <xf numFmtId="0" fontId="2" fillId="14" borderId="9" xfId="10" applyFill="1" applyBorder="1" applyAlignment="1">
      <alignment horizontal="center"/>
    </xf>
    <xf numFmtId="0" fontId="2" fillId="3" borderId="10" xfId="10" applyFill="1" applyBorder="1" applyAlignment="1">
      <alignment horizontal="center"/>
    </xf>
    <xf numFmtId="0" fontId="2" fillId="14" borderId="10" xfId="10" applyFill="1" applyBorder="1" applyAlignment="1">
      <alignment horizontal="center"/>
    </xf>
    <xf numFmtId="0" fontId="2" fillId="14" borderId="11" xfId="10" applyFill="1" applyBorder="1" applyAlignment="1">
      <alignment horizontal="center"/>
    </xf>
    <xf numFmtId="0" fontId="3" fillId="0" borderId="12" xfId="10" applyFont="1" applyBorder="1" applyAlignment="1">
      <alignment horizontal="center" vertical="center"/>
    </xf>
    <xf numFmtId="0" fontId="3" fillId="0" borderId="13" xfId="10" applyFont="1" applyBorder="1" applyAlignment="1">
      <alignment horizontal="center" vertical="center"/>
    </xf>
    <xf numFmtId="0" fontId="2" fillId="14" borderId="7" xfId="10" applyFill="1" applyBorder="1"/>
    <xf numFmtId="0" fontId="5" fillId="14" borderId="8" xfId="10" applyFont="1" applyFill="1" applyBorder="1" applyAlignment="1">
      <alignment horizontal="right"/>
    </xf>
    <xf numFmtId="164" fontId="6" fillId="14" borderId="27" xfId="10" applyNumberFormat="1" applyFont="1" applyFill="1"/>
    <xf numFmtId="164" fontId="3" fillId="14" borderId="27" xfId="10" applyNumberFormat="1" applyFont="1" applyFill="1" applyAlignment="1">
      <alignment horizontal="left"/>
    </xf>
    <xf numFmtId="164" fontId="19" fillId="14" borderId="27" xfId="10" applyNumberFormat="1" applyFont="1" applyFill="1" applyAlignment="1">
      <alignment horizontal="left"/>
    </xf>
    <xf numFmtId="165" fontId="2" fillId="15" borderId="9" xfId="10" applyNumberFormat="1" applyFill="1" applyBorder="1" applyAlignment="1">
      <alignment horizontal="left"/>
    </xf>
    <xf numFmtId="164" fontId="2" fillId="14" borderId="27" xfId="10" applyNumberFormat="1" applyFill="1" applyAlignment="1">
      <alignment horizontal="left"/>
    </xf>
    <xf numFmtId="0" fontId="2" fillId="14" borderId="27" xfId="10" applyFill="1" applyAlignment="1">
      <alignment horizontal="left"/>
    </xf>
    <xf numFmtId="0" fontId="2" fillId="0" borderId="27" xfId="13">
      <alignment vertical="center"/>
    </xf>
    <xf numFmtId="0" fontId="2" fillId="14" borderId="27" xfId="13" applyFill="1" applyAlignment="1"/>
    <xf numFmtId="0" fontId="19" fillId="14" borderId="27" xfId="13" applyFont="1" applyFill="1" applyAlignment="1"/>
    <xf numFmtId="0" fontId="2" fillId="14" borderId="27" xfId="13" applyFill="1" applyAlignment="1">
      <alignment horizontal="center"/>
    </xf>
    <xf numFmtId="0" fontId="2" fillId="14" borderId="27" xfId="13" applyFill="1" applyAlignment="1">
      <alignment horizontal="right"/>
    </xf>
    <xf numFmtId="164" fontId="2" fillId="14" borderId="27" xfId="13" applyNumberFormat="1" applyFill="1" applyAlignment="1">
      <alignment horizontal="left"/>
    </xf>
    <xf numFmtId="164" fontId="6" fillId="14" borderId="27" xfId="13" applyNumberFormat="1" applyFont="1" applyFill="1" applyAlignment="1"/>
    <xf numFmtId="164" fontId="3" fillId="14" borderId="27" xfId="13" applyNumberFormat="1" applyFont="1" applyFill="1" applyAlignment="1">
      <alignment horizontal="left"/>
    </xf>
    <xf numFmtId="164" fontId="19" fillId="14" borderId="27" xfId="13" applyNumberFormat="1" applyFont="1" applyFill="1" applyAlignment="1">
      <alignment horizontal="left"/>
    </xf>
    <xf numFmtId="0" fontId="19" fillId="14" borderId="27" xfId="13" applyFont="1" applyFill="1" applyAlignment="1">
      <alignment horizontal="center"/>
    </xf>
    <xf numFmtId="0" fontId="6" fillId="14" borderId="27" xfId="13" applyFont="1" applyFill="1" applyAlignment="1"/>
    <xf numFmtId="0" fontId="5" fillId="14" borderId="8" xfId="13" applyFont="1" applyFill="1" applyBorder="1" applyAlignment="1">
      <alignment horizontal="right"/>
    </xf>
    <xf numFmtId="165" fontId="2" fillId="22" borderId="9" xfId="13" applyNumberFormat="1" applyFill="1" applyBorder="1" applyAlignment="1">
      <alignment horizontal="left"/>
    </xf>
    <xf numFmtId="0" fontId="2" fillId="14" borderId="9" xfId="13" applyFill="1" applyBorder="1" applyAlignment="1">
      <alignment horizontal="center"/>
    </xf>
    <xf numFmtId="0" fontId="2" fillId="0" borderId="9" xfId="13" applyBorder="1" applyAlignment="1">
      <alignment horizontal="right"/>
    </xf>
    <xf numFmtId="0" fontId="2" fillId="0" borderId="9" xfId="13" applyBorder="1" applyAlignment="1"/>
    <xf numFmtId="0" fontId="2" fillId="14" borderId="7" xfId="13" applyFill="1" applyBorder="1" applyAlignment="1"/>
    <xf numFmtId="0" fontId="2" fillId="3" borderId="10" xfId="13" applyFill="1" applyBorder="1" applyAlignment="1">
      <alignment horizontal="center"/>
    </xf>
    <xf numFmtId="0" fontId="2" fillId="14" borderId="10" xfId="13" applyFill="1" applyBorder="1" applyAlignment="1">
      <alignment horizontal="center"/>
    </xf>
    <xf numFmtId="0" fontId="2" fillId="14" borderId="11" xfId="13" applyFill="1" applyBorder="1" applyAlignment="1">
      <alignment horizontal="center"/>
    </xf>
    <xf numFmtId="0" fontId="2" fillId="22" borderId="27" xfId="13" applyFill="1" applyAlignment="1">
      <alignment horizontal="center"/>
    </xf>
    <xf numFmtId="0" fontId="3" fillId="0" borderId="12" xfId="13" applyFont="1" applyBorder="1" applyAlignment="1">
      <alignment horizontal="center" vertical="center"/>
    </xf>
    <xf numFmtId="0" fontId="3" fillId="0" borderId="13" xfId="13" applyFont="1" applyBorder="1" applyAlignment="1">
      <alignment horizontal="center" vertical="center"/>
    </xf>
    <xf numFmtId="0" fontId="3" fillId="0" borderId="5" xfId="13" applyFont="1" applyBorder="1" applyAlignment="1">
      <alignment horizontal="center"/>
    </xf>
    <xf numFmtId="0" fontId="2" fillId="16" borderId="5" xfId="13" applyFill="1" applyBorder="1" applyAlignment="1"/>
    <xf numFmtId="0" fontId="3" fillId="0" borderId="6" xfId="13" applyFont="1" applyBorder="1" applyAlignment="1">
      <alignment horizontal="center"/>
    </xf>
    <xf numFmtId="0" fontId="2" fillId="16" borderId="6" xfId="13" applyFill="1" applyBorder="1" applyAlignment="1"/>
    <xf numFmtId="0" fontId="2" fillId="0" borderId="6" xfId="13" applyBorder="1" applyAlignment="1"/>
    <xf numFmtId="0" fontId="3" fillId="14" borderId="27" xfId="13" applyFont="1" applyFill="1" applyAlignment="1"/>
    <xf numFmtId="0" fontId="2" fillId="0" borderId="5" xfId="13" applyBorder="1" applyAlignment="1"/>
    <xf numFmtId="0" fontId="2" fillId="14" borderId="2" xfId="13" applyFill="1" applyBorder="1" applyAlignment="1"/>
    <xf numFmtId="0" fontId="2" fillId="14" borderId="27" xfId="13" quotePrefix="1" applyFill="1" applyAlignment="1">
      <alignment horizontal="center"/>
    </xf>
    <xf numFmtId="0" fontId="2" fillId="14" borderId="4" xfId="13" applyFill="1" applyBorder="1" applyAlignment="1">
      <alignment horizontal="center"/>
    </xf>
    <xf numFmtId="0" fontId="2" fillId="14" borderId="3" xfId="13" applyFill="1" applyBorder="1" applyAlignment="1"/>
    <xf numFmtId="0" fontId="2" fillId="14" borderId="1" xfId="13" applyFill="1" applyBorder="1" applyAlignment="1">
      <alignment horizontal="center"/>
    </xf>
    <xf numFmtId="0" fontId="5" fillId="14" borderId="27" xfId="13" applyFont="1" applyFill="1" applyAlignment="1">
      <alignment horizontal="right"/>
    </xf>
    <xf numFmtId="0" fontId="2" fillId="14" borderId="2" xfId="13" applyFill="1" applyBorder="1" applyAlignment="1">
      <alignment horizontal="center"/>
    </xf>
    <xf numFmtId="164" fontId="2" fillId="14" borderId="27" xfId="13" applyNumberFormat="1" applyFill="1" applyAlignment="1">
      <alignment horizontal="center"/>
    </xf>
    <xf numFmtId="0" fontId="2" fillId="14" borderId="27" xfId="13" applyFill="1" applyAlignment="1">
      <alignment horizontal="left"/>
    </xf>
    <xf numFmtId="0" fontId="2" fillId="0" borderId="27" xfId="16"/>
    <xf numFmtId="0" fontId="2" fillId="14" borderId="27" xfId="16" applyFill="1" applyAlignment="1">
      <alignment horizontal="right"/>
    </xf>
    <xf numFmtId="164" fontId="2" fillId="14" borderId="27" xfId="16" applyNumberFormat="1" applyFill="1" applyAlignment="1">
      <alignment horizontal="center"/>
    </xf>
    <xf numFmtId="0" fontId="2" fillId="14" borderId="27" xfId="16" applyFill="1"/>
    <xf numFmtId="0" fontId="2" fillId="14" borderId="27" xfId="16" applyFill="1" applyAlignment="1">
      <alignment horizontal="center"/>
    </xf>
    <xf numFmtId="0" fontId="19" fillId="14" borderId="27" xfId="16" applyFont="1" applyFill="1" applyAlignment="1">
      <alignment horizontal="center"/>
    </xf>
    <xf numFmtId="0" fontId="19" fillId="14" borderId="27" xfId="16" applyFont="1" applyFill="1"/>
    <xf numFmtId="0" fontId="2" fillId="14" borderId="2" xfId="16" applyFill="1" applyBorder="1" applyAlignment="1">
      <alignment horizontal="center"/>
    </xf>
    <xf numFmtId="0" fontId="2" fillId="14" borderId="1" xfId="16" applyFill="1" applyBorder="1" applyAlignment="1">
      <alignment horizontal="center"/>
    </xf>
    <xf numFmtId="0" fontId="2" fillId="14" borderId="2" xfId="16" applyFill="1" applyBorder="1"/>
    <xf numFmtId="0" fontId="2" fillId="14" borderId="3" xfId="16" applyFill="1" applyBorder="1"/>
    <xf numFmtId="0" fontId="5" fillId="14" borderId="27" xfId="16" applyFont="1" applyFill="1" applyAlignment="1">
      <alignment horizontal="right"/>
    </xf>
    <xf numFmtId="0" fontId="3" fillId="14" borderId="27" xfId="16" applyFont="1" applyFill="1"/>
    <xf numFmtId="0" fontId="2" fillId="14" borderId="4" xfId="16" applyFill="1" applyBorder="1" applyAlignment="1">
      <alignment horizontal="center"/>
    </xf>
    <xf numFmtId="0" fontId="2" fillId="15" borderId="27" xfId="16" applyFill="1" applyAlignment="1">
      <alignment horizontal="center"/>
    </xf>
    <xf numFmtId="0" fontId="3" fillId="0" borderId="5" xfId="16" applyFont="1" applyBorder="1" applyAlignment="1">
      <alignment horizontal="center"/>
    </xf>
    <xf numFmtId="0" fontId="3" fillId="0" borderId="6" xfId="16" applyFont="1" applyBorder="1" applyAlignment="1">
      <alignment horizontal="center"/>
    </xf>
    <xf numFmtId="0" fontId="6" fillId="14" borderId="27" xfId="16" applyFont="1" applyFill="1"/>
    <xf numFmtId="0" fontId="2" fillId="0" borderId="6" xfId="16" applyBorder="1"/>
    <xf numFmtId="0" fontId="2" fillId="0" borderId="5" xfId="16" applyBorder="1"/>
    <xf numFmtId="0" fontId="2" fillId="14" borderId="27" xfId="16" quotePrefix="1" applyFill="1" applyAlignment="1">
      <alignment horizontal="center"/>
    </xf>
    <xf numFmtId="0" fontId="2" fillId="14" borderId="9" xfId="16" applyFill="1" applyBorder="1" applyAlignment="1">
      <alignment horizontal="center"/>
    </xf>
    <xf numFmtId="0" fontId="2" fillId="0" borderId="9" xfId="16" applyBorder="1" applyAlignment="1">
      <alignment horizontal="right"/>
    </xf>
    <xf numFmtId="0" fontId="2" fillId="3" borderId="10" xfId="16" applyFill="1" applyBorder="1" applyAlignment="1">
      <alignment horizontal="center"/>
    </xf>
    <xf numFmtId="0" fontId="2" fillId="14" borderId="10" xfId="16" applyFill="1" applyBorder="1" applyAlignment="1">
      <alignment horizontal="center"/>
    </xf>
    <xf numFmtId="0" fontId="2" fillId="14" borderId="11" xfId="16" applyFill="1" applyBorder="1" applyAlignment="1">
      <alignment horizontal="center"/>
    </xf>
    <xf numFmtId="0" fontId="3" fillId="0" borderId="12" xfId="16" applyFont="1" applyBorder="1" applyAlignment="1">
      <alignment horizontal="center" vertical="center"/>
    </xf>
    <xf numFmtId="0" fontId="3" fillId="0" borderId="13" xfId="16" applyFont="1" applyBorder="1" applyAlignment="1">
      <alignment horizontal="center" vertical="center"/>
    </xf>
    <xf numFmtId="0" fontId="2" fillId="0" borderId="9" xfId="16" applyBorder="1"/>
    <xf numFmtId="0" fontId="2" fillId="14" borderId="7" xfId="16" applyFill="1" applyBorder="1"/>
    <xf numFmtId="0" fontId="5" fillId="14" borderId="8" xfId="16" applyFont="1" applyFill="1" applyBorder="1" applyAlignment="1">
      <alignment horizontal="right"/>
    </xf>
    <xf numFmtId="164" fontId="6" fillId="14" borderId="27" xfId="16" applyNumberFormat="1" applyFont="1" applyFill="1"/>
    <xf numFmtId="164" fontId="3" fillId="14" borderId="27" xfId="16" applyNumberFormat="1" applyFont="1" applyFill="1" applyAlignment="1">
      <alignment horizontal="left"/>
    </xf>
    <xf numFmtId="164" fontId="19" fillId="14" borderId="27" xfId="16" applyNumberFormat="1" applyFont="1" applyFill="1" applyAlignment="1">
      <alignment horizontal="left"/>
    </xf>
    <xf numFmtId="165" fontId="2" fillId="15" borderId="9" xfId="16" applyNumberFormat="1" applyFill="1" applyBorder="1" applyAlignment="1">
      <alignment horizontal="left"/>
    </xf>
    <xf numFmtId="164" fontId="2" fillId="14" borderId="27" xfId="16" applyNumberFormat="1" applyFill="1" applyAlignment="1">
      <alignment horizontal="left"/>
    </xf>
    <xf numFmtId="0" fontId="2" fillId="14" borderId="27" xfId="16" applyFill="1" applyAlignment="1">
      <alignment horizontal="left"/>
    </xf>
    <xf numFmtId="0" fontId="2" fillId="16" borderId="5" xfId="16" applyFill="1" applyBorder="1"/>
    <xf numFmtId="0" fontId="2" fillId="16" borderId="6" xfId="16" applyFill="1" applyBorder="1"/>
    <xf numFmtId="0" fontId="2" fillId="2" borderId="28" xfId="1" applyFont="1" applyFill="1" applyBorder="1"/>
    <xf numFmtId="0" fontId="0" fillId="0" borderId="28" xfId="0" applyBorder="1"/>
    <xf numFmtId="0" fontId="7" fillId="7" borderId="29" xfId="4" applyFont="1" applyFill="1" applyBorder="1"/>
    <xf numFmtId="0" fontId="0" fillId="0" borderId="29" xfId="0" applyBorder="1"/>
    <xf numFmtId="0" fontId="2" fillId="14" borderId="28" xfId="1" applyFont="1" applyFill="1" applyBorder="1"/>
    <xf numFmtId="0" fontId="18" fillId="14" borderId="28" xfId="6" applyFill="1" applyBorder="1"/>
    <xf numFmtId="0" fontId="2" fillId="14" borderId="28" xfId="6" applyFont="1" applyFill="1" applyBorder="1"/>
    <xf numFmtId="0" fontId="2" fillId="14" borderId="28" xfId="0" applyFont="1" applyFill="1" applyBorder="1"/>
    <xf numFmtId="0" fontId="7" fillId="18" borderId="29" xfId="7" applyFont="1" applyFill="1" applyBorder="1"/>
    <xf numFmtId="0" fontId="2" fillId="18" borderId="29" xfId="8" applyFont="1" applyFill="1" applyBorder="1"/>
    <xf numFmtId="0" fontId="25" fillId="14" borderId="28" xfId="9" applyFill="1" applyBorder="1"/>
    <xf numFmtId="0" fontId="26" fillId="14" borderId="28" xfId="0" applyFont="1" applyFill="1" applyBorder="1"/>
    <xf numFmtId="0" fontId="2" fillId="14" borderId="28" xfId="16" applyFill="1" applyBorder="1"/>
    <xf numFmtId="0" fontId="1" fillId="0" borderId="28" xfId="17" applyBorder="1"/>
    <xf numFmtId="0" fontId="2" fillId="20" borderId="28" xfId="10" applyFill="1" applyBorder="1"/>
    <xf numFmtId="0" fontId="2" fillId="14" borderId="28" xfId="10" applyFill="1" applyBorder="1"/>
    <xf numFmtId="0" fontId="2" fillId="0" borderId="28" xfId="10" applyBorder="1"/>
    <xf numFmtId="0" fontId="2" fillId="14" borderId="28" xfId="13" applyFill="1" applyBorder="1" applyAlignment="1"/>
    <xf numFmtId="0" fontId="2" fillId="0" borderId="28" xfId="13" applyBorder="1" applyAlignment="1"/>
    <xf numFmtId="0" fontId="2" fillId="0" borderId="28" xfId="16" applyBorder="1"/>
  </cellXfs>
  <cellStyles count="19">
    <cellStyle name="Hyperlinkki 2" xfId="14" xr:uid="{6299DC35-44BF-4982-87FC-EBA3ABCF8F2C}"/>
    <cellStyle name="Hyperlinkki 3" xfId="15" xr:uid="{81D3D0D8-5B0C-4124-9F52-3D54F1140FAE}"/>
    <cellStyle name="Normaali" xfId="0" builtinId="0"/>
    <cellStyle name="Normaali 10" xfId="13" xr:uid="{8AD5DA4F-876E-4189-B865-16204761CF5E}"/>
    <cellStyle name="Normaali 11" xfId="17" xr:uid="{1F333185-5550-467F-ADA2-0F03AA0DF182}"/>
    <cellStyle name="Normaali 2" xfId="2" xr:uid="{00000000-0005-0000-0000-000002000000}"/>
    <cellStyle name="Normaali 2 2" xfId="11" xr:uid="{A28DBAE0-C08F-4021-8620-D88C95477F43}"/>
    <cellStyle name="Normaali 3" xfId="1" xr:uid="{00000000-0005-0000-0000-000001000000}"/>
    <cellStyle name="Normaali 3 2" xfId="16" xr:uid="{8746EAFE-BFF5-40E0-8984-232C07B2F97E}"/>
    <cellStyle name="Normaali 4" xfId="4" xr:uid="{00000000-0005-0000-0000-000004000000}"/>
    <cellStyle name="Normaali 4 2" xfId="18" xr:uid="{BEEB0916-C5C7-404C-8B62-0970F1577137}"/>
    <cellStyle name="Normaali 5" xfId="6" xr:uid="{00000000-0005-0000-0000-000006000000}"/>
    <cellStyle name="Normaali 6" xfId="7" xr:uid="{00000000-0005-0000-0000-000007000000}"/>
    <cellStyle name="Normaali 7" xfId="8" xr:uid="{00000000-0005-0000-0000-000008000000}"/>
    <cellStyle name="Normaali 8" xfId="9" xr:uid="{00000000-0005-0000-0000-000009000000}"/>
    <cellStyle name="Normaali 9" xfId="10" xr:uid="{19501FE9-045D-43D2-A410-A4F97A43433C}"/>
    <cellStyle name="Normal" xfId="5" xr:uid="{00000000-0005-0000-0000-000005000000}"/>
    <cellStyle name="Normal 2" xfId="3" xr:uid="{00000000-0005-0000-0000-000003000000}"/>
    <cellStyle name="Normal 3" xfId="12" xr:uid="{88DE57DF-3882-42C0-8E07-DEB2DBBDBC5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7"/>
  <sheetViews>
    <sheetView tabSelected="1" workbookViewId="0"/>
  </sheetViews>
  <sheetFormatPr defaultRowHeight="15"/>
  <cols>
    <col min="1" max="1" width="7" customWidth="1"/>
    <col min="2" max="2" width="14" customWidth="1"/>
    <col min="3" max="3" width="8" customWidth="1"/>
    <col min="4" max="4" width="24" customWidth="1"/>
    <col min="5" max="5" width="4" customWidth="1"/>
    <col min="6" max="6" width="24" customWidth="1"/>
    <col min="7" max="7" width="10" customWidth="1"/>
    <col min="8" max="8" width="4" customWidth="1"/>
    <col min="9" max="9" width="10" customWidth="1"/>
    <col min="12" max="12" width="16" customWidth="1"/>
    <col min="13" max="18" width="18" customWidth="1"/>
  </cols>
  <sheetData>
    <row r="1" spans="1:18" ht="21" customHeight="1">
      <c r="A1" s="82" t="s">
        <v>18</v>
      </c>
      <c r="B1" s="82"/>
      <c r="C1" s="82"/>
      <c r="D1" s="82"/>
      <c r="E1" s="82"/>
      <c r="F1" s="82"/>
      <c r="G1" s="82"/>
      <c r="H1" s="82"/>
      <c r="I1" s="82"/>
      <c r="J1" s="83"/>
      <c r="K1" s="83"/>
      <c r="L1" s="82" t="s">
        <v>19</v>
      </c>
      <c r="M1" s="82"/>
      <c r="N1" s="82"/>
      <c r="O1" s="82"/>
      <c r="P1" s="82"/>
      <c r="Q1" s="82"/>
      <c r="R1" s="82"/>
    </row>
    <row r="2" spans="1:18" ht="255" customHeight="1">
      <c r="A2" s="84" t="s">
        <v>20</v>
      </c>
      <c r="B2" s="84"/>
      <c r="C2" s="84"/>
      <c r="D2" s="84"/>
      <c r="E2" s="84"/>
      <c r="F2" s="84"/>
      <c r="G2" s="84"/>
      <c r="H2" s="84"/>
      <c r="I2" s="84"/>
      <c r="J2" s="83"/>
      <c r="K2" s="83"/>
      <c r="L2" s="84" t="s">
        <v>21</v>
      </c>
      <c r="M2" s="84"/>
      <c r="N2" s="84"/>
      <c r="O2" s="84"/>
      <c r="P2" s="84"/>
      <c r="Q2" s="84"/>
      <c r="R2" s="84"/>
    </row>
    <row r="3" spans="1:18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</row>
    <row r="4" spans="1:18">
      <c r="A4" s="85" t="s">
        <v>22</v>
      </c>
      <c r="B4" s="85"/>
      <c r="C4" s="85"/>
      <c r="D4" s="85"/>
      <c r="E4" s="85"/>
      <c r="F4" s="85"/>
      <c r="G4" s="85"/>
      <c r="H4" s="85"/>
      <c r="I4" s="85"/>
      <c r="J4" s="83"/>
      <c r="K4" s="83"/>
      <c r="L4" s="83"/>
      <c r="M4" s="83"/>
      <c r="N4" s="83"/>
      <c r="O4" s="83"/>
      <c r="P4" s="83"/>
      <c r="Q4" s="83"/>
      <c r="R4" s="83"/>
    </row>
    <row r="5" spans="1:18">
      <c r="A5" s="85" t="s">
        <v>23</v>
      </c>
      <c r="B5" s="85" t="s">
        <v>24</v>
      </c>
      <c r="C5" s="85" t="s">
        <v>25</v>
      </c>
      <c r="D5" s="85" t="s">
        <v>26</v>
      </c>
      <c r="E5" s="85" t="s">
        <v>27</v>
      </c>
      <c r="F5" s="85" t="s">
        <v>28</v>
      </c>
      <c r="G5" s="85" t="s">
        <v>29</v>
      </c>
      <c r="H5" s="85" t="s">
        <v>27</v>
      </c>
      <c r="I5" s="85" t="s">
        <v>30</v>
      </c>
      <c r="J5" s="83"/>
      <c r="K5" s="83"/>
      <c r="L5" s="85" t="s">
        <v>31</v>
      </c>
      <c r="M5" s="85" t="s">
        <v>32</v>
      </c>
      <c r="N5" s="85" t="s">
        <v>33</v>
      </c>
      <c r="O5" s="85" t="s">
        <v>34</v>
      </c>
      <c r="P5" s="85" t="s">
        <v>35</v>
      </c>
      <c r="Q5" s="85" t="s">
        <v>36</v>
      </c>
      <c r="R5" s="85" t="s">
        <v>37</v>
      </c>
    </row>
    <row r="6" spans="1:18">
      <c r="A6" s="83">
        <v>1</v>
      </c>
      <c r="B6" s="83" t="s">
        <v>38</v>
      </c>
      <c r="C6" s="83" t="s">
        <v>39</v>
      </c>
      <c r="D6" s="83" t="s">
        <v>40</v>
      </c>
      <c r="E6" s="83" t="s">
        <v>27</v>
      </c>
      <c r="F6" s="83" t="s">
        <v>41</v>
      </c>
      <c r="G6" s="92"/>
      <c r="H6" s="83" t="s">
        <v>27</v>
      </c>
      <c r="I6" s="92"/>
      <c r="J6" s="83"/>
      <c r="K6" s="83"/>
      <c r="L6" s="83">
        <v>1</v>
      </c>
      <c r="M6" s="86"/>
      <c r="N6" s="86"/>
      <c r="O6" s="86"/>
      <c r="P6" s="86"/>
      <c r="Q6" s="86"/>
      <c r="R6" s="86"/>
    </row>
    <row r="7" spans="1:18">
      <c r="A7" s="83">
        <v>2</v>
      </c>
      <c r="B7" s="83" t="s">
        <v>42</v>
      </c>
      <c r="C7" s="83" t="s">
        <v>39</v>
      </c>
      <c r="D7" s="83" t="s">
        <v>43</v>
      </c>
      <c r="E7" s="83" t="s">
        <v>27</v>
      </c>
      <c r="F7" s="83" t="s">
        <v>44</v>
      </c>
      <c r="G7" s="92"/>
      <c r="H7" s="83" t="s">
        <v>27</v>
      </c>
      <c r="I7" s="92"/>
      <c r="J7" s="83"/>
      <c r="K7" s="83"/>
      <c r="L7" s="83">
        <v>2</v>
      </c>
      <c r="M7" s="86"/>
      <c r="N7" s="86"/>
      <c r="O7" s="86"/>
      <c r="P7" s="86"/>
      <c r="Q7" s="86"/>
      <c r="R7" s="86"/>
    </row>
    <row r="8" spans="1:18">
      <c r="A8" s="83">
        <v>3</v>
      </c>
      <c r="B8" s="83" t="s">
        <v>45</v>
      </c>
      <c r="C8" s="83" t="s">
        <v>46</v>
      </c>
      <c r="D8" s="83" t="s">
        <v>47</v>
      </c>
      <c r="E8" s="83" t="s">
        <v>27</v>
      </c>
      <c r="F8" s="83" t="s">
        <v>48</v>
      </c>
      <c r="G8" s="92"/>
      <c r="H8" s="83" t="s">
        <v>27</v>
      </c>
      <c r="I8" s="92"/>
      <c r="J8" s="83"/>
      <c r="K8" s="83"/>
      <c r="L8" s="83">
        <v>3</v>
      </c>
      <c r="M8" s="86"/>
      <c r="N8" s="86"/>
      <c r="O8" s="86"/>
      <c r="P8" s="86"/>
      <c r="Q8" s="86"/>
      <c r="R8" s="86"/>
    </row>
    <row r="9" spans="1:18">
      <c r="A9" s="83">
        <v>4</v>
      </c>
      <c r="B9" s="83" t="s">
        <v>49</v>
      </c>
      <c r="C9" s="83" t="s">
        <v>50</v>
      </c>
      <c r="D9" s="83" t="s">
        <v>51</v>
      </c>
      <c r="E9" s="83" t="s">
        <v>27</v>
      </c>
      <c r="F9" s="83" t="s">
        <v>52</v>
      </c>
      <c r="G9" s="92"/>
      <c r="H9" s="83" t="s">
        <v>27</v>
      </c>
      <c r="I9" s="92"/>
      <c r="J9" s="83"/>
      <c r="K9" s="83"/>
      <c r="L9" s="83">
        <v>4</v>
      </c>
      <c r="M9" s="86"/>
      <c r="N9" s="86"/>
      <c r="O9" s="86"/>
      <c r="P9" s="86"/>
      <c r="Q9" s="86"/>
      <c r="R9" s="86"/>
    </row>
    <row r="10" spans="1:18">
      <c r="A10" s="83">
        <v>5</v>
      </c>
      <c r="B10" s="83" t="s">
        <v>53</v>
      </c>
      <c r="C10" s="83" t="s">
        <v>54</v>
      </c>
      <c r="D10" s="83" t="s">
        <v>55</v>
      </c>
      <c r="E10" s="83" t="s">
        <v>27</v>
      </c>
      <c r="F10" s="83" t="s">
        <v>56</v>
      </c>
      <c r="G10" s="92"/>
      <c r="H10" s="83" t="s">
        <v>27</v>
      </c>
      <c r="I10" s="92"/>
      <c r="J10" s="83"/>
      <c r="K10" s="83"/>
      <c r="L10" s="83"/>
      <c r="M10" s="83"/>
      <c r="N10" s="83"/>
      <c r="O10" s="83"/>
      <c r="P10" s="83"/>
      <c r="Q10" s="83"/>
      <c r="R10" s="83"/>
    </row>
    <row r="11" spans="1:18">
      <c r="A11" s="83">
        <v>6</v>
      </c>
      <c r="B11" s="83" t="s">
        <v>57</v>
      </c>
      <c r="C11" s="83" t="s">
        <v>50</v>
      </c>
      <c r="D11" s="83" t="s">
        <v>58</v>
      </c>
      <c r="E11" s="83" t="s">
        <v>27</v>
      </c>
      <c r="F11" s="83" t="s">
        <v>59</v>
      </c>
      <c r="G11" s="92"/>
      <c r="H11" s="83" t="s">
        <v>27</v>
      </c>
      <c r="I11" s="92"/>
      <c r="J11" s="83"/>
      <c r="K11" s="83"/>
      <c r="L11" s="85" t="s">
        <v>31</v>
      </c>
      <c r="M11" s="85" t="s">
        <v>60</v>
      </c>
      <c r="N11" s="85" t="s">
        <v>61</v>
      </c>
      <c r="O11" s="85" t="s">
        <v>62</v>
      </c>
      <c r="P11" s="85" t="s">
        <v>63</v>
      </c>
      <c r="Q11" s="85" t="s">
        <v>64</v>
      </c>
      <c r="R11" s="85" t="s">
        <v>65</v>
      </c>
    </row>
    <row r="12" spans="1:18">
      <c r="A12" s="83">
        <v>7</v>
      </c>
      <c r="B12" s="83" t="s">
        <v>66</v>
      </c>
      <c r="C12" s="83" t="s">
        <v>54</v>
      </c>
      <c r="D12" s="83" t="s">
        <v>67</v>
      </c>
      <c r="E12" s="83" t="s">
        <v>27</v>
      </c>
      <c r="F12" s="83" t="s">
        <v>68</v>
      </c>
      <c r="G12" s="92"/>
      <c r="H12" s="83" t="s">
        <v>27</v>
      </c>
      <c r="I12" s="92"/>
      <c r="J12" s="83"/>
      <c r="K12" s="83"/>
      <c r="L12" s="83">
        <v>1</v>
      </c>
      <c r="M12" s="86"/>
      <c r="N12" s="86"/>
      <c r="O12" s="86"/>
      <c r="P12" s="86"/>
      <c r="Q12" s="86"/>
      <c r="R12" s="86"/>
    </row>
    <row r="13" spans="1:18">
      <c r="A13" s="83">
        <v>8</v>
      </c>
      <c r="B13" s="83" t="s">
        <v>69</v>
      </c>
      <c r="C13" s="83" t="s">
        <v>46</v>
      </c>
      <c r="D13" s="83" t="s">
        <v>70</v>
      </c>
      <c r="E13" s="83" t="s">
        <v>27</v>
      </c>
      <c r="F13" s="83" t="s">
        <v>71</v>
      </c>
      <c r="G13" s="92"/>
      <c r="H13" s="83" t="s">
        <v>27</v>
      </c>
      <c r="I13" s="92"/>
      <c r="J13" s="83"/>
      <c r="K13" s="83"/>
      <c r="L13" s="83">
        <v>2</v>
      </c>
      <c r="M13" s="86"/>
      <c r="N13" s="86"/>
      <c r="O13" s="86"/>
      <c r="P13" s="86"/>
      <c r="Q13" s="86"/>
      <c r="R13" s="86"/>
    </row>
    <row r="14" spans="1:18">
      <c r="A14" s="83">
        <v>9</v>
      </c>
      <c r="B14" s="83" t="s">
        <v>72</v>
      </c>
      <c r="C14" s="83" t="s">
        <v>73</v>
      </c>
      <c r="D14" s="83" t="s">
        <v>74</v>
      </c>
      <c r="E14" s="83" t="s">
        <v>27</v>
      </c>
      <c r="F14" s="83" t="s">
        <v>75</v>
      </c>
      <c r="G14" s="92"/>
      <c r="H14" s="83" t="s">
        <v>27</v>
      </c>
      <c r="I14" s="92"/>
      <c r="J14" s="83"/>
      <c r="K14" s="83"/>
      <c r="L14" s="83">
        <v>3</v>
      </c>
      <c r="M14" s="86"/>
      <c r="N14" s="86"/>
      <c r="O14" s="86"/>
      <c r="P14" s="86"/>
      <c r="Q14" s="86"/>
      <c r="R14" s="86"/>
    </row>
    <row r="15" spans="1:18">
      <c r="A15" s="83">
        <v>10</v>
      </c>
      <c r="B15" s="83" t="s">
        <v>76</v>
      </c>
      <c r="C15" s="83" t="s">
        <v>73</v>
      </c>
      <c r="D15" s="83" t="s">
        <v>77</v>
      </c>
      <c r="E15" s="83" t="s">
        <v>27</v>
      </c>
      <c r="F15" s="83" t="s">
        <v>78</v>
      </c>
      <c r="G15" s="92"/>
      <c r="H15" s="83" t="s">
        <v>27</v>
      </c>
      <c r="I15" s="92"/>
      <c r="J15" s="83"/>
      <c r="K15" s="83"/>
      <c r="L15" s="83">
        <v>4</v>
      </c>
      <c r="M15" s="86"/>
      <c r="N15" s="86"/>
      <c r="O15" s="86"/>
      <c r="P15" s="86"/>
      <c r="Q15" s="86"/>
      <c r="R15" s="86"/>
    </row>
    <row r="16" spans="1:18">
      <c r="A16" s="83">
        <v>11</v>
      </c>
      <c r="B16" s="83" t="s">
        <v>79</v>
      </c>
      <c r="C16" s="83" t="s">
        <v>80</v>
      </c>
      <c r="D16" s="83" t="s">
        <v>81</v>
      </c>
      <c r="E16" s="83" t="s">
        <v>27</v>
      </c>
      <c r="F16" s="83" t="s">
        <v>82</v>
      </c>
      <c r="G16" s="92"/>
      <c r="H16" s="83" t="s">
        <v>27</v>
      </c>
      <c r="I16" s="92"/>
      <c r="J16" s="83"/>
      <c r="K16" s="83"/>
      <c r="L16" s="83"/>
      <c r="M16" s="83"/>
      <c r="N16" s="83"/>
      <c r="O16" s="83"/>
      <c r="P16" s="83"/>
      <c r="Q16" s="83"/>
      <c r="R16" s="83"/>
    </row>
    <row r="17" spans="1:18">
      <c r="A17" s="83">
        <v>12</v>
      </c>
      <c r="B17" s="83" t="s">
        <v>83</v>
      </c>
      <c r="C17" s="83" t="s">
        <v>80</v>
      </c>
      <c r="D17" s="83" t="s">
        <v>84</v>
      </c>
      <c r="E17" s="83" t="s">
        <v>27</v>
      </c>
      <c r="F17" s="83" t="s">
        <v>85</v>
      </c>
      <c r="G17" s="92"/>
      <c r="H17" s="83" t="s">
        <v>27</v>
      </c>
      <c r="I17" s="92"/>
      <c r="J17" s="83"/>
      <c r="K17" s="83"/>
      <c r="L17" s="83"/>
      <c r="M17" s="83"/>
      <c r="N17" s="83"/>
      <c r="O17" s="83"/>
      <c r="P17" s="83"/>
      <c r="Q17" s="83"/>
      <c r="R17" s="83"/>
    </row>
    <row r="18" spans="1:18">
      <c r="A18" s="83">
        <v>13</v>
      </c>
      <c r="B18" s="83" t="s">
        <v>86</v>
      </c>
      <c r="C18" s="83" t="s">
        <v>87</v>
      </c>
      <c r="D18" s="83" t="s">
        <v>88</v>
      </c>
      <c r="E18" s="83" t="s">
        <v>27</v>
      </c>
      <c r="F18" s="83" t="s">
        <v>89</v>
      </c>
      <c r="G18" s="92"/>
      <c r="H18" s="83" t="s">
        <v>27</v>
      </c>
      <c r="I18" s="92"/>
      <c r="J18" s="83"/>
      <c r="K18" s="83"/>
      <c r="L18" s="87" t="s">
        <v>90</v>
      </c>
      <c r="M18" s="87"/>
      <c r="N18" s="83"/>
      <c r="O18" s="83"/>
      <c r="P18" s="83"/>
      <c r="Q18" s="83"/>
      <c r="R18" s="83"/>
    </row>
    <row r="19" spans="1:18">
      <c r="A19" s="83">
        <v>14</v>
      </c>
      <c r="B19" s="83" t="s">
        <v>91</v>
      </c>
      <c r="C19" s="83" t="s">
        <v>87</v>
      </c>
      <c r="D19" s="83" t="s">
        <v>92</v>
      </c>
      <c r="E19" s="83" t="s">
        <v>27</v>
      </c>
      <c r="F19" s="83" t="s">
        <v>93</v>
      </c>
      <c r="G19" s="92"/>
      <c r="H19" s="83" t="s">
        <v>27</v>
      </c>
      <c r="I19" s="92"/>
      <c r="J19" s="83"/>
      <c r="K19" s="83"/>
      <c r="L19" s="83"/>
      <c r="M19" s="83"/>
      <c r="N19" s="83"/>
      <c r="O19" s="83"/>
      <c r="P19" s="83"/>
      <c r="Q19" s="83"/>
      <c r="R19" s="83"/>
    </row>
    <row r="20" spans="1:18">
      <c r="A20" s="83">
        <v>15</v>
      </c>
      <c r="B20" s="83" t="s">
        <v>94</v>
      </c>
      <c r="C20" s="83" t="s">
        <v>95</v>
      </c>
      <c r="D20" s="83" t="s">
        <v>96</v>
      </c>
      <c r="E20" s="83" t="s">
        <v>27</v>
      </c>
      <c r="F20" s="83" t="s">
        <v>97</v>
      </c>
      <c r="G20" s="92"/>
      <c r="H20" s="83" t="s">
        <v>27</v>
      </c>
      <c r="I20" s="92"/>
      <c r="J20" s="83"/>
      <c r="K20" s="83"/>
      <c r="L20" s="83" t="s">
        <v>98</v>
      </c>
      <c r="M20" s="86"/>
      <c r="N20" s="83"/>
      <c r="O20" s="83"/>
      <c r="P20" s="83"/>
      <c r="Q20" s="83"/>
      <c r="R20" s="83"/>
    </row>
    <row r="21" spans="1:18">
      <c r="A21" s="83">
        <v>16</v>
      </c>
      <c r="B21" s="83" t="s">
        <v>99</v>
      </c>
      <c r="C21" s="83" t="s">
        <v>95</v>
      </c>
      <c r="D21" s="83" t="s">
        <v>100</v>
      </c>
      <c r="E21" s="83" t="s">
        <v>27</v>
      </c>
      <c r="F21" s="83" t="s">
        <v>101</v>
      </c>
      <c r="G21" s="92"/>
      <c r="H21" s="83" t="s">
        <v>27</v>
      </c>
      <c r="I21" s="92"/>
      <c r="J21" s="83"/>
      <c r="K21" s="83"/>
      <c r="L21" s="83" t="s">
        <v>102</v>
      </c>
      <c r="M21" s="86"/>
      <c r="N21" s="83"/>
      <c r="O21" s="83"/>
      <c r="P21" s="83"/>
      <c r="Q21" s="83"/>
      <c r="R21" s="83"/>
    </row>
    <row r="22" spans="1:18">
      <c r="A22" s="83">
        <v>17</v>
      </c>
      <c r="B22" s="83" t="s">
        <v>103</v>
      </c>
      <c r="C22" s="83" t="s">
        <v>104</v>
      </c>
      <c r="D22" s="83" t="s">
        <v>105</v>
      </c>
      <c r="E22" s="83" t="s">
        <v>27</v>
      </c>
      <c r="F22" s="83" t="s">
        <v>106</v>
      </c>
      <c r="G22" s="92"/>
      <c r="H22" s="83" t="s">
        <v>27</v>
      </c>
      <c r="I22" s="92"/>
      <c r="J22" s="83"/>
      <c r="K22" s="83"/>
      <c r="L22" s="83"/>
      <c r="M22" s="83"/>
      <c r="N22" s="83"/>
      <c r="O22" s="83"/>
      <c r="P22" s="83"/>
      <c r="Q22" s="83"/>
      <c r="R22" s="83"/>
    </row>
    <row r="23" spans="1:18">
      <c r="A23" s="83">
        <v>18</v>
      </c>
      <c r="B23" s="83" t="s">
        <v>107</v>
      </c>
      <c r="C23" s="83" t="s">
        <v>104</v>
      </c>
      <c r="D23" s="83" t="s">
        <v>108</v>
      </c>
      <c r="E23" s="83" t="s">
        <v>27</v>
      </c>
      <c r="F23" s="83" t="s">
        <v>109</v>
      </c>
      <c r="G23" s="92"/>
      <c r="H23" s="83" t="s">
        <v>27</v>
      </c>
      <c r="I23" s="92"/>
      <c r="J23" s="83"/>
      <c r="K23" s="83"/>
      <c r="L23" s="83" t="s">
        <v>110</v>
      </c>
      <c r="M23" s="86"/>
      <c r="N23" s="83"/>
      <c r="O23" s="83"/>
      <c r="P23" s="83"/>
      <c r="Q23" s="83"/>
      <c r="R23" s="83"/>
    </row>
    <row r="24" spans="1:18">
      <c r="A24" s="83">
        <v>19</v>
      </c>
      <c r="B24" s="83" t="s">
        <v>111</v>
      </c>
      <c r="C24" s="83" t="s">
        <v>112</v>
      </c>
      <c r="D24" s="83" t="s">
        <v>113</v>
      </c>
      <c r="E24" s="83" t="s">
        <v>27</v>
      </c>
      <c r="F24" s="83" t="s">
        <v>114</v>
      </c>
      <c r="G24" s="92"/>
      <c r="H24" s="83" t="s">
        <v>27</v>
      </c>
      <c r="I24" s="92"/>
      <c r="J24" s="83"/>
      <c r="K24" s="83"/>
      <c r="L24" s="83" t="s">
        <v>115</v>
      </c>
      <c r="M24" s="86"/>
      <c r="N24" s="83"/>
      <c r="O24" s="83"/>
      <c r="P24" s="83"/>
      <c r="Q24" s="83"/>
      <c r="R24" s="83"/>
    </row>
    <row r="25" spans="1:18">
      <c r="A25" s="83">
        <v>20</v>
      </c>
      <c r="B25" s="83" t="s">
        <v>116</v>
      </c>
      <c r="C25" s="83" t="s">
        <v>112</v>
      </c>
      <c r="D25" s="83" t="s">
        <v>117</v>
      </c>
      <c r="E25" s="83" t="s">
        <v>27</v>
      </c>
      <c r="F25" s="83" t="s">
        <v>118</v>
      </c>
      <c r="G25" s="92"/>
      <c r="H25" s="83" t="s">
        <v>27</v>
      </c>
      <c r="I25" s="92"/>
      <c r="J25" s="83"/>
      <c r="K25" s="83"/>
      <c r="L25" s="83"/>
      <c r="M25" s="83"/>
      <c r="N25" s="83"/>
      <c r="O25" s="83"/>
      <c r="P25" s="83"/>
      <c r="Q25" s="83"/>
      <c r="R25" s="83"/>
    </row>
    <row r="26" spans="1:18">
      <c r="A26" s="83">
        <v>21</v>
      </c>
      <c r="B26" s="83" t="s">
        <v>119</v>
      </c>
      <c r="C26" s="83" t="s">
        <v>120</v>
      </c>
      <c r="D26" s="83" t="s">
        <v>121</v>
      </c>
      <c r="E26" s="83" t="s">
        <v>27</v>
      </c>
      <c r="F26" s="83" t="s">
        <v>122</v>
      </c>
      <c r="G26" s="92"/>
      <c r="H26" s="83" t="s">
        <v>27</v>
      </c>
      <c r="I26" s="92"/>
      <c r="J26" s="83"/>
      <c r="K26" s="83"/>
      <c r="L26" s="83"/>
      <c r="M26" s="83"/>
      <c r="N26" s="83"/>
      <c r="O26" s="83"/>
      <c r="P26" s="83"/>
      <c r="Q26" s="83"/>
      <c r="R26" s="83"/>
    </row>
    <row r="27" spans="1:18">
      <c r="A27" s="83">
        <v>22</v>
      </c>
      <c r="B27" s="83" t="s">
        <v>123</v>
      </c>
      <c r="C27" s="83" t="s">
        <v>120</v>
      </c>
      <c r="D27" s="83" t="s">
        <v>124</v>
      </c>
      <c r="E27" s="83" t="s">
        <v>27</v>
      </c>
      <c r="F27" s="83" t="s">
        <v>125</v>
      </c>
      <c r="G27" s="92"/>
      <c r="H27" s="83" t="s">
        <v>27</v>
      </c>
      <c r="I27" s="92"/>
      <c r="J27" s="83"/>
      <c r="K27" s="83"/>
      <c r="L27" s="83"/>
      <c r="M27" s="83"/>
      <c r="N27" s="83"/>
      <c r="O27" s="83"/>
      <c r="P27" s="83"/>
      <c r="Q27" s="83"/>
      <c r="R27" s="83"/>
    </row>
    <row r="28" spans="1:18">
      <c r="A28" s="83">
        <v>23</v>
      </c>
      <c r="B28" s="83" t="s">
        <v>126</v>
      </c>
      <c r="C28" s="83" t="s">
        <v>127</v>
      </c>
      <c r="D28" s="83" t="s">
        <v>128</v>
      </c>
      <c r="E28" s="83" t="s">
        <v>27</v>
      </c>
      <c r="F28" s="83" t="s">
        <v>129</v>
      </c>
      <c r="G28" s="92"/>
      <c r="H28" s="83" t="s">
        <v>27</v>
      </c>
      <c r="I28" s="92"/>
      <c r="J28" s="83"/>
      <c r="K28" s="83"/>
      <c r="L28" s="83"/>
      <c r="M28" s="83"/>
      <c r="N28" s="83"/>
      <c r="O28" s="83"/>
      <c r="P28" s="83"/>
      <c r="Q28" s="83"/>
      <c r="R28" s="83"/>
    </row>
    <row r="29" spans="1:18">
      <c r="A29" s="83">
        <v>24</v>
      </c>
      <c r="B29" s="83" t="s">
        <v>130</v>
      </c>
      <c r="C29" s="83" t="s">
        <v>127</v>
      </c>
      <c r="D29" s="83" t="s">
        <v>131</v>
      </c>
      <c r="E29" s="83" t="s">
        <v>27</v>
      </c>
      <c r="F29" s="83" t="s">
        <v>132</v>
      </c>
      <c r="G29" s="92"/>
      <c r="H29" s="83" t="s">
        <v>27</v>
      </c>
      <c r="I29" s="92"/>
      <c r="J29" s="83"/>
      <c r="K29" s="83"/>
      <c r="L29" s="83"/>
      <c r="M29" s="83"/>
      <c r="N29" s="83"/>
      <c r="O29" s="83"/>
      <c r="P29" s="83"/>
      <c r="Q29" s="83"/>
      <c r="R29" s="83"/>
    </row>
    <row r="30" spans="1:18">
      <c r="A30" s="83">
        <v>25</v>
      </c>
      <c r="B30" s="83" t="s">
        <v>133</v>
      </c>
      <c r="C30" s="83" t="s">
        <v>39</v>
      </c>
      <c r="D30" s="83" t="s">
        <v>44</v>
      </c>
      <c r="E30" s="83" t="s">
        <v>27</v>
      </c>
      <c r="F30" s="83" t="s">
        <v>41</v>
      </c>
      <c r="G30" s="92"/>
      <c r="H30" s="83" t="s">
        <v>27</v>
      </c>
      <c r="I30" s="92"/>
      <c r="J30" s="83"/>
      <c r="K30" s="83"/>
      <c r="L30" s="83"/>
      <c r="M30" s="83"/>
      <c r="N30" s="83"/>
      <c r="O30" s="83"/>
      <c r="P30" s="83"/>
      <c r="Q30" s="83"/>
      <c r="R30" s="83"/>
    </row>
    <row r="31" spans="1:18">
      <c r="A31" s="83">
        <v>26</v>
      </c>
      <c r="B31" s="83" t="s">
        <v>134</v>
      </c>
      <c r="C31" s="83" t="s">
        <v>46</v>
      </c>
      <c r="D31" s="83" t="s">
        <v>71</v>
      </c>
      <c r="E31" s="83" t="s">
        <v>27</v>
      </c>
      <c r="F31" s="83" t="s">
        <v>48</v>
      </c>
      <c r="G31" s="92"/>
      <c r="H31" s="83" t="s">
        <v>27</v>
      </c>
      <c r="I31" s="92"/>
      <c r="J31" s="83"/>
      <c r="K31" s="83"/>
      <c r="L31" s="83"/>
      <c r="M31" s="83"/>
      <c r="N31" s="83"/>
      <c r="O31" s="83"/>
      <c r="P31" s="83"/>
      <c r="Q31" s="83"/>
      <c r="R31" s="83"/>
    </row>
    <row r="32" spans="1:18">
      <c r="A32" s="83">
        <v>27</v>
      </c>
      <c r="B32" s="83" t="s">
        <v>135</v>
      </c>
      <c r="C32" s="83" t="s">
        <v>46</v>
      </c>
      <c r="D32" s="83" t="s">
        <v>47</v>
      </c>
      <c r="E32" s="83" t="s">
        <v>27</v>
      </c>
      <c r="F32" s="83" t="s">
        <v>70</v>
      </c>
      <c r="G32" s="92"/>
      <c r="H32" s="83" t="s">
        <v>27</v>
      </c>
      <c r="I32" s="92"/>
      <c r="J32" s="83"/>
      <c r="K32" s="83"/>
      <c r="L32" s="83"/>
      <c r="M32" s="83"/>
      <c r="N32" s="83"/>
      <c r="O32" s="83"/>
      <c r="P32" s="83"/>
      <c r="Q32" s="83"/>
      <c r="R32" s="83"/>
    </row>
    <row r="33" spans="1:18">
      <c r="A33" s="83">
        <v>28</v>
      </c>
      <c r="B33" s="83" t="s">
        <v>136</v>
      </c>
      <c r="C33" s="83" t="s">
        <v>39</v>
      </c>
      <c r="D33" s="83" t="s">
        <v>40</v>
      </c>
      <c r="E33" s="83" t="s">
        <v>27</v>
      </c>
      <c r="F33" s="83" t="s">
        <v>43</v>
      </c>
      <c r="G33" s="92"/>
      <c r="H33" s="83" t="s">
        <v>27</v>
      </c>
      <c r="I33" s="92"/>
      <c r="J33" s="83"/>
      <c r="K33" s="83"/>
      <c r="L33" s="83"/>
      <c r="M33" s="83"/>
      <c r="N33" s="83"/>
      <c r="O33" s="83"/>
      <c r="P33" s="83"/>
      <c r="Q33" s="83"/>
      <c r="R33" s="83"/>
    </row>
    <row r="34" spans="1:18">
      <c r="A34" s="83">
        <v>29</v>
      </c>
      <c r="B34" s="83" t="s">
        <v>137</v>
      </c>
      <c r="C34" s="83" t="s">
        <v>54</v>
      </c>
      <c r="D34" s="83" t="s">
        <v>67</v>
      </c>
      <c r="E34" s="83" t="s">
        <v>27</v>
      </c>
      <c r="F34" s="83" t="s">
        <v>55</v>
      </c>
      <c r="G34" s="92"/>
      <c r="H34" s="83" t="s">
        <v>27</v>
      </c>
      <c r="I34" s="92"/>
      <c r="J34" s="83"/>
      <c r="K34" s="83"/>
      <c r="L34" s="83"/>
      <c r="M34" s="83"/>
      <c r="N34" s="83"/>
      <c r="O34" s="83"/>
      <c r="P34" s="83"/>
      <c r="Q34" s="83"/>
      <c r="R34" s="83"/>
    </row>
    <row r="35" spans="1:18">
      <c r="A35" s="83">
        <v>30</v>
      </c>
      <c r="B35" s="83" t="s">
        <v>138</v>
      </c>
      <c r="C35" s="83" t="s">
        <v>54</v>
      </c>
      <c r="D35" s="83" t="s">
        <v>56</v>
      </c>
      <c r="E35" s="83" t="s">
        <v>27</v>
      </c>
      <c r="F35" s="83" t="s">
        <v>68</v>
      </c>
      <c r="G35" s="92"/>
      <c r="H35" s="83" t="s">
        <v>27</v>
      </c>
      <c r="I35" s="92"/>
      <c r="J35" s="83"/>
      <c r="K35" s="83"/>
      <c r="L35" s="83"/>
      <c r="M35" s="83"/>
      <c r="N35" s="83"/>
      <c r="O35" s="83"/>
      <c r="P35" s="83"/>
      <c r="Q35" s="83"/>
      <c r="R35" s="83"/>
    </row>
    <row r="36" spans="1:18">
      <c r="A36" s="83">
        <v>31</v>
      </c>
      <c r="B36" s="83" t="s">
        <v>139</v>
      </c>
      <c r="C36" s="83" t="s">
        <v>50</v>
      </c>
      <c r="D36" s="83" t="s">
        <v>59</v>
      </c>
      <c r="E36" s="83" t="s">
        <v>27</v>
      </c>
      <c r="F36" s="83" t="s">
        <v>52</v>
      </c>
      <c r="G36" s="92"/>
      <c r="H36" s="83" t="s">
        <v>27</v>
      </c>
      <c r="I36" s="92"/>
      <c r="J36" s="83"/>
      <c r="K36" s="83"/>
      <c r="L36" s="83"/>
      <c r="M36" s="83"/>
      <c r="N36" s="83"/>
      <c r="O36" s="83"/>
      <c r="P36" s="83"/>
      <c r="Q36" s="83"/>
      <c r="R36" s="83"/>
    </row>
    <row r="37" spans="1:18">
      <c r="A37" s="83">
        <v>32</v>
      </c>
      <c r="B37" s="83" t="s">
        <v>140</v>
      </c>
      <c r="C37" s="83" t="s">
        <v>50</v>
      </c>
      <c r="D37" s="83" t="s">
        <v>51</v>
      </c>
      <c r="E37" s="83" t="s">
        <v>27</v>
      </c>
      <c r="F37" s="83" t="s">
        <v>58</v>
      </c>
      <c r="G37" s="92"/>
      <c r="H37" s="83" t="s">
        <v>27</v>
      </c>
      <c r="I37" s="92"/>
      <c r="J37" s="83"/>
      <c r="K37" s="83"/>
      <c r="L37" s="83"/>
      <c r="M37" s="83"/>
      <c r="N37" s="83"/>
      <c r="O37" s="83"/>
      <c r="P37" s="83"/>
      <c r="Q37" s="83"/>
      <c r="R37" s="83"/>
    </row>
    <row r="38" spans="1:18">
      <c r="A38" s="83">
        <v>33</v>
      </c>
      <c r="B38" s="83" t="s">
        <v>141</v>
      </c>
      <c r="C38" s="83" t="s">
        <v>73</v>
      </c>
      <c r="D38" s="83" t="s">
        <v>77</v>
      </c>
      <c r="E38" s="83" t="s">
        <v>27</v>
      </c>
      <c r="F38" s="83" t="s">
        <v>74</v>
      </c>
      <c r="G38" s="92"/>
      <c r="H38" s="83" t="s">
        <v>27</v>
      </c>
      <c r="I38" s="92"/>
      <c r="J38" s="83"/>
      <c r="K38" s="83"/>
      <c r="L38" s="83"/>
      <c r="M38" s="83"/>
      <c r="N38" s="83"/>
      <c r="O38" s="83"/>
      <c r="P38" s="83"/>
      <c r="Q38" s="83"/>
      <c r="R38" s="83"/>
    </row>
    <row r="39" spans="1:18">
      <c r="A39" s="83">
        <v>34</v>
      </c>
      <c r="B39" s="83" t="s">
        <v>142</v>
      </c>
      <c r="C39" s="83" t="s">
        <v>73</v>
      </c>
      <c r="D39" s="83" t="s">
        <v>75</v>
      </c>
      <c r="E39" s="83" t="s">
        <v>27</v>
      </c>
      <c r="F39" s="83" t="s">
        <v>78</v>
      </c>
      <c r="G39" s="92"/>
      <c r="H39" s="83" t="s">
        <v>27</v>
      </c>
      <c r="I39" s="92"/>
      <c r="J39" s="83"/>
      <c r="K39" s="83"/>
      <c r="L39" s="83"/>
      <c r="M39" s="83"/>
      <c r="N39" s="83"/>
      <c r="O39" s="83"/>
      <c r="P39" s="83"/>
      <c r="Q39" s="83"/>
      <c r="R39" s="83"/>
    </row>
    <row r="40" spans="1:18">
      <c r="A40" s="83">
        <v>35</v>
      </c>
      <c r="B40" s="83" t="s">
        <v>143</v>
      </c>
      <c r="C40" s="83" t="s">
        <v>80</v>
      </c>
      <c r="D40" s="83" t="s">
        <v>81</v>
      </c>
      <c r="E40" s="83" t="s">
        <v>27</v>
      </c>
      <c r="F40" s="83" t="s">
        <v>84</v>
      </c>
      <c r="G40" s="92"/>
      <c r="H40" s="83" t="s">
        <v>27</v>
      </c>
      <c r="I40" s="92"/>
      <c r="J40" s="83"/>
      <c r="K40" s="83"/>
      <c r="L40" s="83"/>
      <c r="M40" s="83"/>
      <c r="N40" s="83"/>
      <c r="O40" s="83"/>
      <c r="P40" s="83"/>
      <c r="Q40" s="83"/>
      <c r="R40" s="83"/>
    </row>
    <row r="41" spans="1:18">
      <c r="A41" s="83">
        <v>36</v>
      </c>
      <c r="B41" s="83" t="s">
        <v>144</v>
      </c>
      <c r="C41" s="83" t="s">
        <v>80</v>
      </c>
      <c r="D41" s="83" t="s">
        <v>85</v>
      </c>
      <c r="E41" s="83" t="s">
        <v>27</v>
      </c>
      <c r="F41" s="83" t="s">
        <v>82</v>
      </c>
      <c r="G41" s="92"/>
      <c r="H41" s="83" t="s">
        <v>27</v>
      </c>
      <c r="I41" s="92"/>
      <c r="J41" s="83"/>
      <c r="K41" s="83"/>
      <c r="L41" s="83"/>
      <c r="M41" s="83"/>
      <c r="N41" s="83"/>
      <c r="O41" s="83"/>
      <c r="P41" s="83"/>
      <c r="Q41" s="83"/>
      <c r="R41" s="83"/>
    </row>
    <row r="42" spans="1:18">
      <c r="A42" s="83">
        <v>37</v>
      </c>
      <c r="B42" s="83" t="s">
        <v>145</v>
      </c>
      <c r="C42" s="83" t="s">
        <v>87</v>
      </c>
      <c r="D42" s="83" t="s">
        <v>89</v>
      </c>
      <c r="E42" s="83" t="s">
        <v>27</v>
      </c>
      <c r="F42" s="83" t="s">
        <v>93</v>
      </c>
      <c r="G42" s="92"/>
      <c r="H42" s="83" t="s">
        <v>27</v>
      </c>
      <c r="I42" s="92"/>
      <c r="J42" s="83"/>
      <c r="K42" s="83"/>
      <c r="L42" s="83"/>
      <c r="M42" s="83"/>
      <c r="N42" s="83"/>
      <c r="O42" s="83"/>
      <c r="P42" s="83"/>
      <c r="Q42" s="83"/>
      <c r="R42" s="83"/>
    </row>
    <row r="43" spans="1:18">
      <c r="A43" s="83">
        <v>38</v>
      </c>
      <c r="B43" s="83" t="s">
        <v>146</v>
      </c>
      <c r="C43" s="83" t="s">
        <v>87</v>
      </c>
      <c r="D43" s="83" t="s">
        <v>92</v>
      </c>
      <c r="E43" s="83" t="s">
        <v>27</v>
      </c>
      <c r="F43" s="83" t="s">
        <v>88</v>
      </c>
      <c r="G43" s="92"/>
      <c r="H43" s="83" t="s">
        <v>27</v>
      </c>
      <c r="I43" s="92"/>
      <c r="J43" s="83"/>
      <c r="K43" s="83"/>
      <c r="L43" s="83"/>
      <c r="M43" s="83"/>
      <c r="N43" s="83"/>
      <c r="O43" s="83"/>
      <c r="P43" s="83"/>
      <c r="Q43" s="83"/>
      <c r="R43" s="83"/>
    </row>
    <row r="44" spans="1:18">
      <c r="A44" s="83">
        <v>39</v>
      </c>
      <c r="B44" s="83" t="s">
        <v>147</v>
      </c>
      <c r="C44" s="83" t="s">
        <v>95</v>
      </c>
      <c r="D44" s="83" t="s">
        <v>100</v>
      </c>
      <c r="E44" s="83" t="s">
        <v>27</v>
      </c>
      <c r="F44" s="83" t="s">
        <v>96</v>
      </c>
      <c r="G44" s="92"/>
      <c r="H44" s="83" t="s">
        <v>27</v>
      </c>
      <c r="I44" s="92"/>
      <c r="J44" s="83"/>
      <c r="K44" s="83"/>
      <c r="L44" s="83"/>
      <c r="M44" s="83"/>
      <c r="N44" s="83"/>
      <c r="O44" s="83"/>
      <c r="P44" s="83"/>
      <c r="Q44" s="83"/>
      <c r="R44" s="83"/>
    </row>
    <row r="45" spans="1:18">
      <c r="A45" s="83">
        <v>40</v>
      </c>
      <c r="B45" s="83" t="s">
        <v>148</v>
      </c>
      <c r="C45" s="83" t="s">
        <v>95</v>
      </c>
      <c r="D45" s="83" t="s">
        <v>97</v>
      </c>
      <c r="E45" s="83" t="s">
        <v>27</v>
      </c>
      <c r="F45" s="83" t="s">
        <v>101</v>
      </c>
      <c r="G45" s="92"/>
      <c r="H45" s="83" t="s">
        <v>27</v>
      </c>
      <c r="I45" s="92"/>
      <c r="J45" s="83"/>
      <c r="K45" s="83"/>
      <c r="L45" s="83"/>
      <c r="M45" s="83"/>
      <c r="N45" s="83"/>
      <c r="O45" s="83"/>
      <c r="P45" s="83"/>
      <c r="Q45" s="83"/>
      <c r="R45" s="83"/>
    </row>
    <row r="46" spans="1:18">
      <c r="A46" s="83">
        <v>41</v>
      </c>
      <c r="B46" s="83" t="s">
        <v>149</v>
      </c>
      <c r="C46" s="83" t="s">
        <v>104</v>
      </c>
      <c r="D46" s="83" t="s">
        <v>109</v>
      </c>
      <c r="E46" s="83" t="s">
        <v>27</v>
      </c>
      <c r="F46" s="83" t="s">
        <v>106</v>
      </c>
      <c r="G46" s="92"/>
      <c r="H46" s="83" t="s">
        <v>27</v>
      </c>
      <c r="I46" s="92"/>
      <c r="J46" s="83"/>
      <c r="K46" s="83"/>
      <c r="L46" s="83"/>
      <c r="M46" s="83"/>
      <c r="N46" s="83"/>
      <c r="O46" s="83"/>
      <c r="P46" s="83"/>
      <c r="Q46" s="83"/>
      <c r="R46" s="83"/>
    </row>
    <row r="47" spans="1:18">
      <c r="A47" s="83">
        <v>42</v>
      </c>
      <c r="B47" s="83" t="s">
        <v>150</v>
      </c>
      <c r="C47" s="83" t="s">
        <v>104</v>
      </c>
      <c r="D47" s="83" t="s">
        <v>105</v>
      </c>
      <c r="E47" s="83" t="s">
        <v>27</v>
      </c>
      <c r="F47" s="83" t="s">
        <v>108</v>
      </c>
      <c r="G47" s="92"/>
      <c r="H47" s="83" t="s">
        <v>27</v>
      </c>
      <c r="I47" s="92"/>
      <c r="J47" s="83"/>
      <c r="K47" s="83"/>
      <c r="L47" s="83"/>
      <c r="M47" s="83"/>
      <c r="N47" s="83"/>
      <c r="O47" s="83"/>
      <c r="P47" s="83"/>
      <c r="Q47" s="83"/>
      <c r="R47" s="83"/>
    </row>
    <row r="48" spans="1:18">
      <c r="A48" s="83">
        <v>43</v>
      </c>
      <c r="B48" s="83" t="s">
        <v>151</v>
      </c>
      <c r="C48" s="83" t="s">
        <v>112</v>
      </c>
      <c r="D48" s="83" t="s">
        <v>113</v>
      </c>
      <c r="E48" s="83" t="s">
        <v>27</v>
      </c>
      <c r="F48" s="83" t="s">
        <v>117</v>
      </c>
      <c r="G48" s="92"/>
      <c r="H48" s="83" t="s">
        <v>27</v>
      </c>
      <c r="I48" s="92"/>
      <c r="J48" s="83"/>
      <c r="K48" s="83"/>
      <c r="L48" s="83"/>
      <c r="M48" s="83"/>
      <c r="N48" s="83"/>
      <c r="O48" s="83"/>
      <c r="P48" s="83"/>
      <c r="Q48" s="83"/>
      <c r="R48" s="83"/>
    </row>
    <row r="49" spans="1:18">
      <c r="A49" s="83">
        <v>44</v>
      </c>
      <c r="B49" s="83" t="s">
        <v>152</v>
      </c>
      <c r="C49" s="83" t="s">
        <v>112</v>
      </c>
      <c r="D49" s="83" t="s">
        <v>118</v>
      </c>
      <c r="E49" s="83" t="s">
        <v>27</v>
      </c>
      <c r="F49" s="83" t="s">
        <v>114</v>
      </c>
      <c r="G49" s="92"/>
      <c r="H49" s="83" t="s">
        <v>27</v>
      </c>
      <c r="I49" s="92"/>
      <c r="J49" s="83"/>
      <c r="K49" s="83"/>
      <c r="L49" s="83"/>
      <c r="M49" s="83"/>
      <c r="N49" s="83"/>
      <c r="O49" s="83"/>
      <c r="P49" s="83"/>
      <c r="Q49" s="83"/>
      <c r="R49" s="83"/>
    </row>
    <row r="50" spans="1:18">
      <c r="A50" s="83">
        <v>45</v>
      </c>
      <c r="B50" s="83" t="s">
        <v>153</v>
      </c>
      <c r="C50" s="83" t="s">
        <v>120</v>
      </c>
      <c r="D50" s="83" t="s">
        <v>124</v>
      </c>
      <c r="E50" s="83" t="s">
        <v>27</v>
      </c>
      <c r="F50" s="83" t="s">
        <v>121</v>
      </c>
      <c r="G50" s="92"/>
      <c r="H50" s="83" t="s">
        <v>27</v>
      </c>
      <c r="I50" s="92"/>
      <c r="J50" s="83"/>
      <c r="K50" s="83"/>
      <c r="L50" s="83"/>
      <c r="M50" s="83"/>
      <c r="N50" s="83"/>
      <c r="O50" s="83"/>
      <c r="P50" s="83"/>
      <c r="Q50" s="83"/>
      <c r="R50" s="83"/>
    </row>
    <row r="51" spans="1:18">
      <c r="A51" s="83">
        <v>46</v>
      </c>
      <c r="B51" s="83" t="s">
        <v>154</v>
      </c>
      <c r="C51" s="83" t="s">
        <v>120</v>
      </c>
      <c r="D51" s="83" t="s">
        <v>122</v>
      </c>
      <c r="E51" s="83" t="s">
        <v>27</v>
      </c>
      <c r="F51" s="83" t="s">
        <v>125</v>
      </c>
      <c r="G51" s="92"/>
      <c r="H51" s="83" t="s">
        <v>27</v>
      </c>
      <c r="I51" s="92"/>
      <c r="J51" s="83"/>
      <c r="K51" s="83"/>
      <c r="L51" s="83"/>
      <c r="M51" s="83"/>
      <c r="N51" s="83"/>
      <c r="O51" s="83"/>
      <c r="P51" s="83"/>
      <c r="Q51" s="83"/>
      <c r="R51" s="83"/>
    </row>
    <row r="52" spans="1:18">
      <c r="A52" s="83">
        <v>47</v>
      </c>
      <c r="B52" s="83" t="s">
        <v>155</v>
      </c>
      <c r="C52" s="83" t="s">
        <v>127</v>
      </c>
      <c r="D52" s="83" t="s">
        <v>128</v>
      </c>
      <c r="E52" s="83" t="s">
        <v>27</v>
      </c>
      <c r="F52" s="83" t="s">
        <v>131</v>
      </c>
      <c r="G52" s="92"/>
      <c r="H52" s="83" t="s">
        <v>27</v>
      </c>
      <c r="I52" s="92"/>
      <c r="J52" s="83"/>
      <c r="K52" s="83"/>
      <c r="L52" s="83"/>
      <c r="M52" s="83"/>
      <c r="N52" s="83"/>
      <c r="O52" s="83"/>
      <c r="P52" s="83"/>
      <c r="Q52" s="83"/>
      <c r="R52" s="83"/>
    </row>
    <row r="53" spans="1:18">
      <c r="A53" s="83">
        <v>48</v>
      </c>
      <c r="B53" s="83" t="s">
        <v>156</v>
      </c>
      <c r="C53" s="83" t="s">
        <v>127</v>
      </c>
      <c r="D53" s="83" t="s">
        <v>132</v>
      </c>
      <c r="E53" s="83" t="s">
        <v>27</v>
      </c>
      <c r="F53" s="83" t="s">
        <v>129</v>
      </c>
      <c r="G53" s="92"/>
      <c r="H53" s="83" t="s">
        <v>27</v>
      </c>
      <c r="I53" s="92"/>
      <c r="J53" s="83"/>
      <c r="K53" s="83"/>
      <c r="L53" s="83"/>
      <c r="M53" s="83"/>
      <c r="N53" s="83"/>
      <c r="O53" s="83"/>
      <c r="P53" s="83"/>
      <c r="Q53" s="83"/>
      <c r="R53" s="83"/>
    </row>
    <row r="54" spans="1:18">
      <c r="A54" s="83">
        <v>49</v>
      </c>
      <c r="B54" s="83" t="s">
        <v>157</v>
      </c>
      <c r="C54" s="83" t="s">
        <v>54</v>
      </c>
      <c r="D54" s="83" t="s">
        <v>56</v>
      </c>
      <c r="E54" s="83" t="s">
        <v>27</v>
      </c>
      <c r="F54" s="83" t="s">
        <v>67</v>
      </c>
      <c r="G54" s="92"/>
      <c r="H54" s="83" t="s">
        <v>27</v>
      </c>
      <c r="I54" s="92"/>
      <c r="J54" s="83"/>
      <c r="K54" s="83"/>
      <c r="L54" s="83"/>
      <c r="M54" s="83"/>
      <c r="N54" s="83"/>
      <c r="O54" s="83"/>
      <c r="P54" s="83"/>
      <c r="Q54" s="83"/>
      <c r="R54" s="83"/>
    </row>
    <row r="55" spans="1:18">
      <c r="A55" s="83">
        <v>50</v>
      </c>
      <c r="B55" s="83" t="s">
        <v>157</v>
      </c>
      <c r="C55" s="83" t="s">
        <v>54</v>
      </c>
      <c r="D55" s="83" t="s">
        <v>68</v>
      </c>
      <c r="E55" s="83" t="s">
        <v>27</v>
      </c>
      <c r="F55" s="83" t="s">
        <v>55</v>
      </c>
      <c r="G55" s="92"/>
      <c r="H55" s="83" t="s">
        <v>27</v>
      </c>
      <c r="I55" s="92"/>
      <c r="J55" s="83"/>
      <c r="K55" s="83"/>
      <c r="L55" s="83"/>
      <c r="M55" s="83"/>
      <c r="N55" s="83"/>
      <c r="O55" s="83"/>
      <c r="P55" s="83"/>
      <c r="Q55" s="83"/>
      <c r="R55" s="83"/>
    </row>
    <row r="56" spans="1:18">
      <c r="A56" s="83">
        <v>51</v>
      </c>
      <c r="B56" s="83" t="s">
        <v>158</v>
      </c>
      <c r="C56" s="83" t="s">
        <v>46</v>
      </c>
      <c r="D56" s="83" t="s">
        <v>71</v>
      </c>
      <c r="E56" s="83" t="s">
        <v>27</v>
      </c>
      <c r="F56" s="83" t="s">
        <v>47</v>
      </c>
      <c r="G56" s="92"/>
      <c r="H56" s="83" t="s">
        <v>27</v>
      </c>
      <c r="I56" s="92"/>
      <c r="J56" s="83"/>
      <c r="K56" s="83"/>
      <c r="L56" s="83"/>
      <c r="M56" s="83"/>
      <c r="N56" s="83"/>
      <c r="O56" s="83"/>
      <c r="P56" s="83"/>
      <c r="Q56" s="83"/>
      <c r="R56" s="83"/>
    </row>
    <row r="57" spans="1:18">
      <c r="A57" s="83">
        <v>52</v>
      </c>
      <c r="B57" s="83" t="s">
        <v>158</v>
      </c>
      <c r="C57" s="83" t="s">
        <v>46</v>
      </c>
      <c r="D57" s="83" t="s">
        <v>48</v>
      </c>
      <c r="E57" s="83" t="s">
        <v>27</v>
      </c>
      <c r="F57" s="83" t="s">
        <v>70</v>
      </c>
      <c r="G57" s="92"/>
      <c r="H57" s="83" t="s">
        <v>27</v>
      </c>
      <c r="I57" s="92"/>
      <c r="J57" s="83"/>
      <c r="K57" s="83"/>
      <c r="L57" s="83"/>
      <c r="M57" s="83"/>
      <c r="N57" s="83"/>
      <c r="O57" s="83"/>
      <c r="P57" s="83"/>
      <c r="Q57" s="83"/>
      <c r="R57" s="83"/>
    </row>
    <row r="58" spans="1:18">
      <c r="A58" s="83">
        <v>53</v>
      </c>
      <c r="B58" s="83" t="s">
        <v>159</v>
      </c>
      <c r="C58" s="83" t="s">
        <v>39</v>
      </c>
      <c r="D58" s="83" t="s">
        <v>44</v>
      </c>
      <c r="E58" s="83" t="s">
        <v>27</v>
      </c>
      <c r="F58" s="83" t="s">
        <v>40</v>
      </c>
      <c r="G58" s="92"/>
      <c r="H58" s="83" t="s">
        <v>27</v>
      </c>
      <c r="I58" s="92"/>
      <c r="J58" s="83"/>
      <c r="K58" s="83"/>
      <c r="L58" s="83"/>
      <c r="M58" s="83"/>
      <c r="N58" s="83"/>
      <c r="O58" s="83"/>
      <c r="P58" s="83"/>
      <c r="Q58" s="83"/>
      <c r="R58" s="83"/>
    </row>
    <row r="59" spans="1:18">
      <c r="A59" s="83">
        <v>54</v>
      </c>
      <c r="B59" s="83" t="s">
        <v>159</v>
      </c>
      <c r="C59" s="83" t="s">
        <v>39</v>
      </c>
      <c r="D59" s="83" t="s">
        <v>41</v>
      </c>
      <c r="E59" s="83" t="s">
        <v>27</v>
      </c>
      <c r="F59" s="83" t="s">
        <v>43</v>
      </c>
      <c r="G59" s="92"/>
      <c r="H59" s="83" t="s">
        <v>27</v>
      </c>
      <c r="I59" s="92"/>
      <c r="J59" s="83"/>
      <c r="K59" s="83"/>
      <c r="L59" s="83"/>
      <c r="M59" s="83"/>
      <c r="N59" s="83"/>
      <c r="O59" s="83"/>
      <c r="P59" s="83"/>
      <c r="Q59" s="83"/>
      <c r="R59" s="83"/>
    </row>
    <row r="60" spans="1:18">
      <c r="A60" s="83">
        <v>55</v>
      </c>
      <c r="B60" s="83" t="s">
        <v>160</v>
      </c>
      <c r="C60" s="83" t="s">
        <v>73</v>
      </c>
      <c r="D60" s="83" t="s">
        <v>78</v>
      </c>
      <c r="E60" s="83" t="s">
        <v>27</v>
      </c>
      <c r="F60" s="83" t="s">
        <v>74</v>
      </c>
      <c r="G60" s="92"/>
      <c r="H60" s="83" t="s">
        <v>27</v>
      </c>
      <c r="I60" s="92"/>
      <c r="J60" s="83"/>
      <c r="K60" s="83"/>
      <c r="L60" s="83"/>
      <c r="M60" s="83"/>
      <c r="N60" s="83"/>
      <c r="O60" s="83"/>
      <c r="P60" s="83"/>
      <c r="Q60" s="83"/>
      <c r="R60" s="83"/>
    </row>
    <row r="61" spans="1:18">
      <c r="A61" s="83">
        <v>56</v>
      </c>
      <c r="B61" s="83" t="s">
        <v>160</v>
      </c>
      <c r="C61" s="83" t="s">
        <v>73</v>
      </c>
      <c r="D61" s="83" t="s">
        <v>75</v>
      </c>
      <c r="E61" s="83" t="s">
        <v>27</v>
      </c>
      <c r="F61" s="83" t="s">
        <v>77</v>
      </c>
      <c r="G61" s="92"/>
      <c r="H61" s="83" t="s">
        <v>27</v>
      </c>
      <c r="I61" s="92"/>
      <c r="J61" s="83"/>
      <c r="K61" s="83"/>
      <c r="L61" s="83"/>
      <c r="M61" s="83"/>
      <c r="N61" s="83"/>
      <c r="O61" s="83"/>
      <c r="P61" s="83"/>
      <c r="Q61" s="83"/>
      <c r="R61" s="83"/>
    </row>
    <row r="62" spans="1:18">
      <c r="A62" s="83">
        <v>57</v>
      </c>
      <c r="B62" s="83" t="s">
        <v>161</v>
      </c>
      <c r="C62" s="83" t="s">
        <v>80</v>
      </c>
      <c r="D62" s="83" t="s">
        <v>82</v>
      </c>
      <c r="E62" s="83" t="s">
        <v>27</v>
      </c>
      <c r="F62" s="83" t="s">
        <v>84</v>
      </c>
      <c r="G62" s="92"/>
      <c r="H62" s="83" t="s">
        <v>27</v>
      </c>
      <c r="I62" s="92"/>
      <c r="J62" s="83"/>
      <c r="K62" s="83"/>
      <c r="L62" s="83"/>
      <c r="M62" s="83"/>
      <c r="N62" s="83"/>
      <c r="O62" s="83"/>
      <c r="P62" s="83"/>
      <c r="Q62" s="83"/>
      <c r="R62" s="83"/>
    </row>
    <row r="63" spans="1:18">
      <c r="A63" s="83">
        <v>58</v>
      </c>
      <c r="B63" s="83" t="s">
        <v>161</v>
      </c>
      <c r="C63" s="83" t="s">
        <v>80</v>
      </c>
      <c r="D63" s="83" t="s">
        <v>85</v>
      </c>
      <c r="E63" s="83" t="s">
        <v>27</v>
      </c>
      <c r="F63" s="83" t="s">
        <v>81</v>
      </c>
      <c r="G63" s="92"/>
      <c r="H63" s="83" t="s">
        <v>27</v>
      </c>
      <c r="I63" s="92"/>
      <c r="J63" s="83"/>
      <c r="K63" s="83"/>
      <c r="L63" s="83"/>
      <c r="M63" s="83"/>
      <c r="N63" s="83"/>
      <c r="O63" s="83"/>
      <c r="P63" s="83"/>
      <c r="Q63" s="83"/>
      <c r="R63" s="83"/>
    </row>
    <row r="64" spans="1:18">
      <c r="A64" s="83">
        <v>59</v>
      </c>
      <c r="B64" s="83" t="s">
        <v>162</v>
      </c>
      <c r="C64" s="83" t="s">
        <v>50</v>
      </c>
      <c r="D64" s="83" t="s">
        <v>59</v>
      </c>
      <c r="E64" s="83" t="s">
        <v>27</v>
      </c>
      <c r="F64" s="83" t="s">
        <v>51</v>
      </c>
      <c r="G64" s="92"/>
      <c r="H64" s="83" t="s">
        <v>27</v>
      </c>
      <c r="I64" s="92"/>
      <c r="J64" s="83"/>
      <c r="K64" s="83"/>
      <c r="L64" s="83"/>
      <c r="M64" s="83"/>
      <c r="N64" s="83"/>
      <c r="O64" s="83"/>
      <c r="P64" s="83"/>
      <c r="Q64" s="83"/>
      <c r="R64" s="83"/>
    </row>
    <row r="65" spans="1:18">
      <c r="A65" s="83">
        <v>60</v>
      </c>
      <c r="B65" s="83" t="s">
        <v>162</v>
      </c>
      <c r="C65" s="83" t="s">
        <v>50</v>
      </c>
      <c r="D65" s="83" t="s">
        <v>52</v>
      </c>
      <c r="E65" s="83" t="s">
        <v>27</v>
      </c>
      <c r="F65" s="83" t="s">
        <v>58</v>
      </c>
      <c r="G65" s="92"/>
      <c r="H65" s="83" t="s">
        <v>27</v>
      </c>
      <c r="I65" s="92"/>
      <c r="J65" s="83"/>
      <c r="K65" s="83"/>
      <c r="L65" s="83"/>
      <c r="M65" s="83"/>
      <c r="N65" s="83"/>
      <c r="O65" s="83"/>
      <c r="P65" s="83"/>
      <c r="Q65" s="83"/>
      <c r="R65" s="83"/>
    </row>
    <row r="66" spans="1:18">
      <c r="A66" s="83">
        <v>61</v>
      </c>
      <c r="B66" s="83" t="s">
        <v>163</v>
      </c>
      <c r="C66" s="83" t="s">
        <v>104</v>
      </c>
      <c r="D66" s="83" t="s">
        <v>109</v>
      </c>
      <c r="E66" s="83" t="s">
        <v>27</v>
      </c>
      <c r="F66" s="83" t="s">
        <v>105</v>
      </c>
      <c r="G66" s="92"/>
      <c r="H66" s="83" t="s">
        <v>27</v>
      </c>
      <c r="I66" s="92"/>
      <c r="J66" s="83"/>
      <c r="K66" s="83"/>
      <c r="L66" s="83"/>
      <c r="M66" s="83"/>
      <c r="N66" s="83"/>
      <c r="O66" s="83"/>
      <c r="P66" s="83"/>
      <c r="Q66" s="83"/>
      <c r="R66" s="83"/>
    </row>
    <row r="67" spans="1:18">
      <c r="A67" s="83">
        <v>62</v>
      </c>
      <c r="B67" s="83" t="s">
        <v>163</v>
      </c>
      <c r="C67" s="83" t="s">
        <v>104</v>
      </c>
      <c r="D67" s="83" t="s">
        <v>106</v>
      </c>
      <c r="E67" s="83" t="s">
        <v>27</v>
      </c>
      <c r="F67" s="83" t="s">
        <v>108</v>
      </c>
      <c r="G67" s="92"/>
      <c r="H67" s="83" t="s">
        <v>27</v>
      </c>
      <c r="I67" s="92"/>
      <c r="J67" s="83"/>
      <c r="K67" s="83"/>
      <c r="L67" s="83"/>
      <c r="M67" s="83"/>
      <c r="N67" s="83"/>
      <c r="O67" s="83"/>
      <c r="P67" s="83"/>
      <c r="Q67" s="83"/>
      <c r="R67" s="83"/>
    </row>
    <row r="68" spans="1:18">
      <c r="A68" s="83">
        <v>63</v>
      </c>
      <c r="B68" s="83" t="s">
        <v>164</v>
      </c>
      <c r="C68" s="83" t="s">
        <v>95</v>
      </c>
      <c r="D68" s="83" t="s">
        <v>101</v>
      </c>
      <c r="E68" s="83" t="s">
        <v>27</v>
      </c>
      <c r="F68" s="83" t="s">
        <v>96</v>
      </c>
      <c r="G68" s="92"/>
      <c r="H68" s="83" t="s">
        <v>27</v>
      </c>
      <c r="I68" s="92"/>
      <c r="J68" s="83"/>
      <c r="K68" s="83"/>
      <c r="L68" s="83"/>
      <c r="M68" s="83"/>
      <c r="N68" s="83"/>
      <c r="O68" s="83"/>
      <c r="P68" s="83"/>
      <c r="Q68" s="83"/>
      <c r="R68" s="83"/>
    </row>
    <row r="69" spans="1:18">
      <c r="A69" s="83">
        <v>64</v>
      </c>
      <c r="B69" s="83" t="s">
        <v>164</v>
      </c>
      <c r="C69" s="83" t="s">
        <v>95</v>
      </c>
      <c r="D69" s="83" t="s">
        <v>97</v>
      </c>
      <c r="E69" s="83" t="s">
        <v>27</v>
      </c>
      <c r="F69" s="83" t="s">
        <v>100</v>
      </c>
      <c r="G69" s="92"/>
      <c r="H69" s="83" t="s">
        <v>27</v>
      </c>
      <c r="I69" s="92"/>
      <c r="J69" s="83"/>
      <c r="K69" s="83"/>
      <c r="L69" s="83"/>
      <c r="M69" s="83"/>
      <c r="N69" s="83"/>
      <c r="O69" s="83"/>
      <c r="P69" s="83"/>
      <c r="Q69" s="83"/>
      <c r="R69" s="83"/>
    </row>
    <row r="70" spans="1:18">
      <c r="A70" s="83">
        <v>65</v>
      </c>
      <c r="B70" s="83" t="s">
        <v>165</v>
      </c>
      <c r="C70" s="83" t="s">
        <v>87</v>
      </c>
      <c r="D70" s="83" t="s">
        <v>93</v>
      </c>
      <c r="E70" s="83" t="s">
        <v>27</v>
      </c>
      <c r="F70" s="83" t="s">
        <v>88</v>
      </c>
      <c r="G70" s="92"/>
      <c r="H70" s="83" t="s">
        <v>27</v>
      </c>
      <c r="I70" s="92"/>
      <c r="J70" s="83"/>
      <c r="K70" s="83"/>
      <c r="L70" s="83"/>
      <c r="M70" s="83"/>
      <c r="N70" s="83"/>
      <c r="O70" s="83"/>
      <c r="P70" s="83"/>
      <c r="Q70" s="83"/>
      <c r="R70" s="83"/>
    </row>
    <row r="71" spans="1:18">
      <c r="A71" s="83">
        <v>66</v>
      </c>
      <c r="B71" s="83" t="s">
        <v>165</v>
      </c>
      <c r="C71" s="83" t="s">
        <v>87</v>
      </c>
      <c r="D71" s="83" t="s">
        <v>89</v>
      </c>
      <c r="E71" s="83" t="s">
        <v>27</v>
      </c>
      <c r="F71" s="83" t="s">
        <v>92</v>
      </c>
      <c r="G71" s="92"/>
      <c r="H71" s="83" t="s">
        <v>27</v>
      </c>
      <c r="I71" s="92"/>
      <c r="J71" s="83"/>
      <c r="K71" s="83"/>
      <c r="L71" s="83"/>
      <c r="M71" s="83"/>
      <c r="N71" s="83"/>
      <c r="O71" s="83"/>
      <c r="P71" s="83"/>
      <c r="Q71" s="83"/>
      <c r="R71" s="83"/>
    </row>
    <row r="72" spans="1:18">
      <c r="A72" s="83">
        <v>67</v>
      </c>
      <c r="B72" s="83" t="s">
        <v>166</v>
      </c>
      <c r="C72" s="83" t="s">
        <v>120</v>
      </c>
      <c r="D72" s="83" t="s">
        <v>122</v>
      </c>
      <c r="E72" s="83" t="s">
        <v>27</v>
      </c>
      <c r="F72" s="83" t="s">
        <v>124</v>
      </c>
      <c r="G72" s="92"/>
      <c r="H72" s="83" t="s">
        <v>27</v>
      </c>
      <c r="I72" s="92"/>
      <c r="J72" s="83"/>
      <c r="K72" s="83"/>
      <c r="L72" s="83"/>
      <c r="M72" s="83"/>
      <c r="N72" s="83"/>
      <c r="O72" s="83"/>
      <c r="P72" s="83"/>
      <c r="Q72" s="83"/>
      <c r="R72" s="83"/>
    </row>
    <row r="73" spans="1:18">
      <c r="A73" s="83">
        <v>68</v>
      </c>
      <c r="B73" s="83" t="s">
        <v>166</v>
      </c>
      <c r="C73" s="83" t="s">
        <v>120</v>
      </c>
      <c r="D73" s="83" t="s">
        <v>125</v>
      </c>
      <c r="E73" s="83" t="s">
        <v>27</v>
      </c>
      <c r="F73" s="83" t="s">
        <v>121</v>
      </c>
      <c r="G73" s="92"/>
      <c r="H73" s="83" t="s">
        <v>27</v>
      </c>
      <c r="I73" s="92"/>
      <c r="J73" s="83"/>
      <c r="K73" s="83"/>
      <c r="L73" s="83"/>
      <c r="M73" s="83"/>
      <c r="N73" s="83"/>
      <c r="O73" s="83"/>
      <c r="P73" s="83"/>
      <c r="Q73" s="83"/>
      <c r="R73" s="83"/>
    </row>
    <row r="74" spans="1:18">
      <c r="A74" s="83">
        <v>69</v>
      </c>
      <c r="B74" s="83" t="s">
        <v>167</v>
      </c>
      <c r="C74" s="83" t="s">
        <v>112</v>
      </c>
      <c r="D74" s="83" t="s">
        <v>114</v>
      </c>
      <c r="E74" s="83" t="s">
        <v>27</v>
      </c>
      <c r="F74" s="83" t="s">
        <v>117</v>
      </c>
      <c r="G74" s="92"/>
      <c r="H74" s="83" t="s">
        <v>27</v>
      </c>
      <c r="I74" s="92"/>
      <c r="J74" s="83"/>
      <c r="K74" s="83"/>
      <c r="L74" s="83"/>
      <c r="M74" s="83"/>
      <c r="N74" s="83"/>
      <c r="O74" s="83"/>
      <c r="P74" s="83"/>
      <c r="Q74" s="83"/>
      <c r="R74" s="83"/>
    </row>
    <row r="75" spans="1:18">
      <c r="A75" s="83">
        <v>70</v>
      </c>
      <c r="B75" s="83" t="s">
        <v>167</v>
      </c>
      <c r="C75" s="83" t="s">
        <v>112</v>
      </c>
      <c r="D75" s="83" t="s">
        <v>118</v>
      </c>
      <c r="E75" s="83" t="s">
        <v>27</v>
      </c>
      <c r="F75" s="83" t="s">
        <v>113</v>
      </c>
      <c r="G75" s="92"/>
      <c r="H75" s="83" t="s">
        <v>27</v>
      </c>
      <c r="I75" s="92"/>
      <c r="J75" s="83"/>
      <c r="K75" s="83"/>
      <c r="L75" s="83"/>
      <c r="M75" s="83"/>
      <c r="N75" s="83"/>
      <c r="O75" s="83"/>
      <c r="P75" s="83"/>
      <c r="Q75" s="83"/>
      <c r="R75" s="83"/>
    </row>
    <row r="76" spans="1:18">
      <c r="A76" s="83">
        <v>71</v>
      </c>
      <c r="B76" s="83" t="s">
        <v>168</v>
      </c>
      <c r="C76" s="83" t="s">
        <v>127</v>
      </c>
      <c r="D76" s="83" t="s">
        <v>132</v>
      </c>
      <c r="E76" s="83" t="s">
        <v>27</v>
      </c>
      <c r="F76" s="83" t="s">
        <v>128</v>
      </c>
      <c r="G76" s="92"/>
      <c r="H76" s="83" t="s">
        <v>27</v>
      </c>
      <c r="I76" s="92"/>
      <c r="J76" s="83"/>
      <c r="K76" s="83"/>
      <c r="L76" s="83"/>
      <c r="M76" s="83"/>
      <c r="N76" s="83"/>
      <c r="O76" s="83"/>
      <c r="P76" s="83"/>
      <c r="Q76" s="83"/>
      <c r="R76" s="83"/>
    </row>
    <row r="77" spans="1:18">
      <c r="A77" s="83">
        <v>72</v>
      </c>
      <c r="B77" s="83" t="s">
        <v>168</v>
      </c>
      <c r="C77" s="83" t="s">
        <v>127</v>
      </c>
      <c r="D77" s="83" t="s">
        <v>129</v>
      </c>
      <c r="E77" s="83" t="s">
        <v>27</v>
      </c>
      <c r="F77" s="83" t="s">
        <v>131</v>
      </c>
      <c r="G77" s="92"/>
      <c r="H77" s="83" t="s">
        <v>27</v>
      </c>
      <c r="I77" s="92"/>
      <c r="J77" s="83"/>
      <c r="K77" s="83"/>
      <c r="L77" s="83"/>
      <c r="M77" s="83"/>
      <c r="N77" s="83"/>
      <c r="O77" s="83"/>
      <c r="P77" s="83"/>
      <c r="Q77" s="83"/>
      <c r="R77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5"/>
  <sheetViews>
    <sheetView workbookViewId="0"/>
  </sheetViews>
  <sheetFormatPr defaultRowHeight="15"/>
  <cols>
    <col min="1" max="1" width="8" customWidth="1"/>
    <col min="2" max="2" width="10" customWidth="1"/>
    <col min="3" max="3" width="24" customWidth="1"/>
    <col min="4" max="8" width="16" customWidth="1"/>
    <col min="10" max="10" width="72" customWidth="1"/>
  </cols>
  <sheetData>
    <row r="1" spans="1:10" ht="21" customHeight="1">
      <c r="A1" s="78" t="s">
        <v>0</v>
      </c>
      <c r="B1" s="78"/>
      <c r="C1" s="78"/>
      <c r="D1" s="78"/>
      <c r="E1" s="78"/>
      <c r="F1" s="78"/>
      <c r="G1" s="78"/>
      <c r="H1" s="78"/>
    </row>
    <row r="2" spans="1:10" ht="240" customHeight="1">
      <c r="A2" s="79" t="s">
        <v>1</v>
      </c>
      <c r="B2" s="79"/>
      <c r="C2" s="79"/>
      <c r="D2" s="79"/>
      <c r="E2" s="79"/>
      <c r="F2" s="79"/>
      <c r="G2" s="79"/>
      <c r="H2" s="79"/>
    </row>
    <row r="3" spans="1:10" ht="60" customHeight="1">
      <c r="A3" s="79" t="str">
        <f>"Pelattuja otteluita: "&amp;COUNTIFS(Tulokset!$G$6:$G$77,"&gt;=0",Tulokset!$I$6:$I$77,"&gt;=0")&amp;" / 72"</f>
        <v>Pelattuja otteluita: 0 / 72</v>
      </c>
      <c r="B3" s="79"/>
      <c r="C3" s="79"/>
      <c r="D3" s="79"/>
      <c r="E3" s="79"/>
      <c r="F3" s="79"/>
      <c r="G3" s="79"/>
      <c r="H3" s="79"/>
    </row>
    <row r="5" spans="1:10">
      <c r="A5" s="81" t="s">
        <v>2</v>
      </c>
      <c r="B5" s="81" t="s">
        <v>3</v>
      </c>
      <c r="C5" s="81" t="s">
        <v>4</v>
      </c>
      <c r="D5" s="81" t="s">
        <v>5</v>
      </c>
      <c r="E5" s="81" t="s">
        <v>6</v>
      </c>
      <c r="F5" s="81" t="s">
        <v>7</v>
      </c>
      <c r="G5" s="81" t="s">
        <v>8</v>
      </c>
      <c r="H5" s="81" t="s">
        <v>9</v>
      </c>
      <c r="J5" s="80" t="s">
        <v>10</v>
      </c>
    </row>
    <row r="6" spans="1:10" ht="30" customHeight="1">
      <c r="A6" s="93">
        <f t="shared" ref="A6:A45" ca="1" si="0">IF($G6="","",1+COUNTIFS($G$6:$G$45,"&gt;"&amp;$G6)+COUNTIFS($G$6:$G$45,$G6,$H$6:$H$45,"&gt;"&amp;$H6))</f>
        <v>1</v>
      </c>
      <c r="B6" s="93">
        <v>1</v>
      </c>
      <c r="C6" s="94" t="str">
        <f ca="1">IF(Laskenta!$B4="","",Laskenta!$B4)</f>
        <v>Mike Salmon</v>
      </c>
      <c r="D6" s="93">
        <f ca="1">IF($C6="","",Laskenta!$C4)</f>
        <v>0</v>
      </c>
      <c r="E6" s="93">
        <f ca="1">IF($C6="","",Laskenta!$D4)</f>
        <v>0</v>
      </c>
      <c r="F6" s="93">
        <f ca="1">IF($C6="","",Laskenta!$E4)</f>
        <v>0</v>
      </c>
      <c r="G6" s="93">
        <f ca="1">IF($C6="","",Laskenta!$F4)</f>
        <v>0</v>
      </c>
      <c r="H6" s="93">
        <f ca="1">IF($C6="","",Laskenta!$G4)</f>
        <v>0</v>
      </c>
      <c r="J6" s="90" t="s">
        <v>11</v>
      </c>
    </row>
    <row r="7" spans="1:10">
      <c r="A7" s="93">
        <f t="shared" ca="1" si="0"/>
        <v>1</v>
      </c>
      <c r="B7" s="93">
        <v>2</v>
      </c>
      <c r="C7" s="94" t="str">
        <f ca="1">IF(Laskenta!$B5="","",Laskenta!$B5)</f>
        <v>ArtsiKerho</v>
      </c>
      <c r="D7" s="93">
        <f ca="1">IF($C7="","",Laskenta!$C5)</f>
        <v>0</v>
      </c>
      <c r="E7" s="93">
        <f ca="1">IF($C7="","",Laskenta!$D5)</f>
        <v>0</v>
      </c>
      <c r="F7" s="93">
        <f ca="1">IF($C7="","",Laskenta!$E5)</f>
        <v>0</v>
      </c>
      <c r="G7" s="93">
        <f ca="1">IF($C7="","",Laskenta!$F5)</f>
        <v>0</v>
      </c>
      <c r="H7" s="93">
        <f ca="1">IF($C7="","",Laskenta!$G5)</f>
        <v>0</v>
      </c>
      <c r="J7" s="90"/>
    </row>
    <row r="8" spans="1:10">
      <c r="A8" s="93">
        <f t="shared" ca="1" si="0"/>
        <v>1</v>
      </c>
      <c r="B8" s="93">
        <v>3</v>
      </c>
      <c r="C8" s="94" t="str">
        <f ca="1">IF(Laskenta!$B6="","",Laskenta!$B6)</f>
        <v>Johnny Rotten</v>
      </c>
      <c r="D8" s="93">
        <f ca="1">IF($C8="","",Laskenta!$C6)</f>
        <v>0</v>
      </c>
      <c r="E8" s="93">
        <f ca="1">IF($C8="","",Laskenta!$D6)</f>
        <v>0</v>
      </c>
      <c r="F8" s="93">
        <f ca="1">IF($C8="","",Laskenta!$E6)</f>
        <v>0</v>
      </c>
      <c r="G8" s="93">
        <f ca="1">IF($C8="","",Laskenta!$F6)</f>
        <v>0</v>
      </c>
      <c r="H8" s="93">
        <f ca="1">IF($C8="","",Laskenta!$G6)</f>
        <v>0</v>
      </c>
      <c r="J8" s="91" t="s">
        <v>12</v>
      </c>
    </row>
    <row r="9" spans="1:10">
      <c r="A9" s="93">
        <f t="shared" ca="1" si="0"/>
        <v>1</v>
      </c>
      <c r="B9" s="93">
        <v>4</v>
      </c>
      <c r="C9" s="94" t="str">
        <f ca="1">IF(Laskenta!$B7="","",Laskenta!$B7)</f>
        <v>The Moka</v>
      </c>
      <c r="D9" s="93">
        <f ca="1">IF($C9="","",Laskenta!$C7)</f>
        <v>0</v>
      </c>
      <c r="E9" s="93">
        <f ca="1">IF($C9="","",Laskenta!$D7)</f>
        <v>0</v>
      </c>
      <c r="F9" s="93">
        <f ca="1">IF($C9="","",Laskenta!$E7)</f>
        <v>0</v>
      </c>
      <c r="G9" s="93">
        <f ca="1">IF($C9="","",Laskenta!$F7)</f>
        <v>0</v>
      </c>
      <c r="H9" s="93">
        <f ca="1">IF($C9="","",Laskenta!$G7)</f>
        <v>0</v>
      </c>
      <c r="J9" s="90" t="s">
        <v>13</v>
      </c>
    </row>
    <row r="10" spans="1:10" ht="30" customHeight="1">
      <c r="A10" s="93">
        <f t="shared" ca="1" si="0"/>
        <v>1</v>
      </c>
      <c r="B10" s="93">
        <v>5</v>
      </c>
      <c r="C10" s="94" t="str">
        <f ca="1">IF(Laskenta!$B8="","",Laskenta!$B8)</f>
        <v>Sedu</v>
      </c>
      <c r="D10" s="93">
        <f ca="1">IF($C10="","",Laskenta!$C8)</f>
        <v>0</v>
      </c>
      <c r="E10" s="93">
        <f ca="1">IF($C10="","",Laskenta!$D8)</f>
        <v>0</v>
      </c>
      <c r="F10" s="93">
        <f ca="1">IF($C10="","",Laskenta!$E8)</f>
        <v>0</v>
      </c>
      <c r="G10" s="93">
        <f ca="1">IF($C10="","",Laskenta!$F8)</f>
        <v>0</v>
      </c>
      <c r="H10" s="93">
        <f ca="1">IF($C10="","",Laskenta!$G8)</f>
        <v>0</v>
      </c>
      <c r="J10" s="90" t="s">
        <v>14</v>
      </c>
    </row>
    <row r="11" spans="1:10">
      <c r="A11" s="93">
        <f t="shared" ca="1" si="0"/>
        <v>1</v>
      </c>
      <c r="B11" s="93">
        <v>6</v>
      </c>
      <c r="C11" s="94" t="str">
        <f ca="1">IF(Laskenta!$B9="","",Laskenta!$B9)</f>
        <v>Pauli Koponen</v>
      </c>
      <c r="D11" s="93">
        <f ca="1">IF($C11="","",Laskenta!$C9)</f>
        <v>0</v>
      </c>
      <c r="E11" s="93">
        <f ca="1">IF($C11="","",Laskenta!$D9)</f>
        <v>0</v>
      </c>
      <c r="F11" s="93">
        <f ca="1">IF($C11="","",Laskenta!$E9)</f>
        <v>0</v>
      </c>
      <c r="G11" s="93">
        <f ca="1">IF($C11="","",Laskenta!$F9)</f>
        <v>0</v>
      </c>
      <c r="H11" s="93">
        <f ca="1">IF($C11="","",Laskenta!$G9)</f>
        <v>0</v>
      </c>
      <c r="J11" s="90" t="s">
        <v>15</v>
      </c>
    </row>
    <row r="12" spans="1:10">
      <c r="A12" s="93">
        <f t="shared" ca="1" si="0"/>
        <v>1</v>
      </c>
      <c r="B12" s="93">
        <v>7</v>
      </c>
      <c r="C12" s="94" t="str">
        <f ca="1">IF(Laskenta!$B10="","",Laskenta!$B10)</f>
        <v>Pora</v>
      </c>
      <c r="D12" s="93">
        <f ca="1">IF($C12="","",Laskenta!$C10)</f>
        <v>0</v>
      </c>
      <c r="E12" s="93">
        <f ca="1">IF($C12="","",Laskenta!$D10)</f>
        <v>0</v>
      </c>
      <c r="F12" s="93">
        <f ca="1">IF($C12="","",Laskenta!$E10)</f>
        <v>0</v>
      </c>
      <c r="G12" s="93">
        <f ca="1">IF($C12="","",Laskenta!$F10)</f>
        <v>0</v>
      </c>
      <c r="H12" s="93">
        <f ca="1">IF($C12="","",Laskenta!$G10)</f>
        <v>0</v>
      </c>
      <c r="J12" s="90" t="s">
        <v>16</v>
      </c>
    </row>
    <row r="13" spans="1:10">
      <c r="A13" s="93">
        <f t="shared" ca="1" si="0"/>
        <v>1</v>
      </c>
      <c r="B13" s="93">
        <v>8</v>
      </c>
      <c r="C13" s="94" t="str">
        <f ca="1">IF(Laskenta!$B11="","",Laskenta!$B11)</f>
        <v>Rikhard Moeller-Kalanmaksaoeljy</v>
      </c>
      <c r="D13" s="93">
        <f ca="1">IF($C13="","",Laskenta!$C11)</f>
        <v>0</v>
      </c>
      <c r="E13" s="93">
        <f ca="1">IF($C13="","",Laskenta!$D11)</f>
        <v>0</v>
      </c>
      <c r="F13" s="93">
        <f ca="1">IF($C13="","",Laskenta!$E11)</f>
        <v>0</v>
      </c>
      <c r="G13" s="93">
        <f ca="1">IF($C13="","",Laskenta!$F11)</f>
        <v>0</v>
      </c>
      <c r="H13" s="93">
        <f ca="1">IF($C13="","",Laskenta!$G11)</f>
        <v>0</v>
      </c>
      <c r="J13" s="90" t="s">
        <v>17</v>
      </c>
    </row>
    <row r="14" spans="1:10">
      <c r="A14" s="93">
        <f t="shared" ca="1" si="0"/>
        <v>1</v>
      </c>
      <c r="B14" s="93">
        <v>9</v>
      </c>
      <c r="C14" s="94" t="str">
        <f ca="1">IF(Laskenta!$B12="","",Laskenta!$B12)</f>
        <v>Tuurilla</v>
      </c>
      <c r="D14" s="93">
        <f ca="1">IF($C14="","",Laskenta!$C12)</f>
        <v>0</v>
      </c>
      <c r="E14" s="93">
        <f ca="1">IF($C14="","",Laskenta!$D12)</f>
        <v>0</v>
      </c>
      <c r="F14" s="93">
        <f ca="1">IF($C14="","",Laskenta!$E12)</f>
        <v>0</v>
      </c>
      <c r="G14" s="93">
        <f ca="1">IF($C14="","",Laskenta!$F12)</f>
        <v>0</v>
      </c>
      <c r="H14" s="93">
        <f ca="1">IF($C14="","",Laskenta!$G12)</f>
        <v>0</v>
      </c>
    </row>
    <row r="15" spans="1:10">
      <c r="A15" s="93">
        <f t="shared" ca="1" si="0"/>
        <v>1</v>
      </c>
      <c r="B15" s="93">
        <v>10</v>
      </c>
      <c r="C15" s="94" t="str">
        <f ca="1">IF(Laskenta!$B13="","",Laskenta!$B13)</f>
        <v>PoHan Pullistus</v>
      </c>
      <c r="D15" s="93">
        <f ca="1">IF($C15="","",Laskenta!$C13)</f>
        <v>0</v>
      </c>
      <c r="E15" s="93">
        <f ca="1">IF($C15="","",Laskenta!$D13)</f>
        <v>0</v>
      </c>
      <c r="F15" s="93">
        <f ca="1">IF($C15="","",Laskenta!$E13)</f>
        <v>0</v>
      </c>
      <c r="G15" s="93">
        <f ca="1">IF($C15="","",Laskenta!$F13)</f>
        <v>0</v>
      </c>
      <c r="H15" s="93">
        <f ca="1">IF($C15="","",Laskenta!$G13)</f>
        <v>0</v>
      </c>
    </row>
    <row r="16" spans="1:10">
      <c r="A16" s="93">
        <f t="shared" ca="1" si="0"/>
        <v>1</v>
      </c>
      <c r="B16" s="93">
        <v>11</v>
      </c>
      <c r="C16" s="94" t="str">
        <f ca="1">IF(Laskenta!$B14="","",Laskenta!$B14)</f>
        <v>Profeetta Möttönen</v>
      </c>
      <c r="D16" s="93">
        <f ca="1">IF($C16="","",Laskenta!$C14)</f>
        <v>0</v>
      </c>
      <c r="E16" s="93">
        <f ca="1">IF($C16="","",Laskenta!$D14)</f>
        <v>0</v>
      </c>
      <c r="F16" s="93">
        <f ca="1">IF($C16="","",Laskenta!$E14)</f>
        <v>0</v>
      </c>
      <c r="G16" s="93">
        <f ca="1">IF($C16="","",Laskenta!$F14)</f>
        <v>0</v>
      </c>
      <c r="H16" s="93">
        <f ca="1">IF($C16="","",Laskenta!$G14)</f>
        <v>0</v>
      </c>
    </row>
    <row r="17" spans="1:8">
      <c r="A17" s="93">
        <f t="shared" ca="1" si="0"/>
        <v>1</v>
      </c>
      <c r="B17" s="93">
        <v>12</v>
      </c>
      <c r="C17" s="94" t="str">
        <f ca="1">IF(Laskenta!$B15="","",Laskenta!$B15)</f>
        <v>Xhakku</v>
      </c>
      <c r="D17" s="93">
        <f ca="1">IF($C17="","",Laskenta!$C15)</f>
        <v>0</v>
      </c>
      <c r="E17" s="93">
        <f ca="1">IF($C17="","",Laskenta!$D15)</f>
        <v>0</v>
      </c>
      <c r="F17" s="93">
        <f ca="1">IF($C17="","",Laskenta!$E15)</f>
        <v>0</v>
      </c>
      <c r="G17" s="93">
        <f ca="1">IF($C17="","",Laskenta!$F15)</f>
        <v>0</v>
      </c>
      <c r="H17" s="93">
        <f ca="1">IF($C17="","",Laskenta!$G15)</f>
        <v>0</v>
      </c>
    </row>
    <row r="18" spans="1:8">
      <c r="A18" s="93">
        <f t="shared" ca="1" si="0"/>
        <v>1</v>
      </c>
      <c r="B18" s="93">
        <v>13</v>
      </c>
      <c r="C18" s="94" t="str">
        <f ca="1">IF(Laskenta!$B16="","",Laskenta!$B16)</f>
        <v>Ice Cold</v>
      </c>
      <c r="D18" s="93">
        <f ca="1">IF($C18="","",Laskenta!$C16)</f>
        <v>0</v>
      </c>
      <c r="E18" s="93">
        <f ca="1">IF($C18="","",Laskenta!$D16)</f>
        <v>0</v>
      </c>
      <c r="F18" s="93">
        <f ca="1">IF($C18="","",Laskenta!$E16)</f>
        <v>0</v>
      </c>
      <c r="G18" s="93">
        <f ca="1">IF($C18="","",Laskenta!$F16)</f>
        <v>0</v>
      </c>
      <c r="H18" s="93">
        <f ca="1">IF($C18="","",Laskenta!$G16)</f>
        <v>0</v>
      </c>
    </row>
    <row r="19" spans="1:8">
      <c r="A19" s="93">
        <f t="shared" ca="1" si="0"/>
        <v>1</v>
      </c>
      <c r="B19" s="93">
        <v>14</v>
      </c>
      <c r="C19" s="94" t="str">
        <f ca="1">IF(Laskenta!$B17="","",Laskenta!$B17)</f>
        <v>Eski66</v>
      </c>
      <c r="D19" s="93">
        <f ca="1">IF($C19="","",Laskenta!$C17)</f>
        <v>0</v>
      </c>
      <c r="E19" s="93">
        <f ca="1">IF($C19="","",Laskenta!$D17)</f>
        <v>0</v>
      </c>
      <c r="F19" s="93">
        <f ca="1">IF($C19="","",Laskenta!$E17)</f>
        <v>0</v>
      </c>
      <c r="G19" s="93">
        <f ca="1">IF($C19="","",Laskenta!$F17)</f>
        <v>0</v>
      </c>
      <c r="H19" s="93">
        <f ca="1">IF($C19="","",Laskenta!$G17)</f>
        <v>0</v>
      </c>
    </row>
    <row r="20" spans="1:8">
      <c r="A20" s="93">
        <f t="shared" ca="1" si="0"/>
        <v>1</v>
      </c>
      <c r="B20" s="93">
        <v>15</v>
      </c>
      <c r="C20" s="94" t="str">
        <f ca="1">IF(Laskenta!$B18="","",Laskenta!$B18)</f>
        <v>Suomaldinho</v>
      </c>
      <c r="D20" s="93">
        <f ca="1">IF($C20="","",Laskenta!$C18)</f>
        <v>0</v>
      </c>
      <c r="E20" s="93">
        <f ca="1">IF($C20="","",Laskenta!$D18)</f>
        <v>0</v>
      </c>
      <c r="F20" s="93">
        <f ca="1">IF($C20="","",Laskenta!$E18)</f>
        <v>0</v>
      </c>
      <c r="G20" s="93">
        <f ca="1">IF($C20="","",Laskenta!$F18)</f>
        <v>0</v>
      </c>
      <c r="H20" s="93">
        <f ca="1">IF($C20="","",Laskenta!$G18)</f>
        <v>0</v>
      </c>
    </row>
    <row r="21" spans="1:8">
      <c r="A21" s="93">
        <f t="shared" ca="1" si="0"/>
        <v>1</v>
      </c>
      <c r="B21" s="93">
        <v>16</v>
      </c>
      <c r="C21" s="94" t="str">
        <f ca="1">IF(Laskenta!$B19="","",Laskenta!$B19)</f>
        <v>Sipolovic</v>
      </c>
      <c r="D21" s="93">
        <f ca="1">IF($C21="","",Laskenta!$C19)</f>
        <v>0</v>
      </c>
      <c r="E21" s="93">
        <f ca="1">IF($C21="","",Laskenta!$D19)</f>
        <v>0</v>
      </c>
      <c r="F21" s="93">
        <f ca="1">IF($C21="","",Laskenta!$E19)</f>
        <v>0</v>
      </c>
      <c r="G21" s="93">
        <f ca="1">IF($C21="","",Laskenta!$F19)</f>
        <v>0</v>
      </c>
      <c r="H21" s="93">
        <f ca="1">IF($C21="","",Laskenta!$G19)</f>
        <v>0</v>
      </c>
    </row>
    <row r="22" spans="1:8">
      <c r="A22" s="93">
        <f t="shared" ca="1" si="0"/>
        <v>1</v>
      </c>
      <c r="B22" s="93">
        <v>17</v>
      </c>
      <c r="C22" s="94" t="str">
        <f ca="1">IF(Laskenta!$B20="","",Laskenta!$B20)</f>
        <v>Ibaldo de Lima</v>
      </c>
      <c r="D22" s="93">
        <f ca="1">IF($C22="","",Laskenta!$C20)</f>
        <v>0</v>
      </c>
      <c r="E22" s="93">
        <f ca="1">IF($C22="","",Laskenta!$D20)</f>
        <v>0</v>
      </c>
      <c r="F22" s="93">
        <f ca="1">IF($C22="","",Laskenta!$E20)</f>
        <v>0</v>
      </c>
      <c r="G22" s="93">
        <f ca="1">IF($C22="","",Laskenta!$F20)</f>
        <v>0</v>
      </c>
      <c r="H22" s="93">
        <f ca="1">IF($C22="","",Laskenta!$G20)</f>
        <v>0</v>
      </c>
    </row>
    <row r="23" spans="1:8">
      <c r="A23" s="93">
        <f t="shared" ca="1" si="0"/>
        <v>1</v>
      </c>
      <c r="B23" s="93">
        <v>18</v>
      </c>
      <c r="C23" s="94" t="str">
        <f ca="1">IF(Laskenta!$B21="","",Laskenta!$B21)</f>
        <v>Teo ja Noel</v>
      </c>
      <c r="D23" s="93">
        <f ca="1">IF($C23="","",Laskenta!$C21)</f>
        <v>0</v>
      </c>
      <c r="E23" s="93">
        <f ca="1">IF($C23="","",Laskenta!$D21)</f>
        <v>0</v>
      </c>
      <c r="F23" s="93">
        <f ca="1">IF($C23="","",Laskenta!$E21)</f>
        <v>0</v>
      </c>
      <c r="G23" s="93">
        <f ca="1">IF($C23="","",Laskenta!$F21)</f>
        <v>0</v>
      </c>
      <c r="H23" s="93">
        <f ca="1">IF($C23="","",Laskenta!$G21)</f>
        <v>0</v>
      </c>
    </row>
    <row r="24" spans="1:8">
      <c r="A24" s="93">
        <f t="shared" ca="1" si="0"/>
        <v>1</v>
      </c>
      <c r="B24" s="93">
        <v>19</v>
      </c>
      <c r="C24" s="94" t="str">
        <f ca="1">IF(Laskenta!$B22="","",Laskenta!$B22)</f>
        <v>Shampoo</v>
      </c>
      <c r="D24" s="93">
        <f ca="1">IF($C24="","",Laskenta!$C22)</f>
        <v>0</v>
      </c>
      <c r="E24" s="93">
        <f ca="1">IF($C24="","",Laskenta!$D22)</f>
        <v>0</v>
      </c>
      <c r="F24" s="93">
        <f ca="1">IF($C24="","",Laskenta!$E22)</f>
        <v>0</v>
      </c>
      <c r="G24" s="93">
        <f ca="1">IF($C24="","",Laskenta!$F22)</f>
        <v>0</v>
      </c>
      <c r="H24" s="93">
        <f ca="1">IF($C24="","",Laskenta!$G22)</f>
        <v>0</v>
      </c>
    </row>
    <row r="25" spans="1:8">
      <c r="A25" s="93">
        <f t="shared" ca="1" si="0"/>
        <v>1</v>
      </c>
      <c r="B25" s="93">
        <v>20</v>
      </c>
      <c r="C25" s="94" t="str">
        <f ca="1">IF(Laskenta!$B23="","",Laskenta!$B23)</f>
        <v>Tero H</v>
      </c>
      <c r="D25" s="93">
        <f ca="1">IF($C25="","",Laskenta!$C23)</f>
        <v>0</v>
      </c>
      <c r="E25" s="93">
        <f ca="1">IF($C25="","",Laskenta!$D23)</f>
        <v>0</v>
      </c>
      <c r="F25" s="93">
        <f ca="1">IF($C25="","",Laskenta!$E23)</f>
        <v>0</v>
      </c>
      <c r="G25" s="93">
        <f ca="1">IF($C25="","",Laskenta!$F23)</f>
        <v>0</v>
      </c>
      <c r="H25" s="93">
        <f ca="1">IF($C25="","",Laskenta!$G23)</f>
        <v>0</v>
      </c>
    </row>
    <row r="26" spans="1:8">
      <c r="A26" s="93">
        <f t="shared" ca="1" si="0"/>
        <v>1</v>
      </c>
      <c r="B26" s="93">
        <v>21</v>
      </c>
      <c r="C26" s="94" t="str">
        <f ca="1">IF(Laskenta!$B24="","",Laskenta!$B24)</f>
        <v>Heinomar</v>
      </c>
      <c r="D26" s="93">
        <f ca="1">IF($C26="","",Laskenta!$C24)</f>
        <v>0</v>
      </c>
      <c r="E26" s="93">
        <f ca="1">IF($C26="","",Laskenta!$D24)</f>
        <v>0</v>
      </c>
      <c r="F26" s="93">
        <f ca="1">IF($C26="","",Laskenta!$E24)</f>
        <v>0</v>
      </c>
      <c r="G26" s="93">
        <f ca="1">IF($C26="","",Laskenta!$F24)</f>
        <v>0</v>
      </c>
      <c r="H26" s="93">
        <f ca="1">IF($C26="","",Laskenta!$G24)</f>
        <v>0</v>
      </c>
    </row>
    <row r="27" spans="1:8">
      <c r="A27" s="93">
        <f t="shared" ca="1" si="0"/>
        <v>1</v>
      </c>
      <c r="B27" s="93">
        <v>22</v>
      </c>
      <c r="C27" s="94" t="str">
        <f ca="1">IF(Laskenta!$B25="","",Laskenta!$B25)</f>
        <v>Neyney</v>
      </c>
      <c r="D27" s="93">
        <f ca="1">IF($C27="","",Laskenta!$C25)</f>
        <v>0</v>
      </c>
      <c r="E27" s="93">
        <f ca="1">IF($C27="","",Laskenta!$D25)</f>
        <v>0</v>
      </c>
      <c r="F27" s="93">
        <f ca="1">IF($C27="","",Laskenta!$E25)</f>
        <v>0</v>
      </c>
      <c r="G27" s="93">
        <f ca="1">IF($C27="","",Laskenta!$F25)</f>
        <v>0</v>
      </c>
      <c r="H27" s="93">
        <f ca="1">IF($C27="","",Laskenta!$G25)</f>
        <v>0</v>
      </c>
    </row>
    <row r="28" spans="1:8">
      <c r="A28" s="93">
        <f t="shared" ca="1" si="0"/>
        <v>1</v>
      </c>
      <c r="B28" s="93">
        <v>23</v>
      </c>
      <c r="C28" s="94" t="str">
        <f ca="1">IF(Laskenta!$B26="","",Laskenta!$B26)</f>
        <v>Agueero</v>
      </c>
      <c r="D28" s="93">
        <f ca="1">IF($C28="","",Laskenta!$C26)</f>
        <v>0</v>
      </c>
      <c r="E28" s="93">
        <f ca="1">IF($C28="","",Laskenta!$D26)</f>
        <v>0</v>
      </c>
      <c r="F28" s="93">
        <f ca="1">IF($C28="","",Laskenta!$E26)</f>
        <v>0</v>
      </c>
      <c r="G28" s="93">
        <f ca="1">IF($C28="","",Laskenta!$F26)</f>
        <v>0</v>
      </c>
      <c r="H28" s="93">
        <f ca="1">IF($C28="","",Laskenta!$G26)</f>
        <v>0</v>
      </c>
    </row>
    <row r="29" spans="1:8">
      <c r="A29" s="93">
        <f t="shared" ca="1" si="0"/>
        <v>1</v>
      </c>
      <c r="B29" s="93">
        <v>24</v>
      </c>
      <c r="C29" s="94" t="str">
        <f ca="1">IF(Laskenta!$B27="","",Laskenta!$B27)</f>
        <v>Rosaldo</v>
      </c>
      <c r="D29" s="93">
        <f ca="1">IF($C29="","",Laskenta!$C27)</f>
        <v>0</v>
      </c>
      <c r="E29" s="93">
        <f ca="1">IF($C29="","",Laskenta!$D27)</f>
        <v>0</v>
      </c>
      <c r="F29" s="93">
        <f ca="1">IF($C29="","",Laskenta!$E27)</f>
        <v>0</v>
      </c>
      <c r="G29" s="93">
        <f ca="1">IF($C29="","",Laskenta!$F27)</f>
        <v>0</v>
      </c>
      <c r="H29" s="93">
        <f ca="1">IF($C29="","",Laskenta!$G27)</f>
        <v>0</v>
      </c>
    </row>
    <row r="30" spans="1:8">
      <c r="A30" s="93">
        <f t="shared" ca="1" si="0"/>
        <v>1</v>
      </c>
      <c r="B30" s="93">
        <v>25</v>
      </c>
      <c r="C30" s="94" t="str">
        <f ca="1">IF(Laskenta!$B28="","",Laskenta!$B28)</f>
        <v>Carey Lily</v>
      </c>
      <c r="D30" s="93">
        <f ca="1">IF($C30="","",Laskenta!$C28)</f>
        <v>0</v>
      </c>
      <c r="E30" s="93">
        <f ca="1">IF($C30="","",Laskenta!$D28)</f>
        <v>0</v>
      </c>
      <c r="F30" s="93">
        <f ca="1">IF($C30="","",Laskenta!$E28)</f>
        <v>0</v>
      </c>
      <c r="G30" s="93">
        <f ca="1">IF($C30="","",Laskenta!$F28)</f>
        <v>0</v>
      </c>
      <c r="H30" s="93">
        <f ca="1">IF($C30="","",Laskenta!$G28)</f>
        <v>0</v>
      </c>
    </row>
    <row r="31" spans="1:8">
      <c r="A31" s="93">
        <f t="shared" ca="1" si="0"/>
        <v>1</v>
      </c>
      <c r="B31" s="93">
        <v>26</v>
      </c>
      <c r="C31" s="94" t="str">
        <f ca="1">IF(Laskenta!$B29="","",Laskenta!$B29)</f>
        <v>Drent</v>
      </c>
      <c r="D31" s="93">
        <f ca="1">IF($C31="","",Laskenta!$C29)</f>
        <v>0</v>
      </c>
      <c r="E31" s="93">
        <f ca="1">IF($C31="","",Laskenta!$D29)</f>
        <v>0</v>
      </c>
      <c r="F31" s="93">
        <f ca="1">IF($C31="","",Laskenta!$E29)</f>
        <v>0</v>
      </c>
      <c r="G31" s="93">
        <f ca="1">IF($C31="","",Laskenta!$F29)</f>
        <v>0</v>
      </c>
      <c r="H31" s="93">
        <f ca="1">IF($C31="","",Laskenta!$G29)</f>
        <v>0</v>
      </c>
    </row>
    <row r="32" spans="1:8">
      <c r="A32" s="93">
        <f t="shared" ca="1" si="0"/>
        <v>1</v>
      </c>
      <c r="B32" s="93">
        <v>27</v>
      </c>
      <c r="C32" s="94" t="str">
        <f ca="1">IF(Laskenta!$B30="","",Laskenta!$B30)</f>
        <v>Esko</v>
      </c>
      <c r="D32" s="93">
        <f ca="1">IF($C32="","",Laskenta!$C30)</f>
        <v>0</v>
      </c>
      <c r="E32" s="93">
        <f ca="1">IF($C32="","",Laskenta!$D30)</f>
        <v>0</v>
      </c>
      <c r="F32" s="93">
        <f ca="1">IF($C32="","",Laskenta!$E30)</f>
        <v>0</v>
      </c>
      <c r="G32" s="93">
        <f ca="1">IF($C32="","",Laskenta!$F30)</f>
        <v>0</v>
      </c>
      <c r="H32" s="93">
        <f ca="1">IF($C32="","",Laskenta!$G30)</f>
        <v>0</v>
      </c>
    </row>
    <row r="33" spans="1:10">
      <c r="A33" s="93">
        <f t="shared" ca="1" si="0"/>
        <v>1</v>
      </c>
      <c r="B33" s="93">
        <v>28</v>
      </c>
      <c r="C33" s="94" t="str">
        <f ca="1">IF(Laskenta!$B31="","",Laskenta!$B31)</f>
        <v>Jossu</v>
      </c>
      <c r="D33" s="93">
        <f ca="1">IF($C33="","",Laskenta!$C31)</f>
        <v>0</v>
      </c>
      <c r="E33" s="93">
        <f ca="1">IF($C33="","",Laskenta!$D31)</f>
        <v>0</v>
      </c>
      <c r="F33" s="93">
        <f ca="1">IF($C33="","",Laskenta!$E31)</f>
        <v>0</v>
      </c>
      <c r="G33" s="93">
        <f ca="1">IF($C33="","",Laskenta!$F31)</f>
        <v>0</v>
      </c>
      <c r="H33" s="93">
        <f ca="1">IF($C33="","",Laskenta!$G31)</f>
        <v>0</v>
      </c>
    </row>
    <row r="34" spans="1:10">
      <c r="A34" s="93">
        <f t="shared" ca="1" si="0"/>
        <v>1</v>
      </c>
      <c r="B34" s="93">
        <v>29</v>
      </c>
      <c r="C34" s="94" t="str">
        <f ca="1">IF(Laskenta!$B32="","",Laskenta!$B32)</f>
        <v>Repetti</v>
      </c>
      <c r="D34" s="93">
        <f ca="1">IF($C34="","",Laskenta!$C32)</f>
        <v>0</v>
      </c>
      <c r="E34" s="93">
        <f ca="1">IF($C34="","",Laskenta!$D32)</f>
        <v>0</v>
      </c>
      <c r="F34" s="93">
        <f ca="1">IF($C34="","",Laskenta!$E32)</f>
        <v>0</v>
      </c>
      <c r="G34" s="93">
        <f ca="1">IF($C34="","",Laskenta!$F32)</f>
        <v>0</v>
      </c>
      <c r="H34" s="93">
        <f ca="1">IF($C34="","",Laskenta!$G32)</f>
        <v>0</v>
      </c>
    </row>
    <row r="35" spans="1:10">
      <c r="A35" s="93">
        <f t="shared" ca="1" si="0"/>
        <v>1</v>
      </c>
      <c r="B35" s="93">
        <v>30</v>
      </c>
      <c r="C35" s="94" t="str">
        <f ca="1">IF(Laskenta!$B33="","",Laskenta!$B33)</f>
        <v>Tommy Favorite</v>
      </c>
      <c r="D35" s="93">
        <f ca="1">IF($C35="","",Laskenta!$C33)</f>
        <v>0</v>
      </c>
      <c r="E35" s="93">
        <f ca="1">IF($C35="","",Laskenta!$D33)</f>
        <v>0</v>
      </c>
      <c r="F35" s="93">
        <f ca="1">IF($C35="","",Laskenta!$E33)</f>
        <v>0</v>
      </c>
      <c r="G35" s="93">
        <f ca="1">IF($C35="","",Laskenta!$F33)</f>
        <v>0</v>
      </c>
      <c r="H35" s="93">
        <f ca="1">IF($C35="","",Laskenta!$G33)</f>
        <v>0</v>
      </c>
    </row>
    <row r="36" spans="1:10">
      <c r="A36" s="331">
        <f t="shared" ca="1" si="0"/>
        <v>1</v>
      </c>
      <c r="B36" s="331">
        <v>31</v>
      </c>
      <c r="C36" s="332" t="str">
        <f ca="1">IF(Laskenta!$B34="","",Laskenta!$B34)</f>
        <v>werner strandhügel</v>
      </c>
      <c r="D36" s="331">
        <f ca="1">IF($C36="","",Laskenta!$C34)</f>
        <v>0</v>
      </c>
      <c r="E36" s="331">
        <f ca="1">IF($C36="","",Laskenta!$D34)</f>
        <v>0</v>
      </c>
      <c r="F36" s="331">
        <f ca="1">IF($C36="","",Laskenta!$E34)</f>
        <v>0</v>
      </c>
      <c r="G36" s="331">
        <f ca="1">IF($C36="","",Laskenta!$F34)</f>
        <v>0</v>
      </c>
      <c r="H36" s="331">
        <f ca="1">IF($C36="","",Laskenta!$G34)</f>
        <v>0</v>
      </c>
      <c r="I36" s="333"/>
      <c r="J36" s="333"/>
    </row>
    <row r="37" spans="1:10">
      <c r="A37" s="331">
        <f t="shared" ca="1" si="0"/>
        <v>1</v>
      </c>
      <c r="B37" s="331">
        <v>32</v>
      </c>
      <c r="C37" s="332" t="str">
        <f ca="1">IF(Laskenta!$B35="","",Laskenta!$B35)</f>
        <v>Chica</v>
      </c>
      <c r="D37" s="331">
        <f ca="1">IF($C37="","",Laskenta!$C35)</f>
        <v>0</v>
      </c>
      <c r="E37" s="331">
        <f ca="1">IF($C37="","",Laskenta!$D35)</f>
        <v>0</v>
      </c>
      <c r="F37" s="331">
        <f ca="1">IF($C37="","",Laskenta!$E35)</f>
        <v>0</v>
      </c>
      <c r="G37" s="331">
        <f ca="1">IF($C37="","",Laskenta!$F35)</f>
        <v>0</v>
      </c>
      <c r="H37" s="331">
        <f ca="1">IF($C37="","",Laskenta!$G35)</f>
        <v>0</v>
      </c>
      <c r="I37" s="333"/>
      <c r="J37" s="333"/>
    </row>
    <row r="38" spans="1:10">
      <c r="A38" s="331">
        <f t="shared" ca="1" si="0"/>
        <v>1</v>
      </c>
      <c r="B38" s="331">
        <v>33</v>
      </c>
      <c r="C38" s="332" t="str">
        <f ca="1">IF(Laskenta!$B36="","",Laskenta!$B36)</f>
        <v>Sanukka</v>
      </c>
      <c r="D38" s="331">
        <f ca="1">IF($C38="","",Laskenta!$C36)</f>
        <v>0</v>
      </c>
      <c r="E38" s="331">
        <f ca="1">IF($C38="","",Laskenta!$D36)</f>
        <v>0</v>
      </c>
      <c r="F38" s="331">
        <f ca="1">IF($C38="","",Laskenta!$E36)</f>
        <v>0</v>
      </c>
      <c r="G38" s="331">
        <f ca="1">IF($C38="","",Laskenta!$F36)</f>
        <v>0</v>
      </c>
      <c r="H38" s="331">
        <f ca="1">IF($C38="","",Laskenta!$G36)</f>
        <v>0</v>
      </c>
      <c r="I38" s="333"/>
      <c r="J38" s="333"/>
    </row>
    <row r="39" spans="1:10">
      <c r="A39" s="331" t="str">
        <f t="shared" ca="1" si="0"/>
        <v/>
      </c>
      <c r="B39" s="331">
        <v>34</v>
      </c>
      <c r="C39" s="332" t="str">
        <f ca="1">IF(Laskenta!$B37="","",Laskenta!$B37)</f>
        <v/>
      </c>
      <c r="D39" s="331" t="str">
        <f ca="1">IF($C39="","",Laskenta!$C37)</f>
        <v/>
      </c>
      <c r="E39" s="331" t="str">
        <f ca="1">IF($C39="","",Laskenta!$D37)</f>
        <v/>
      </c>
      <c r="F39" s="331" t="str">
        <f ca="1">IF($C39="","",Laskenta!$E37)</f>
        <v/>
      </c>
      <c r="G39" s="331" t="str">
        <f ca="1">IF($C39="","",Laskenta!$F37)</f>
        <v/>
      </c>
      <c r="H39" s="331" t="str">
        <f ca="1">IF($C39="","",Laskenta!$G37)</f>
        <v/>
      </c>
      <c r="I39" s="333"/>
      <c r="J39" s="333"/>
    </row>
    <row r="40" spans="1:10">
      <c r="A40" s="331" t="str">
        <f t="shared" ca="1" si="0"/>
        <v/>
      </c>
      <c r="B40" s="331">
        <v>35</v>
      </c>
      <c r="C40" s="332" t="str">
        <f ca="1">IF(Laskenta!$B38="","",Laskenta!$B38)</f>
        <v/>
      </c>
      <c r="D40" s="331" t="str">
        <f ca="1">IF($C40="","",Laskenta!$C38)</f>
        <v/>
      </c>
      <c r="E40" s="331" t="str">
        <f ca="1">IF($C40="","",Laskenta!$D38)</f>
        <v/>
      </c>
      <c r="F40" s="331" t="str">
        <f ca="1">IF($C40="","",Laskenta!$E38)</f>
        <v/>
      </c>
      <c r="G40" s="331" t="str">
        <f ca="1">IF($C40="","",Laskenta!$F38)</f>
        <v/>
      </c>
      <c r="H40" s="331" t="str">
        <f ca="1">IF($C40="","",Laskenta!$G38)</f>
        <v/>
      </c>
      <c r="I40" s="333"/>
      <c r="J40" s="333"/>
    </row>
    <row r="41" spans="1:10">
      <c r="A41" s="331" t="str">
        <f t="shared" ca="1" si="0"/>
        <v/>
      </c>
      <c r="B41" s="331">
        <v>36</v>
      </c>
      <c r="C41" s="332" t="str">
        <f ca="1">IF(Laskenta!$B39="","",Laskenta!$B39)</f>
        <v/>
      </c>
      <c r="D41" s="331" t="str">
        <f ca="1">IF($C41="","",Laskenta!$C39)</f>
        <v/>
      </c>
      <c r="E41" s="331" t="str">
        <f ca="1">IF($C41="","",Laskenta!$D39)</f>
        <v/>
      </c>
      <c r="F41" s="331" t="str">
        <f ca="1">IF($C41="","",Laskenta!$E39)</f>
        <v/>
      </c>
      <c r="G41" s="331" t="str">
        <f ca="1">IF($C41="","",Laskenta!$F39)</f>
        <v/>
      </c>
      <c r="H41" s="331" t="str">
        <f ca="1">IF($C41="","",Laskenta!$G39)</f>
        <v/>
      </c>
      <c r="I41" s="333"/>
      <c r="J41" s="333"/>
    </row>
    <row r="42" spans="1:10">
      <c r="A42" s="331" t="str">
        <f t="shared" ca="1" si="0"/>
        <v/>
      </c>
      <c r="B42" s="331">
        <v>37</v>
      </c>
      <c r="C42" s="332" t="str">
        <f ca="1">IF(Laskenta!$B40="","",Laskenta!$B40)</f>
        <v/>
      </c>
      <c r="D42" s="331" t="str">
        <f ca="1">IF($C42="","",Laskenta!$C40)</f>
        <v/>
      </c>
      <c r="E42" s="331" t="str">
        <f ca="1">IF($C42="","",Laskenta!$D40)</f>
        <v/>
      </c>
      <c r="F42" s="331" t="str">
        <f ca="1">IF($C42="","",Laskenta!$E40)</f>
        <v/>
      </c>
      <c r="G42" s="331" t="str">
        <f ca="1">IF($C42="","",Laskenta!$F40)</f>
        <v/>
      </c>
      <c r="H42" s="331" t="str">
        <f ca="1">IF($C42="","",Laskenta!$G40)</f>
        <v/>
      </c>
      <c r="I42" s="333"/>
      <c r="J42" s="333"/>
    </row>
    <row r="43" spans="1:10">
      <c r="A43" s="331" t="str">
        <f t="shared" ca="1" si="0"/>
        <v/>
      </c>
      <c r="B43" s="331">
        <v>38</v>
      </c>
      <c r="C43" s="332" t="str">
        <f ca="1">IF(Laskenta!$B41="","",Laskenta!$B41)</f>
        <v/>
      </c>
      <c r="D43" s="331" t="str">
        <f ca="1">IF($C43="","",Laskenta!$C41)</f>
        <v/>
      </c>
      <c r="E43" s="331" t="str">
        <f ca="1">IF($C43="","",Laskenta!$D41)</f>
        <v/>
      </c>
      <c r="F43" s="331" t="str">
        <f ca="1">IF($C43="","",Laskenta!$E41)</f>
        <v/>
      </c>
      <c r="G43" s="331" t="str">
        <f ca="1">IF($C43="","",Laskenta!$F41)</f>
        <v/>
      </c>
      <c r="H43" s="331" t="str">
        <f ca="1">IF($C43="","",Laskenta!$G41)</f>
        <v/>
      </c>
      <c r="I43" s="333"/>
      <c r="J43" s="333"/>
    </row>
    <row r="44" spans="1:10">
      <c r="A44" s="331" t="str">
        <f t="shared" ca="1" si="0"/>
        <v/>
      </c>
      <c r="B44" s="331">
        <v>39</v>
      </c>
      <c r="C44" s="332" t="str">
        <f ca="1">IF(Laskenta!$B42="","",Laskenta!$B42)</f>
        <v/>
      </c>
      <c r="D44" s="331" t="str">
        <f ca="1">IF($C44="","",Laskenta!$C42)</f>
        <v/>
      </c>
      <c r="E44" s="331" t="str">
        <f ca="1">IF($C44="","",Laskenta!$D42)</f>
        <v/>
      </c>
      <c r="F44" s="331" t="str">
        <f ca="1">IF($C44="","",Laskenta!$E42)</f>
        <v/>
      </c>
      <c r="G44" s="331" t="str">
        <f ca="1">IF($C44="","",Laskenta!$F42)</f>
        <v/>
      </c>
      <c r="H44" s="331" t="str">
        <f ca="1">IF($C44="","",Laskenta!$G42)</f>
        <v/>
      </c>
      <c r="I44" s="333"/>
      <c r="J44" s="333"/>
    </row>
    <row r="45" spans="1:10">
      <c r="A45" s="331" t="str">
        <f t="shared" ca="1" si="0"/>
        <v/>
      </c>
      <c r="B45" s="331">
        <v>40</v>
      </c>
      <c r="C45" s="332" t="str">
        <f ca="1">IF(Laskenta!$B43="","",Laskenta!$B43)</f>
        <v/>
      </c>
      <c r="D45" s="331" t="str">
        <f ca="1">IF($C45="","",Laskenta!$C43)</f>
        <v/>
      </c>
      <c r="E45" s="331" t="str">
        <f ca="1">IF($C45="","",Laskenta!$D43)</f>
        <v/>
      </c>
      <c r="F45" s="331" t="str">
        <f ca="1">IF($C45="","",Laskenta!$E43)</f>
        <v/>
      </c>
      <c r="G45" s="331" t="str">
        <f ca="1">IF($C45="","",Laskenta!$F43)</f>
        <v/>
      </c>
      <c r="H45" s="331" t="str">
        <f ca="1">IF($C45="","",Laskenta!$G43)</f>
        <v/>
      </c>
      <c r="I45" s="333"/>
      <c r="J45" s="3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D43"/>
  <sheetViews>
    <sheetView workbookViewId="0"/>
  </sheetViews>
  <sheetFormatPr defaultRowHeight="15"/>
  <cols>
    <col min="1" max="7" width="18" customWidth="1"/>
    <col min="8" max="79" width="10" customWidth="1"/>
    <col min="82" max="129" width="9" customWidth="1"/>
    <col min="131" max="134" width="14" customWidth="1"/>
  </cols>
  <sheetData>
    <row r="1" spans="1:134" ht="21" customHeight="1">
      <c r="A1" s="88" t="s">
        <v>169</v>
      </c>
      <c r="B1" s="88"/>
      <c r="C1" s="88"/>
      <c r="D1" s="88"/>
      <c r="E1" s="88"/>
      <c r="F1" s="88"/>
      <c r="G1" s="88"/>
    </row>
    <row r="2" spans="1:134" ht="210" customHeight="1">
      <c r="A2" s="79" t="s">
        <v>170</v>
      </c>
      <c r="B2" s="79"/>
      <c r="C2" s="79"/>
      <c r="D2" s="79"/>
      <c r="E2" s="79"/>
      <c r="F2" s="79"/>
      <c r="G2" s="79"/>
    </row>
    <row r="3" spans="1:134">
      <c r="A3" s="89" t="s">
        <v>3</v>
      </c>
      <c r="B3" s="89" t="s">
        <v>4</v>
      </c>
      <c r="C3" s="89" t="s">
        <v>5</v>
      </c>
      <c r="D3" s="89" t="s">
        <v>6</v>
      </c>
      <c r="E3" s="89" t="s">
        <v>171</v>
      </c>
      <c r="F3" s="89" t="s">
        <v>8</v>
      </c>
      <c r="G3" s="89" t="s">
        <v>9</v>
      </c>
      <c r="H3" s="89" t="s">
        <v>172</v>
      </c>
      <c r="I3" s="89" t="s">
        <v>173</v>
      </c>
      <c r="J3" s="89" t="s">
        <v>174</v>
      </c>
      <c r="K3" s="89" t="s">
        <v>175</v>
      </c>
      <c r="L3" s="89" t="s">
        <v>176</v>
      </c>
      <c r="M3" s="89" t="s">
        <v>177</v>
      </c>
      <c r="N3" s="89" t="s">
        <v>178</v>
      </c>
      <c r="O3" s="89" t="s">
        <v>179</v>
      </c>
      <c r="P3" s="89" t="s">
        <v>180</v>
      </c>
      <c r="Q3" s="89" t="s">
        <v>181</v>
      </c>
      <c r="R3" s="89" t="s">
        <v>182</v>
      </c>
      <c r="S3" s="89" t="s">
        <v>183</v>
      </c>
      <c r="T3" s="89" t="s">
        <v>184</v>
      </c>
      <c r="U3" s="89" t="s">
        <v>185</v>
      </c>
      <c r="V3" s="89" t="s">
        <v>186</v>
      </c>
      <c r="W3" s="89" t="s">
        <v>187</v>
      </c>
      <c r="X3" s="89" t="s">
        <v>188</v>
      </c>
      <c r="Y3" s="89" t="s">
        <v>189</v>
      </c>
      <c r="Z3" s="89" t="s">
        <v>190</v>
      </c>
      <c r="AA3" s="89" t="s">
        <v>191</v>
      </c>
      <c r="AB3" s="89" t="s">
        <v>192</v>
      </c>
      <c r="AC3" s="89" t="s">
        <v>193</v>
      </c>
      <c r="AD3" s="89" t="s">
        <v>194</v>
      </c>
      <c r="AE3" s="89" t="s">
        <v>195</v>
      </c>
      <c r="AF3" s="89" t="s">
        <v>196</v>
      </c>
      <c r="AG3" s="89" t="s">
        <v>197</v>
      </c>
      <c r="AH3" s="89" t="s">
        <v>198</v>
      </c>
      <c r="AI3" s="89" t="s">
        <v>199</v>
      </c>
      <c r="AJ3" s="89" t="s">
        <v>200</v>
      </c>
      <c r="AK3" s="89" t="s">
        <v>201</v>
      </c>
      <c r="AL3" s="89" t="s">
        <v>202</v>
      </c>
      <c r="AM3" s="89" t="s">
        <v>203</v>
      </c>
      <c r="AN3" s="89" t="s">
        <v>204</v>
      </c>
      <c r="AO3" s="89" t="s">
        <v>205</v>
      </c>
      <c r="AP3" s="89" t="s">
        <v>206</v>
      </c>
      <c r="AQ3" s="89" t="s">
        <v>207</v>
      </c>
      <c r="AR3" s="89" t="s">
        <v>208</v>
      </c>
      <c r="AS3" s="89" t="s">
        <v>209</v>
      </c>
      <c r="AT3" s="89" t="s">
        <v>210</v>
      </c>
      <c r="AU3" s="89" t="s">
        <v>211</v>
      </c>
      <c r="AV3" s="89" t="s">
        <v>212</v>
      </c>
      <c r="AW3" s="89" t="s">
        <v>213</v>
      </c>
      <c r="AX3" s="89" t="s">
        <v>214</v>
      </c>
      <c r="AY3" s="89" t="s">
        <v>215</v>
      </c>
      <c r="AZ3" s="89" t="s">
        <v>216</v>
      </c>
      <c r="BA3" s="89" t="s">
        <v>217</v>
      </c>
      <c r="BB3" s="89" t="s">
        <v>218</v>
      </c>
      <c r="BC3" s="89" t="s">
        <v>219</v>
      </c>
      <c r="BD3" s="89" t="s">
        <v>220</v>
      </c>
      <c r="BE3" s="89" t="s">
        <v>221</v>
      </c>
      <c r="BF3" s="89" t="s">
        <v>222</v>
      </c>
      <c r="BG3" s="89" t="s">
        <v>223</v>
      </c>
      <c r="BH3" s="89" t="s">
        <v>224</v>
      </c>
      <c r="BI3" s="89" t="s">
        <v>225</v>
      </c>
      <c r="BJ3" s="89" t="s">
        <v>226</v>
      </c>
      <c r="BK3" s="89" t="s">
        <v>227</v>
      </c>
      <c r="BL3" s="89" t="s">
        <v>228</v>
      </c>
      <c r="BM3" s="89" t="s">
        <v>229</v>
      </c>
      <c r="BN3" s="89" t="s">
        <v>230</v>
      </c>
      <c r="BO3" s="89" t="s">
        <v>231</v>
      </c>
      <c r="BP3" s="89" t="s">
        <v>232</v>
      </c>
      <c r="BQ3" s="89" t="s">
        <v>233</v>
      </c>
      <c r="BR3" s="89" t="s">
        <v>234</v>
      </c>
      <c r="BS3" s="89" t="s">
        <v>235</v>
      </c>
      <c r="BT3" s="89" t="s">
        <v>236</v>
      </c>
      <c r="BU3" s="89" t="s">
        <v>237</v>
      </c>
      <c r="BV3" s="89" t="s">
        <v>238</v>
      </c>
      <c r="BW3" s="89" t="s">
        <v>239</v>
      </c>
      <c r="BX3" s="89" t="s">
        <v>240</v>
      </c>
      <c r="BY3" s="89" t="s">
        <v>241</v>
      </c>
      <c r="BZ3" s="89" t="s">
        <v>242</v>
      </c>
      <c r="CA3" s="89" t="s">
        <v>243</v>
      </c>
      <c r="CB3" s="89"/>
      <c r="CC3" s="89" t="s">
        <v>244</v>
      </c>
      <c r="CD3" s="89" t="s">
        <v>245</v>
      </c>
      <c r="CE3" s="89" t="s">
        <v>246</v>
      </c>
      <c r="CF3" s="89" t="s">
        <v>247</v>
      </c>
      <c r="CG3" s="89" t="s">
        <v>248</v>
      </c>
      <c r="CH3" s="89" t="s">
        <v>249</v>
      </c>
      <c r="CI3" s="89" t="s">
        <v>250</v>
      </c>
      <c r="CJ3" s="89" t="s">
        <v>251</v>
      </c>
      <c r="CK3" s="89" t="s">
        <v>252</v>
      </c>
      <c r="CL3" s="89" t="s">
        <v>253</v>
      </c>
      <c r="CM3" s="89" t="s">
        <v>254</v>
      </c>
      <c r="CN3" s="89" t="s">
        <v>255</v>
      </c>
      <c r="CO3" s="89" t="s">
        <v>256</v>
      </c>
      <c r="CP3" s="89" t="s">
        <v>257</v>
      </c>
      <c r="CQ3" s="89" t="s">
        <v>258</v>
      </c>
      <c r="CR3" s="89" t="s">
        <v>259</v>
      </c>
      <c r="CS3" s="89" t="s">
        <v>260</v>
      </c>
      <c r="CT3" s="89" t="s">
        <v>261</v>
      </c>
      <c r="CU3" s="89" t="s">
        <v>262</v>
      </c>
      <c r="CV3" s="89" t="s">
        <v>263</v>
      </c>
      <c r="CW3" s="89" t="s">
        <v>264</v>
      </c>
      <c r="CX3" s="89" t="s">
        <v>265</v>
      </c>
      <c r="CY3" s="89" t="s">
        <v>266</v>
      </c>
      <c r="CZ3" s="89" t="s">
        <v>267</v>
      </c>
      <c r="DA3" s="89" t="s">
        <v>268</v>
      </c>
      <c r="DB3" s="89" t="s">
        <v>269</v>
      </c>
      <c r="DC3" s="89" t="s">
        <v>270</v>
      </c>
      <c r="DD3" s="89" t="s">
        <v>271</v>
      </c>
      <c r="DE3" s="89" t="s">
        <v>272</v>
      </c>
      <c r="DF3" s="89" t="s">
        <v>273</v>
      </c>
      <c r="DG3" s="89" t="s">
        <v>274</v>
      </c>
      <c r="DH3" s="89" t="s">
        <v>275</v>
      </c>
      <c r="DI3" s="89" t="s">
        <v>276</v>
      </c>
      <c r="DJ3" s="89" t="s">
        <v>277</v>
      </c>
      <c r="DK3" s="89" t="s">
        <v>278</v>
      </c>
      <c r="DL3" s="89" t="s">
        <v>279</v>
      </c>
      <c r="DM3" s="89" t="s">
        <v>280</v>
      </c>
      <c r="DN3" s="89" t="s">
        <v>281</v>
      </c>
      <c r="DO3" s="89" t="s">
        <v>282</v>
      </c>
      <c r="DP3" s="89" t="s">
        <v>283</v>
      </c>
      <c r="DQ3" s="89" t="s">
        <v>284</v>
      </c>
      <c r="DR3" s="89" t="s">
        <v>285</v>
      </c>
      <c r="DS3" s="89" t="s">
        <v>286</v>
      </c>
      <c r="DT3" s="89" t="s">
        <v>287</v>
      </c>
      <c r="DU3" s="89" t="s">
        <v>288</v>
      </c>
      <c r="DV3" s="89" t="s">
        <v>289</v>
      </c>
      <c r="DW3" s="89" t="s">
        <v>290</v>
      </c>
      <c r="DX3" s="89" t="s">
        <v>291</v>
      </c>
      <c r="DY3" s="89"/>
      <c r="DZ3" s="89" t="s">
        <v>292</v>
      </c>
      <c r="EA3" s="89" t="s">
        <v>293</v>
      </c>
      <c r="EB3" s="89" t="s">
        <v>294</v>
      </c>
      <c r="EC3" s="89" t="s">
        <v>295</v>
      </c>
    </row>
    <row r="4" spans="1:134">
      <c r="A4" t="s">
        <v>296</v>
      </c>
      <c r="B4" t="str">
        <f t="shared" ref="B4:B43" ca="1" si="0">IF(INDIRECT("'"&amp;$A4&amp;"'!$H$2")="","",INDIRECT("'"&amp;$A4&amp;"'!$H$2"))</f>
        <v>Mike Salmon</v>
      </c>
      <c r="C4" s="95">
        <f t="shared" ref="C4:C43" si="1">SUM(H4:CA4)</f>
        <v>0</v>
      </c>
      <c r="D4" s="95">
        <f t="shared" ref="D4:D43" ca="1" si="2">SUM(CD4:DY4)</f>
        <v>0</v>
      </c>
      <c r="E4" s="95">
        <f t="shared" ref="E4:E43" ca="1" si="3">SUM(EA4:ED4)</f>
        <v>0</v>
      </c>
      <c r="F4" s="95">
        <f t="shared" ref="F4:F43" ca="1" si="4">IF(B4="","",SUM(C4:E4))</f>
        <v>0</v>
      </c>
      <c r="G4" s="95">
        <f t="shared" ref="G4:G43" si="5">COUNTIF(H4:CA4,6)</f>
        <v>0</v>
      </c>
      <c r="H4" t="str">
        <f>IF(OR(Tulokset!$G$6="",Tulokset!$I$6="",'1'!$I$7="",'1'!$K$7=""),"",IF(SIGN('1'!$I$7-'1'!$K$7)&lt;&gt;SIGN(Tulokset!$G$6-Tulokset!$I$6),0,IF(Tulokset!$G$6=Tulokset!$I$6,IF(AND('1'!$I$7=Tulokset!$G$6,'1'!$K$7=Tulokset!$I$6),6,3),MAX(0,6-(ABS('1'!$I$7-Tulokset!$G$6)+ABS('1'!$K$7-Tulokset!$I$6))))))</f>
        <v/>
      </c>
      <c r="I4" t="str">
        <f>IF(OR(Tulokset!$G$7="",Tulokset!$I$7="",'1'!$I$8="",'1'!$K$8=""),"",IF(SIGN('1'!$I$8-'1'!$K$8)&lt;&gt;SIGN(Tulokset!$G$7-Tulokset!$I$7),0,IF(Tulokset!$G$7=Tulokset!$I$7,IF(AND('1'!$I$8=Tulokset!$G$7,'1'!$K$8=Tulokset!$I$7),6,3),MAX(0,6-(ABS('1'!$I$8-Tulokset!$G$7)+ABS('1'!$K$8-Tulokset!$I$7))))))</f>
        <v/>
      </c>
      <c r="J4" t="str">
        <f>IF(OR(Tulokset!$G$8="",Tulokset!$I$8="",'1'!$I$9="",'1'!$K$9=""),"",IF(SIGN('1'!$I$9-'1'!$K$9)&lt;&gt;SIGN(Tulokset!$G$8-Tulokset!$I$8),0,IF(Tulokset!$G$8=Tulokset!$I$8,IF(AND('1'!$I$9=Tulokset!$G$8,'1'!$K$9=Tulokset!$I$8),6,3),MAX(0,6-(ABS('1'!$I$9-Tulokset!$G$8)+ABS('1'!$K$9-Tulokset!$I$8))))))</f>
        <v/>
      </c>
      <c r="K4" t="str">
        <f>IF(OR(Tulokset!$G$9="",Tulokset!$I$9="",'1'!$I$10="",'1'!$K$10=""),"",IF(SIGN('1'!$I$10-'1'!$K$10)&lt;&gt;SIGN(Tulokset!$G$9-Tulokset!$I$9),0,IF(Tulokset!$G$9=Tulokset!$I$9,IF(AND('1'!$I$10=Tulokset!$G$9,'1'!$K$10=Tulokset!$I$9),6,3),MAX(0,6-(ABS('1'!$I$10-Tulokset!$G$9)+ABS('1'!$K$10-Tulokset!$I$9))))))</f>
        <v/>
      </c>
      <c r="L4" t="str">
        <f>IF(OR(Tulokset!$G$10="",Tulokset!$I$10="",'1'!$I$11="",'1'!$K$11=""),"",IF(SIGN('1'!$I$11-'1'!$K$11)&lt;&gt;SIGN(Tulokset!$G$10-Tulokset!$I$10),0,IF(Tulokset!$G$10=Tulokset!$I$10,IF(AND('1'!$I$11=Tulokset!$G$10,'1'!$K$11=Tulokset!$I$10),6,3),MAX(0,6-(ABS('1'!$I$11-Tulokset!$G$10)+ABS('1'!$K$11-Tulokset!$I$10))))))</f>
        <v/>
      </c>
      <c r="M4" t="str">
        <f>IF(OR(Tulokset!$G$11="",Tulokset!$I$11="",'1'!$I$12="",'1'!$K$12=""),"",IF(SIGN('1'!$I$12-'1'!$K$12)&lt;&gt;SIGN(Tulokset!$G$11-Tulokset!$I$11),0,IF(Tulokset!$G$11=Tulokset!$I$11,IF(AND('1'!$I$12=Tulokset!$G$11,'1'!$K$12=Tulokset!$I$11),6,3),MAX(0,6-(ABS('1'!$I$12-Tulokset!$G$11)+ABS('1'!$K$12-Tulokset!$I$11))))))</f>
        <v/>
      </c>
      <c r="N4" t="str">
        <f>IF(OR(Tulokset!$G$12="",Tulokset!$I$12="",'1'!$I$13="",'1'!$K$13=""),"",IF(SIGN('1'!$I$13-'1'!$K$13)&lt;&gt;SIGN(Tulokset!$G$12-Tulokset!$I$12),0,IF(Tulokset!$G$12=Tulokset!$I$12,IF(AND('1'!$I$13=Tulokset!$G$12,'1'!$K$13=Tulokset!$I$12),6,3),MAX(0,6-(ABS('1'!$I$13-Tulokset!$G$12)+ABS('1'!$K$13-Tulokset!$I$12))))))</f>
        <v/>
      </c>
      <c r="O4" t="str">
        <f>IF(OR(Tulokset!$G$13="",Tulokset!$I$13="",'1'!$I$14="",'1'!$K$14=""),"",IF(SIGN('1'!$I$14-'1'!$K$14)&lt;&gt;SIGN(Tulokset!$G$13-Tulokset!$I$13),0,IF(Tulokset!$G$13=Tulokset!$I$13,IF(AND('1'!$I$14=Tulokset!$G$13,'1'!$K$14=Tulokset!$I$13),6,3),MAX(0,6-(ABS('1'!$I$14-Tulokset!$G$13)+ABS('1'!$K$14-Tulokset!$I$13))))))</f>
        <v/>
      </c>
      <c r="P4" t="str">
        <f>IF(OR(Tulokset!$G$14="",Tulokset!$I$14="",'1'!$I$15="",'1'!$K$15=""),"",IF(SIGN('1'!$I$15-'1'!$K$15)&lt;&gt;SIGN(Tulokset!$G$14-Tulokset!$I$14),0,IF(Tulokset!$G$14=Tulokset!$I$14,IF(AND('1'!$I$15=Tulokset!$G$14,'1'!$K$15=Tulokset!$I$14),6,3),MAX(0,6-(ABS('1'!$I$15-Tulokset!$G$14)+ABS('1'!$K$15-Tulokset!$I$14))))))</f>
        <v/>
      </c>
      <c r="Q4" t="str">
        <f>IF(OR(Tulokset!$G$15="",Tulokset!$I$15="",'1'!$I$16="",'1'!$K$16=""),"",IF(SIGN('1'!$I$16-'1'!$K$16)&lt;&gt;SIGN(Tulokset!$G$15-Tulokset!$I$15),0,IF(Tulokset!$G$15=Tulokset!$I$15,IF(AND('1'!$I$16=Tulokset!$G$15,'1'!$K$16=Tulokset!$I$15),6,3),MAX(0,6-(ABS('1'!$I$16-Tulokset!$G$15)+ABS('1'!$K$16-Tulokset!$I$15))))))</f>
        <v/>
      </c>
      <c r="R4" t="str">
        <f>IF(OR(Tulokset!$G$16="",Tulokset!$I$16="",'1'!$I$17="",'1'!$K$17=""),"",IF(SIGN('1'!$I$17-'1'!$K$17)&lt;&gt;SIGN(Tulokset!$G$16-Tulokset!$I$16),0,IF(Tulokset!$G$16=Tulokset!$I$16,IF(AND('1'!$I$17=Tulokset!$G$16,'1'!$K$17=Tulokset!$I$16),6,3),MAX(0,6-(ABS('1'!$I$17-Tulokset!$G$16)+ABS('1'!$K$17-Tulokset!$I$16))))))</f>
        <v/>
      </c>
      <c r="S4" t="str">
        <f>IF(OR(Tulokset!$G$17="",Tulokset!$I$17="",'1'!$I$18="",'1'!$K$18=""),"",IF(SIGN('1'!$I$18-'1'!$K$18)&lt;&gt;SIGN(Tulokset!$G$17-Tulokset!$I$17),0,IF(Tulokset!$G$17=Tulokset!$I$17,IF(AND('1'!$I$18=Tulokset!$G$17,'1'!$K$18=Tulokset!$I$17),6,3),MAX(0,6-(ABS('1'!$I$18-Tulokset!$G$17)+ABS('1'!$K$18-Tulokset!$I$17))))))</f>
        <v/>
      </c>
      <c r="T4" t="str">
        <f>IF(OR(Tulokset!$G$18="",Tulokset!$I$18="",'1'!$I$19="",'1'!$K$19=""),"",IF(SIGN('1'!$I$19-'1'!$K$19)&lt;&gt;SIGN(Tulokset!$G$18-Tulokset!$I$18),0,IF(Tulokset!$G$18=Tulokset!$I$18,IF(AND('1'!$I$19=Tulokset!$G$18,'1'!$K$19=Tulokset!$I$18),6,3),MAX(0,6-(ABS('1'!$I$19-Tulokset!$G$18)+ABS('1'!$K$19-Tulokset!$I$18))))))</f>
        <v/>
      </c>
      <c r="U4" t="str">
        <f>IF(OR(Tulokset!$G$19="",Tulokset!$I$19="",'1'!$I$20="",'1'!$K$20=""),"",IF(SIGN('1'!$I$20-'1'!$K$20)&lt;&gt;SIGN(Tulokset!$G$19-Tulokset!$I$19),0,IF(Tulokset!$G$19=Tulokset!$I$19,IF(AND('1'!$I$20=Tulokset!$G$19,'1'!$K$20=Tulokset!$I$19),6,3),MAX(0,6-(ABS('1'!$I$20-Tulokset!$G$19)+ABS('1'!$K$20-Tulokset!$I$19))))))</f>
        <v/>
      </c>
      <c r="V4" t="str">
        <f>IF(OR(Tulokset!$G$20="",Tulokset!$I$20="",'1'!$I$21="",'1'!$K$21=""),"",IF(SIGN('1'!$I$21-'1'!$K$21)&lt;&gt;SIGN(Tulokset!$G$20-Tulokset!$I$20),0,IF(Tulokset!$G$20=Tulokset!$I$20,IF(AND('1'!$I$21=Tulokset!$G$20,'1'!$K$21=Tulokset!$I$20),6,3),MAX(0,6-(ABS('1'!$I$21-Tulokset!$G$20)+ABS('1'!$K$21-Tulokset!$I$20))))))</f>
        <v/>
      </c>
      <c r="W4" t="str">
        <f>IF(OR(Tulokset!$G$21="",Tulokset!$I$21="",'1'!$I$22="",'1'!$K$22=""),"",IF(SIGN('1'!$I$22-'1'!$K$22)&lt;&gt;SIGN(Tulokset!$G$21-Tulokset!$I$21),0,IF(Tulokset!$G$21=Tulokset!$I$21,IF(AND('1'!$I$22=Tulokset!$G$21,'1'!$K$22=Tulokset!$I$21),6,3),MAX(0,6-(ABS('1'!$I$22-Tulokset!$G$21)+ABS('1'!$K$22-Tulokset!$I$21))))))</f>
        <v/>
      </c>
      <c r="X4" t="str">
        <f>IF(OR(Tulokset!$G$22="",Tulokset!$I$22="",'1'!$I$23="",'1'!$K$23=""),"",IF(SIGN('1'!$I$23-'1'!$K$23)&lt;&gt;SIGN(Tulokset!$G$22-Tulokset!$I$22),0,IF(Tulokset!$G$22=Tulokset!$I$22,IF(AND('1'!$I$23=Tulokset!$G$22,'1'!$K$23=Tulokset!$I$22),6,3),MAX(0,6-(ABS('1'!$I$23-Tulokset!$G$22)+ABS('1'!$K$23-Tulokset!$I$22))))))</f>
        <v/>
      </c>
      <c r="Y4" t="str">
        <f>IF(OR(Tulokset!$G$23="",Tulokset!$I$23="",'1'!$I$24="",'1'!$K$24=""),"",IF(SIGN('1'!$I$24-'1'!$K$24)&lt;&gt;SIGN(Tulokset!$G$23-Tulokset!$I$23),0,IF(Tulokset!$G$23=Tulokset!$I$23,IF(AND('1'!$I$24=Tulokset!$G$23,'1'!$K$24=Tulokset!$I$23),6,3),MAX(0,6-(ABS('1'!$I$24-Tulokset!$G$23)+ABS('1'!$K$24-Tulokset!$I$23))))))</f>
        <v/>
      </c>
      <c r="Z4" t="str">
        <f>IF(OR(Tulokset!$G$24="",Tulokset!$I$24="",'1'!$I$25="",'1'!$K$25=""),"",IF(SIGN('1'!$I$25-'1'!$K$25)&lt;&gt;SIGN(Tulokset!$G$24-Tulokset!$I$24),0,IF(Tulokset!$G$24=Tulokset!$I$24,IF(AND('1'!$I$25=Tulokset!$G$24,'1'!$K$25=Tulokset!$I$24),6,3),MAX(0,6-(ABS('1'!$I$25-Tulokset!$G$24)+ABS('1'!$K$25-Tulokset!$I$24))))))</f>
        <v/>
      </c>
      <c r="AA4" t="str">
        <f>IF(OR(Tulokset!$G$25="",Tulokset!$I$25="",'1'!$I$26="",'1'!$K$26=""),"",IF(SIGN('1'!$I$26-'1'!$K$26)&lt;&gt;SIGN(Tulokset!$G$25-Tulokset!$I$25),0,IF(Tulokset!$G$25=Tulokset!$I$25,IF(AND('1'!$I$26=Tulokset!$G$25,'1'!$K$26=Tulokset!$I$25),6,3),MAX(0,6-(ABS('1'!$I$26-Tulokset!$G$25)+ABS('1'!$K$26-Tulokset!$I$25))))))</f>
        <v/>
      </c>
      <c r="AB4" t="str">
        <f>IF(OR(Tulokset!$G$26="",Tulokset!$I$26="",'1'!$I$27="",'1'!$K$27=""),"",IF(SIGN('1'!$I$27-'1'!$K$27)&lt;&gt;SIGN(Tulokset!$G$26-Tulokset!$I$26),0,IF(Tulokset!$G$26=Tulokset!$I$26,IF(AND('1'!$I$27=Tulokset!$G$26,'1'!$K$27=Tulokset!$I$26),6,3),MAX(0,6-(ABS('1'!$I$27-Tulokset!$G$26)+ABS('1'!$K$27-Tulokset!$I$26))))))</f>
        <v/>
      </c>
      <c r="AC4" t="str">
        <f>IF(OR(Tulokset!$G$27="",Tulokset!$I$27="",'1'!$I$28="",'1'!$K$28=""),"",IF(SIGN('1'!$I$28-'1'!$K$28)&lt;&gt;SIGN(Tulokset!$G$27-Tulokset!$I$27),0,IF(Tulokset!$G$27=Tulokset!$I$27,IF(AND('1'!$I$28=Tulokset!$G$27,'1'!$K$28=Tulokset!$I$27),6,3),MAX(0,6-(ABS('1'!$I$28-Tulokset!$G$27)+ABS('1'!$K$28-Tulokset!$I$27))))))</f>
        <v/>
      </c>
      <c r="AD4" t="str">
        <f>IF(OR(Tulokset!$G$28="",Tulokset!$I$28="",'1'!$I$29="",'1'!$K$29=""),"",IF(SIGN('1'!$I$29-'1'!$K$29)&lt;&gt;SIGN(Tulokset!$G$28-Tulokset!$I$28),0,IF(Tulokset!$G$28=Tulokset!$I$28,IF(AND('1'!$I$29=Tulokset!$G$28,'1'!$K$29=Tulokset!$I$28),6,3),MAX(0,6-(ABS('1'!$I$29-Tulokset!$G$28)+ABS('1'!$K$29-Tulokset!$I$28))))))</f>
        <v/>
      </c>
      <c r="AE4" t="str">
        <f>IF(OR(Tulokset!$G$29="",Tulokset!$I$29="",'1'!$I$30="",'1'!$K$30=""),"",IF(SIGN('1'!$I$30-'1'!$K$30)&lt;&gt;SIGN(Tulokset!$G$29-Tulokset!$I$29),0,IF(Tulokset!$G$29=Tulokset!$I$29,IF(AND('1'!$I$30=Tulokset!$G$29,'1'!$K$30=Tulokset!$I$29),6,3),MAX(0,6-(ABS('1'!$I$30-Tulokset!$G$29)+ABS('1'!$K$30-Tulokset!$I$29))))))</f>
        <v/>
      </c>
      <c r="AF4" t="str">
        <f>IF(OR(Tulokset!$G$30="",Tulokset!$I$30="",'1'!$I$31="",'1'!$K$31=""),"",IF(SIGN('1'!$I$31-'1'!$K$31)&lt;&gt;SIGN(Tulokset!$G$30-Tulokset!$I$30),0,IF(Tulokset!$G$30=Tulokset!$I$30,IF(AND('1'!$I$31=Tulokset!$G$30,'1'!$K$31=Tulokset!$I$30),6,3),MAX(0,6-(ABS('1'!$I$31-Tulokset!$G$30)+ABS('1'!$K$31-Tulokset!$I$30))))))</f>
        <v/>
      </c>
      <c r="AG4" t="str">
        <f>IF(OR(Tulokset!$G$31="",Tulokset!$I$31="",'1'!$I$32="",'1'!$K$32=""),"",IF(SIGN('1'!$I$32-'1'!$K$32)&lt;&gt;SIGN(Tulokset!$G$31-Tulokset!$I$31),0,IF(Tulokset!$G$31=Tulokset!$I$31,IF(AND('1'!$I$32=Tulokset!$G$31,'1'!$K$32=Tulokset!$I$31),6,3),MAX(0,6-(ABS('1'!$I$32-Tulokset!$G$31)+ABS('1'!$K$32-Tulokset!$I$31))))))</f>
        <v/>
      </c>
      <c r="AH4" t="str">
        <f>IF(OR(Tulokset!$G$32="",Tulokset!$I$32="",'1'!$I$33="",'1'!$K$33=""),"",IF(SIGN('1'!$I$33-'1'!$K$33)&lt;&gt;SIGN(Tulokset!$G$32-Tulokset!$I$32),0,IF(Tulokset!$G$32=Tulokset!$I$32,IF(AND('1'!$I$33=Tulokset!$G$32,'1'!$K$33=Tulokset!$I$32),6,3),MAX(0,6-(ABS('1'!$I$33-Tulokset!$G$32)+ABS('1'!$K$33-Tulokset!$I$32))))))</f>
        <v/>
      </c>
      <c r="AI4" t="str">
        <f>IF(OR(Tulokset!$G$33="",Tulokset!$I$33="",'1'!$I$34="",'1'!$K$34=""),"",IF(SIGN('1'!$I$34-'1'!$K$34)&lt;&gt;SIGN(Tulokset!$G$33-Tulokset!$I$33),0,IF(Tulokset!$G$33=Tulokset!$I$33,IF(AND('1'!$I$34=Tulokset!$G$33,'1'!$K$34=Tulokset!$I$33),6,3),MAX(0,6-(ABS('1'!$I$34-Tulokset!$G$33)+ABS('1'!$K$34-Tulokset!$I$33))))))</f>
        <v/>
      </c>
      <c r="AJ4" t="str">
        <f>IF(OR(Tulokset!$G$34="",Tulokset!$I$34="",'1'!$I$35="",'1'!$K$35=""),"",IF(SIGN('1'!$I$35-'1'!$K$35)&lt;&gt;SIGN(Tulokset!$G$34-Tulokset!$I$34),0,IF(Tulokset!$G$34=Tulokset!$I$34,IF(AND('1'!$I$35=Tulokset!$G$34,'1'!$K$35=Tulokset!$I$34),6,3),MAX(0,6-(ABS('1'!$I$35-Tulokset!$G$34)+ABS('1'!$K$35-Tulokset!$I$34))))))</f>
        <v/>
      </c>
      <c r="AK4" t="str">
        <f>IF(OR(Tulokset!$G$35="",Tulokset!$I$35="",'1'!$I$36="",'1'!$K$36=""),"",IF(SIGN('1'!$I$36-'1'!$K$36)&lt;&gt;SIGN(Tulokset!$G$35-Tulokset!$I$35),0,IF(Tulokset!$G$35=Tulokset!$I$35,IF(AND('1'!$I$36=Tulokset!$G$35,'1'!$K$36=Tulokset!$I$35),6,3),MAX(0,6-(ABS('1'!$I$36-Tulokset!$G$35)+ABS('1'!$K$36-Tulokset!$I$35))))))</f>
        <v/>
      </c>
      <c r="AL4" t="str">
        <f>IF(OR(Tulokset!$G$36="",Tulokset!$I$36="",'1'!$I$37="",'1'!$K$37=""),"",IF(SIGN('1'!$I$37-'1'!$K$37)&lt;&gt;SIGN(Tulokset!$G$36-Tulokset!$I$36),0,IF(Tulokset!$G$36=Tulokset!$I$36,IF(AND('1'!$I$37=Tulokset!$G$36,'1'!$K$37=Tulokset!$I$36),6,3),MAX(0,6-(ABS('1'!$I$37-Tulokset!$G$36)+ABS('1'!$K$37-Tulokset!$I$36))))))</f>
        <v/>
      </c>
      <c r="AM4" t="str">
        <f>IF(OR(Tulokset!$G$37="",Tulokset!$I$37="",'1'!$I$38="",'1'!$K$38=""),"",IF(SIGN('1'!$I$38-'1'!$K$38)&lt;&gt;SIGN(Tulokset!$G$37-Tulokset!$I$37),0,IF(Tulokset!$G$37=Tulokset!$I$37,IF(AND('1'!$I$38=Tulokset!$G$37,'1'!$K$38=Tulokset!$I$37),6,3),MAX(0,6-(ABS('1'!$I$38-Tulokset!$G$37)+ABS('1'!$K$38-Tulokset!$I$37))))))</f>
        <v/>
      </c>
      <c r="AN4" t="str">
        <f>IF(OR(Tulokset!$G$38="",Tulokset!$I$38="",'1'!$I$39="",'1'!$K$39=""),"",IF(SIGN('1'!$I$39-'1'!$K$39)&lt;&gt;SIGN(Tulokset!$G$38-Tulokset!$I$38),0,IF(Tulokset!$G$38=Tulokset!$I$38,IF(AND('1'!$I$39=Tulokset!$G$38,'1'!$K$39=Tulokset!$I$38),6,3),MAX(0,6-(ABS('1'!$I$39-Tulokset!$G$38)+ABS('1'!$K$39-Tulokset!$I$38))))))</f>
        <v/>
      </c>
      <c r="AO4" t="str">
        <f>IF(OR(Tulokset!$G$39="",Tulokset!$I$39="",'1'!$I$40="",'1'!$K$40=""),"",IF(SIGN('1'!$I$40-'1'!$K$40)&lt;&gt;SIGN(Tulokset!$G$39-Tulokset!$I$39),0,IF(Tulokset!$G$39=Tulokset!$I$39,IF(AND('1'!$I$40=Tulokset!$G$39,'1'!$K$40=Tulokset!$I$39),6,3),MAX(0,6-(ABS('1'!$I$40-Tulokset!$G$39)+ABS('1'!$K$40-Tulokset!$I$39))))))</f>
        <v/>
      </c>
      <c r="AP4" t="str">
        <f>IF(OR(Tulokset!$G$40="",Tulokset!$I$40="",'1'!$I$41="",'1'!$K$41=""),"",IF(SIGN('1'!$I$41-'1'!$K$41)&lt;&gt;SIGN(Tulokset!$G$40-Tulokset!$I$40),0,IF(Tulokset!$G$40=Tulokset!$I$40,IF(AND('1'!$I$41=Tulokset!$G$40,'1'!$K$41=Tulokset!$I$40),6,3),MAX(0,6-(ABS('1'!$I$41-Tulokset!$G$40)+ABS('1'!$K$41-Tulokset!$I$40))))))</f>
        <v/>
      </c>
      <c r="AQ4" t="str">
        <f>IF(OR(Tulokset!$G$41="",Tulokset!$I$41="",'1'!$I$42="",'1'!$K$42=""),"",IF(SIGN('1'!$I$42-'1'!$K$42)&lt;&gt;SIGN(Tulokset!$G$41-Tulokset!$I$41),0,IF(Tulokset!$G$41=Tulokset!$I$41,IF(AND('1'!$I$42=Tulokset!$G$41,'1'!$K$42=Tulokset!$I$41),6,3),MAX(0,6-(ABS('1'!$I$42-Tulokset!$G$41)+ABS('1'!$K$42-Tulokset!$I$41))))))</f>
        <v/>
      </c>
      <c r="AR4" t="str">
        <f>IF(OR(Tulokset!$G$42="",Tulokset!$I$42="",'1'!$I$43="",'1'!$K$43=""),"",IF(SIGN('1'!$I$43-'1'!$K$43)&lt;&gt;SIGN(Tulokset!$G$42-Tulokset!$I$42),0,IF(Tulokset!$G$42=Tulokset!$I$42,IF(AND('1'!$I$43=Tulokset!$G$42,'1'!$K$43=Tulokset!$I$42),6,3),MAX(0,6-(ABS('1'!$I$43-Tulokset!$G$42)+ABS('1'!$K$43-Tulokset!$I$42))))))</f>
        <v/>
      </c>
      <c r="AS4" t="str">
        <f>IF(OR(Tulokset!$G$43="",Tulokset!$I$43="",'1'!$I$44="",'1'!$K$44=""),"",IF(SIGN('1'!$I$44-'1'!$K$44)&lt;&gt;SIGN(Tulokset!$G$43-Tulokset!$I$43),0,IF(Tulokset!$G$43=Tulokset!$I$43,IF(AND('1'!$I$44=Tulokset!$G$43,'1'!$K$44=Tulokset!$I$43),6,3),MAX(0,6-(ABS('1'!$I$44-Tulokset!$G$43)+ABS('1'!$K$44-Tulokset!$I$43))))))</f>
        <v/>
      </c>
      <c r="AT4" t="str">
        <f>IF(OR(Tulokset!$G$44="",Tulokset!$I$44="",'1'!$I$45="",'1'!$K$45=""),"",IF(SIGN('1'!$I$45-'1'!$K$45)&lt;&gt;SIGN(Tulokset!$G$44-Tulokset!$I$44),0,IF(Tulokset!$G$44=Tulokset!$I$44,IF(AND('1'!$I$45=Tulokset!$G$44,'1'!$K$45=Tulokset!$I$44),6,3),MAX(0,6-(ABS('1'!$I$45-Tulokset!$G$44)+ABS('1'!$K$45-Tulokset!$I$44))))))</f>
        <v/>
      </c>
      <c r="AU4" t="str">
        <f>IF(OR(Tulokset!$G$45="",Tulokset!$I$45="",'1'!$I$46="",'1'!$K$46=""),"",IF(SIGN('1'!$I$46-'1'!$K$46)&lt;&gt;SIGN(Tulokset!$G$45-Tulokset!$I$45),0,IF(Tulokset!$G$45=Tulokset!$I$45,IF(AND('1'!$I$46=Tulokset!$G$45,'1'!$K$46=Tulokset!$I$45),6,3),MAX(0,6-(ABS('1'!$I$46-Tulokset!$G$45)+ABS('1'!$K$46-Tulokset!$I$45))))))</f>
        <v/>
      </c>
      <c r="AV4" t="str">
        <f>IF(OR(Tulokset!$G$46="",Tulokset!$I$46="",'1'!$I$47="",'1'!$K$47=""),"",IF(SIGN('1'!$I$47-'1'!$K$47)&lt;&gt;SIGN(Tulokset!$G$46-Tulokset!$I$46),0,IF(Tulokset!$G$46=Tulokset!$I$46,IF(AND('1'!$I$47=Tulokset!$G$46,'1'!$K$47=Tulokset!$I$46),6,3),MAX(0,6-(ABS('1'!$I$47-Tulokset!$G$46)+ABS('1'!$K$47-Tulokset!$I$46))))))</f>
        <v/>
      </c>
      <c r="AW4" t="str">
        <f>IF(OR(Tulokset!$G$47="",Tulokset!$I$47="",'1'!$I$48="",'1'!$K$48=""),"",IF(SIGN('1'!$I$48-'1'!$K$48)&lt;&gt;SIGN(Tulokset!$G$47-Tulokset!$I$47),0,IF(Tulokset!$G$47=Tulokset!$I$47,IF(AND('1'!$I$48=Tulokset!$G$47,'1'!$K$48=Tulokset!$I$47),6,3),MAX(0,6-(ABS('1'!$I$48-Tulokset!$G$47)+ABS('1'!$K$48-Tulokset!$I$47))))))</f>
        <v/>
      </c>
      <c r="AX4" t="str">
        <f>IF(OR(Tulokset!$G$48="",Tulokset!$I$48="",'1'!$I$49="",'1'!$K$49=""),"",IF(SIGN('1'!$I$49-'1'!$K$49)&lt;&gt;SIGN(Tulokset!$G$48-Tulokset!$I$48),0,IF(Tulokset!$G$48=Tulokset!$I$48,IF(AND('1'!$I$49=Tulokset!$G$48,'1'!$K$49=Tulokset!$I$48),6,3),MAX(0,6-(ABS('1'!$I$49-Tulokset!$G$48)+ABS('1'!$K$49-Tulokset!$I$48))))))</f>
        <v/>
      </c>
      <c r="AY4" t="str">
        <f>IF(OR(Tulokset!$G$49="",Tulokset!$I$49="",'1'!$I$50="",'1'!$K$50=""),"",IF(SIGN('1'!$I$50-'1'!$K$50)&lt;&gt;SIGN(Tulokset!$G$49-Tulokset!$I$49),0,IF(Tulokset!$G$49=Tulokset!$I$49,IF(AND('1'!$I$50=Tulokset!$G$49,'1'!$K$50=Tulokset!$I$49),6,3),MAX(0,6-(ABS('1'!$I$50-Tulokset!$G$49)+ABS('1'!$K$50-Tulokset!$I$49))))))</f>
        <v/>
      </c>
      <c r="AZ4" t="str">
        <f>IF(OR(Tulokset!$G$50="",Tulokset!$I$50="",'1'!$I$51="",'1'!$K$51=""),"",IF(SIGN('1'!$I$51-'1'!$K$51)&lt;&gt;SIGN(Tulokset!$G$50-Tulokset!$I$50),0,IF(Tulokset!$G$50=Tulokset!$I$50,IF(AND('1'!$I$51=Tulokset!$G$50,'1'!$K$51=Tulokset!$I$50),6,3),MAX(0,6-(ABS('1'!$I$51-Tulokset!$G$50)+ABS('1'!$K$51-Tulokset!$I$50))))))</f>
        <v/>
      </c>
      <c r="BA4" t="str">
        <f>IF(OR(Tulokset!$G$51="",Tulokset!$I$51="",'1'!$I$52="",'1'!$K$52=""),"",IF(SIGN('1'!$I$52-'1'!$K$52)&lt;&gt;SIGN(Tulokset!$G$51-Tulokset!$I$51),0,IF(Tulokset!$G$51=Tulokset!$I$51,IF(AND('1'!$I$52=Tulokset!$G$51,'1'!$K$52=Tulokset!$I$51),6,3),MAX(0,6-(ABS('1'!$I$52-Tulokset!$G$51)+ABS('1'!$K$52-Tulokset!$I$51))))))</f>
        <v/>
      </c>
      <c r="BB4" t="str">
        <f>IF(OR(Tulokset!$G$52="",Tulokset!$I$52="",'1'!$I$53="",'1'!$K$53=""),"",IF(SIGN('1'!$I$53-'1'!$K$53)&lt;&gt;SIGN(Tulokset!$G$52-Tulokset!$I$52),0,IF(Tulokset!$G$52=Tulokset!$I$52,IF(AND('1'!$I$53=Tulokset!$G$52,'1'!$K$53=Tulokset!$I$52),6,3),MAX(0,6-(ABS('1'!$I$53-Tulokset!$G$52)+ABS('1'!$K$53-Tulokset!$I$52))))))</f>
        <v/>
      </c>
      <c r="BC4" t="str">
        <f>IF(OR(Tulokset!$G$53="",Tulokset!$I$53="",'1'!$I$54="",'1'!$K$54=""),"",IF(SIGN('1'!$I$54-'1'!$K$54)&lt;&gt;SIGN(Tulokset!$G$53-Tulokset!$I$53),0,IF(Tulokset!$G$53=Tulokset!$I$53,IF(AND('1'!$I$54=Tulokset!$G$53,'1'!$K$54=Tulokset!$I$53),6,3),MAX(0,6-(ABS('1'!$I$54-Tulokset!$G$53)+ABS('1'!$K$54-Tulokset!$I$53))))))</f>
        <v/>
      </c>
      <c r="BD4" t="str">
        <f>IF(OR(Tulokset!$G$54="",Tulokset!$I$54="",'1'!$I$55="",'1'!$K$55=""),"",IF(SIGN('1'!$I$55-'1'!$K$55)&lt;&gt;SIGN(Tulokset!$G$54-Tulokset!$I$54),0,IF(Tulokset!$G$54=Tulokset!$I$54,IF(AND('1'!$I$55=Tulokset!$G$54,'1'!$K$55=Tulokset!$I$54),6,3),MAX(0,6-(ABS('1'!$I$55-Tulokset!$G$54)+ABS('1'!$K$55-Tulokset!$I$54))))))</f>
        <v/>
      </c>
      <c r="BE4" t="str">
        <f>IF(OR(Tulokset!$G$55="",Tulokset!$I$55="",'1'!$I$56="",'1'!$K$56=""),"",IF(SIGN('1'!$I$56-'1'!$K$56)&lt;&gt;SIGN(Tulokset!$G$55-Tulokset!$I$55),0,IF(Tulokset!$G$55=Tulokset!$I$55,IF(AND('1'!$I$56=Tulokset!$G$55,'1'!$K$56=Tulokset!$I$55),6,3),MAX(0,6-(ABS('1'!$I$56-Tulokset!$G$55)+ABS('1'!$K$56-Tulokset!$I$55))))))</f>
        <v/>
      </c>
      <c r="BF4" t="str">
        <f>IF(OR(Tulokset!$G$56="",Tulokset!$I$56="",'1'!$I$57="",'1'!$K$57=""),"",IF(SIGN('1'!$I$57-'1'!$K$57)&lt;&gt;SIGN(Tulokset!$G$56-Tulokset!$I$56),0,IF(Tulokset!$G$56=Tulokset!$I$56,IF(AND('1'!$I$57=Tulokset!$G$56,'1'!$K$57=Tulokset!$I$56),6,3),MAX(0,6-(ABS('1'!$I$57-Tulokset!$G$56)+ABS('1'!$K$57-Tulokset!$I$56))))))</f>
        <v/>
      </c>
      <c r="BG4" t="str">
        <f>IF(OR(Tulokset!$G$57="",Tulokset!$I$57="",'1'!$I$58="",'1'!$K$58=""),"",IF(SIGN('1'!$I$58-'1'!$K$58)&lt;&gt;SIGN(Tulokset!$G$57-Tulokset!$I$57),0,IF(Tulokset!$G$57=Tulokset!$I$57,IF(AND('1'!$I$58=Tulokset!$G$57,'1'!$K$58=Tulokset!$I$57),6,3),MAX(0,6-(ABS('1'!$I$58-Tulokset!$G$57)+ABS('1'!$K$58-Tulokset!$I$57))))))</f>
        <v/>
      </c>
      <c r="BH4" t="str">
        <f>IF(OR(Tulokset!$G$58="",Tulokset!$I$58="",'1'!$I$59="",'1'!$K$59=""),"",IF(SIGN('1'!$I$59-'1'!$K$59)&lt;&gt;SIGN(Tulokset!$G$58-Tulokset!$I$58),0,IF(Tulokset!$G$58=Tulokset!$I$58,IF(AND('1'!$I$59=Tulokset!$G$58,'1'!$K$59=Tulokset!$I$58),6,3),MAX(0,6-(ABS('1'!$I$59-Tulokset!$G$58)+ABS('1'!$K$59-Tulokset!$I$58))))))</f>
        <v/>
      </c>
      <c r="BI4" t="str">
        <f>IF(OR(Tulokset!$G$59="",Tulokset!$I$59="",'1'!$I$60="",'1'!$K$60=""),"",IF(SIGN('1'!$I$60-'1'!$K$60)&lt;&gt;SIGN(Tulokset!$G$59-Tulokset!$I$59),0,IF(Tulokset!$G$59=Tulokset!$I$59,IF(AND('1'!$I$60=Tulokset!$G$59,'1'!$K$60=Tulokset!$I$59),6,3),MAX(0,6-(ABS('1'!$I$60-Tulokset!$G$59)+ABS('1'!$K$60-Tulokset!$I$59))))))</f>
        <v/>
      </c>
      <c r="BJ4" t="str">
        <f>IF(OR(Tulokset!$G$60="",Tulokset!$I$60="",'1'!$I$61="",'1'!$K$61=""),"",IF(SIGN('1'!$I$61-'1'!$K$61)&lt;&gt;SIGN(Tulokset!$G$60-Tulokset!$I$60),0,IF(Tulokset!$G$60=Tulokset!$I$60,IF(AND('1'!$I$61=Tulokset!$G$60,'1'!$K$61=Tulokset!$I$60),6,3),MAX(0,6-(ABS('1'!$I$61-Tulokset!$G$60)+ABS('1'!$K$61-Tulokset!$I$60))))))</f>
        <v/>
      </c>
      <c r="BK4" t="str">
        <f>IF(OR(Tulokset!$G$61="",Tulokset!$I$61="",'1'!$I$62="",'1'!$K$62=""),"",IF(SIGN('1'!$I$62-'1'!$K$62)&lt;&gt;SIGN(Tulokset!$G$61-Tulokset!$I$61),0,IF(Tulokset!$G$61=Tulokset!$I$61,IF(AND('1'!$I$62=Tulokset!$G$61,'1'!$K$62=Tulokset!$I$61),6,3),MAX(0,6-(ABS('1'!$I$62-Tulokset!$G$61)+ABS('1'!$K$62-Tulokset!$I$61))))))</f>
        <v/>
      </c>
      <c r="BL4" t="str">
        <f>IF(OR(Tulokset!$G$62="",Tulokset!$I$62="",'1'!$I$63="",'1'!$K$63=""),"",IF(SIGN('1'!$I$63-'1'!$K$63)&lt;&gt;SIGN(Tulokset!$G$62-Tulokset!$I$62),0,IF(Tulokset!$G$62=Tulokset!$I$62,IF(AND('1'!$I$63=Tulokset!$G$62,'1'!$K$63=Tulokset!$I$62),6,3),MAX(0,6-(ABS('1'!$I$63-Tulokset!$G$62)+ABS('1'!$K$63-Tulokset!$I$62))))))</f>
        <v/>
      </c>
      <c r="BM4" t="str">
        <f>IF(OR(Tulokset!$G$63="",Tulokset!$I$63="",'1'!$I$64="",'1'!$K$64=""),"",IF(SIGN('1'!$I$64-'1'!$K$64)&lt;&gt;SIGN(Tulokset!$G$63-Tulokset!$I$63),0,IF(Tulokset!$G$63=Tulokset!$I$63,IF(AND('1'!$I$64=Tulokset!$G$63,'1'!$K$64=Tulokset!$I$63),6,3),MAX(0,6-(ABS('1'!$I$64-Tulokset!$G$63)+ABS('1'!$K$64-Tulokset!$I$63))))))</f>
        <v/>
      </c>
      <c r="BN4" t="str">
        <f>IF(OR(Tulokset!$G$64="",Tulokset!$I$64="",'1'!$I$65="",'1'!$K$65=""),"",IF(SIGN('1'!$I$65-'1'!$K$65)&lt;&gt;SIGN(Tulokset!$G$64-Tulokset!$I$64),0,IF(Tulokset!$G$64=Tulokset!$I$64,IF(AND('1'!$I$65=Tulokset!$G$64,'1'!$K$65=Tulokset!$I$64),6,3),MAX(0,6-(ABS('1'!$I$65-Tulokset!$G$64)+ABS('1'!$K$65-Tulokset!$I$64))))))</f>
        <v/>
      </c>
      <c r="BO4" t="str">
        <f>IF(OR(Tulokset!$G$65="",Tulokset!$I$65="",'1'!$I$66="",'1'!$K$66=""),"",IF(SIGN('1'!$I$66-'1'!$K$66)&lt;&gt;SIGN(Tulokset!$G$65-Tulokset!$I$65),0,IF(Tulokset!$G$65=Tulokset!$I$65,IF(AND('1'!$I$66=Tulokset!$G$65,'1'!$K$66=Tulokset!$I$65),6,3),MAX(0,6-(ABS('1'!$I$66-Tulokset!$G$65)+ABS('1'!$K$66-Tulokset!$I$65))))))</f>
        <v/>
      </c>
      <c r="BP4" t="str">
        <f>IF(OR(Tulokset!$G$66="",Tulokset!$I$66="",'1'!$I$67="",'1'!$K$67=""),"",IF(SIGN('1'!$I$67-'1'!$K$67)&lt;&gt;SIGN(Tulokset!$G$66-Tulokset!$I$66),0,IF(Tulokset!$G$66=Tulokset!$I$66,IF(AND('1'!$I$67=Tulokset!$G$66,'1'!$K$67=Tulokset!$I$66),6,3),MAX(0,6-(ABS('1'!$I$67-Tulokset!$G$66)+ABS('1'!$K$67-Tulokset!$I$66))))))</f>
        <v/>
      </c>
      <c r="BQ4" t="str">
        <f>IF(OR(Tulokset!$G$67="",Tulokset!$I$67="",'1'!$I$68="",'1'!$K$68=""),"",IF(SIGN('1'!$I$68-'1'!$K$68)&lt;&gt;SIGN(Tulokset!$G$67-Tulokset!$I$67),0,IF(Tulokset!$G$67=Tulokset!$I$67,IF(AND('1'!$I$68=Tulokset!$G$67,'1'!$K$68=Tulokset!$I$67),6,3),MAX(0,6-(ABS('1'!$I$68-Tulokset!$G$67)+ABS('1'!$K$68-Tulokset!$I$67))))))</f>
        <v/>
      </c>
      <c r="BR4" t="str">
        <f>IF(OR(Tulokset!$G$68="",Tulokset!$I$68="",'1'!$I$69="",'1'!$K$69=""),"",IF(SIGN('1'!$I$69-'1'!$K$69)&lt;&gt;SIGN(Tulokset!$G$68-Tulokset!$I$68),0,IF(Tulokset!$G$68=Tulokset!$I$68,IF(AND('1'!$I$69=Tulokset!$G$68,'1'!$K$69=Tulokset!$I$68),6,3),MAX(0,6-(ABS('1'!$I$69-Tulokset!$G$68)+ABS('1'!$K$69-Tulokset!$I$68))))))</f>
        <v/>
      </c>
      <c r="BS4" t="str">
        <f>IF(OR(Tulokset!$G$69="",Tulokset!$I$69="",'1'!$I$70="",'1'!$K$70=""),"",IF(SIGN('1'!$I$70-'1'!$K$70)&lt;&gt;SIGN(Tulokset!$G$69-Tulokset!$I$69),0,IF(Tulokset!$G$69=Tulokset!$I$69,IF(AND('1'!$I$70=Tulokset!$G$69,'1'!$K$70=Tulokset!$I$69),6,3),MAX(0,6-(ABS('1'!$I$70-Tulokset!$G$69)+ABS('1'!$K$70-Tulokset!$I$69))))))</f>
        <v/>
      </c>
      <c r="BT4" t="str">
        <f>IF(OR(Tulokset!$G$70="",Tulokset!$I$70="",'1'!$I$71="",'1'!$K$71=""),"",IF(SIGN('1'!$I$71-'1'!$K$71)&lt;&gt;SIGN(Tulokset!$G$70-Tulokset!$I$70),0,IF(Tulokset!$G$70=Tulokset!$I$70,IF(AND('1'!$I$71=Tulokset!$G$70,'1'!$K$71=Tulokset!$I$70),6,3),MAX(0,6-(ABS('1'!$I$71-Tulokset!$G$70)+ABS('1'!$K$71-Tulokset!$I$70))))))</f>
        <v/>
      </c>
      <c r="BU4" t="str">
        <f>IF(OR(Tulokset!$G$71="",Tulokset!$I$71="",'1'!$I$72="",'1'!$K$72=""),"",IF(SIGN('1'!$I$72-'1'!$K$72)&lt;&gt;SIGN(Tulokset!$G$71-Tulokset!$I$71),0,IF(Tulokset!$G$71=Tulokset!$I$71,IF(AND('1'!$I$72=Tulokset!$G$71,'1'!$K$72=Tulokset!$I$71),6,3),MAX(0,6-(ABS('1'!$I$72-Tulokset!$G$71)+ABS('1'!$K$72-Tulokset!$I$71))))))</f>
        <v/>
      </c>
      <c r="BV4" t="str">
        <f>IF(OR(Tulokset!$G$72="",Tulokset!$I$72="",'1'!$I$73="",'1'!$K$73=""),"",IF(SIGN('1'!$I$73-'1'!$K$73)&lt;&gt;SIGN(Tulokset!$G$72-Tulokset!$I$72),0,IF(Tulokset!$G$72=Tulokset!$I$72,IF(AND('1'!$I$73=Tulokset!$G$72,'1'!$K$73=Tulokset!$I$72),6,3),MAX(0,6-(ABS('1'!$I$73-Tulokset!$G$72)+ABS('1'!$K$73-Tulokset!$I$72))))))</f>
        <v/>
      </c>
      <c r="BW4" t="str">
        <f>IF(OR(Tulokset!$G$73="",Tulokset!$I$73="",'1'!$I$74="",'1'!$K$74=""),"",IF(SIGN('1'!$I$74-'1'!$K$74)&lt;&gt;SIGN(Tulokset!$G$73-Tulokset!$I$73),0,IF(Tulokset!$G$73=Tulokset!$I$73,IF(AND('1'!$I$74=Tulokset!$G$73,'1'!$K$74=Tulokset!$I$73),6,3),MAX(0,6-(ABS('1'!$I$74-Tulokset!$G$73)+ABS('1'!$K$74-Tulokset!$I$73))))))</f>
        <v/>
      </c>
      <c r="BX4" t="str">
        <f>IF(OR(Tulokset!$G$74="",Tulokset!$I$74="",'1'!$I$75="",'1'!$K$75=""),"",IF(SIGN('1'!$I$75-'1'!$K$75)&lt;&gt;SIGN(Tulokset!$G$74-Tulokset!$I$74),0,IF(Tulokset!$G$74=Tulokset!$I$74,IF(AND('1'!$I$75=Tulokset!$G$74,'1'!$K$75=Tulokset!$I$74),6,3),MAX(0,6-(ABS('1'!$I$75-Tulokset!$G$74)+ABS('1'!$K$75-Tulokset!$I$74))))))</f>
        <v/>
      </c>
      <c r="BY4" t="str">
        <f>IF(OR(Tulokset!$G$75="",Tulokset!$I$75="",'1'!$I$76="",'1'!$K$76=""),"",IF(SIGN('1'!$I$76-'1'!$K$76)&lt;&gt;SIGN(Tulokset!$G$75-Tulokset!$I$75),0,IF(Tulokset!$G$75=Tulokset!$I$75,IF(AND('1'!$I$76=Tulokset!$G$75,'1'!$K$76=Tulokset!$I$75),6,3),MAX(0,6-(ABS('1'!$I$76-Tulokset!$G$75)+ABS('1'!$K$76-Tulokset!$I$75))))))</f>
        <v/>
      </c>
      <c r="BZ4" t="str">
        <f>IF(OR(Tulokset!$G$76="",Tulokset!$I$76="",'1'!$I$77="",'1'!$K$77=""),"",IF(SIGN('1'!$I$77-'1'!$K$77)&lt;&gt;SIGN(Tulokset!$G$76-Tulokset!$I$76),0,IF(Tulokset!$G$76=Tulokset!$I$76,IF(AND('1'!$I$77=Tulokset!$G$76,'1'!$K$77=Tulokset!$I$76),6,3),MAX(0,6-(ABS('1'!$I$77-Tulokset!$G$76)+ABS('1'!$K$77-Tulokset!$I$76))))))</f>
        <v/>
      </c>
      <c r="CA4" t="str">
        <f>IF(OR(Tulokset!$G$77="",Tulokset!$I$77="",'1'!$I$78="",'1'!$K$78=""),"",IF(SIGN('1'!$I$78-'1'!$K$78)&lt;&gt;SIGN(Tulokset!$G$77-Tulokset!$I$77),0,IF(Tulokset!$G$77=Tulokset!$I$77,IF(AND('1'!$I$78=Tulokset!$G$77,'1'!$K$78=Tulokset!$I$77),6,3),MAX(0,6-(ABS('1'!$I$78-Tulokset!$G$77)+ABS('1'!$K$78-Tulokset!$I$77))))))</f>
        <v/>
      </c>
      <c r="CD4" t="str">
        <f ca="1">IF(OR(Tulokset!$M$6="",INDIRECT("'"&amp;$A4&amp;"'!$P$8")=""),"",IF(TRIM(INDIRECT("'"&amp;$A4&amp;"'!$P$8"))=TRIM(Tulokset!$M$6),2,0))</f>
        <v/>
      </c>
      <c r="CE4" t="str">
        <f ca="1">IF(OR(Tulokset!$M$7="",INDIRECT("'"&amp;$A4&amp;"'!$P$9")=""),"",IF(TRIM(INDIRECT("'"&amp;$A4&amp;"'!$P$9"))=TRIM(Tulokset!$M$7),2,0))</f>
        <v/>
      </c>
      <c r="CF4" t="str">
        <f ca="1">IF(OR(Tulokset!$M$8="",INDIRECT("'"&amp;$A4&amp;"'!$P$10")=""),"",IF(TRIM(INDIRECT("'"&amp;$A4&amp;"'!$P$10"))=TRIM(Tulokset!$M$8),2,0))</f>
        <v/>
      </c>
      <c r="CG4" t="str">
        <f ca="1">IF(OR(Tulokset!$M$9="",INDIRECT("'"&amp;$A4&amp;"'!$P$11")=""),"",IF(TRIM(INDIRECT("'"&amp;$A4&amp;"'!$P$11"))=TRIM(Tulokset!$M$9),2,0))</f>
        <v/>
      </c>
      <c r="CH4" t="str">
        <f ca="1">IF(OR(Tulokset!$N$6="",INDIRECT("'"&amp;$A4&amp;"'!$Q$8")=""),"",IF(TRIM(INDIRECT("'"&amp;$A4&amp;"'!$Q$8"))=TRIM(Tulokset!$N$6),2,0))</f>
        <v/>
      </c>
      <c r="CI4" t="str">
        <f ca="1">IF(OR(Tulokset!$N$7="",INDIRECT("'"&amp;$A4&amp;"'!$Q$9")=""),"",IF(TRIM(INDIRECT("'"&amp;$A4&amp;"'!$Q$9"))=TRIM(Tulokset!$N$7),2,0))</f>
        <v/>
      </c>
      <c r="CJ4" t="str">
        <f ca="1">IF(OR(Tulokset!$N$8="",INDIRECT("'"&amp;$A4&amp;"'!$Q$10")=""),"",IF(TRIM(INDIRECT("'"&amp;$A4&amp;"'!$Q$10"))=TRIM(Tulokset!$N$8),2,0))</f>
        <v/>
      </c>
      <c r="CK4" t="str">
        <f ca="1">IF(OR(Tulokset!$N$9="",INDIRECT("'"&amp;$A4&amp;"'!$Q$11")=""),"",IF(TRIM(INDIRECT("'"&amp;$A4&amp;"'!$Q$11"))=TRIM(Tulokset!$N$9),2,0))</f>
        <v/>
      </c>
      <c r="CL4" t="str">
        <f ca="1">IF(OR(Tulokset!$O$6="",INDIRECT("'"&amp;$A4&amp;"'!$R$8")=""),"",IF(TRIM(INDIRECT("'"&amp;$A4&amp;"'!$R$8"))=TRIM(Tulokset!$O$6),2,0))</f>
        <v/>
      </c>
      <c r="CM4" t="str">
        <f ca="1">IF(OR(Tulokset!$O$7="",INDIRECT("'"&amp;$A4&amp;"'!$R$9")=""),"",IF(TRIM(INDIRECT("'"&amp;$A4&amp;"'!$R$9"))=TRIM(Tulokset!$O$7),2,0))</f>
        <v/>
      </c>
      <c r="CN4" t="str">
        <f ca="1">IF(OR(Tulokset!$O$8="",INDIRECT("'"&amp;$A4&amp;"'!$R$10")=""),"",IF(TRIM(INDIRECT("'"&amp;$A4&amp;"'!$R$10"))=TRIM(Tulokset!$O$8),2,0))</f>
        <v/>
      </c>
      <c r="CO4" t="str">
        <f ca="1">IF(OR(Tulokset!$O$9="",INDIRECT("'"&amp;$A4&amp;"'!$R$11")=""),"",IF(TRIM(INDIRECT("'"&amp;$A4&amp;"'!$R$11"))=TRIM(Tulokset!$O$9),2,0))</f>
        <v/>
      </c>
      <c r="CP4" t="str">
        <f ca="1">IF(OR(Tulokset!$P$6="",INDIRECT("'"&amp;$A4&amp;"'!$S$8")=""),"",IF(TRIM(INDIRECT("'"&amp;$A4&amp;"'!$S$8"))=TRIM(Tulokset!$P$6),2,0))</f>
        <v/>
      </c>
      <c r="CQ4" t="str">
        <f ca="1">IF(OR(Tulokset!$P$7="",INDIRECT("'"&amp;$A4&amp;"'!$S$9")=""),"",IF(TRIM(INDIRECT("'"&amp;$A4&amp;"'!$S$9"))=TRIM(Tulokset!$P$7),2,0))</f>
        <v/>
      </c>
      <c r="CR4" t="str">
        <f ca="1">IF(OR(Tulokset!$P$8="",INDIRECT("'"&amp;$A4&amp;"'!$S$10")=""),"",IF(TRIM(INDIRECT("'"&amp;$A4&amp;"'!$S$10"))=TRIM(Tulokset!$P$8),2,0))</f>
        <v/>
      </c>
      <c r="CS4" t="str">
        <f ca="1">IF(OR(Tulokset!$P$9="",INDIRECT("'"&amp;$A4&amp;"'!$S$11")=""),"",IF(TRIM(INDIRECT("'"&amp;$A4&amp;"'!$S$11"))=TRIM(Tulokset!$P$9),2,0))</f>
        <v/>
      </c>
      <c r="CT4" t="str">
        <f ca="1">IF(OR(Tulokset!$Q$6="",INDIRECT("'"&amp;$A4&amp;"'!$T$8")=""),"",IF(TRIM(INDIRECT("'"&amp;$A4&amp;"'!$T$8"))=TRIM(Tulokset!$Q$6),2,0))</f>
        <v/>
      </c>
      <c r="CU4" t="str">
        <f ca="1">IF(OR(Tulokset!$Q$7="",INDIRECT("'"&amp;$A4&amp;"'!$T$9")=""),"",IF(TRIM(INDIRECT("'"&amp;$A4&amp;"'!$T$9"))=TRIM(Tulokset!$Q$7),2,0))</f>
        <v/>
      </c>
      <c r="CV4" t="str">
        <f ca="1">IF(OR(Tulokset!$Q$8="",INDIRECT("'"&amp;$A4&amp;"'!$T$10")=""),"",IF(TRIM(INDIRECT("'"&amp;$A4&amp;"'!$T$10"))=TRIM(Tulokset!$Q$8),2,0))</f>
        <v/>
      </c>
      <c r="CW4" t="str">
        <f ca="1">IF(OR(Tulokset!$Q$9="",INDIRECT("'"&amp;$A4&amp;"'!$T$11")=""),"",IF(TRIM(INDIRECT("'"&amp;$A4&amp;"'!$T$11"))=TRIM(Tulokset!$Q$9),2,0))</f>
        <v/>
      </c>
      <c r="CX4" t="str">
        <f ca="1">IF(OR(Tulokset!$R$6="",INDIRECT("'"&amp;$A4&amp;"'!$U$8")=""),"",IF(TRIM(INDIRECT("'"&amp;$A4&amp;"'!$U$8"))=TRIM(Tulokset!$R$6),2,0))</f>
        <v/>
      </c>
      <c r="CY4" t="str">
        <f ca="1">IF(OR(Tulokset!$R$7="",INDIRECT("'"&amp;$A4&amp;"'!$U$9")=""),"",IF(TRIM(INDIRECT("'"&amp;$A4&amp;"'!$U$9"))=TRIM(Tulokset!$R$7),2,0))</f>
        <v/>
      </c>
      <c r="CZ4" t="str">
        <f ca="1">IF(OR(Tulokset!$R$8="",INDIRECT("'"&amp;$A4&amp;"'!$U$10")=""),"",IF(TRIM(INDIRECT("'"&amp;$A4&amp;"'!$U$10"))=TRIM(Tulokset!$R$8),2,0))</f>
        <v/>
      </c>
      <c r="DA4" t="str">
        <f ca="1">IF(OR(Tulokset!$R$9="",INDIRECT("'"&amp;$A4&amp;"'!$U$11")=""),"",IF(TRIM(INDIRECT("'"&amp;$A4&amp;"'!$U$11"))=TRIM(Tulokset!$R$9),2,0))</f>
        <v/>
      </c>
      <c r="DB4" t="str">
        <f ca="1">IF(OR(Tulokset!$M$12="",INDIRECT("'"&amp;$A4&amp;"'!$P$14")=""),"",IF(TRIM(INDIRECT("'"&amp;$A4&amp;"'!$P$14"))=TRIM(Tulokset!$M$12),2,0))</f>
        <v/>
      </c>
      <c r="DC4" t="str">
        <f ca="1">IF(OR(Tulokset!$M$13="",INDIRECT("'"&amp;$A4&amp;"'!$P$15")=""),"",IF(TRIM(INDIRECT("'"&amp;$A4&amp;"'!$P$15"))=TRIM(Tulokset!$M$13),2,0))</f>
        <v/>
      </c>
      <c r="DD4" t="str">
        <f ca="1">IF(OR(Tulokset!$M$14="",INDIRECT("'"&amp;$A4&amp;"'!$P$16")=""),"",IF(TRIM(INDIRECT("'"&amp;$A4&amp;"'!$P$16"))=TRIM(Tulokset!$M$14),2,0))</f>
        <v/>
      </c>
      <c r="DE4" t="str">
        <f ca="1">IF(OR(Tulokset!$M$15="",INDIRECT("'"&amp;$A4&amp;"'!$P$17")=""),"",IF(TRIM(INDIRECT("'"&amp;$A4&amp;"'!$P$17"))=TRIM(Tulokset!$M$15),2,0))</f>
        <v/>
      </c>
      <c r="DF4" t="str">
        <f ca="1">IF(OR(Tulokset!$N$12="",INDIRECT("'"&amp;$A4&amp;"'!$Q$14")=""),"",IF(TRIM(INDIRECT("'"&amp;$A4&amp;"'!$Q$14"))=TRIM(Tulokset!$N$12),2,0))</f>
        <v/>
      </c>
      <c r="DG4" t="str">
        <f ca="1">IF(OR(Tulokset!$N$13="",INDIRECT("'"&amp;$A4&amp;"'!$Q$15")=""),"",IF(TRIM(INDIRECT("'"&amp;$A4&amp;"'!$Q$15"))=TRIM(Tulokset!$N$13),2,0))</f>
        <v/>
      </c>
      <c r="DH4" t="str">
        <f ca="1">IF(OR(Tulokset!$N$14="",INDIRECT("'"&amp;$A4&amp;"'!$Q$16")=""),"",IF(TRIM(INDIRECT("'"&amp;$A4&amp;"'!$Q$16"))=TRIM(Tulokset!$N$14),2,0))</f>
        <v/>
      </c>
      <c r="DI4" t="str">
        <f ca="1">IF(OR(Tulokset!$N$15="",INDIRECT("'"&amp;$A4&amp;"'!$Q$17")=""),"",IF(TRIM(INDIRECT("'"&amp;$A4&amp;"'!$Q$17"))=TRIM(Tulokset!$N$15),2,0))</f>
        <v/>
      </c>
      <c r="DJ4" t="str">
        <f ca="1">IF(OR(Tulokset!$O$12="",INDIRECT("'"&amp;$A4&amp;"'!$R$14")=""),"",IF(TRIM(INDIRECT("'"&amp;$A4&amp;"'!$R$14"))=TRIM(Tulokset!$O$12),2,0))</f>
        <v/>
      </c>
      <c r="DK4" t="str">
        <f ca="1">IF(OR(Tulokset!$O$13="",INDIRECT("'"&amp;$A4&amp;"'!$R$15")=""),"",IF(TRIM(INDIRECT("'"&amp;$A4&amp;"'!$R$15"))=TRIM(Tulokset!$O$13),2,0))</f>
        <v/>
      </c>
      <c r="DL4" t="str">
        <f ca="1">IF(OR(Tulokset!$O$14="",INDIRECT("'"&amp;$A4&amp;"'!$R$16")=""),"",IF(TRIM(INDIRECT("'"&amp;$A4&amp;"'!$R$16"))=TRIM(Tulokset!$O$14),2,0))</f>
        <v/>
      </c>
      <c r="DM4" t="str">
        <f ca="1">IF(OR(Tulokset!$O$15="",INDIRECT("'"&amp;$A4&amp;"'!$R$17")=""),"",IF(TRIM(INDIRECT("'"&amp;$A4&amp;"'!$R$17"))=TRIM(Tulokset!$O$15),2,0))</f>
        <v/>
      </c>
      <c r="DN4" t="str">
        <f ca="1">IF(OR(Tulokset!$P$12="",INDIRECT("'"&amp;$A4&amp;"'!$S$14")=""),"",IF(TRIM(INDIRECT("'"&amp;$A4&amp;"'!$S$14"))=TRIM(Tulokset!$P$12),2,0))</f>
        <v/>
      </c>
      <c r="DO4" t="str">
        <f ca="1">IF(OR(Tulokset!$P$13="",INDIRECT("'"&amp;$A4&amp;"'!$S$15")=""),"",IF(TRIM(INDIRECT("'"&amp;$A4&amp;"'!$S$15"))=TRIM(Tulokset!$P$13),2,0))</f>
        <v/>
      </c>
      <c r="DP4" t="str">
        <f ca="1">IF(OR(Tulokset!$P$14="",INDIRECT("'"&amp;$A4&amp;"'!$S$16")=""),"",IF(TRIM(INDIRECT("'"&amp;$A4&amp;"'!$S$16"))=TRIM(Tulokset!$P$14),2,0))</f>
        <v/>
      </c>
      <c r="DQ4" t="str">
        <f ca="1">IF(OR(Tulokset!$P$15="",INDIRECT("'"&amp;$A4&amp;"'!$S$17")=""),"",IF(TRIM(INDIRECT("'"&amp;$A4&amp;"'!$S$17"))=TRIM(Tulokset!$P$15),2,0))</f>
        <v/>
      </c>
      <c r="DR4" t="str">
        <f ca="1">IF(OR(Tulokset!$Q$12="",INDIRECT("'"&amp;$A4&amp;"'!$T$14")=""),"",IF(TRIM(INDIRECT("'"&amp;$A4&amp;"'!$T$14"))=TRIM(Tulokset!$Q$12),2,0))</f>
        <v/>
      </c>
      <c r="DS4" t="str">
        <f ca="1">IF(OR(Tulokset!$Q$13="",INDIRECT("'"&amp;$A4&amp;"'!$T$15")=""),"",IF(TRIM(INDIRECT("'"&amp;$A4&amp;"'!$T$15"))=TRIM(Tulokset!$Q$13),2,0))</f>
        <v/>
      </c>
      <c r="DT4" t="str">
        <f ca="1">IF(OR(Tulokset!$Q$14="",INDIRECT("'"&amp;$A4&amp;"'!$T$16")=""),"",IF(TRIM(INDIRECT("'"&amp;$A4&amp;"'!$T$16"))=TRIM(Tulokset!$Q$14),2,0))</f>
        <v/>
      </c>
      <c r="DU4" t="str">
        <f ca="1">IF(OR(Tulokset!$Q$15="",INDIRECT("'"&amp;$A4&amp;"'!$T$17")=""),"",IF(TRIM(INDIRECT("'"&amp;$A4&amp;"'!$T$17"))=TRIM(Tulokset!$Q$15),2,0))</f>
        <v/>
      </c>
      <c r="DV4" t="str">
        <f ca="1">IF(OR(Tulokset!$R$12="",INDIRECT("'"&amp;$A4&amp;"'!$U$14")=""),"",IF(TRIM(INDIRECT("'"&amp;$A4&amp;"'!$U$14"))=TRIM(Tulokset!$R$12),2,0))</f>
        <v/>
      </c>
      <c r="DW4" t="str">
        <f ca="1">IF(OR(Tulokset!$R$13="",INDIRECT("'"&amp;$A4&amp;"'!$U$15")=""),"",IF(TRIM(INDIRECT("'"&amp;$A4&amp;"'!$U$15"))=TRIM(Tulokset!$R$13),2,0))</f>
        <v/>
      </c>
      <c r="DX4" t="str">
        <f ca="1">IF(OR(Tulokset!$R$14="",INDIRECT("'"&amp;$A4&amp;"'!$U$16")=""),"",IF(TRIM(INDIRECT("'"&amp;$A4&amp;"'!$U$16"))=TRIM(Tulokset!$R$14),2,0))</f>
        <v/>
      </c>
      <c r="DY4" t="str">
        <f ca="1">IF(OR(Tulokset!$R$15="",INDIRECT("'"&amp;$A4&amp;"'!$U$17")=""),"",IF(TRIM(INDIRECT("'"&amp;$A4&amp;"'!$U$17"))=TRIM(Tulokset!$R$15),2,0))</f>
        <v/>
      </c>
      <c r="EA4" t="str">
        <f ca="1">IF(OR(INDIRECT("'"&amp;$A4&amp;"'!$E$79")="",COUNTA(Tulokset!$M$20:$M$21)=0),"",IF(COUNTIF(Tulokset!$M$20:$M$21,INDIRECT("'"&amp;$A4&amp;"'!$E$79"))&gt;0,2,0))</f>
        <v/>
      </c>
      <c r="EB4" t="str">
        <f ca="1">IF(OR(INDIRECT("'"&amp;$A4&amp;"'!$G$79")="",COUNTA(Tulokset!$M$20:$M$21)=0),"",IF(COUNTIF(Tulokset!$M$20:$M$21,INDIRECT("'"&amp;$A4&amp;"'!$G$79"))&gt;0,2,0))</f>
        <v/>
      </c>
      <c r="EC4" t="str">
        <f ca="1">IF(OR(INDIRECT("'"&amp;$A4&amp;"'!$E$80")="",COUNTA(Tulokset!$M$23:$M$24)=0),"",IF(COUNTIF(Tulokset!$M$23:$M$24,INDIRECT("'"&amp;$A4&amp;"'!$E$80"))&gt;0,2,0))</f>
        <v/>
      </c>
      <c r="ED4" t="str">
        <f ca="1">IF(OR(INDIRECT("'"&amp;$A4&amp;"'!$G$80")="",COUNTA(Tulokset!$M$23:$M$24)=0),"",IF(COUNTIF(Tulokset!$M$23:$M$24,INDIRECT("'"&amp;$A4&amp;"'!$G$80"))&gt;0,2,0))</f>
        <v/>
      </c>
    </row>
    <row r="5" spans="1:134">
      <c r="A5" t="s">
        <v>297</v>
      </c>
      <c r="B5" t="str">
        <f t="shared" ca="1" si="0"/>
        <v>ArtsiKerho</v>
      </c>
      <c r="C5" s="95">
        <f t="shared" si="1"/>
        <v>0</v>
      </c>
      <c r="D5" s="95">
        <f t="shared" ca="1" si="2"/>
        <v>0</v>
      </c>
      <c r="E5" s="95">
        <f t="shared" ca="1" si="3"/>
        <v>0</v>
      </c>
      <c r="F5" s="95">
        <f t="shared" ca="1" si="4"/>
        <v>0</v>
      </c>
      <c r="G5" s="95">
        <f t="shared" si="5"/>
        <v>0</v>
      </c>
      <c r="H5" t="str">
        <f>IF(OR(Tulokset!$G$6="",Tulokset!$I$6="",'2'!$I$7="",'2'!$K$7=""),"",IF(SIGN('2'!$I$7-'2'!$K$7)&lt;&gt;SIGN(Tulokset!$G$6-Tulokset!$I$6),0,IF(Tulokset!$G$6=Tulokset!$I$6,IF(AND('2'!$I$7=Tulokset!$G$6,'2'!$K$7=Tulokset!$I$6),6,3),MAX(0,6-(ABS('2'!$I$7-Tulokset!$G$6)+ABS('2'!$K$7-Tulokset!$I$6))))))</f>
        <v/>
      </c>
      <c r="I5" t="str">
        <f>IF(OR(Tulokset!$G$7="",Tulokset!$I$7="",'2'!$I$8="",'2'!$K$8=""),"",IF(SIGN('2'!$I$8-'2'!$K$8)&lt;&gt;SIGN(Tulokset!$G$7-Tulokset!$I$7),0,IF(Tulokset!$G$7=Tulokset!$I$7,IF(AND('2'!$I$8=Tulokset!$G$7,'2'!$K$8=Tulokset!$I$7),6,3),MAX(0,6-(ABS('2'!$I$8-Tulokset!$G$7)+ABS('2'!$K$8-Tulokset!$I$7))))))</f>
        <v/>
      </c>
      <c r="J5" t="str">
        <f>IF(OR(Tulokset!$G$8="",Tulokset!$I$8="",'2'!$I$9="",'2'!$K$9=""),"",IF(SIGN('2'!$I$9-'2'!$K$9)&lt;&gt;SIGN(Tulokset!$G$8-Tulokset!$I$8),0,IF(Tulokset!$G$8=Tulokset!$I$8,IF(AND('2'!$I$9=Tulokset!$G$8,'2'!$K$9=Tulokset!$I$8),6,3),MAX(0,6-(ABS('2'!$I$9-Tulokset!$G$8)+ABS('2'!$K$9-Tulokset!$I$8))))))</f>
        <v/>
      </c>
      <c r="K5" t="str">
        <f>IF(OR(Tulokset!$G$9="",Tulokset!$I$9="",'2'!$I$10="",'2'!$K$10=""),"",IF(SIGN('2'!$I$10-'2'!$K$10)&lt;&gt;SIGN(Tulokset!$G$9-Tulokset!$I$9),0,IF(Tulokset!$G$9=Tulokset!$I$9,IF(AND('2'!$I$10=Tulokset!$G$9,'2'!$K$10=Tulokset!$I$9),6,3),MAX(0,6-(ABS('2'!$I$10-Tulokset!$G$9)+ABS('2'!$K$10-Tulokset!$I$9))))))</f>
        <v/>
      </c>
      <c r="L5" t="str">
        <f>IF(OR(Tulokset!$G$10="",Tulokset!$I$10="",'2'!$I$11="",'2'!$K$11=""),"",IF(SIGN('2'!$I$11-'2'!$K$11)&lt;&gt;SIGN(Tulokset!$G$10-Tulokset!$I$10),0,IF(Tulokset!$G$10=Tulokset!$I$10,IF(AND('2'!$I$11=Tulokset!$G$10,'2'!$K$11=Tulokset!$I$10),6,3),MAX(0,6-(ABS('2'!$I$11-Tulokset!$G$10)+ABS('2'!$K$11-Tulokset!$I$10))))))</f>
        <v/>
      </c>
      <c r="M5" t="str">
        <f>IF(OR(Tulokset!$G$11="",Tulokset!$I$11="",'2'!$I$12="",'2'!$K$12=""),"",IF(SIGN('2'!$I$12-'2'!$K$12)&lt;&gt;SIGN(Tulokset!$G$11-Tulokset!$I$11),0,IF(Tulokset!$G$11=Tulokset!$I$11,IF(AND('2'!$I$12=Tulokset!$G$11,'2'!$K$12=Tulokset!$I$11),6,3),MAX(0,6-(ABS('2'!$I$12-Tulokset!$G$11)+ABS('2'!$K$12-Tulokset!$I$11))))))</f>
        <v/>
      </c>
      <c r="N5" t="str">
        <f>IF(OR(Tulokset!$G$12="",Tulokset!$I$12="",'2'!$I$13="",'2'!$K$13=""),"",IF(SIGN('2'!$I$13-'2'!$K$13)&lt;&gt;SIGN(Tulokset!$G$12-Tulokset!$I$12),0,IF(Tulokset!$G$12=Tulokset!$I$12,IF(AND('2'!$I$13=Tulokset!$G$12,'2'!$K$13=Tulokset!$I$12),6,3),MAX(0,6-(ABS('2'!$I$13-Tulokset!$G$12)+ABS('2'!$K$13-Tulokset!$I$12))))))</f>
        <v/>
      </c>
      <c r="O5" t="str">
        <f>IF(OR(Tulokset!$G$13="",Tulokset!$I$13="",'2'!$I$14="",'2'!$K$14=""),"",IF(SIGN('2'!$I$14-'2'!$K$14)&lt;&gt;SIGN(Tulokset!$G$13-Tulokset!$I$13),0,IF(Tulokset!$G$13=Tulokset!$I$13,IF(AND('2'!$I$14=Tulokset!$G$13,'2'!$K$14=Tulokset!$I$13),6,3),MAX(0,6-(ABS('2'!$I$14-Tulokset!$G$13)+ABS('2'!$K$14-Tulokset!$I$13))))))</f>
        <v/>
      </c>
      <c r="P5" t="str">
        <f>IF(OR(Tulokset!$G$14="",Tulokset!$I$14="",'2'!$I$15="",'2'!$K$15=""),"",IF(SIGN('2'!$I$15-'2'!$K$15)&lt;&gt;SIGN(Tulokset!$G$14-Tulokset!$I$14),0,IF(Tulokset!$G$14=Tulokset!$I$14,IF(AND('2'!$I$15=Tulokset!$G$14,'2'!$K$15=Tulokset!$I$14),6,3),MAX(0,6-(ABS('2'!$I$15-Tulokset!$G$14)+ABS('2'!$K$15-Tulokset!$I$14))))))</f>
        <v/>
      </c>
      <c r="Q5" t="str">
        <f>IF(OR(Tulokset!$G$15="",Tulokset!$I$15="",'2'!$I$16="",'2'!$K$16=""),"",IF(SIGN('2'!$I$16-'2'!$K$16)&lt;&gt;SIGN(Tulokset!$G$15-Tulokset!$I$15),0,IF(Tulokset!$G$15=Tulokset!$I$15,IF(AND('2'!$I$16=Tulokset!$G$15,'2'!$K$16=Tulokset!$I$15),6,3),MAX(0,6-(ABS('2'!$I$16-Tulokset!$G$15)+ABS('2'!$K$16-Tulokset!$I$15))))))</f>
        <v/>
      </c>
      <c r="R5" t="str">
        <f>IF(OR(Tulokset!$G$16="",Tulokset!$I$16="",'2'!$I$17="",'2'!$K$17=""),"",IF(SIGN('2'!$I$17-'2'!$K$17)&lt;&gt;SIGN(Tulokset!$G$16-Tulokset!$I$16),0,IF(Tulokset!$G$16=Tulokset!$I$16,IF(AND('2'!$I$17=Tulokset!$G$16,'2'!$K$17=Tulokset!$I$16),6,3),MAX(0,6-(ABS('2'!$I$17-Tulokset!$G$16)+ABS('2'!$K$17-Tulokset!$I$16))))))</f>
        <v/>
      </c>
      <c r="S5" t="str">
        <f>IF(OR(Tulokset!$G$17="",Tulokset!$I$17="",'2'!$I$18="",'2'!$K$18=""),"",IF(SIGN('2'!$I$18-'2'!$K$18)&lt;&gt;SIGN(Tulokset!$G$17-Tulokset!$I$17),0,IF(Tulokset!$G$17=Tulokset!$I$17,IF(AND('2'!$I$18=Tulokset!$G$17,'2'!$K$18=Tulokset!$I$17),6,3),MAX(0,6-(ABS('2'!$I$18-Tulokset!$G$17)+ABS('2'!$K$18-Tulokset!$I$17))))))</f>
        <v/>
      </c>
      <c r="T5" t="str">
        <f>IF(OR(Tulokset!$G$18="",Tulokset!$I$18="",'2'!$I$19="",'2'!$K$19=""),"",IF(SIGN('2'!$I$19-'2'!$K$19)&lt;&gt;SIGN(Tulokset!$G$18-Tulokset!$I$18),0,IF(Tulokset!$G$18=Tulokset!$I$18,IF(AND('2'!$I$19=Tulokset!$G$18,'2'!$K$19=Tulokset!$I$18),6,3),MAX(0,6-(ABS('2'!$I$19-Tulokset!$G$18)+ABS('2'!$K$19-Tulokset!$I$18))))))</f>
        <v/>
      </c>
      <c r="U5" t="str">
        <f>IF(OR(Tulokset!$G$19="",Tulokset!$I$19="",'2'!$I$20="",'2'!$K$20=""),"",IF(SIGN('2'!$I$20-'2'!$K$20)&lt;&gt;SIGN(Tulokset!$G$19-Tulokset!$I$19),0,IF(Tulokset!$G$19=Tulokset!$I$19,IF(AND('2'!$I$20=Tulokset!$G$19,'2'!$K$20=Tulokset!$I$19),6,3),MAX(0,6-(ABS('2'!$I$20-Tulokset!$G$19)+ABS('2'!$K$20-Tulokset!$I$19))))))</f>
        <v/>
      </c>
      <c r="V5" t="str">
        <f>IF(OR(Tulokset!$G$20="",Tulokset!$I$20="",'2'!$I$21="",'2'!$K$21=""),"",IF(SIGN('2'!$I$21-'2'!$K$21)&lt;&gt;SIGN(Tulokset!$G$20-Tulokset!$I$20),0,IF(Tulokset!$G$20=Tulokset!$I$20,IF(AND('2'!$I$21=Tulokset!$G$20,'2'!$K$21=Tulokset!$I$20),6,3),MAX(0,6-(ABS('2'!$I$21-Tulokset!$G$20)+ABS('2'!$K$21-Tulokset!$I$20))))))</f>
        <v/>
      </c>
      <c r="W5" t="str">
        <f>IF(OR(Tulokset!$G$21="",Tulokset!$I$21="",'2'!$I$22="",'2'!$K$22=""),"",IF(SIGN('2'!$I$22-'2'!$K$22)&lt;&gt;SIGN(Tulokset!$G$21-Tulokset!$I$21),0,IF(Tulokset!$G$21=Tulokset!$I$21,IF(AND('2'!$I$22=Tulokset!$G$21,'2'!$K$22=Tulokset!$I$21),6,3),MAX(0,6-(ABS('2'!$I$22-Tulokset!$G$21)+ABS('2'!$K$22-Tulokset!$I$21))))))</f>
        <v/>
      </c>
      <c r="X5" t="str">
        <f>IF(OR(Tulokset!$G$22="",Tulokset!$I$22="",'2'!$I$23="",'2'!$K$23=""),"",IF(SIGN('2'!$I$23-'2'!$K$23)&lt;&gt;SIGN(Tulokset!$G$22-Tulokset!$I$22),0,IF(Tulokset!$G$22=Tulokset!$I$22,IF(AND('2'!$I$23=Tulokset!$G$22,'2'!$K$23=Tulokset!$I$22),6,3),MAX(0,6-(ABS('2'!$I$23-Tulokset!$G$22)+ABS('2'!$K$23-Tulokset!$I$22))))))</f>
        <v/>
      </c>
      <c r="Y5" t="str">
        <f>IF(OR(Tulokset!$G$23="",Tulokset!$I$23="",'2'!$I$24="",'2'!$K$24=""),"",IF(SIGN('2'!$I$24-'2'!$K$24)&lt;&gt;SIGN(Tulokset!$G$23-Tulokset!$I$23),0,IF(Tulokset!$G$23=Tulokset!$I$23,IF(AND('2'!$I$24=Tulokset!$G$23,'2'!$K$24=Tulokset!$I$23),6,3),MAX(0,6-(ABS('2'!$I$24-Tulokset!$G$23)+ABS('2'!$K$24-Tulokset!$I$23))))))</f>
        <v/>
      </c>
      <c r="Z5" t="str">
        <f>IF(OR(Tulokset!$G$24="",Tulokset!$I$24="",'2'!$I$25="",'2'!$K$25=""),"",IF(SIGN('2'!$I$25-'2'!$K$25)&lt;&gt;SIGN(Tulokset!$G$24-Tulokset!$I$24),0,IF(Tulokset!$G$24=Tulokset!$I$24,IF(AND('2'!$I$25=Tulokset!$G$24,'2'!$K$25=Tulokset!$I$24),6,3),MAX(0,6-(ABS('2'!$I$25-Tulokset!$G$24)+ABS('2'!$K$25-Tulokset!$I$24))))))</f>
        <v/>
      </c>
      <c r="AA5" t="str">
        <f>IF(OR(Tulokset!$G$25="",Tulokset!$I$25="",'2'!$I$26="",'2'!$K$26=""),"",IF(SIGN('2'!$I$26-'2'!$K$26)&lt;&gt;SIGN(Tulokset!$G$25-Tulokset!$I$25),0,IF(Tulokset!$G$25=Tulokset!$I$25,IF(AND('2'!$I$26=Tulokset!$G$25,'2'!$K$26=Tulokset!$I$25),6,3),MAX(0,6-(ABS('2'!$I$26-Tulokset!$G$25)+ABS('2'!$K$26-Tulokset!$I$25))))))</f>
        <v/>
      </c>
      <c r="AB5" t="str">
        <f>IF(OR(Tulokset!$G$26="",Tulokset!$I$26="",'2'!$I$27="",'2'!$K$27=""),"",IF(SIGN('2'!$I$27-'2'!$K$27)&lt;&gt;SIGN(Tulokset!$G$26-Tulokset!$I$26),0,IF(Tulokset!$G$26=Tulokset!$I$26,IF(AND('2'!$I$27=Tulokset!$G$26,'2'!$K$27=Tulokset!$I$26),6,3),MAX(0,6-(ABS('2'!$I$27-Tulokset!$G$26)+ABS('2'!$K$27-Tulokset!$I$26))))))</f>
        <v/>
      </c>
      <c r="AC5" t="str">
        <f>IF(OR(Tulokset!$G$27="",Tulokset!$I$27="",'2'!$I$28="",'2'!$K$28=""),"",IF(SIGN('2'!$I$28-'2'!$K$28)&lt;&gt;SIGN(Tulokset!$G$27-Tulokset!$I$27),0,IF(Tulokset!$G$27=Tulokset!$I$27,IF(AND('2'!$I$28=Tulokset!$G$27,'2'!$K$28=Tulokset!$I$27),6,3),MAX(0,6-(ABS('2'!$I$28-Tulokset!$G$27)+ABS('2'!$K$28-Tulokset!$I$27))))))</f>
        <v/>
      </c>
      <c r="AD5" t="str">
        <f>IF(OR(Tulokset!$G$28="",Tulokset!$I$28="",'2'!$I$29="",'2'!$K$29=""),"",IF(SIGN('2'!$I$29-'2'!$K$29)&lt;&gt;SIGN(Tulokset!$G$28-Tulokset!$I$28),0,IF(Tulokset!$G$28=Tulokset!$I$28,IF(AND('2'!$I$29=Tulokset!$G$28,'2'!$K$29=Tulokset!$I$28),6,3),MAX(0,6-(ABS('2'!$I$29-Tulokset!$G$28)+ABS('2'!$K$29-Tulokset!$I$28))))))</f>
        <v/>
      </c>
      <c r="AE5" t="str">
        <f>IF(OR(Tulokset!$G$29="",Tulokset!$I$29="",'2'!$I$30="",'2'!$K$30=""),"",IF(SIGN('2'!$I$30-'2'!$K$30)&lt;&gt;SIGN(Tulokset!$G$29-Tulokset!$I$29),0,IF(Tulokset!$G$29=Tulokset!$I$29,IF(AND('2'!$I$30=Tulokset!$G$29,'2'!$K$30=Tulokset!$I$29),6,3),MAX(0,6-(ABS('2'!$I$30-Tulokset!$G$29)+ABS('2'!$K$30-Tulokset!$I$29))))))</f>
        <v/>
      </c>
      <c r="AF5" t="str">
        <f>IF(OR(Tulokset!$G$30="",Tulokset!$I$30="",'2'!$I$31="",'2'!$K$31=""),"",IF(SIGN('2'!$I$31-'2'!$K$31)&lt;&gt;SIGN(Tulokset!$G$30-Tulokset!$I$30),0,IF(Tulokset!$G$30=Tulokset!$I$30,IF(AND('2'!$I$31=Tulokset!$G$30,'2'!$K$31=Tulokset!$I$30),6,3),MAX(0,6-(ABS('2'!$I$31-Tulokset!$G$30)+ABS('2'!$K$31-Tulokset!$I$30))))))</f>
        <v/>
      </c>
      <c r="AG5" t="str">
        <f>IF(OR(Tulokset!$G$31="",Tulokset!$I$31="",'2'!$I$32="",'2'!$K$32=""),"",IF(SIGN('2'!$I$32-'2'!$K$32)&lt;&gt;SIGN(Tulokset!$G$31-Tulokset!$I$31),0,IF(Tulokset!$G$31=Tulokset!$I$31,IF(AND('2'!$I$32=Tulokset!$G$31,'2'!$K$32=Tulokset!$I$31),6,3),MAX(0,6-(ABS('2'!$I$32-Tulokset!$G$31)+ABS('2'!$K$32-Tulokset!$I$31))))))</f>
        <v/>
      </c>
      <c r="AH5" t="str">
        <f>IF(OR(Tulokset!$G$32="",Tulokset!$I$32="",'2'!$I$33="",'2'!$K$33=""),"",IF(SIGN('2'!$I$33-'2'!$K$33)&lt;&gt;SIGN(Tulokset!$G$32-Tulokset!$I$32),0,IF(Tulokset!$G$32=Tulokset!$I$32,IF(AND('2'!$I$33=Tulokset!$G$32,'2'!$K$33=Tulokset!$I$32),6,3),MAX(0,6-(ABS('2'!$I$33-Tulokset!$G$32)+ABS('2'!$K$33-Tulokset!$I$32))))))</f>
        <v/>
      </c>
      <c r="AI5" t="str">
        <f>IF(OR(Tulokset!$G$33="",Tulokset!$I$33="",'2'!$I$34="",'2'!$K$34=""),"",IF(SIGN('2'!$I$34-'2'!$K$34)&lt;&gt;SIGN(Tulokset!$G$33-Tulokset!$I$33),0,IF(Tulokset!$G$33=Tulokset!$I$33,IF(AND('2'!$I$34=Tulokset!$G$33,'2'!$K$34=Tulokset!$I$33),6,3),MAX(0,6-(ABS('2'!$I$34-Tulokset!$G$33)+ABS('2'!$K$34-Tulokset!$I$33))))))</f>
        <v/>
      </c>
      <c r="AJ5" t="str">
        <f>IF(OR(Tulokset!$G$34="",Tulokset!$I$34="",'2'!$I$35="",'2'!$K$35=""),"",IF(SIGN('2'!$I$35-'2'!$K$35)&lt;&gt;SIGN(Tulokset!$G$34-Tulokset!$I$34),0,IF(Tulokset!$G$34=Tulokset!$I$34,IF(AND('2'!$I$35=Tulokset!$G$34,'2'!$K$35=Tulokset!$I$34),6,3),MAX(0,6-(ABS('2'!$I$35-Tulokset!$G$34)+ABS('2'!$K$35-Tulokset!$I$34))))))</f>
        <v/>
      </c>
      <c r="AK5" t="str">
        <f>IF(OR(Tulokset!$G$35="",Tulokset!$I$35="",'2'!$I$36="",'2'!$K$36=""),"",IF(SIGN('2'!$I$36-'2'!$K$36)&lt;&gt;SIGN(Tulokset!$G$35-Tulokset!$I$35),0,IF(Tulokset!$G$35=Tulokset!$I$35,IF(AND('2'!$I$36=Tulokset!$G$35,'2'!$K$36=Tulokset!$I$35),6,3),MAX(0,6-(ABS('2'!$I$36-Tulokset!$G$35)+ABS('2'!$K$36-Tulokset!$I$35))))))</f>
        <v/>
      </c>
      <c r="AL5" t="str">
        <f>IF(OR(Tulokset!$G$36="",Tulokset!$I$36="",'2'!$I$37="",'2'!$K$37=""),"",IF(SIGN('2'!$I$37-'2'!$K$37)&lt;&gt;SIGN(Tulokset!$G$36-Tulokset!$I$36),0,IF(Tulokset!$G$36=Tulokset!$I$36,IF(AND('2'!$I$37=Tulokset!$G$36,'2'!$K$37=Tulokset!$I$36),6,3),MAX(0,6-(ABS('2'!$I$37-Tulokset!$G$36)+ABS('2'!$K$37-Tulokset!$I$36))))))</f>
        <v/>
      </c>
      <c r="AM5" t="str">
        <f>IF(OR(Tulokset!$G$37="",Tulokset!$I$37="",'2'!$I$38="",'2'!$K$38=""),"",IF(SIGN('2'!$I$38-'2'!$K$38)&lt;&gt;SIGN(Tulokset!$G$37-Tulokset!$I$37),0,IF(Tulokset!$G$37=Tulokset!$I$37,IF(AND('2'!$I$38=Tulokset!$G$37,'2'!$K$38=Tulokset!$I$37),6,3),MAX(0,6-(ABS('2'!$I$38-Tulokset!$G$37)+ABS('2'!$K$38-Tulokset!$I$37))))))</f>
        <v/>
      </c>
      <c r="AN5" t="str">
        <f>IF(OR(Tulokset!$G$38="",Tulokset!$I$38="",'2'!$I$39="",'2'!$K$39=""),"",IF(SIGN('2'!$I$39-'2'!$K$39)&lt;&gt;SIGN(Tulokset!$G$38-Tulokset!$I$38),0,IF(Tulokset!$G$38=Tulokset!$I$38,IF(AND('2'!$I$39=Tulokset!$G$38,'2'!$K$39=Tulokset!$I$38),6,3),MAX(0,6-(ABS('2'!$I$39-Tulokset!$G$38)+ABS('2'!$K$39-Tulokset!$I$38))))))</f>
        <v/>
      </c>
      <c r="AO5" t="str">
        <f>IF(OR(Tulokset!$G$39="",Tulokset!$I$39="",'2'!$I$40="",'2'!$K$40=""),"",IF(SIGN('2'!$I$40-'2'!$K$40)&lt;&gt;SIGN(Tulokset!$G$39-Tulokset!$I$39),0,IF(Tulokset!$G$39=Tulokset!$I$39,IF(AND('2'!$I$40=Tulokset!$G$39,'2'!$K$40=Tulokset!$I$39),6,3),MAX(0,6-(ABS('2'!$I$40-Tulokset!$G$39)+ABS('2'!$K$40-Tulokset!$I$39))))))</f>
        <v/>
      </c>
      <c r="AP5" t="str">
        <f>IF(OR(Tulokset!$G$40="",Tulokset!$I$40="",'2'!$I$41="",'2'!$K$41=""),"",IF(SIGN('2'!$I$41-'2'!$K$41)&lt;&gt;SIGN(Tulokset!$G$40-Tulokset!$I$40),0,IF(Tulokset!$G$40=Tulokset!$I$40,IF(AND('2'!$I$41=Tulokset!$G$40,'2'!$K$41=Tulokset!$I$40),6,3),MAX(0,6-(ABS('2'!$I$41-Tulokset!$G$40)+ABS('2'!$K$41-Tulokset!$I$40))))))</f>
        <v/>
      </c>
      <c r="AQ5" t="str">
        <f>IF(OR(Tulokset!$G$41="",Tulokset!$I$41="",'2'!$I$42="",'2'!$K$42=""),"",IF(SIGN('2'!$I$42-'2'!$K$42)&lt;&gt;SIGN(Tulokset!$G$41-Tulokset!$I$41),0,IF(Tulokset!$G$41=Tulokset!$I$41,IF(AND('2'!$I$42=Tulokset!$G$41,'2'!$K$42=Tulokset!$I$41),6,3),MAX(0,6-(ABS('2'!$I$42-Tulokset!$G$41)+ABS('2'!$K$42-Tulokset!$I$41))))))</f>
        <v/>
      </c>
      <c r="AR5" t="str">
        <f>IF(OR(Tulokset!$G$42="",Tulokset!$I$42="",'2'!$I$43="",'2'!$K$43=""),"",IF(SIGN('2'!$I$43-'2'!$K$43)&lt;&gt;SIGN(Tulokset!$G$42-Tulokset!$I$42),0,IF(Tulokset!$G$42=Tulokset!$I$42,IF(AND('2'!$I$43=Tulokset!$G$42,'2'!$K$43=Tulokset!$I$42),6,3),MAX(0,6-(ABS('2'!$I$43-Tulokset!$G$42)+ABS('2'!$K$43-Tulokset!$I$42))))))</f>
        <v/>
      </c>
      <c r="AS5" t="str">
        <f>IF(OR(Tulokset!$G$43="",Tulokset!$I$43="",'2'!$I$44="",'2'!$K$44=""),"",IF(SIGN('2'!$I$44-'2'!$K$44)&lt;&gt;SIGN(Tulokset!$G$43-Tulokset!$I$43),0,IF(Tulokset!$G$43=Tulokset!$I$43,IF(AND('2'!$I$44=Tulokset!$G$43,'2'!$K$44=Tulokset!$I$43),6,3),MAX(0,6-(ABS('2'!$I$44-Tulokset!$G$43)+ABS('2'!$K$44-Tulokset!$I$43))))))</f>
        <v/>
      </c>
      <c r="AT5" t="str">
        <f>IF(OR(Tulokset!$G$44="",Tulokset!$I$44="",'2'!$I$45="",'2'!$K$45=""),"",IF(SIGN('2'!$I$45-'2'!$K$45)&lt;&gt;SIGN(Tulokset!$G$44-Tulokset!$I$44),0,IF(Tulokset!$G$44=Tulokset!$I$44,IF(AND('2'!$I$45=Tulokset!$G$44,'2'!$K$45=Tulokset!$I$44),6,3),MAX(0,6-(ABS('2'!$I$45-Tulokset!$G$44)+ABS('2'!$K$45-Tulokset!$I$44))))))</f>
        <v/>
      </c>
      <c r="AU5" t="str">
        <f>IF(OR(Tulokset!$G$45="",Tulokset!$I$45="",'2'!$I$46="",'2'!$K$46=""),"",IF(SIGN('2'!$I$46-'2'!$K$46)&lt;&gt;SIGN(Tulokset!$G$45-Tulokset!$I$45),0,IF(Tulokset!$G$45=Tulokset!$I$45,IF(AND('2'!$I$46=Tulokset!$G$45,'2'!$K$46=Tulokset!$I$45),6,3),MAX(0,6-(ABS('2'!$I$46-Tulokset!$G$45)+ABS('2'!$K$46-Tulokset!$I$45))))))</f>
        <v/>
      </c>
      <c r="AV5" t="str">
        <f>IF(OR(Tulokset!$G$46="",Tulokset!$I$46="",'2'!$I$47="",'2'!$K$47=""),"",IF(SIGN('2'!$I$47-'2'!$K$47)&lt;&gt;SIGN(Tulokset!$G$46-Tulokset!$I$46),0,IF(Tulokset!$G$46=Tulokset!$I$46,IF(AND('2'!$I$47=Tulokset!$G$46,'2'!$K$47=Tulokset!$I$46),6,3),MAX(0,6-(ABS('2'!$I$47-Tulokset!$G$46)+ABS('2'!$K$47-Tulokset!$I$46))))))</f>
        <v/>
      </c>
      <c r="AW5" t="str">
        <f>IF(OR(Tulokset!$G$47="",Tulokset!$I$47="",'2'!$I$48="",'2'!$K$48=""),"",IF(SIGN('2'!$I$48-'2'!$K$48)&lt;&gt;SIGN(Tulokset!$G$47-Tulokset!$I$47),0,IF(Tulokset!$G$47=Tulokset!$I$47,IF(AND('2'!$I$48=Tulokset!$G$47,'2'!$K$48=Tulokset!$I$47),6,3),MAX(0,6-(ABS('2'!$I$48-Tulokset!$G$47)+ABS('2'!$K$48-Tulokset!$I$47))))))</f>
        <v/>
      </c>
      <c r="AX5" t="str">
        <f>IF(OR(Tulokset!$G$48="",Tulokset!$I$48="",'2'!$I$49="",'2'!$K$49=""),"",IF(SIGN('2'!$I$49-'2'!$K$49)&lt;&gt;SIGN(Tulokset!$G$48-Tulokset!$I$48),0,IF(Tulokset!$G$48=Tulokset!$I$48,IF(AND('2'!$I$49=Tulokset!$G$48,'2'!$K$49=Tulokset!$I$48),6,3),MAX(0,6-(ABS('2'!$I$49-Tulokset!$G$48)+ABS('2'!$K$49-Tulokset!$I$48))))))</f>
        <v/>
      </c>
      <c r="AY5" t="str">
        <f>IF(OR(Tulokset!$G$49="",Tulokset!$I$49="",'2'!$I$50="",'2'!$K$50=""),"",IF(SIGN('2'!$I$50-'2'!$K$50)&lt;&gt;SIGN(Tulokset!$G$49-Tulokset!$I$49),0,IF(Tulokset!$G$49=Tulokset!$I$49,IF(AND('2'!$I$50=Tulokset!$G$49,'2'!$K$50=Tulokset!$I$49),6,3),MAX(0,6-(ABS('2'!$I$50-Tulokset!$G$49)+ABS('2'!$K$50-Tulokset!$I$49))))))</f>
        <v/>
      </c>
      <c r="AZ5" t="str">
        <f>IF(OR(Tulokset!$G$50="",Tulokset!$I$50="",'2'!$I$51="",'2'!$K$51=""),"",IF(SIGN('2'!$I$51-'2'!$K$51)&lt;&gt;SIGN(Tulokset!$G$50-Tulokset!$I$50),0,IF(Tulokset!$G$50=Tulokset!$I$50,IF(AND('2'!$I$51=Tulokset!$G$50,'2'!$K$51=Tulokset!$I$50),6,3),MAX(0,6-(ABS('2'!$I$51-Tulokset!$G$50)+ABS('2'!$K$51-Tulokset!$I$50))))))</f>
        <v/>
      </c>
      <c r="BA5" t="str">
        <f>IF(OR(Tulokset!$G$51="",Tulokset!$I$51="",'2'!$I$52="",'2'!$K$52=""),"",IF(SIGN('2'!$I$52-'2'!$K$52)&lt;&gt;SIGN(Tulokset!$G$51-Tulokset!$I$51),0,IF(Tulokset!$G$51=Tulokset!$I$51,IF(AND('2'!$I$52=Tulokset!$G$51,'2'!$K$52=Tulokset!$I$51),6,3),MAX(0,6-(ABS('2'!$I$52-Tulokset!$G$51)+ABS('2'!$K$52-Tulokset!$I$51))))))</f>
        <v/>
      </c>
      <c r="BB5" t="str">
        <f>IF(OR(Tulokset!$G$52="",Tulokset!$I$52="",'2'!$I$53="",'2'!$K$53=""),"",IF(SIGN('2'!$I$53-'2'!$K$53)&lt;&gt;SIGN(Tulokset!$G$52-Tulokset!$I$52),0,IF(Tulokset!$G$52=Tulokset!$I$52,IF(AND('2'!$I$53=Tulokset!$G$52,'2'!$K$53=Tulokset!$I$52),6,3),MAX(0,6-(ABS('2'!$I$53-Tulokset!$G$52)+ABS('2'!$K$53-Tulokset!$I$52))))))</f>
        <v/>
      </c>
      <c r="BC5" t="str">
        <f>IF(OR(Tulokset!$G$53="",Tulokset!$I$53="",'2'!$I$54="",'2'!$K$54=""),"",IF(SIGN('2'!$I$54-'2'!$K$54)&lt;&gt;SIGN(Tulokset!$G$53-Tulokset!$I$53),0,IF(Tulokset!$G$53=Tulokset!$I$53,IF(AND('2'!$I$54=Tulokset!$G$53,'2'!$K$54=Tulokset!$I$53),6,3),MAX(0,6-(ABS('2'!$I$54-Tulokset!$G$53)+ABS('2'!$K$54-Tulokset!$I$53))))))</f>
        <v/>
      </c>
      <c r="BD5" t="str">
        <f>IF(OR(Tulokset!$G$54="",Tulokset!$I$54="",'2'!$I$55="",'2'!$K$55=""),"",IF(SIGN('2'!$I$55-'2'!$K$55)&lt;&gt;SIGN(Tulokset!$G$54-Tulokset!$I$54),0,IF(Tulokset!$G$54=Tulokset!$I$54,IF(AND('2'!$I$55=Tulokset!$G$54,'2'!$K$55=Tulokset!$I$54),6,3),MAX(0,6-(ABS('2'!$I$55-Tulokset!$G$54)+ABS('2'!$K$55-Tulokset!$I$54))))))</f>
        <v/>
      </c>
      <c r="BE5" t="str">
        <f>IF(OR(Tulokset!$G$55="",Tulokset!$I$55="",'2'!$I$56="",'2'!$K$56=""),"",IF(SIGN('2'!$I$56-'2'!$K$56)&lt;&gt;SIGN(Tulokset!$G$55-Tulokset!$I$55),0,IF(Tulokset!$G$55=Tulokset!$I$55,IF(AND('2'!$I$56=Tulokset!$G$55,'2'!$K$56=Tulokset!$I$55),6,3),MAX(0,6-(ABS('2'!$I$56-Tulokset!$G$55)+ABS('2'!$K$56-Tulokset!$I$55))))))</f>
        <v/>
      </c>
      <c r="BF5" t="str">
        <f>IF(OR(Tulokset!$G$56="",Tulokset!$I$56="",'2'!$I$57="",'2'!$K$57=""),"",IF(SIGN('2'!$I$57-'2'!$K$57)&lt;&gt;SIGN(Tulokset!$G$56-Tulokset!$I$56),0,IF(Tulokset!$G$56=Tulokset!$I$56,IF(AND('2'!$I$57=Tulokset!$G$56,'2'!$K$57=Tulokset!$I$56),6,3),MAX(0,6-(ABS('2'!$I$57-Tulokset!$G$56)+ABS('2'!$K$57-Tulokset!$I$56))))))</f>
        <v/>
      </c>
      <c r="BG5" t="str">
        <f>IF(OR(Tulokset!$G$57="",Tulokset!$I$57="",'2'!$I$58="",'2'!$K$58=""),"",IF(SIGN('2'!$I$58-'2'!$K$58)&lt;&gt;SIGN(Tulokset!$G$57-Tulokset!$I$57),0,IF(Tulokset!$G$57=Tulokset!$I$57,IF(AND('2'!$I$58=Tulokset!$G$57,'2'!$K$58=Tulokset!$I$57),6,3),MAX(0,6-(ABS('2'!$I$58-Tulokset!$G$57)+ABS('2'!$K$58-Tulokset!$I$57))))))</f>
        <v/>
      </c>
      <c r="BH5" t="str">
        <f>IF(OR(Tulokset!$G$58="",Tulokset!$I$58="",'2'!$I$59="",'2'!$K$59=""),"",IF(SIGN('2'!$I$59-'2'!$K$59)&lt;&gt;SIGN(Tulokset!$G$58-Tulokset!$I$58),0,IF(Tulokset!$G$58=Tulokset!$I$58,IF(AND('2'!$I$59=Tulokset!$G$58,'2'!$K$59=Tulokset!$I$58),6,3),MAX(0,6-(ABS('2'!$I$59-Tulokset!$G$58)+ABS('2'!$K$59-Tulokset!$I$58))))))</f>
        <v/>
      </c>
      <c r="BI5" t="str">
        <f>IF(OR(Tulokset!$G$59="",Tulokset!$I$59="",'2'!$I$60="",'2'!$K$60=""),"",IF(SIGN('2'!$I$60-'2'!$K$60)&lt;&gt;SIGN(Tulokset!$G$59-Tulokset!$I$59),0,IF(Tulokset!$G$59=Tulokset!$I$59,IF(AND('2'!$I$60=Tulokset!$G$59,'2'!$K$60=Tulokset!$I$59),6,3),MAX(0,6-(ABS('2'!$I$60-Tulokset!$G$59)+ABS('2'!$K$60-Tulokset!$I$59))))))</f>
        <v/>
      </c>
      <c r="BJ5" t="str">
        <f>IF(OR(Tulokset!$G$60="",Tulokset!$I$60="",'2'!$I$61="",'2'!$K$61=""),"",IF(SIGN('2'!$I$61-'2'!$K$61)&lt;&gt;SIGN(Tulokset!$G$60-Tulokset!$I$60),0,IF(Tulokset!$G$60=Tulokset!$I$60,IF(AND('2'!$I$61=Tulokset!$G$60,'2'!$K$61=Tulokset!$I$60),6,3),MAX(0,6-(ABS('2'!$I$61-Tulokset!$G$60)+ABS('2'!$K$61-Tulokset!$I$60))))))</f>
        <v/>
      </c>
      <c r="BK5" t="str">
        <f>IF(OR(Tulokset!$G$61="",Tulokset!$I$61="",'2'!$I$62="",'2'!$K$62=""),"",IF(SIGN('2'!$I$62-'2'!$K$62)&lt;&gt;SIGN(Tulokset!$G$61-Tulokset!$I$61),0,IF(Tulokset!$G$61=Tulokset!$I$61,IF(AND('2'!$I$62=Tulokset!$G$61,'2'!$K$62=Tulokset!$I$61),6,3),MAX(0,6-(ABS('2'!$I$62-Tulokset!$G$61)+ABS('2'!$K$62-Tulokset!$I$61))))))</f>
        <v/>
      </c>
      <c r="BL5" t="str">
        <f>IF(OR(Tulokset!$G$62="",Tulokset!$I$62="",'2'!$I$63="",'2'!$K$63=""),"",IF(SIGN('2'!$I$63-'2'!$K$63)&lt;&gt;SIGN(Tulokset!$G$62-Tulokset!$I$62),0,IF(Tulokset!$G$62=Tulokset!$I$62,IF(AND('2'!$I$63=Tulokset!$G$62,'2'!$K$63=Tulokset!$I$62),6,3),MAX(0,6-(ABS('2'!$I$63-Tulokset!$G$62)+ABS('2'!$K$63-Tulokset!$I$62))))))</f>
        <v/>
      </c>
      <c r="BM5" t="str">
        <f>IF(OR(Tulokset!$G$63="",Tulokset!$I$63="",'2'!$I$64="",'2'!$K$64=""),"",IF(SIGN('2'!$I$64-'2'!$K$64)&lt;&gt;SIGN(Tulokset!$G$63-Tulokset!$I$63),0,IF(Tulokset!$G$63=Tulokset!$I$63,IF(AND('2'!$I$64=Tulokset!$G$63,'2'!$K$64=Tulokset!$I$63),6,3),MAX(0,6-(ABS('2'!$I$64-Tulokset!$G$63)+ABS('2'!$K$64-Tulokset!$I$63))))))</f>
        <v/>
      </c>
      <c r="BN5" t="str">
        <f>IF(OR(Tulokset!$G$64="",Tulokset!$I$64="",'2'!$I$65="",'2'!$K$65=""),"",IF(SIGN('2'!$I$65-'2'!$K$65)&lt;&gt;SIGN(Tulokset!$G$64-Tulokset!$I$64),0,IF(Tulokset!$G$64=Tulokset!$I$64,IF(AND('2'!$I$65=Tulokset!$G$64,'2'!$K$65=Tulokset!$I$64),6,3),MAX(0,6-(ABS('2'!$I$65-Tulokset!$G$64)+ABS('2'!$K$65-Tulokset!$I$64))))))</f>
        <v/>
      </c>
      <c r="BO5" t="str">
        <f>IF(OR(Tulokset!$G$65="",Tulokset!$I$65="",'2'!$I$66="",'2'!$K$66=""),"",IF(SIGN('2'!$I$66-'2'!$K$66)&lt;&gt;SIGN(Tulokset!$G$65-Tulokset!$I$65),0,IF(Tulokset!$G$65=Tulokset!$I$65,IF(AND('2'!$I$66=Tulokset!$G$65,'2'!$K$66=Tulokset!$I$65),6,3),MAX(0,6-(ABS('2'!$I$66-Tulokset!$G$65)+ABS('2'!$K$66-Tulokset!$I$65))))))</f>
        <v/>
      </c>
      <c r="BP5" t="str">
        <f>IF(OR(Tulokset!$G$66="",Tulokset!$I$66="",'2'!$I$67="",'2'!$K$67=""),"",IF(SIGN('2'!$I$67-'2'!$K$67)&lt;&gt;SIGN(Tulokset!$G$66-Tulokset!$I$66),0,IF(Tulokset!$G$66=Tulokset!$I$66,IF(AND('2'!$I$67=Tulokset!$G$66,'2'!$K$67=Tulokset!$I$66),6,3),MAX(0,6-(ABS('2'!$I$67-Tulokset!$G$66)+ABS('2'!$K$67-Tulokset!$I$66))))))</f>
        <v/>
      </c>
      <c r="BQ5" t="str">
        <f>IF(OR(Tulokset!$G$67="",Tulokset!$I$67="",'2'!$I$68="",'2'!$K$68=""),"",IF(SIGN('2'!$I$68-'2'!$K$68)&lt;&gt;SIGN(Tulokset!$G$67-Tulokset!$I$67),0,IF(Tulokset!$G$67=Tulokset!$I$67,IF(AND('2'!$I$68=Tulokset!$G$67,'2'!$K$68=Tulokset!$I$67),6,3),MAX(0,6-(ABS('2'!$I$68-Tulokset!$G$67)+ABS('2'!$K$68-Tulokset!$I$67))))))</f>
        <v/>
      </c>
      <c r="BR5" t="str">
        <f>IF(OR(Tulokset!$G$68="",Tulokset!$I$68="",'2'!$I$69="",'2'!$K$69=""),"",IF(SIGN('2'!$I$69-'2'!$K$69)&lt;&gt;SIGN(Tulokset!$G$68-Tulokset!$I$68),0,IF(Tulokset!$G$68=Tulokset!$I$68,IF(AND('2'!$I$69=Tulokset!$G$68,'2'!$K$69=Tulokset!$I$68),6,3),MAX(0,6-(ABS('2'!$I$69-Tulokset!$G$68)+ABS('2'!$K$69-Tulokset!$I$68))))))</f>
        <v/>
      </c>
      <c r="BS5" t="str">
        <f>IF(OR(Tulokset!$G$69="",Tulokset!$I$69="",'2'!$I$70="",'2'!$K$70=""),"",IF(SIGN('2'!$I$70-'2'!$K$70)&lt;&gt;SIGN(Tulokset!$G$69-Tulokset!$I$69),0,IF(Tulokset!$G$69=Tulokset!$I$69,IF(AND('2'!$I$70=Tulokset!$G$69,'2'!$K$70=Tulokset!$I$69),6,3),MAX(0,6-(ABS('2'!$I$70-Tulokset!$G$69)+ABS('2'!$K$70-Tulokset!$I$69))))))</f>
        <v/>
      </c>
      <c r="BT5" t="str">
        <f>IF(OR(Tulokset!$G$70="",Tulokset!$I$70="",'2'!$I$71="",'2'!$K$71=""),"",IF(SIGN('2'!$I$71-'2'!$K$71)&lt;&gt;SIGN(Tulokset!$G$70-Tulokset!$I$70),0,IF(Tulokset!$G$70=Tulokset!$I$70,IF(AND('2'!$I$71=Tulokset!$G$70,'2'!$K$71=Tulokset!$I$70),6,3),MAX(0,6-(ABS('2'!$I$71-Tulokset!$G$70)+ABS('2'!$K$71-Tulokset!$I$70))))))</f>
        <v/>
      </c>
      <c r="BU5" t="str">
        <f>IF(OR(Tulokset!$G$71="",Tulokset!$I$71="",'2'!$I$72="",'2'!$K$72=""),"",IF(SIGN('2'!$I$72-'2'!$K$72)&lt;&gt;SIGN(Tulokset!$G$71-Tulokset!$I$71),0,IF(Tulokset!$G$71=Tulokset!$I$71,IF(AND('2'!$I$72=Tulokset!$G$71,'2'!$K$72=Tulokset!$I$71),6,3),MAX(0,6-(ABS('2'!$I$72-Tulokset!$G$71)+ABS('2'!$K$72-Tulokset!$I$71))))))</f>
        <v/>
      </c>
      <c r="BV5" t="str">
        <f>IF(OR(Tulokset!$G$72="",Tulokset!$I$72="",'2'!$I$73="",'2'!$K$73=""),"",IF(SIGN('2'!$I$73-'2'!$K$73)&lt;&gt;SIGN(Tulokset!$G$72-Tulokset!$I$72),0,IF(Tulokset!$G$72=Tulokset!$I$72,IF(AND('2'!$I$73=Tulokset!$G$72,'2'!$K$73=Tulokset!$I$72),6,3),MAX(0,6-(ABS('2'!$I$73-Tulokset!$G$72)+ABS('2'!$K$73-Tulokset!$I$72))))))</f>
        <v/>
      </c>
      <c r="BW5" t="str">
        <f>IF(OR(Tulokset!$G$73="",Tulokset!$I$73="",'2'!$I$74="",'2'!$K$74=""),"",IF(SIGN('2'!$I$74-'2'!$K$74)&lt;&gt;SIGN(Tulokset!$G$73-Tulokset!$I$73),0,IF(Tulokset!$G$73=Tulokset!$I$73,IF(AND('2'!$I$74=Tulokset!$G$73,'2'!$K$74=Tulokset!$I$73),6,3),MAX(0,6-(ABS('2'!$I$74-Tulokset!$G$73)+ABS('2'!$K$74-Tulokset!$I$73))))))</f>
        <v/>
      </c>
      <c r="BX5" t="str">
        <f>IF(OR(Tulokset!$G$74="",Tulokset!$I$74="",'2'!$I$75="",'2'!$K$75=""),"",IF(SIGN('2'!$I$75-'2'!$K$75)&lt;&gt;SIGN(Tulokset!$G$74-Tulokset!$I$74),0,IF(Tulokset!$G$74=Tulokset!$I$74,IF(AND('2'!$I$75=Tulokset!$G$74,'2'!$K$75=Tulokset!$I$74),6,3),MAX(0,6-(ABS('2'!$I$75-Tulokset!$G$74)+ABS('2'!$K$75-Tulokset!$I$74))))))</f>
        <v/>
      </c>
      <c r="BY5" t="str">
        <f>IF(OR(Tulokset!$G$75="",Tulokset!$I$75="",'2'!$I$76="",'2'!$K$76=""),"",IF(SIGN('2'!$I$76-'2'!$K$76)&lt;&gt;SIGN(Tulokset!$G$75-Tulokset!$I$75),0,IF(Tulokset!$G$75=Tulokset!$I$75,IF(AND('2'!$I$76=Tulokset!$G$75,'2'!$K$76=Tulokset!$I$75),6,3),MAX(0,6-(ABS('2'!$I$76-Tulokset!$G$75)+ABS('2'!$K$76-Tulokset!$I$75))))))</f>
        <v/>
      </c>
      <c r="BZ5" t="str">
        <f>IF(OR(Tulokset!$G$76="",Tulokset!$I$76="",'2'!$I$77="",'2'!$K$77=""),"",IF(SIGN('2'!$I$77-'2'!$K$77)&lt;&gt;SIGN(Tulokset!$G$76-Tulokset!$I$76),0,IF(Tulokset!$G$76=Tulokset!$I$76,IF(AND('2'!$I$77=Tulokset!$G$76,'2'!$K$77=Tulokset!$I$76),6,3),MAX(0,6-(ABS('2'!$I$77-Tulokset!$G$76)+ABS('2'!$K$77-Tulokset!$I$76))))))</f>
        <v/>
      </c>
      <c r="CA5" t="str">
        <f>IF(OR(Tulokset!$G$77="",Tulokset!$I$77="",'2'!$I$78="",'2'!$K$78=""),"",IF(SIGN('2'!$I$78-'2'!$K$78)&lt;&gt;SIGN(Tulokset!$G$77-Tulokset!$I$77),0,IF(Tulokset!$G$77=Tulokset!$I$77,IF(AND('2'!$I$78=Tulokset!$G$77,'2'!$K$78=Tulokset!$I$77),6,3),MAX(0,6-(ABS('2'!$I$78-Tulokset!$G$77)+ABS('2'!$K$78-Tulokset!$I$77))))))</f>
        <v/>
      </c>
      <c r="CD5" t="str">
        <f ca="1">IF(OR(Tulokset!$M$6="",INDIRECT("'"&amp;$A5&amp;"'!$P$8")=""),"",IF(TRIM(INDIRECT("'"&amp;$A5&amp;"'!$P$8"))=TRIM(Tulokset!$M$6),2,0))</f>
        <v/>
      </c>
      <c r="CE5" t="str">
        <f ca="1">IF(OR(Tulokset!$M$7="",INDIRECT("'"&amp;$A5&amp;"'!$P$9")=""),"",IF(TRIM(INDIRECT("'"&amp;$A5&amp;"'!$P$9"))=TRIM(Tulokset!$M$7),2,0))</f>
        <v/>
      </c>
      <c r="CF5" t="str">
        <f ca="1">IF(OR(Tulokset!$M$8="",INDIRECT("'"&amp;$A5&amp;"'!$P$10")=""),"",IF(TRIM(INDIRECT("'"&amp;$A5&amp;"'!$P$10"))=TRIM(Tulokset!$M$8),2,0))</f>
        <v/>
      </c>
      <c r="CG5" t="str">
        <f ca="1">IF(OR(Tulokset!$M$9="",INDIRECT("'"&amp;$A5&amp;"'!$P$11")=""),"",IF(TRIM(INDIRECT("'"&amp;$A5&amp;"'!$P$11"))=TRIM(Tulokset!$M$9),2,0))</f>
        <v/>
      </c>
      <c r="CH5" t="str">
        <f ca="1">IF(OR(Tulokset!$N$6="",INDIRECT("'"&amp;$A5&amp;"'!$Q$8")=""),"",IF(TRIM(INDIRECT("'"&amp;$A5&amp;"'!$Q$8"))=TRIM(Tulokset!$N$6),2,0))</f>
        <v/>
      </c>
      <c r="CI5" t="str">
        <f ca="1">IF(OR(Tulokset!$N$7="",INDIRECT("'"&amp;$A5&amp;"'!$Q$9")=""),"",IF(TRIM(INDIRECT("'"&amp;$A5&amp;"'!$Q$9"))=TRIM(Tulokset!$N$7),2,0))</f>
        <v/>
      </c>
      <c r="CJ5" t="str">
        <f ca="1">IF(OR(Tulokset!$N$8="",INDIRECT("'"&amp;$A5&amp;"'!$Q$10")=""),"",IF(TRIM(INDIRECT("'"&amp;$A5&amp;"'!$Q$10"))=TRIM(Tulokset!$N$8),2,0))</f>
        <v/>
      </c>
      <c r="CK5" t="str">
        <f ca="1">IF(OR(Tulokset!$N$9="",INDIRECT("'"&amp;$A5&amp;"'!$Q$11")=""),"",IF(TRIM(INDIRECT("'"&amp;$A5&amp;"'!$Q$11"))=TRIM(Tulokset!$N$9),2,0))</f>
        <v/>
      </c>
      <c r="CL5" t="str">
        <f ca="1">IF(OR(Tulokset!$O$6="",INDIRECT("'"&amp;$A5&amp;"'!$R$8")=""),"",IF(TRIM(INDIRECT("'"&amp;$A5&amp;"'!$R$8"))=TRIM(Tulokset!$O$6),2,0))</f>
        <v/>
      </c>
      <c r="CM5" t="str">
        <f ca="1">IF(OR(Tulokset!$O$7="",INDIRECT("'"&amp;$A5&amp;"'!$R$9")=""),"",IF(TRIM(INDIRECT("'"&amp;$A5&amp;"'!$R$9"))=TRIM(Tulokset!$O$7),2,0))</f>
        <v/>
      </c>
      <c r="CN5" t="str">
        <f ca="1">IF(OR(Tulokset!$O$8="",INDIRECT("'"&amp;$A5&amp;"'!$R$10")=""),"",IF(TRIM(INDIRECT("'"&amp;$A5&amp;"'!$R$10"))=TRIM(Tulokset!$O$8),2,0))</f>
        <v/>
      </c>
      <c r="CO5" t="str">
        <f ca="1">IF(OR(Tulokset!$O$9="",INDIRECT("'"&amp;$A5&amp;"'!$R$11")=""),"",IF(TRIM(INDIRECT("'"&amp;$A5&amp;"'!$R$11"))=TRIM(Tulokset!$O$9),2,0))</f>
        <v/>
      </c>
      <c r="CP5" t="str">
        <f ca="1">IF(OR(Tulokset!$P$6="",INDIRECT("'"&amp;$A5&amp;"'!$S$8")=""),"",IF(TRIM(INDIRECT("'"&amp;$A5&amp;"'!$S$8"))=TRIM(Tulokset!$P$6),2,0))</f>
        <v/>
      </c>
      <c r="CQ5" t="str">
        <f ca="1">IF(OR(Tulokset!$P$7="",INDIRECT("'"&amp;$A5&amp;"'!$S$9")=""),"",IF(TRIM(INDIRECT("'"&amp;$A5&amp;"'!$S$9"))=TRIM(Tulokset!$P$7),2,0))</f>
        <v/>
      </c>
      <c r="CR5" t="str">
        <f ca="1">IF(OR(Tulokset!$P$8="",INDIRECT("'"&amp;$A5&amp;"'!$S$10")=""),"",IF(TRIM(INDIRECT("'"&amp;$A5&amp;"'!$S$10"))=TRIM(Tulokset!$P$8),2,0))</f>
        <v/>
      </c>
      <c r="CS5" t="str">
        <f ca="1">IF(OR(Tulokset!$P$9="",INDIRECT("'"&amp;$A5&amp;"'!$S$11")=""),"",IF(TRIM(INDIRECT("'"&amp;$A5&amp;"'!$S$11"))=TRIM(Tulokset!$P$9),2,0))</f>
        <v/>
      </c>
      <c r="CT5" t="str">
        <f ca="1">IF(OR(Tulokset!$Q$6="",INDIRECT("'"&amp;$A5&amp;"'!$T$8")=""),"",IF(TRIM(INDIRECT("'"&amp;$A5&amp;"'!$T$8"))=TRIM(Tulokset!$Q$6),2,0))</f>
        <v/>
      </c>
      <c r="CU5" t="str">
        <f ca="1">IF(OR(Tulokset!$Q$7="",INDIRECT("'"&amp;$A5&amp;"'!$T$9")=""),"",IF(TRIM(INDIRECT("'"&amp;$A5&amp;"'!$T$9"))=TRIM(Tulokset!$Q$7),2,0))</f>
        <v/>
      </c>
      <c r="CV5" t="str">
        <f ca="1">IF(OR(Tulokset!$Q$8="",INDIRECT("'"&amp;$A5&amp;"'!$T$10")=""),"",IF(TRIM(INDIRECT("'"&amp;$A5&amp;"'!$T$10"))=TRIM(Tulokset!$Q$8),2,0))</f>
        <v/>
      </c>
      <c r="CW5" t="str">
        <f ca="1">IF(OR(Tulokset!$Q$9="",INDIRECT("'"&amp;$A5&amp;"'!$T$11")=""),"",IF(TRIM(INDIRECT("'"&amp;$A5&amp;"'!$T$11"))=TRIM(Tulokset!$Q$9),2,0))</f>
        <v/>
      </c>
      <c r="CX5" t="str">
        <f ca="1">IF(OR(Tulokset!$R$6="",INDIRECT("'"&amp;$A5&amp;"'!$U$8")=""),"",IF(TRIM(INDIRECT("'"&amp;$A5&amp;"'!$U$8"))=TRIM(Tulokset!$R$6),2,0))</f>
        <v/>
      </c>
      <c r="CY5" t="str">
        <f ca="1">IF(OR(Tulokset!$R$7="",INDIRECT("'"&amp;$A5&amp;"'!$U$9")=""),"",IF(TRIM(INDIRECT("'"&amp;$A5&amp;"'!$U$9"))=TRIM(Tulokset!$R$7),2,0))</f>
        <v/>
      </c>
      <c r="CZ5" t="str">
        <f ca="1">IF(OR(Tulokset!$R$8="",INDIRECT("'"&amp;$A5&amp;"'!$U$10")=""),"",IF(TRIM(INDIRECT("'"&amp;$A5&amp;"'!$U$10"))=TRIM(Tulokset!$R$8),2,0))</f>
        <v/>
      </c>
      <c r="DA5" t="str">
        <f ca="1">IF(OR(Tulokset!$R$9="",INDIRECT("'"&amp;$A5&amp;"'!$U$11")=""),"",IF(TRIM(INDIRECT("'"&amp;$A5&amp;"'!$U$11"))=TRIM(Tulokset!$R$9),2,0))</f>
        <v/>
      </c>
      <c r="DB5" t="str">
        <f ca="1">IF(OR(Tulokset!$M$12="",INDIRECT("'"&amp;$A5&amp;"'!$P$14")=""),"",IF(TRIM(INDIRECT("'"&amp;$A5&amp;"'!$P$14"))=TRIM(Tulokset!$M$12),2,0))</f>
        <v/>
      </c>
      <c r="DC5" t="str">
        <f ca="1">IF(OR(Tulokset!$M$13="",INDIRECT("'"&amp;$A5&amp;"'!$P$15")=""),"",IF(TRIM(INDIRECT("'"&amp;$A5&amp;"'!$P$15"))=TRIM(Tulokset!$M$13),2,0))</f>
        <v/>
      </c>
      <c r="DD5" t="str">
        <f ca="1">IF(OR(Tulokset!$M$14="",INDIRECT("'"&amp;$A5&amp;"'!$P$16")=""),"",IF(TRIM(INDIRECT("'"&amp;$A5&amp;"'!$P$16"))=TRIM(Tulokset!$M$14),2,0))</f>
        <v/>
      </c>
      <c r="DE5" t="str">
        <f ca="1">IF(OR(Tulokset!$M$15="",INDIRECT("'"&amp;$A5&amp;"'!$P$17")=""),"",IF(TRIM(INDIRECT("'"&amp;$A5&amp;"'!$P$17"))=TRIM(Tulokset!$M$15),2,0))</f>
        <v/>
      </c>
      <c r="DF5" t="str">
        <f ca="1">IF(OR(Tulokset!$N$12="",INDIRECT("'"&amp;$A5&amp;"'!$Q$14")=""),"",IF(TRIM(INDIRECT("'"&amp;$A5&amp;"'!$Q$14"))=TRIM(Tulokset!$N$12),2,0))</f>
        <v/>
      </c>
      <c r="DG5" t="str">
        <f ca="1">IF(OR(Tulokset!$N$13="",INDIRECT("'"&amp;$A5&amp;"'!$Q$15")=""),"",IF(TRIM(INDIRECT("'"&amp;$A5&amp;"'!$Q$15"))=TRIM(Tulokset!$N$13),2,0))</f>
        <v/>
      </c>
      <c r="DH5" t="str">
        <f ca="1">IF(OR(Tulokset!$N$14="",INDIRECT("'"&amp;$A5&amp;"'!$Q$16")=""),"",IF(TRIM(INDIRECT("'"&amp;$A5&amp;"'!$Q$16"))=TRIM(Tulokset!$N$14),2,0))</f>
        <v/>
      </c>
      <c r="DI5" t="str">
        <f ca="1">IF(OR(Tulokset!$N$15="",INDIRECT("'"&amp;$A5&amp;"'!$Q$17")=""),"",IF(TRIM(INDIRECT("'"&amp;$A5&amp;"'!$Q$17"))=TRIM(Tulokset!$N$15),2,0))</f>
        <v/>
      </c>
      <c r="DJ5" t="str">
        <f ca="1">IF(OR(Tulokset!$O$12="",INDIRECT("'"&amp;$A5&amp;"'!$R$14")=""),"",IF(TRIM(INDIRECT("'"&amp;$A5&amp;"'!$R$14"))=TRIM(Tulokset!$O$12),2,0))</f>
        <v/>
      </c>
      <c r="DK5" t="str">
        <f ca="1">IF(OR(Tulokset!$O$13="",INDIRECT("'"&amp;$A5&amp;"'!$R$15")=""),"",IF(TRIM(INDIRECT("'"&amp;$A5&amp;"'!$R$15"))=TRIM(Tulokset!$O$13),2,0))</f>
        <v/>
      </c>
      <c r="DL5" t="str">
        <f ca="1">IF(OR(Tulokset!$O$14="",INDIRECT("'"&amp;$A5&amp;"'!$R$16")=""),"",IF(TRIM(INDIRECT("'"&amp;$A5&amp;"'!$R$16"))=TRIM(Tulokset!$O$14),2,0))</f>
        <v/>
      </c>
      <c r="DM5" t="str">
        <f ca="1">IF(OR(Tulokset!$O$15="",INDIRECT("'"&amp;$A5&amp;"'!$R$17")=""),"",IF(TRIM(INDIRECT("'"&amp;$A5&amp;"'!$R$17"))=TRIM(Tulokset!$O$15),2,0))</f>
        <v/>
      </c>
      <c r="DN5" t="str">
        <f ca="1">IF(OR(Tulokset!$P$12="",INDIRECT("'"&amp;$A5&amp;"'!$S$14")=""),"",IF(TRIM(INDIRECT("'"&amp;$A5&amp;"'!$S$14"))=TRIM(Tulokset!$P$12),2,0))</f>
        <v/>
      </c>
      <c r="DO5" t="str">
        <f ca="1">IF(OR(Tulokset!$P$13="",INDIRECT("'"&amp;$A5&amp;"'!$S$15")=""),"",IF(TRIM(INDIRECT("'"&amp;$A5&amp;"'!$S$15"))=TRIM(Tulokset!$P$13),2,0))</f>
        <v/>
      </c>
      <c r="DP5" t="str">
        <f ca="1">IF(OR(Tulokset!$P$14="",INDIRECT("'"&amp;$A5&amp;"'!$S$16")=""),"",IF(TRIM(INDIRECT("'"&amp;$A5&amp;"'!$S$16"))=TRIM(Tulokset!$P$14),2,0))</f>
        <v/>
      </c>
      <c r="DQ5" t="str">
        <f ca="1">IF(OR(Tulokset!$P$15="",INDIRECT("'"&amp;$A5&amp;"'!$S$17")=""),"",IF(TRIM(INDIRECT("'"&amp;$A5&amp;"'!$S$17"))=TRIM(Tulokset!$P$15),2,0))</f>
        <v/>
      </c>
      <c r="DR5" t="str">
        <f ca="1">IF(OR(Tulokset!$Q$12="",INDIRECT("'"&amp;$A5&amp;"'!$T$14")=""),"",IF(TRIM(INDIRECT("'"&amp;$A5&amp;"'!$T$14"))=TRIM(Tulokset!$Q$12),2,0))</f>
        <v/>
      </c>
      <c r="DS5" t="str">
        <f ca="1">IF(OR(Tulokset!$Q$13="",INDIRECT("'"&amp;$A5&amp;"'!$T$15")=""),"",IF(TRIM(INDIRECT("'"&amp;$A5&amp;"'!$T$15"))=TRIM(Tulokset!$Q$13),2,0))</f>
        <v/>
      </c>
      <c r="DT5" t="str">
        <f ca="1">IF(OR(Tulokset!$Q$14="",INDIRECT("'"&amp;$A5&amp;"'!$T$16")=""),"",IF(TRIM(INDIRECT("'"&amp;$A5&amp;"'!$T$16"))=TRIM(Tulokset!$Q$14),2,0))</f>
        <v/>
      </c>
      <c r="DU5" t="str">
        <f ca="1">IF(OR(Tulokset!$Q$15="",INDIRECT("'"&amp;$A5&amp;"'!$T$17")=""),"",IF(TRIM(INDIRECT("'"&amp;$A5&amp;"'!$T$17"))=TRIM(Tulokset!$Q$15),2,0))</f>
        <v/>
      </c>
      <c r="DV5" t="str">
        <f ca="1">IF(OR(Tulokset!$R$12="",INDIRECT("'"&amp;$A5&amp;"'!$U$14")=""),"",IF(TRIM(INDIRECT("'"&amp;$A5&amp;"'!$U$14"))=TRIM(Tulokset!$R$12),2,0))</f>
        <v/>
      </c>
      <c r="DW5" t="str">
        <f ca="1">IF(OR(Tulokset!$R$13="",INDIRECT("'"&amp;$A5&amp;"'!$U$15")=""),"",IF(TRIM(INDIRECT("'"&amp;$A5&amp;"'!$U$15"))=TRIM(Tulokset!$R$13),2,0))</f>
        <v/>
      </c>
      <c r="DX5" t="str">
        <f ca="1">IF(OR(Tulokset!$R$14="",INDIRECT("'"&amp;$A5&amp;"'!$U$16")=""),"",IF(TRIM(INDIRECT("'"&amp;$A5&amp;"'!$U$16"))=TRIM(Tulokset!$R$14),2,0))</f>
        <v/>
      </c>
      <c r="DY5" t="str">
        <f ca="1">IF(OR(Tulokset!$R$15="",INDIRECT("'"&amp;$A5&amp;"'!$U$17")=""),"",IF(TRIM(INDIRECT("'"&amp;$A5&amp;"'!$U$17"))=TRIM(Tulokset!$R$15),2,0))</f>
        <v/>
      </c>
      <c r="EA5" t="str">
        <f ca="1">IF(OR(INDIRECT("'"&amp;$A5&amp;"'!$E$79")="",COUNTA(Tulokset!$M$20:$M$21)=0),"",IF(COUNTIF(Tulokset!$M$20:$M$21,INDIRECT("'"&amp;$A5&amp;"'!$E$79"))&gt;0,2,0))</f>
        <v/>
      </c>
      <c r="EB5" t="str">
        <f ca="1">IF(OR(INDIRECT("'"&amp;$A5&amp;"'!$G$79")="",COUNTA(Tulokset!$M$20:$M$21)=0),"",IF(COUNTIF(Tulokset!$M$20:$M$21,INDIRECT("'"&amp;$A5&amp;"'!$G$79"))&gt;0,2,0))</f>
        <v/>
      </c>
      <c r="EC5" t="str">
        <f ca="1">IF(OR(INDIRECT("'"&amp;$A5&amp;"'!$E$80")="",COUNTA(Tulokset!$M$23:$M$24)=0),"",IF(COUNTIF(Tulokset!$M$23:$M$24,INDIRECT("'"&amp;$A5&amp;"'!$E$80"))&gt;0,2,0))</f>
        <v/>
      </c>
      <c r="ED5" t="str">
        <f ca="1">IF(OR(INDIRECT("'"&amp;$A5&amp;"'!$G$80")="",COUNTA(Tulokset!$M$23:$M$24)=0),"",IF(COUNTIF(Tulokset!$M$23:$M$24,INDIRECT("'"&amp;$A5&amp;"'!$G$80"))&gt;0,2,0))</f>
        <v/>
      </c>
    </row>
    <row r="6" spans="1:134">
      <c r="A6" t="s">
        <v>298</v>
      </c>
      <c r="B6" t="str">
        <f t="shared" ca="1" si="0"/>
        <v>Johnny Rotten</v>
      </c>
      <c r="C6" s="95">
        <f t="shared" si="1"/>
        <v>0</v>
      </c>
      <c r="D6" s="95">
        <f t="shared" ca="1" si="2"/>
        <v>0</v>
      </c>
      <c r="E6" s="95">
        <f t="shared" ca="1" si="3"/>
        <v>0</v>
      </c>
      <c r="F6" s="95">
        <f t="shared" ca="1" si="4"/>
        <v>0</v>
      </c>
      <c r="G6" s="95">
        <f t="shared" si="5"/>
        <v>0</v>
      </c>
      <c r="H6" t="str">
        <f>IF(OR(Tulokset!$G$6="",Tulokset!$I$6="",'3'!$I$7="",'3'!$K$7=""),"",IF(SIGN('3'!$I$7-'3'!$K$7)&lt;&gt;SIGN(Tulokset!$G$6-Tulokset!$I$6),0,IF(Tulokset!$G$6=Tulokset!$I$6,IF(AND('3'!$I$7=Tulokset!$G$6,'3'!$K$7=Tulokset!$I$6),6,3),MAX(0,6-(ABS('3'!$I$7-Tulokset!$G$6)+ABS('3'!$K$7-Tulokset!$I$6))))))</f>
        <v/>
      </c>
      <c r="I6" t="str">
        <f>IF(OR(Tulokset!$G$7="",Tulokset!$I$7="",'3'!$I$8="",'3'!$K$8=""),"",IF(SIGN('3'!$I$8-'3'!$K$8)&lt;&gt;SIGN(Tulokset!$G$7-Tulokset!$I$7),0,IF(Tulokset!$G$7=Tulokset!$I$7,IF(AND('3'!$I$8=Tulokset!$G$7,'3'!$K$8=Tulokset!$I$7),6,3),MAX(0,6-(ABS('3'!$I$8-Tulokset!$G$7)+ABS('3'!$K$8-Tulokset!$I$7))))))</f>
        <v/>
      </c>
      <c r="J6" t="str">
        <f>IF(OR(Tulokset!$G$8="",Tulokset!$I$8="",'3'!$I$9="",'3'!$K$9=""),"",IF(SIGN('3'!$I$9-'3'!$K$9)&lt;&gt;SIGN(Tulokset!$G$8-Tulokset!$I$8),0,IF(Tulokset!$G$8=Tulokset!$I$8,IF(AND('3'!$I$9=Tulokset!$G$8,'3'!$K$9=Tulokset!$I$8),6,3),MAX(0,6-(ABS('3'!$I$9-Tulokset!$G$8)+ABS('3'!$K$9-Tulokset!$I$8))))))</f>
        <v/>
      </c>
      <c r="K6" t="str">
        <f>IF(OR(Tulokset!$G$9="",Tulokset!$I$9="",'3'!$I$10="",'3'!$K$10=""),"",IF(SIGN('3'!$I$10-'3'!$K$10)&lt;&gt;SIGN(Tulokset!$G$9-Tulokset!$I$9),0,IF(Tulokset!$G$9=Tulokset!$I$9,IF(AND('3'!$I$10=Tulokset!$G$9,'3'!$K$10=Tulokset!$I$9),6,3),MAX(0,6-(ABS('3'!$I$10-Tulokset!$G$9)+ABS('3'!$K$10-Tulokset!$I$9))))))</f>
        <v/>
      </c>
      <c r="L6" t="str">
        <f>IF(OR(Tulokset!$G$10="",Tulokset!$I$10="",'3'!$I$11="",'3'!$K$11=""),"",IF(SIGN('3'!$I$11-'3'!$K$11)&lt;&gt;SIGN(Tulokset!$G$10-Tulokset!$I$10),0,IF(Tulokset!$G$10=Tulokset!$I$10,IF(AND('3'!$I$11=Tulokset!$G$10,'3'!$K$11=Tulokset!$I$10),6,3),MAX(0,6-(ABS('3'!$I$11-Tulokset!$G$10)+ABS('3'!$K$11-Tulokset!$I$10))))))</f>
        <v/>
      </c>
      <c r="M6" t="str">
        <f>IF(OR(Tulokset!$G$11="",Tulokset!$I$11="",'3'!$I$12="",'3'!$K$12=""),"",IF(SIGN('3'!$I$12-'3'!$K$12)&lt;&gt;SIGN(Tulokset!$G$11-Tulokset!$I$11),0,IF(Tulokset!$G$11=Tulokset!$I$11,IF(AND('3'!$I$12=Tulokset!$G$11,'3'!$K$12=Tulokset!$I$11),6,3),MAX(0,6-(ABS('3'!$I$12-Tulokset!$G$11)+ABS('3'!$K$12-Tulokset!$I$11))))))</f>
        <v/>
      </c>
      <c r="N6" t="str">
        <f>IF(OR(Tulokset!$G$12="",Tulokset!$I$12="",'3'!$I$13="",'3'!$K$13=""),"",IF(SIGN('3'!$I$13-'3'!$K$13)&lt;&gt;SIGN(Tulokset!$G$12-Tulokset!$I$12),0,IF(Tulokset!$G$12=Tulokset!$I$12,IF(AND('3'!$I$13=Tulokset!$G$12,'3'!$K$13=Tulokset!$I$12),6,3),MAX(0,6-(ABS('3'!$I$13-Tulokset!$G$12)+ABS('3'!$K$13-Tulokset!$I$12))))))</f>
        <v/>
      </c>
      <c r="O6" t="str">
        <f>IF(OR(Tulokset!$G$13="",Tulokset!$I$13="",'3'!$I$14="",'3'!$K$14=""),"",IF(SIGN('3'!$I$14-'3'!$K$14)&lt;&gt;SIGN(Tulokset!$G$13-Tulokset!$I$13),0,IF(Tulokset!$G$13=Tulokset!$I$13,IF(AND('3'!$I$14=Tulokset!$G$13,'3'!$K$14=Tulokset!$I$13),6,3),MAX(0,6-(ABS('3'!$I$14-Tulokset!$G$13)+ABS('3'!$K$14-Tulokset!$I$13))))))</f>
        <v/>
      </c>
      <c r="P6" t="str">
        <f>IF(OR(Tulokset!$G$14="",Tulokset!$I$14="",'3'!$I$15="",'3'!$K$15=""),"",IF(SIGN('3'!$I$15-'3'!$K$15)&lt;&gt;SIGN(Tulokset!$G$14-Tulokset!$I$14),0,IF(Tulokset!$G$14=Tulokset!$I$14,IF(AND('3'!$I$15=Tulokset!$G$14,'3'!$K$15=Tulokset!$I$14),6,3),MAX(0,6-(ABS('3'!$I$15-Tulokset!$G$14)+ABS('3'!$K$15-Tulokset!$I$14))))))</f>
        <v/>
      </c>
      <c r="Q6" t="str">
        <f>IF(OR(Tulokset!$G$15="",Tulokset!$I$15="",'3'!$I$16="",'3'!$K$16=""),"",IF(SIGN('3'!$I$16-'3'!$K$16)&lt;&gt;SIGN(Tulokset!$G$15-Tulokset!$I$15),0,IF(Tulokset!$G$15=Tulokset!$I$15,IF(AND('3'!$I$16=Tulokset!$G$15,'3'!$K$16=Tulokset!$I$15),6,3),MAX(0,6-(ABS('3'!$I$16-Tulokset!$G$15)+ABS('3'!$K$16-Tulokset!$I$15))))))</f>
        <v/>
      </c>
      <c r="R6" t="str">
        <f>IF(OR(Tulokset!$G$16="",Tulokset!$I$16="",'3'!$I$17="",'3'!$K$17=""),"",IF(SIGN('3'!$I$17-'3'!$K$17)&lt;&gt;SIGN(Tulokset!$G$16-Tulokset!$I$16),0,IF(Tulokset!$G$16=Tulokset!$I$16,IF(AND('3'!$I$17=Tulokset!$G$16,'3'!$K$17=Tulokset!$I$16),6,3),MAX(0,6-(ABS('3'!$I$17-Tulokset!$G$16)+ABS('3'!$K$17-Tulokset!$I$16))))))</f>
        <v/>
      </c>
      <c r="S6" t="str">
        <f>IF(OR(Tulokset!$G$17="",Tulokset!$I$17="",'3'!$I$18="",'3'!$K$18=""),"",IF(SIGN('3'!$I$18-'3'!$K$18)&lt;&gt;SIGN(Tulokset!$G$17-Tulokset!$I$17),0,IF(Tulokset!$G$17=Tulokset!$I$17,IF(AND('3'!$I$18=Tulokset!$G$17,'3'!$K$18=Tulokset!$I$17),6,3),MAX(0,6-(ABS('3'!$I$18-Tulokset!$G$17)+ABS('3'!$K$18-Tulokset!$I$17))))))</f>
        <v/>
      </c>
      <c r="T6" t="str">
        <f>IF(OR(Tulokset!$G$18="",Tulokset!$I$18="",'3'!$I$19="",'3'!$K$19=""),"",IF(SIGN('3'!$I$19-'3'!$K$19)&lt;&gt;SIGN(Tulokset!$G$18-Tulokset!$I$18),0,IF(Tulokset!$G$18=Tulokset!$I$18,IF(AND('3'!$I$19=Tulokset!$G$18,'3'!$K$19=Tulokset!$I$18),6,3),MAX(0,6-(ABS('3'!$I$19-Tulokset!$G$18)+ABS('3'!$K$19-Tulokset!$I$18))))))</f>
        <v/>
      </c>
      <c r="U6" t="str">
        <f>IF(OR(Tulokset!$G$19="",Tulokset!$I$19="",'3'!$I$20="",'3'!$K$20=""),"",IF(SIGN('3'!$I$20-'3'!$K$20)&lt;&gt;SIGN(Tulokset!$G$19-Tulokset!$I$19),0,IF(Tulokset!$G$19=Tulokset!$I$19,IF(AND('3'!$I$20=Tulokset!$G$19,'3'!$K$20=Tulokset!$I$19),6,3),MAX(0,6-(ABS('3'!$I$20-Tulokset!$G$19)+ABS('3'!$K$20-Tulokset!$I$19))))))</f>
        <v/>
      </c>
      <c r="V6" t="str">
        <f>IF(OR(Tulokset!$G$20="",Tulokset!$I$20="",'3'!$I$21="",'3'!$K$21=""),"",IF(SIGN('3'!$I$21-'3'!$K$21)&lt;&gt;SIGN(Tulokset!$G$20-Tulokset!$I$20),0,IF(Tulokset!$G$20=Tulokset!$I$20,IF(AND('3'!$I$21=Tulokset!$G$20,'3'!$K$21=Tulokset!$I$20),6,3),MAX(0,6-(ABS('3'!$I$21-Tulokset!$G$20)+ABS('3'!$K$21-Tulokset!$I$20))))))</f>
        <v/>
      </c>
      <c r="W6" t="str">
        <f>IF(OR(Tulokset!$G$21="",Tulokset!$I$21="",'3'!$I$22="",'3'!$K$22=""),"",IF(SIGN('3'!$I$22-'3'!$K$22)&lt;&gt;SIGN(Tulokset!$G$21-Tulokset!$I$21),0,IF(Tulokset!$G$21=Tulokset!$I$21,IF(AND('3'!$I$22=Tulokset!$G$21,'3'!$K$22=Tulokset!$I$21),6,3),MAX(0,6-(ABS('3'!$I$22-Tulokset!$G$21)+ABS('3'!$K$22-Tulokset!$I$21))))))</f>
        <v/>
      </c>
      <c r="X6" t="str">
        <f>IF(OR(Tulokset!$G$22="",Tulokset!$I$22="",'3'!$I$23="",'3'!$K$23=""),"",IF(SIGN('3'!$I$23-'3'!$K$23)&lt;&gt;SIGN(Tulokset!$G$22-Tulokset!$I$22),0,IF(Tulokset!$G$22=Tulokset!$I$22,IF(AND('3'!$I$23=Tulokset!$G$22,'3'!$K$23=Tulokset!$I$22),6,3),MAX(0,6-(ABS('3'!$I$23-Tulokset!$G$22)+ABS('3'!$K$23-Tulokset!$I$22))))))</f>
        <v/>
      </c>
      <c r="Y6" t="str">
        <f>IF(OR(Tulokset!$G$23="",Tulokset!$I$23="",'3'!$I$24="",'3'!$K$24=""),"",IF(SIGN('3'!$I$24-'3'!$K$24)&lt;&gt;SIGN(Tulokset!$G$23-Tulokset!$I$23),0,IF(Tulokset!$G$23=Tulokset!$I$23,IF(AND('3'!$I$24=Tulokset!$G$23,'3'!$K$24=Tulokset!$I$23),6,3),MAX(0,6-(ABS('3'!$I$24-Tulokset!$G$23)+ABS('3'!$K$24-Tulokset!$I$23))))))</f>
        <v/>
      </c>
      <c r="Z6" t="str">
        <f>IF(OR(Tulokset!$G$24="",Tulokset!$I$24="",'3'!$I$25="",'3'!$K$25=""),"",IF(SIGN('3'!$I$25-'3'!$K$25)&lt;&gt;SIGN(Tulokset!$G$24-Tulokset!$I$24),0,IF(Tulokset!$G$24=Tulokset!$I$24,IF(AND('3'!$I$25=Tulokset!$G$24,'3'!$K$25=Tulokset!$I$24),6,3),MAX(0,6-(ABS('3'!$I$25-Tulokset!$G$24)+ABS('3'!$K$25-Tulokset!$I$24))))))</f>
        <v/>
      </c>
      <c r="AA6" t="str">
        <f>IF(OR(Tulokset!$G$25="",Tulokset!$I$25="",'3'!$I$26="",'3'!$K$26=""),"",IF(SIGN('3'!$I$26-'3'!$K$26)&lt;&gt;SIGN(Tulokset!$G$25-Tulokset!$I$25),0,IF(Tulokset!$G$25=Tulokset!$I$25,IF(AND('3'!$I$26=Tulokset!$G$25,'3'!$K$26=Tulokset!$I$25),6,3),MAX(0,6-(ABS('3'!$I$26-Tulokset!$G$25)+ABS('3'!$K$26-Tulokset!$I$25))))))</f>
        <v/>
      </c>
      <c r="AB6" t="str">
        <f>IF(OR(Tulokset!$G$26="",Tulokset!$I$26="",'3'!$I$27="",'3'!$K$27=""),"",IF(SIGN('3'!$I$27-'3'!$K$27)&lt;&gt;SIGN(Tulokset!$G$26-Tulokset!$I$26),0,IF(Tulokset!$G$26=Tulokset!$I$26,IF(AND('3'!$I$27=Tulokset!$G$26,'3'!$K$27=Tulokset!$I$26),6,3),MAX(0,6-(ABS('3'!$I$27-Tulokset!$G$26)+ABS('3'!$K$27-Tulokset!$I$26))))))</f>
        <v/>
      </c>
      <c r="AC6" t="str">
        <f>IF(OR(Tulokset!$G$27="",Tulokset!$I$27="",'3'!$I$28="",'3'!$K$28=""),"",IF(SIGN('3'!$I$28-'3'!$K$28)&lt;&gt;SIGN(Tulokset!$G$27-Tulokset!$I$27),0,IF(Tulokset!$G$27=Tulokset!$I$27,IF(AND('3'!$I$28=Tulokset!$G$27,'3'!$K$28=Tulokset!$I$27),6,3),MAX(0,6-(ABS('3'!$I$28-Tulokset!$G$27)+ABS('3'!$K$28-Tulokset!$I$27))))))</f>
        <v/>
      </c>
      <c r="AD6" t="str">
        <f>IF(OR(Tulokset!$G$28="",Tulokset!$I$28="",'3'!$I$29="",'3'!$K$29=""),"",IF(SIGN('3'!$I$29-'3'!$K$29)&lt;&gt;SIGN(Tulokset!$G$28-Tulokset!$I$28),0,IF(Tulokset!$G$28=Tulokset!$I$28,IF(AND('3'!$I$29=Tulokset!$G$28,'3'!$K$29=Tulokset!$I$28),6,3),MAX(0,6-(ABS('3'!$I$29-Tulokset!$G$28)+ABS('3'!$K$29-Tulokset!$I$28))))))</f>
        <v/>
      </c>
      <c r="AE6" t="str">
        <f>IF(OR(Tulokset!$G$29="",Tulokset!$I$29="",'3'!$I$30="",'3'!$K$30=""),"",IF(SIGN('3'!$I$30-'3'!$K$30)&lt;&gt;SIGN(Tulokset!$G$29-Tulokset!$I$29),0,IF(Tulokset!$G$29=Tulokset!$I$29,IF(AND('3'!$I$30=Tulokset!$G$29,'3'!$K$30=Tulokset!$I$29),6,3),MAX(0,6-(ABS('3'!$I$30-Tulokset!$G$29)+ABS('3'!$K$30-Tulokset!$I$29))))))</f>
        <v/>
      </c>
      <c r="AF6" t="str">
        <f>IF(OR(Tulokset!$G$30="",Tulokset!$I$30="",'3'!$I$31="",'3'!$K$31=""),"",IF(SIGN('3'!$I$31-'3'!$K$31)&lt;&gt;SIGN(Tulokset!$G$30-Tulokset!$I$30),0,IF(Tulokset!$G$30=Tulokset!$I$30,IF(AND('3'!$I$31=Tulokset!$G$30,'3'!$K$31=Tulokset!$I$30),6,3),MAX(0,6-(ABS('3'!$I$31-Tulokset!$G$30)+ABS('3'!$K$31-Tulokset!$I$30))))))</f>
        <v/>
      </c>
      <c r="AG6" t="str">
        <f>IF(OR(Tulokset!$G$31="",Tulokset!$I$31="",'3'!$I$32="",'3'!$K$32=""),"",IF(SIGN('3'!$I$32-'3'!$K$32)&lt;&gt;SIGN(Tulokset!$G$31-Tulokset!$I$31),0,IF(Tulokset!$G$31=Tulokset!$I$31,IF(AND('3'!$I$32=Tulokset!$G$31,'3'!$K$32=Tulokset!$I$31),6,3),MAX(0,6-(ABS('3'!$I$32-Tulokset!$G$31)+ABS('3'!$K$32-Tulokset!$I$31))))))</f>
        <v/>
      </c>
      <c r="AH6" t="str">
        <f>IF(OR(Tulokset!$G$32="",Tulokset!$I$32="",'3'!$I$33="",'3'!$K$33=""),"",IF(SIGN('3'!$I$33-'3'!$K$33)&lt;&gt;SIGN(Tulokset!$G$32-Tulokset!$I$32),0,IF(Tulokset!$G$32=Tulokset!$I$32,IF(AND('3'!$I$33=Tulokset!$G$32,'3'!$K$33=Tulokset!$I$32),6,3),MAX(0,6-(ABS('3'!$I$33-Tulokset!$G$32)+ABS('3'!$K$33-Tulokset!$I$32))))))</f>
        <v/>
      </c>
      <c r="AI6" t="str">
        <f>IF(OR(Tulokset!$G$33="",Tulokset!$I$33="",'3'!$I$34="",'3'!$K$34=""),"",IF(SIGN('3'!$I$34-'3'!$K$34)&lt;&gt;SIGN(Tulokset!$G$33-Tulokset!$I$33),0,IF(Tulokset!$G$33=Tulokset!$I$33,IF(AND('3'!$I$34=Tulokset!$G$33,'3'!$K$34=Tulokset!$I$33),6,3),MAX(0,6-(ABS('3'!$I$34-Tulokset!$G$33)+ABS('3'!$K$34-Tulokset!$I$33))))))</f>
        <v/>
      </c>
      <c r="AJ6" t="str">
        <f>IF(OR(Tulokset!$G$34="",Tulokset!$I$34="",'3'!$I$35="",'3'!$K$35=""),"",IF(SIGN('3'!$I$35-'3'!$K$35)&lt;&gt;SIGN(Tulokset!$G$34-Tulokset!$I$34),0,IF(Tulokset!$G$34=Tulokset!$I$34,IF(AND('3'!$I$35=Tulokset!$G$34,'3'!$K$35=Tulokset!$I$34),6,3),MAX(0,6-(ABS('3'!$I$35-Tulokset!$G$34)+ABS('3'!$K$35-Tulokset!$I$34))))))</f>
        <v/>
      </c>
      <c r="AK6" t="str">
        <f>IF(OR(Tulokset!$G$35="",Tulokset!$I$35="",'3'!$I$36="",'3'!$K$36=""),"",IF(SIGN('3'!$I$36-'3'!$K$36)&lt;&gt;SIGN(Tulokset!$G$35-Tulokset!$I$35),0,IF(Tulokset!$G$35=Tulokset!$I$35,IF(AND('3'!$I$36=Tulokset!$G$35,'3'!$K$36=Tulokset!$I$35),6,3),MAX(0,6-(ABS('3'!$I$36-Tulokset!$G$35)+ABS('3'!$K$36-Tulokset!$I$35))))))</f>
        <v/>
      </c>
      <c r="AL6" t="str">
        <f>IF(OR(Tulokset!$G$36="",Tulokset!$I$36="",'3'!$I$37="",'3'!$K$37=""),"",IF(SIGN('3'!$I$37-'3'!$K$37)&lt;&gt;SIGN(Tulokset!$G$36-Tulokset!$I$36),0,IF(Tulokset!$G$36=Tulokset!$I$36,IF(AND('3'!$I$37=Tulokset!$G$36,'3'!$K$37=Tulokset!$I$36),6,3),MAX(0,6-(ABS('3'!$I$37-Tulokset!$G$36)+ABS('3'!$K$37-Tulokset!$I$36))))))</f>
        <v/>
      </c>
      <c r="AM6" t="str">
        <f>IF(OR(Tulokset!$G$37="",Tulokset!$I$37="",'3'!$I$38="",'3'!$K$38=""),"",IF(SIGN('3'!$I$38-'3'!$K$38)&lt;&gt;SIGN(Tulokset!$G$37-Tulokset!$I$37),0,IF(Tulokset!$G$37=Tulokset!$I$37,IF(AND('3'!$I$38=Tulokset!$G$37,'3'!$K$38=Tulokset!$I$37),6,3),MAX(0,6-(ABS('3'!$I$38-Tulokset!$G$37)+ABS('3'!$K$38-Tulokset!$I$37))))))</f>
        <v/>
      </c>
      <c r="AN6" t="str">
        <f>IF(OR(Tulokset!$G$38="",Tulokset!$I$38="",'3'!$I$39="",'3'!$K$39=""),"",IF(SIGN('3'!$I$39-'3'!$K$39)&lt;&gt;SIGN(Tulokset!$G$38-Tulokset!$I$38),0,IF(Tulokset!$G$38=Tulokset!$I$38,IF(AND('3'!$I$39=Tulokset!$G$38,'3'!$K$39=Tulokset!$I$38),6,3),MAX(0,6-(ABS('3'!$I$39-Tulokset!$G$38)+ABS('3'!$K$39-Tulokset!$I$38))))))</f>
        <v/>
      </c>
      <c r="AO6" t="str">
        <f>IF(OR(Tulokset!$G$39="",Tulokset!$I$39="",'3'!$I$40="",'3'!$K$40=""),"",IF(SIGN('3'!$I$40-'3'!$K$40)&lt;&gt;SIGN(Tulokset!$G$39-Tulokset!$I$39),0,IF(Tulokset!$G$39=Tulokset!$I$39,IF(AND('3'!$I$40=Tulokset!$G$39,'3'!$K$40=Tulokset!$I$39),6,3),MAX(0,6-(ABS('3'!$I$40-Tulokset!$G$39)+ABS('3'!$K$40-Tulokset!$I$39))))))</f>
        <v/>
      </c>
      <c r="AP6" t="str">
        <f>IF(OR(Tulokset!$G$40="",Tulokset!$I$40="",'3'!$I$41="",'3'!$K$41=""),"",IF(SIGN('3'!$I$41-'3'!$K$41)&lt;&gt;SIGN(Tulokset!$G$40-Tulokset!$I$40),0,IF(Tulokset!$G$40=Tulokset!$I$40,IF(AND('3'!$I$41=Tulokset!$G$40,'3'!$K$41=Tulokset!$I$40),6,3),MAX(0,6-(ABS('3'!$I$41-Tulokset!$G$40)+ABS('3'!$K$41-Tulokset!$I$40))))))</f>
        <v/>
      </c>
      <c r="AQ6" t="str">
        <f>IF(OR(Tulokset!$G$41="",Tulokset!$I$41="",'3'!$I$42="",'3'!$K$42=""),"",IF(SIGN('3'!$I$42-'3'!$K$42)&lt;&gt;SIGN(Tulokset!$G$41-Tulokset!$I$41),0,IF(Tulokset!$G$41=Tulokset!$I$41,IF(AND('3'!$I$42=Tulokset!$G$41,'3'!$K$42=Tulokset!$I$41),6,3),MAX(0,6-(ABS('3'!$I$42-Tulokset!$G$41)+ABS('3'!$K$42-Tulokset!$I$41))))))</f>
        <v/>
      </c>
      <c r="AR6" t="str">
        <f>IF(OR(Tulokset!$G$42="",Tulokset!$I$42="",'3'!$I$43="",'3'!$K$43=""),"",IF(SIGN('3'!$I$43-'3'!$K$43)&lt;&gt;SIGN(Tulokset!$G$42-Tulokset!$I$42),0,IF(Tulokset!$G$42=Tulokset!$I$42,IF(AND('3'!$I$43=Tulokset!$G$42,'3'!$K$43=Tulokset!$I$42),6,3),MAX(0,6-(ABS('3'!$I$43-Tulokset!$G$42)+ABS('3'!$K$43-Tulokset!$I$42))))))</f>
        <v/>
      </c>
      <c r="AS6" t="str">
        <f>IF(OR(Tulokset!$G$43="",Tulokset!$I$43="",'3'!$I$44="",'3'!$K$44=""),"",IF(SIGN('3'!$I$44-'3'!$K$44)&lt;&gt;SIGN(Tulokset!$G$43-Tulokset!$I$43),0,IF(Tulokset!$G$43=Tulokset!$I$43,IF(AND('3'!$I$44=Tulokset!$G$43,'3'!$K$44=Tulokset!$I$43),6,3),MAX(0,6-(ABS('3'!$I$44-Tulokset!$G$43)+ABS('3'!$K$44-Tulokset!$I$43))))))</f>
        <v/>
      </c>
      <c r="AT6" t="str">
        <f>IF(OR(Tulokset!$G$44="",Tulokset!$I$44="",'3'!$I$45="",'3'!$K$45=""),"",IF(SIGN('3'!$I$45-'3'!$K$45)&lt;&gt;SIGN(Tulokset!$G$44-Tulokset!$I$44),0,IF(Tulokset!$G$44=Tulokset!$I$44,IF(AND('3'!$I$45=Tulokset!$G$44,'3'!$K$45=Tulokset!$I$44),6,3),MAX(0,6-(ABS('3'!$I$45-Tulokset!$G$44)+ABS('3'!$K$45-Tulokset!$I$44))))))</f>
        <v/>
      </c>
      <c r="AU6" t="str">
        <f>IF(OR(Tulokset!$G$45="",Tulokset!$I$45="",'3'!$I$46="",'3'!$K$46=""),"",IF(SIGN('3'!$I$46-'3'!$K$46)&lt;&gt;SIGN(Tulokset!$G$45-Tulokset!$I$45),0,IF(Tulokset!$G$45=Tulokset!$I$45,IF(AND('3'!$I$46=Tulokset!$G$45,'3'!$K$46=Tulokset!$I$45),6,3),MAX(0,6-(ABS('3'!$I$46-Tulokset!$G$45)+ABS('3'!$K$46-Tulokset!$I$45))))))</f>
        <v/>
      </c>
      <c r="AV6" t="str">
        <f>IF(OR(Tulokset!$G$46="",Tulokset!$I$46="",'3'!$I$47="",'3'!$K$47=""),"",IF(SIGN('3'!$I$47-'3'!$K$47)&lt;&gt;SIGN(Tulokset!$G$46-Tulokset!$I$46),0,IF(Tulokset!$G$46=Tulokset!$I$46,IF(AND('3'!$I$47=Tulokset!$G$46,'3'!$K$47=Tulokset!$I$46),6,3),MAX(0,6-(ABS('3'!$I$47-Tulokset!$G$46)+ABS('3'!$K$47-Tulokset!$I$46))))))</f>
        <v/>
      </c>
      <c r="AW6" t="str">
        <f>IF(OR(Tulokset!$G$47="",Tulokset!$I$47="",'3'!$I$48="",'3'!$K$48=""),"",IF(SIGN('3'!$I$48-'3'!$K$48)&lt;&gt;SIGN(Tulokset!$G$47-Tulokset!$I$47),0,IF(Tulokset!$G$47=Tulokset!$I$47,IF(AND('3'!$I$48=Tulokset!$G$47,'3'!$K$48=Tulokset!$I$47),6,3),MAX(0,6-(ABS('3'!$I$48-Tulokset!$G$47)+ABS('3'!$K$48-Tulokset!$I$47))))))</f>
        <v/>
      </c>
      <c r="AX6" t="str">
        <f>IF(OR(Tulokset!$G$48="",Tulokset!$I$48="",'3'!$I$49="",'3'!$K$49=""),"",IF(SIGN('3'!$I$49-'3'!$K$49)&lt;&gt;SIGN(Tulokset!$G$48-Tulokset!$I$48),0,IF(Tulokset!$G$48=Tulokset!$I$48,IF(AND('3'!$I$49=Tulokset!$G$48,'3'!$K$49=Tulokset!$I$48),6,3),MAX(0,6-(ABS('3'!$I$49-Tulokset!$G$48)+ABS('3'!$K$49-Tulokset!$I$48))))))</f>
        <v/>
      </c>
      <c r="AY6" t="str">
        <f>IF(OR(Tulokset!$G$49="",Tulokset!$I$49="",'3'!$I$50="",'3'!$K$50=""),"",IF(SIGN('3'!$I$50-'3'!$K$50)&lt;&gt;SIGN(Tulokset!$G$49-Tulokset!$I$49),0,IF(Tulokset!$G$49=Tulokset!$I$49,IF(AND('3'!$I$50=Tulokset!$G$49,'3'!$K$50=Tulokset!$I$49),6,3),MAX(0,6-(ABS('3'!$I$50-Tulokset!$G$49)+ABS('3'!$K$50-Tulokset!$I$49))))))</f>
        <v/>
      </c>
      <c r="AZ6" t="str">
        <f>IF(OR(Tulokset!$G$50="",Tulokset!$I$50="",'3'!$I$51="",'3'!$K$51=""),"",IF(SIGN('3'!$I$51-'3'!$K$51)&lt;&gt;SIGN(Tulokset!$G$50-Tulokset!$I$50),0,IF(Tulokset!$G$50=Tulokset!$I$50,IF(AND('3'!$I$51=Tulokset!$G$50,'3'!$K$51=Tulokset!$I$50),6,3),MAX(0,6-(ABS('3'!$I$51-Tulokset!$G$50)+ABS('3'!$K$51-Tulokset!$I$50))))))</f>
        <v/>
      </c>
      <c r="BA6" t="str">
        <f>IF(OR(Tulokset!$G$51="",Tulokset!$I$51="",'3'!$I$52="",'3'!$K$52=""),"",IF(SIGN('3'!$I$52-'3'!$K$52)&lt;&gt;SIGN(Tulokset!$G$51-Tulokset!$I$51),0,IF(Tulokset!$G$51=Tulokset!$I$51,IF(AND('3'!$I$52=Tulokset!$G$51,'3'!$K$52=Tulokset!$I$51),6,3),MAX(0,6-(ABS('3'!$I$52-Tulokset!$G$51)+ABS('3'!$K$52-Tulokset!$I$51))))))</f>
        <v/>
      </c>
      <c r="BB6" t="str">
        <f>IF(OR(Tulokset!$G$52="",Tulokset!$I$52="",'3'!$I$53="",'3'!$K$53=""),"",IF(SIGN('3'!$I$53-'3'!$K$53)&lt;&gt;SIGN(Tulokset!$G$52-Tulokset!$I$52),0,IF(Tulokset!$G$52=Tulokset!$I$52,IF(AND('3'!$I$53=Tulokset!$G$52,'3'!$K$53=Tulokset!$I$52),6,3),MAX(0,6-(ABS('3'!$I$53-Tulokset!$G$52)+ABS('3'!$K$53-Tulokset!$I$52))))))</f>
        <v/>
      </c>
      <c r="BC6" t="str">
        <f>IF(OR(Tulokset!$G$53="",Tulokset!$I$53="",'3'!$I$54="",'3'!$K$54=""),"",IF(SIGN('3'!$I$54-'3'!$K$54)&lt;&gt;SIGN(Tulokset!$G$53-Tulokset!$I$53),0,IF(Tulokset!$G$53=Tulokset!$I$53,IF(AND('3'!$I$54=Tulokset!$G$53,'3'!$K$54=Tulokset!$I$53),6,3),MAX(0,6-(ABS('3'!$I$54-Tulokset!$G$53)+ABS('3'!$K$54-Tulokset!$I$53))))))</f>
        <v/>
      </c>
      <c r="BD6" t="str">
        <f>IF(OR(Tulokset!$G$54="",Tulokset!$I$54="",'3'!$I$55="",'3'!$K$55=""),"",IF(SIGN('3'!$I$55-'3'!$K$55)&lt;&gt;SIGN(Tulokset!$G$54-Tulokset!$I$54),0,IF(Tulokset!$G$54=Tulokset!$I$54,IF(AND('3'!$I$55=Tulokset!$G$54,'3'!$K$55=Tulokset!$I$54),6,3),MAX(0,6-(ABS('3'!$I$55-Tulokset!$G$54)+ABS('3'!$K$55-Tulokset!$I$54))))))</f>
        <v/>
      </c>
      <c r="BE6" t="str">
        <f>IF(OR(Tulokset!$G$55="",Tulokset!$I$55="",'3'!$I$56="",'3'!$K$56=""),"",IF(SIGN('3'!$I$56-'3'!$K$56)&lt;&gt;SIGN(Tulokset!$G$55-Tulokset!$I$55),0,IF(Tulokset!$G$55=Tulokset!$I$55,IF(AND('3'!$I$56=Tulokset!$G$55,'3'!$K$56=Tulokset!$I$55),6,3),MAX(0,6-(ABS('3'!$I$56-Tulokset!$G$55)+ABS('3'!$K$56-Tulokset!$I$55))))))</f>
        <v/>
      </c>
      <c r="BF6" t="str">
        <f>IF(OR(Tulokset!$G$56="",Tulokset!$I$56="",'3'!$I$57="",'3'!$K$57=""),"",IF(SIGN('3'!$I$57-'3'!$K$57)&lt;&gt;SIGN(Tulokset!$G$56-Tulokset!$I$56),0,IF(Tulokset!$G$56=Tulokset!$I$56,IF(AND('3'!$I$57=Tulokset!$G$56,'3'!$K$57=Tulokset!$I$56),6,3),MAX(0,6-(ABS('3'!$I$57-Tulokset!$G$56)+ABS('3'!$K$57-Tulokset!$I$56))))))</f>
        <v/>
      </c>
      <c r="BG6" t="str">
        <f>IF(OR(Tulokset!$G$57="",Tulokset!$I$57="",'3'!$I$58="",'3'!$K$58=""),"",IF(SIGN('3'!$I$58-'3'!$K$58)&lt;&gt;SIGN(Tulokset!$G$57-Tulokset!$I$57),0,IF(Tulokset!$G$57=Tulokset!$I$57,IF(AND('3'!$I$58=Tulokset!$G$57,'3'!$K$58=Tulokset!$I$57),6,3),MAX(0,6-(ABS('3'!$I$58-Tulokset!$G$57)+ABS('3'!$K$58-Tulokset!$I$57))))))</f>
        <v/>
      </c>
      <c r="BH6" t="str">
        <f>IF(OR(Tulokset!$G$58="",Tulokset!$I$58="",'3'!$I$59="",'3'!$K$59=""),"",IF(SIGN('3'!$I$59-'3'!$K$59)&lt;&gt;SIGN(Tulokset!$G$58-Tulokset!$I$58),0,IF(Tulokset!$G$58=Tulokset!$I$58,IF(AND('3'!$I$59=Tulokset!$G$58,'3'!$K$59=Tulokset!$I$58),6,3),MAX(0,6-(ABS('3'!$I$59-Tulokset!$G$58)+ABS('3'!$K$59-Tulokset!$I$58))))))</f>
        <v/>
      </c>
      <c r="BI6" t="str">
        <f>IF(OR(Tulokset!$G$59="",Tulokset!$I$59="",'3'!$I$60="",'3'!$K$60=""),"",IF(SIGN('3'!$I$60-'3'!$K$60)&lt;&gt;SIGN(Tulokset!$G$59-Tulokset!$I$59),0,IF(Tulokset!$G$59=Tulokset!$I$59,IF(AND('3'!$I$60=Tulokset!$G$59,'3'!$K$60=Tulokset!$I$59),6,3),MAX(0,6-(ABS('3'!$I$60-Tulokset!$G$59)+ABS('3'!$K$60-Tulokset!$I$59))))))</f>
        <v/>
      </c>
      <c r="BJ6" t="str">
        <f>IF(OR(Tulokset!$G$60="",Tulokset!$I$60="",'3'!$I$61="",'3'!$K$61=""),"",IF(SIGN('3'!$I$61-'3'!$K$61)&lt;&gt;SIGN(Tulokset!$G$60-Tulokset!$I$60),0,IF(Tulokset!$G$60=Tulokset!$I$60,IF(AND('3'!$I$61=Tulokset!$G$60,'3'!$K$61=Tulokset!$I$60),6,3),MAX(0,6-(ABS('3'!$I$61-Tulokset!$G$60)+ABS('3'!$K$61-Tulokset!$I$60))))))</f>
        <v/>
      </c>
      <c r="BK6" t="str">
        <f>IF(OR(Tulokset!$G$61="",Tulokset!$I$61="",'3'!$I$62="",'3'!$K$62=""),"",IF(SIGN('3'!$I$62-'3'!$K$62)&lt;&gt;SIGN(Tulokset!$G$61-Tulokset!$I$61),0,IF(Tulokset!$G$61=Tulokset!$I$61,IF(AND('3'!$I$62=Tulokset!$G$61,'3'!$K$62=Tulokset!$I$61),6,3),MAX(0,6-(ABS('3'!$I$62-Tulokset!$G$61)+ABS('3'!$K$62-Tulokset!$I$61))))))</f>
        <v/>
      </c>
      <c r="BL6" t="str">
        <f>IF(OR(Tulokset!$G$62="",Tulokset!$I$62="",'3'!$I$63="",'3'!$K$63=""),"",IF(SIGN('3'!$I$63-'3'!$K$63)&lt;&gt;SIGN(Tulokset!$G$62-Tulokset!$I$62),0,IF(Tulokset!$G$62=Tulokset!$I$62,IF(AND('3'!$I$63=Tulokset!$G$62,'3'!$K$63=Tulokset!$I$62),6,3),MAX(0,6-(ABS('3'!$I$63-Tulokset!$G$62)+ABS('3'!$K$63-Tulokset!$I$62))))))</f>
        <v/>
      </c>
      <c r="BM6" t="str">
        <f>IF(OR(Tulokset!$G$63="",Tulokset!$I$63="",'3'!$I$64="",'3'!$K$64=""),"",IF(SIGN('3'!$I$64-'3'!$K$64)&lt;&gt;SIGN(Tulokset!$G$63-Tulokset!$I$63),0,IF(Tulokset!$G$63=Tulokset!$I$63,IF(AND('3'!$I$64=Tulokset!$G$63,'3'!$K$64=Tulokset!$I$63),6,3),MAX(0,6-(ABS('3'!$I$64-Tulokset!$G$63)+ABS('3'!$K$64-Tulokset!$I$63))))))</f>
        <v/>
      </c>
      <c r="BN6" t="str">
        <f>IF(OR(Tulokset!$G$64="",Tulokset!$I$64="",'3'!$I$65="",'3'!$K$65=""),"",IF(SIGN('3'!$I$65-'3'!$K$65)&lt;&gt;SIGN(Tulokset!$G$64-Tulokset!$I$64),0,IF(Tulokset!$G$64=Tulokset!$I$64,IF(AND('3'!$I$65=Tulokset!$G$64,'3'!$K$65=Tulokset!$I$64),6,3),MAX(0,6-(ABS('3'!$I$65-Tulokset!$G$64)+ABS('3'!$K$65-Tulokset!$I$64))))))</f>
        <v/>
      </c>
      <c r="BO6" t="str">
        <f>IF(OR(Tulokset!$G$65="",Tulokset!$I$65="",'3'!$I$66="",'3'!$K$66=""),"",IF(SIGN('3'!$I$66-'3'!$K$66)&lt;&gt;SIGN(Tulokset!$G$65-Tulokset!$I$65),0,IF(Tulokset!$G$65=Tulokset!$I$65,IF(AND('3'!$I$66=Tulokset!$G$65,'3'!$K$66=Tulokset!$I$65),6,3),MAX(0,6-(ABS('3'!$I$66-Tulokset!$G$65)+ABS('3'!$K$66-Tulokset!$I$65))))))</f>
        <v/>
      </c>
      <c r="BP6" t="str">
        <f>IF(OR(Tulokset!$G$66="",Tulokset!$I$66="",'3'!$I$67="",'3'!$K$67=""),"",IF(SIGN('3'!$I$67-'3'!$K$67)&lt;&gt;SIGN(Tulokset!$G$66-Tulokset!$I$66),0,IF(Tulokset!$G$66=Tulokset!$I$66,IF(AND('3'!$I$67=Tulokset!$G$66,'3'!$K$67=Tulokset!$I$66),6,3),MAX(0,6-(ABS('3'!$I$67-Tulokset!$G$66)+ABS('3'!$K$67-Tulokset!$I$66))))))</f>
        <v/>
      </c>
      <c r="BQ6" t="str">
        <f>IF(OR(Tulokset!$G$67="",Tulokset!$I$67="",'3'!$I$68="",'3'!$K$68=""),"",IF(SIGN('3'!$I$68-'3'!$K$68)&lt;&gt;SIGN(Tulokset!$G$67-Tulokset!$I$67),0,IF(Tulokset!$G$67=Tulokset!$I$67,IF(AND('3'!$I$68=Tulokset!$G$67,'3'!$K$68=Tulokset!$I$67),6,3),MAX(0,6-(ABS('3'!$I$68-Tulokset!$G$67)+ABS('3'!$K$68-Tulokset!$I$67))))))</f>
        <v/>
      </c>
      <c r="BR6" t="str">
        <f>IF(OR(Tulokset!$G$68="",Tulokset!$I$68="",'3'!$I$69="",'3'!$K$69=""),"",IF(SIGN('3'!$I$69-'3'!$K$69)&lt;&gt;SIGN(Tulokset!$G$68-Tulokset!$I$68),0,IF(Tulokset!$G$68=Tulokset!$I$68,IF(AND('3'!$I$69=Tulokset!$G$68,'3'!$K$69=Tulokset!$I$68),6,3),MAX(0,6-(ABS('3'!$I$69-Tulokset!$G$68)+ABS('3'!$K$69-Tulokset!$I$68))))))</f>
        <v/>
      </c>
      <c r="BS6" t="str">
        <f>IF(OR(Tulokset!$G$69="",Tulokset!$I$69="",'3'!$I$70="",'3'!$K$70=""),"",IF(SIGN('3'!$I$70-'3'!$K$70)&lt;&gt;SIGN(Tulokset!$G$69-Tulokset!$I$69),0,IF(Tulokset!$G$69=Tulokset!$I$69,IF(AND('3'!$I$70=Tulokset!$G$69,'3'!$K$70=Tulokset!$I$69),6,3),MAX(0,6-(ABS('3'!$I$70-Tulokset!$G$69)+ABS('3'!$K$70-Tulokset!$I$69))))))</f>
        <v/>
      </c>
      <c r="BT6" t="str">
        <f>IF(OR(Tulokset!$G$70="",Tulokset!$I$70="",'3'!$I$71="",'3'!$K$71=""),"",IF(SIGN('3'!$I$71-'3'!$K$71)&lt;&gt;SIGN(Tulokset!$G$70-Tulokset!$I$70),0,IF(Tulokset!$G$70=Tulokset!$I$70,IF(AND('3'!$I$71=Tulokset!$G$70,'3'!$K$71=Tulokset!$I$70),6,3),MAX(0,6-(ABS('3'!$I$71-Tulokset!$G$70)+ABS('3'!$K$71-Tulokset!$I$70))))))</f>
        <v/>
      </c>
      <c r="BU6" t="str">
        <f>IF(OR(Tulokset!$G$71="",Tulokset!$I$71="",'3'!$I$72="",'3'!$K$72=""),"",IF(SIGN('3'!$I$72-'3'!$K$72)&lt;&gt;SIGN(Tulokset!$G$71-Tulokset!$I$71),0,IF(Tulokset!$G$71=Tulokset!$I$71,IF(AND('3'!$I$72=Tulokset!$G$71,'3'!$K$72=Tulokset!$I$71),6,3),MAX(0,6-(ABS('3'!$I$72-Tulokset!$G$71)+ABS('3'!$K$72-Tulokset!$I$71))))))</f>
        <v/>
      </c>
      <c r="BV6" t="str">
        <f>IF(OR(Tulokset!$G$72="",Tulokset!$I$72="",'3'!$I$73="",'3'!$K$73=""),"",IF(SIGN('3'!$I$73-'3'!$K$73)&lt;&gt;SIGN(Tulokset!$G$72-Tulokset!$I$72),0,IF(Tulokset!$G$72=Tulokset!$I$72,IF(AND('3'!$I$73=Tulokset!$G$72,'3'!$K$73=Tulokset!$I$72),6,3),MAX(0,6-(ABS('3'!$I$73-Tulokset!$G$72)+ABS('3'!$K$73-Tulokset!$I$72))))))</f>
        <v/>
      </c>
      <c r="BW6" t="str">
        <f>IF(OR(Tulokset!$G$73="",Tulokset!$I$73="",'3'!$I$74="",'3'!$K$74=""),"",IF(SIGN('3'!$I$74-'3'!$K$74)&lt;&gt;SIGN(Tulokset!$G$73-Tulokset!$I$73),0,IF(Tulokset!$G$73=Tulokset!$I$73,IF(AND('3'!$I$74=Tulokset!$G$73,'3'!$K$74=Tulokset!$I$73),6,3),MAX(0,6-(ABS('3'!$I$74-Tulokset!$G$73)+ABS('3'!$K$74-Tulokset!$I$73))))))</f>
        <v/>
      </c>
      <c r="BX6" t="str">
        <f>IF(OR(Tulokset!$G$74="",Tulokset!$I$74="",'3'!$I$75="",'3'!$K$75=""),"",IF(SIGN('3'!$I$75-'3'!$K$75)&lt;&gt;SIGN(Tulokset!$G$74-Tulokset!$I$74),0,IF(Tulokset!$G$74=Tulokset!$I$74,IF(AND('3'!$I$75=Tulokset!$G$74,'3'!$K$75=Tulokset!$I$74),6,3),MAX(0,6-(ABS('3'!$I$75-Tulokset!$G$74)+ABS('3'!$K$75-Tulokset!$I$74))))))</f>
        <v/>
      </c>
      <c r="BY6" t="str">
        <f>IF(OR(Tulokset!$G$75="",Tulokset!$I$75="",'3'!$I$76="",'3'!$K$76=""),"",IF(SIGN('3'!$I$76-'3'!$K$76)&lt;&gt;SIGN(Tulokset!$G$75-Tulokset!$I$75),0,IF(Tulokset!$G$75=Tulokset!$I$75,IF(AND('3'!$I$76=Tulokset!$G$75,'3'!$K$76=Tulokset!$I$75),6,3),MAX(0,6-(ABS('3'!$I$76-Tulokset!$G$75)+ABS('3'!$K$76-Tulokset!$I$75))))))</f>
        <v/>
      </c>
      <c r="BZ6" t="str">
        <f>IF(OR(Tulokset!$G$76="",Tulokset!$I$76="",'3'!$I$77="",'3'!$K$77=""),"",IF(SIGN('3'!$I$77-'3'!$K$77)&lt;&gt;SIGN(Tulokset!$G$76-Tulokset!$I$76),0,IF(Tulokset!$G$76=Tulokset!$I$76,IF(AND('3'!$I$77=Tulokset!$G$76,'3'!$K$77=Tulokset!$I$76),6,3),MAX(0,6-(ABS('3'!$I$77-Tulokset!$G$76)+ABS('3'!$K$77-Tulokset!$I$76))))))</f>
        <v/>
      </c>
      <c r="CA6" t="str">
        <f>IF(OR(Tulokset!$G$77="",Tulokset!$I$77="",'3'!$I$78="",'3'!$K$78=""),"",IF(SIGN('3'!$I$78-'3'!$K$78)&lt;&gt;SIGN(Tulokset!$G$77-Tulokset!$I$77),0,IF(Tulokset!$G$77=Tulokset!$I$77,IF(AND('3'!$I$78=Tulokset!$G$77,'3'!$K$78=Tulokset!$I$77),6,3),MAX(0,6-(ABS('3'!$I$78-Tulokset!$G$77)+ABS('3'!$K$78-Tulokset!$I$77))))))</f>
        <v/>
      </c>
      <c r="CD6" t="str">
        <f ca="1">IF(OR(Tulokset!$M$6="",INDIRECT("'"&amp;$A6&amp;"'!$P$8")=""),"",IF(TRIM(INDIRECT("'"&amp;$A6&amp;"'!$P$8"))=TRIM(Tulokset!$M$6),2,0))</f>
        <v/>
      </c>
      <c r="CE6" t="str">
        <f ca="1">IF(OR(Tulokset!$M$7="",INDIRECT("'"&amp;$A6&amp;"'!$P$9")=""),"",IF(TRIM(INDIRECT("'"&amp;$A6&amp;"'!$P$9"))=TRIM(Tulokset!$M$7),2,0))</f>
        <v/>
      </c>
      <c r="CF6" t="str">
        <f ca="1">IF(OR(Tulokset!$M$8="",INDIRECT("'"&amp;$A6&amp;"'!$P$10")=""),"",IF(TRIM(INDIRECT("'"&amp;$A6&amp;"'!$P$10"))=TRIM(Tulokset!$M$8),2,0))</f>
        <v/>
      </c>
      <c r="CG6" t="str">
        <f ca="1">IF(OR(Tulokset!$M$9="",INDIRECT("'"&amp;$A6&amp;"'!$P$11")=""),"",IF(TRIM(INDIRECT("'"&amp;$A6&amp;"'!$P$11"))=TRIM(Tulokset!$M$9),2,0))</f>
        <v/>
      </c>
      <c r="CH6" t="str">
        <f ca="1">IF(OR(Tulokset!$N$6="",INDIRECT("'"&amp;$A6&amp;"'!$Q$8")=""),"",IF(TRIM(INDIRECT("'"&amp;$A6&amp;"'!$Q$8"))=TRIM(Tulokset!$N$6),2,0))</f>
        <v/>
      </c>
      <c r="CI6" t="str">
        <f ca="1">IF(OR(Tulokset!$N$7="",INDIRECT("'"&amp;$A6&amp;"'!$Q$9")=""),"",IF(TRIM(INDIRECT("'"&amp;$A6&amp;"'!$Q$9"))=TRIM(Tulokset!$N$7),2,0))</f>
        <v/>
      </c>
      <c r="CJ6" t="str">
        <f ca="1">IF(OR(Tulokset!$N$8="",INDIRECT("'"&amp;$A6&amp;"'!$Q$10")=""),"",IF(TRIM(INDIRECT("'"&amp;$A6&amp;"'!$Q$10"))=TRIM(Tulokset!$N$8),2,0))</f>
        <v/>
      </c>
      <c r="CK6" t="str">
        <f ca="1">IF(OR(Tulokset!$N$9="",INDIRECT("'"&amp;$A6&amp;"'!$Q$11")=""),"",IF(TRIM(INDIRECT("'"&amp;$A6&amp;"'!$Q$11"))=TRIM(Tulokset!$N$9),2,0))</f>
        <v/>
      </c>
      <c r="CL6" t="str">
        <f ca="1">IF(OR(Tulokset!$O$6="",INDIRECT("'"&amp;$A6&amp;"'!$R$8")=""),"",IF(TRIM(INDIRECT("'"&amp;$A6&amp;"'!$R$8"))=TRIM(Tulokset!$O$6),2,0))</f>
        <v/>
      </c>
      <c r="CM6" t="str">
        <f ca="1">IF(OR(Tulokset!$O$7="",INDIRECT("'"&amp;$A6&amp;"'!$R$9")=""),"",IF(TRIM(INDIRECT("'"&amp;$A6&amp;"'!$R$9"))=TRIM(Tulokset!$O$7),2,0))</f>
        <v/>
      </c>
      <c r="CN6" t="str">
        <f ca="1">IF(OR(Tulokset!$O$8="",INDIRECT("'"&amp;$A6&amp;"'!$R$10")=""),"",IF(TRIM(INDIRECT("'"&amp;$A6&amp;"'!$R$10"))=TRIM(Tulokset!$O$8),2,0))</f>
        <v/>
      </c>
      <c r="CO6" t="str">
        <f ca="1">IF(OR(Tulokset!$O$9="",INDIRECT("'"&amp;$A6&amp;"'!$R$11")=""),"",IF(TRIM(INDIRECT("'"&amp;$A6&amp;"'!$R$11"))=TRIM(Tulokset!$O$9),2,0))</f>
        <v/>
      </c>
      <c r="CP6" t="str">
        <f ca="1">IF(OR(Tulokset!$P$6="",INDIRECT("'"&amp;$A6&amp;"'!$S$8")=""),"",IF(TRIM(INDIRECT("'"&amp;$A6&amp;"'!$S$8"))=TRIM(Tulokset!$P$6),2,0))</f>
        <v/>
      </c>
      <c r="CQ6" t="str">
        <f ca="1">IF(OR(Tulokset!$P$7="",INDIRECT("'"&amp;$A6&amp;"'!$S$9")=""),"",IF(TRIM(INDIRECT("'"&amp;$A6&amp;"'!$S$9"))=TRIM(Tulokset!$P$7),2,0))</f>
        <v/>
      </c>
      <c r="CR6" t="str">
        <f ca="1">IF(OR(Tulokset!$P$8="",INDIRECT("'"&amp;$A6&amp;"'!$S$10")=""),"",IF(TRIM(INDIRECT("'"&amp;$A6&amp;"'!$S$10"))=TRIM(Tulokset!$P$8),2,0))</f>
        <v/>
      </c>
      <c r="CS6" t="str">
        <f ca="1">IF(OR(Tulokset!$P$9="",INDIRECT("'"&amp;$A6&amp;"'!$S$11")=""),"",IF(TRIM(INDIRECT("'"&amp;$A6&amp;"'!$S$11"))=TRIM(Tulokset!$P$9),2,0))</f>
        <v/>
      </c>
      <c r="CT6" t="str">
        <f ca="1">IF(OR(Tulokset!$Q$6="",INDIRECT("'"&amp;$A6&amp;"'!$T$8")=""),"",IF(TRIM(INDIRECT("'"&amp;$A6&amp;"'!$T$8"))=TRIM(Tulokset!$Q$6),2,0))</f>
        <v/>
      </c>
      <c r="CU6" t="str">
        <f ca="1">IF(OR(Tulokset!$Q$7="",INDIRECT("'"&amp;$A6&amp;"'!$T$9")=""),"",IF(TRIM(INDIRECT("'"&amp;$A6&amp;"'!$T$9"))=TRIM(Tulokset!$Q$7),2,0))</f>
        <v/>
      </c>
      <c r="CV6" t="str">
        <f ca="1">IF(OR(Tulokset!$Q$8="",INDIRECT("'"&amp;$A6&amp;"'!$T$10")=""),"",IF(TRIM(INDIRECT("'"&amp;$A6&amp;"'!$T$10"))=TRIM(Tulokset!$Q$8),2,0))</f>
        <v/>
      </c>
      <c r="CW6" t="str">
        <f ca="1">IF(OR(Tulokset!$Q$9="",INDIRECT("'"&amp;$A6&amp;"'!$T$11")=""),"",IF(TRIM(INDIRECT("'"&amp;$A6&amp;"'!$T$11"))=TRIM(Tulokset!$Q$9),2,0))</f>
        <v/>
      </c>
      <c r="CX6" t="str">
        <f ca="1">IF(OR(Tulokset!$R$6="",INDIRECT("'"&amp;$A6&amp;"'!$U$8")=""),"",IF(TRIM(INDIRECT("'"&amp;$A6&amp;"'!$U$8"))=TRIM(Tulokset!$R$6),2,0))</f>
        <v/>
      </c>
      <c r="CY6" t="str">
        <f ca="1">IF(OR(Tulokset!$R$7="",INDIRECT("'"&amp;$A6&amp;"'!$U$9")=""),"",IF(TRIM(INDIRECT("'"&amp;$A6&amp;"'!$U$9"))=TRIM(Tulokset!$R$7),2,0))</f>
        <v/>
      </c>
      <c r="CZ6" t="str">
        <f ca="1">IF(OR(Tulokset!$R$8="",INDIRECT("'"&amp;$A6&amp;"'!$U$10")=""),"",IF(TRIM(INDIRECT("'"&amp;$A6&amp;"'!$U$10"))=TRIM(Tulokset!$R$8),2,0))</f>
        <v/>
      </c>
      <c r="DA6" t="str">
        <f ca="1">IF(OR(Tulokset!$R$9="",INDIRECT("'"&amp;$A6&amp;"'!$U$11")=""),"",IF(TRIM(INDIRECT("'"&amp;$A6&amp;"'!$U$11"))=TRIM(Tulokset!$R$9),2,0))</f>
        <v/>
      </c>
      <c r="DB6" t="str">
        <f ca="1">IF(OR(Tulokset!$M$12="",INDIRECT("'"&amp;$A6&amp;"'!$P$14")=""),"",IF(TRIM(INDIRECT("'"&amp;$A6&amp;"'!$P$14"))=TRIM(Tulokset!$M$12),2,0))</f>
        <v/>
      </c>
      <c r="DC6" t="str">
        <f ca="1">IF(OR(Tulokset!$M$13="",INDIRECT("'"&amp;$A6&amp;"'!$P$15")=""),"",IF(TRIM(INDIRECT("'"&amp;$A6&amp;"'!$P$15"))=TRIM(Tulokset!$M$13),2,0))</f>
        <v/>
      </c>
      <c r="DD6" t="str">
        <f ca="1">IF(OR(Tulokset!$M$14="",INDIRECT("'"&amp;$A6&amp;"'!$P$16")=""),"",IF(TRIM(INDIRECT("'"&amp;$A6&amp;"'!$P$16"))=TRIM(Tulokset!$M$14),2,0))</f>
        <v/>
      </c>
      <c r="DE6" t="str">
        <f ca="1">IF(OR(Tulokset!$M$15="",INDIRECT("'"&amp;$A6&amp;"'!$P$17")=""),"",IF(TRIM(INDIRECT("'"&amp;$A6&amp;"'!$P$17"))=TRIM(Tulokset!$M$15),2,0))</f>
        <v/>
      </c>
      <c r="DF6" t="str">
        <f ca="1">IF(OR(Tulokset!$N$12="",INDIRECT("'"&amp;$A6&amp;"'!$Q$14")=""),"",IF(TRIM(INDIRECT("'"&amp;$A6&amp;"'!$Q$14"))=TRIM(Tulokset!$N$12),2,0))</f>
        <v/>
      </c>
      <c r="DG6" t="str">
        <f ca="1">IF(OR(Tulokset!$N$13="",INDIRECT("'"&amp;$A6&amp;"'!$Q$15")=""),"",IF(TRIM(INDIRECT("'"&amp;$A6&amp;"'!$Q$15"))=TRIM(Tulokset!$N$13),2,0))</f>
        <v/>
      </c>
      <c r="DH6" t="str">
        <f ca="1">IF(OR(Tulokset!$N$14="",INDIRECT("'"&amp;$A6&amp;"'!$Q$16")=""),"",IF(TRIM(INDIRECT("'"&amp;$A6&amp;"'!$Q$16"))=TRIM(Tulokset!$N$14),2,0))</f>
        <v/>
      </c>
      <c r="DI6" t="str">
        <f ca="1">IF(OR(Tulokset!$N$15="",INDIRECT("'"&amp;$A6&amp;"'!$Q$17")=""),"",IF(TRIM(INDIRECT("'"&amp;$A6&amp;"'!$Q$17"))=TRIM(Tulokset!$N$15),2,0))</f>
        <v/>
      </c>
      <c r="DJ6" t="str">
        <f ca="1">IF(OR(Tulokset!$O$12="",INDIRECT("'"&amp;$A6&amp;"'!$R$14")=""),"",IF(TRIM(INDIRECT("'"&amp;$A6&amp;"'!$R$14"))=TRIM(Tulokset!$O$12),2,0))</f>
        <v/>
      </c>
      <c r="DK6" t="str">
        <f ca="1">IF(OR(Tulokset!$O$13="",INDIRECT("'"&amp;$A6&amp;"'!$R$15")=""),"",IF(TRIM(INDIRECT("'"&amp;$A6&amp;"'!$R$15"))=TRIM(Tulokset!$O$13),2,0))</f>
        <v/>
      </c>
      <c r="DL6" t="str">
        <f ca="1">IF(OR(Tulokset!$O$14="",INDIRECT("'"&amp;$A6&amp;"'!$R$16")=""),"",IF(TRIM(INDIRECT("'"&amp;$A6&amp;"'!$R$16"))=TRIM(Tulokset!$O$14),2,0))</f>
        <v/>
      </c>
      <c r="DM6" t="str">
        <f ca="1">IF(OR(Tulokset!$O$15="",INDIRECT("'"&amp;$A6&amp;"'!$R$17")=""),"",IF(TRIM(INDIRECT("'"&amp;$A6&amp;"'!$R$17"))=TRIM(Tulokset!$O$15),2,0))</f>
        <v/>
      </c>
      <c r="DN6" t="str">
        <f ca="1">IF(OR(Tulokset!$P$12="",INDIRECT("'"&amp;$A6&amp;"'!$S$14")=""),"",IF(TRIM(INDIRECT("'"&amp;$A6&amp;"'!$S$14"))=TRIM(Tulokset!$P$12),2,0))</f>
        <v/>
      </c>
      <c r="DO6" t="str">
        <f ca="1">IF(OR(Tulokset!$P$13="",INDIRECT("'"&amp;$A6&amp;"'!$S$15")=""),"",IF(TRIM(INDIRECT("'"&amp;$A6&amp;"'!$S$15"))=TRIM(Tulokset!$P$13),2,0))</f>
        <v/>
      </c>
      <c r="DP6" t="str">
        <f ca="1">IF(OR(Tulokset!$P$14="",INDIRECT("'"&amp;$A6&amp;"'!$S$16")=""),"",IF(TRIM(INDIRECT("'"&amp;$A6&amp;"'!$S$16"))=TRIM(Tulokset!$P$14),2,0))</f>
        <v/>
      </c>
      <c r="DQ6" t="str">
        <f ca="1">IF(OR(Tulokset!$P$15="",INDIRECT("'"&amp;$A6&amp;"'!$S$17")=""),"",IF(TRIM(INDIRECT("'"&amp;$A6&amp;"'!$S$17"))=TRIM(Tulokset!$P$15),2,0))</f>
        <v/>
      </c>
      <c r="DR6" t="str">
        <f ca="1">IF(OR(Tulokset!$Q$12="",INDIRECT("'"&amp;$A6&amp;"'!$T$14")=""),"",IF(TRIM(INDIRECT("'"&amp;$A6&amp;"'!$T$14"))=TRIM(Tulokset!$Q$12),2,0))</f>
        <v/>
      </c>
      <c r="DS6" t="str">
        <f ca="1">IF(OR(Tulokset!$Q$13="",INDIRECT("'"&amp;$A6&amp;"'!$T$15")=""),"",IF(TRIM(INDIRECT("'"&amp;$A6&amp;"'!$T$15"))=TRIM(Tulokset!$Q$13),2,0))</f>
        <v/>
      </c>
      <c r="DT6" t="str">
        <f ca="1">IF(OR(Tulokset!$Q$14="",INDIRECT("'"&amp;$A6&amp;"'!$T$16")=""),"",IF(TRIM(INDIRECT("'"&amp;$A6&amp;"'!$T$16"))=TRIM(Tulokset!$Q$14),2,0))</f>
        <v/>
      </c>
      <c r="DU6" t="str">
        <f ca="1">IF(OR(Tulokset!$Q$15="",INDIRECT("'"&amp;$A6&amp;"'!$T$17")=""),"",IF(TRIM(INDIRECT("'"&amp;$A6&amp;"'!$T$17"))=TRIM(Tulokset!$Q$15),2,0))</f>
        <v/>
      </c>
      <c r="DV6" t="str">
        <f ca="1">IF(OR(Tulokset!$R$12="",INDIRECT("'"&amp;$A6&amp;"'!$U$14")=""),"",IF(TRIM(INDIRECT("'"&amp;$A6&amp;"'!$U$14"))=TRIM(Tulokset!$R$12),2,0))</f>
        <v/>
      </c>
      <c r="DW6" t="str">
        <f ca="1">IF(OR(Tulokset!$R$13="",INDIRECT("'"&amp;$A6&amp;"'!$U$15")=""),"",IF(TRIM(INDIRECT("'"&amp;$A6&amp;"'!$U$15"))=TRIM(Tulokset!$R$13),2,0))</f>
        <v/>
      </c>
      <c r="DX6" t="str">
        <f ca="1">IF(OR(Tulokset!$R$14="",INDIRECT("'"&amp;$A6&amp;"'!$U$16")=""),"",IF(TRIM(INDIRECT("'"&amp;$A6&amp;"'!$U$16"))=TRIM(Tulokset!$R$14),2,0))</f>
        <v/>
      </c>
      <c r="DY6" t="str">
        <f ca="1">IF(OR(Tulokset!$R$15="",INDIRECT("'"&amp;$A6&amp;"'!$U$17")=""),"",IF(TRIM(INDIRECT("'"&amp;$A6&amp;"'!$U$17"))=TRIM(Tulokset!$R$15),2,0))</f>
        <v/>
      </c>
      <c r="EA6" t="str">
        <f ca="1">IF(OR(INDIRECT("'"&amp;$A6&amp;"'!$E$79")="",COUNTA(Tulokset!$M$20:$M$21)=0),"",IF(COUNTIF(Tulokset!$M$20:$M$21,INDIRECT("'"&amp;$A6&amp;"'!$E$79"))&gt;0,2,0))</f>
        <v/>
      </c>
      <c r="EB6" t="str">
        <f ca="1">IF(OR(INDIRECT("'"&amp;$A6&amp;"'!$G$79")="",COUNTA(Tulokset!$M$20:$M$21)=0),"",IF(COUNTIF(Tulokset!$M$20:$M$21,INDIRECT("'"&amp;$A6&amp;"'!$G$79"))&gt;0,2,0))</f>
        <v/>
      </c>
      <c r="EC6" t="str">
        <f ca="1">IF(OR(INDIRECT("'"&amp;$A6&amp;"'!$E$80")="",COUNTA(Tulokset!$M$23:$M$24)=0),"",IF(COUNTIF(Tulokset!$M$23:$M$24,INDIRECT("'"&amp;$A6&amp;"'!$E$80"))&gt;0,2,0))</f>
        <v/>
      </c>
      <c r="ED6" t="str">
        <f ca="1">IF(OR(INDIRECT("'"&amp;$A6&amp;"'!$G$80")="",COUNTA(Tulokset!$M$23:$M$24)=0),"",IF(COUNTIF(Tulokset!$M$23:$M$24,INDIRECT("'"&amp;$A6&amp;"'!$G$80"))&gt;0,2,0))</f>
        <v/>
      </c>
    </row>
    <row r="7" spans="1:134">
      <c r="A7" t="s">
        <v>299</v>
      </c>
      <c r="B7" t="str">
        <f t="shared" ca="1" si="0"/>
        <v>The Moka</v>
      </c>
      <c r="C7" s="95">
        <f t="shared" si="1"/>
        <v>0</v>
      </c>
      <c r="D7" s="95">
        <f t="shared" ca="1" si="2"/>
        <v>0</v>
      </c>
      <c r="E7" s="95">
        <f t="shared" ca="1" si="3"/>
        <v>0</v>
      </c>
      <c r="F7" s="95">
        <f t="shared" ca="1" si="4"/>
        <v>0</v>
      </c>
      <c r="G7" s="95">
        <f t="shared" si="5"/>
        <v>0</v>
      </c>
      <c r="H7" t="str">
        <f>IF(OR(Tulokset!$G$6="",Tulokset!$I$6="",'4'!$I$7="",'4'!$K$7=""),"",IF(SIGN('4'!$I$7-'4'!$K$7)&lt;&gt;SIGN(Tulokset!$G$6-Tulokset!$I$6),0,IF(Tulokset!$G$6=Tulokset!$I$6,IF(AND('4'!$I$7=Tulokset!$G$6,'4'!$K$7=Tulokset!$I$6),6,3),MAX(0,6-(ABS('4'!$I$7-Tulokset!$G$6)+ABS('4'!$K$7-Tulokset!$I$6))))))</f>
        <v/>
      </c>
      <c r="I7" t="str">
        <f>IF(OR(Tulokset!$G$7="",Tulokset!$I$7="",'4'!$I$8="",'4'!$K$8=""),"",IF(SIGN('4'!$I$8-'4'!$K$8)&lt;&gt;SIGN(Tulokset!$G$7-Tulokset!$I$7),0,IF(Tulokset!$G$7=Tulokset!$I$7,IF(AND('4'!$I$8=Tulokset!$G$7,'4'!$K$8=Tulokset!$I$7),6,3),MAX(0,6-(ABS('4'!$I$8-Tulokset!$G$7)+ABS('4'!$K$8-Tulokset!$I$7))))))</f>
        <v/>
      </c>
      <c r="J7" t="str">
        <f>IF(OR(Tulokset!$G$8="",Tulokset!$I$8="",'4'!$I$9="",'4'!$K$9=""),"",IF(SIGN('4'!$I$9-'4'!$K$9)&lt;&gt;SIGN(Tulokset!$G$8-Tulokset!$I$8),0,IF(Tulokset!$G$8=Tulokset!$I$8,IF(AND('4'!$I$9=Tulokset!$G$8,'4'!$K$9=Tulokset!$I$8),6,3),MAX(0,6-(ABS('4'!$I$9-Tulokset!$G$8)+ABS('4'!$K$9-Tulokset!$I$8))))))</f>
        <v/>
      </c>
      <c r="K7" t="str">
        <f>IF(OR(Tulokset!$G$9="",Tulokset!$I$9="",'4'!$I$10="",'4'!$K$10=""),"",IF(SIGN('4'!$I$10-'4'!$K$10)&lt;&gt;SIGN(Tulokset!$G$9-Tulokset!$I$9),0,IF(Tulokset!$G$9=Tulokset!$I$9,IF(AND('4'!$I$10=Tulokset!$G$9,'4'!$K$10=Tulokset!$I$9),6,3),MAX(0,6-(ABS('4'!$I$10-Tulokset!$G$9)+ABS('4'!$K$10-Tulokset!$I$9))))))</f>
        <v/>
      </c>
      <c r="L7" t="str">
        <f>IF(OR(Tulokset!$G$10="",Tulokset!$I$10="",'4'!$I$11="",'4'!$K$11=""),"",IF(SIGN('4'!$I$11-'4'!$K$11)&lt;&gt;SIGN(Tulokset!$G$10-Tulokset!$I$10),0,IF(Tulokset!$G$10=Tulokset!$I$10,IF(AND('4'!$I$11=Tulokset!$G$10,'4'!$K$11=Tulokset!$I$10),6,3),MAX(0,6-(ABS('4'!$I$11-Tulokset!$G$10)+ABS('4'!$K$11-Tulokset!$I$10))))))</f>
        <v/>
      </c>
      <c r="M7" t="str">
        <f>IF(OR(Tulokset!$G$11="",Tulokset!$I$11="",'4'!$I$12="",'4'!$K$12=""),"",IF(SIGN('4'!$I$12-'4'!$K$12)&lt;&gt;SIGN(Tulokset!$G$11-Tulokset!$I$11),0,IF(Tulokset!$G$11=Tulokset!$I$11,IF(AND('4'!$I$12=Tulokset!$G$11,'4'!$K$12=Tulokset!$I$11),6,3),MAX(0,6-(ABS('4'!$I$12-Tulokset!$G$11)+ABS('4'!$K$12-Tulokset!$I$11))))))</f>
        <v/>
      </c>
      <c r="N7" t="str">
        <f>IF(OR(Tulokset!$G$12="",Tulokset!$I$12="",'4'!$I$13="",'4'!$K$13=""),"",IF(SIGN('4'!$I$13-'4'!$K$13)&lt;&gt;SIGN(Tulokset!$G$12-Tulokset!$I$12),0,IF(Tulokset!$G$12=Tulokset!$I$12,IF(AND('4'!$I$13=Tulokset!$G$12,'4'!$K$13=Tulokset!$I$12),6,3),MAX(0,6-(ABS('4'!$I$13-Tulokset!$G$12)+ABS('4'!$K$13-Tulokset!$I$12))))))</f>
        <v/>
      </c>
      <c r="O7" t="str">
        <f>IF(OR(Tulokset!$G$13="",Tulokset!$I$13="",'4'!$I$14="",'4'!$K$14=""),"",IF(SIGN('4'!$I$14-'4'!$K$14)&lt;&gt;SIGN(Tulokset!$G$13-Tulokset!$I$13),0,IF(Tulokset!$G$13=Tulokset!$I$13,IF(AND('4'!$I$14=Tulokset!$G$13,'4'!$K$14=Tulokset!$I$13),6,3),MAX(0,6-(ABS('4'!$I$14-Tulokset!$G$13)+ABS('4'!$K$14-Tulokset!$I$13))))))</f>
        <v/>
      </c>
      <c r="P7" t="str">
        <f>IF(OR(Tulokset!$G$14="",Tulokset!$I$14="",'4'!$I$15="",'4'!$K$15=""),"",IF(SIGN('4'!$I$15-'4'!$K$15)&lt;&gt;SIGN(Tulokset!$G$14-Tulokset!$I$14),0,IF(Tulokset!$G$14=Tulokset!$I$14,IF(AND('4'!$I$15=Tulokset!$G$14,'4'!$K$15=Tulokset!$I$14),6,3),MAX(0,6-(ABS('4'!$I$15-Tulokset!$G$14)+ABS('4'!$K$15-Tulokset!$I$14))))))</f>
        <v/>
      </c>
      <c r="Q7" t="str">
        <f>IF(OR(Tulokset!$G$15="",Tulokset!$I$15="",'4'!$I$16="",'4'!$K$16=""),"",IF(SIGN('4'!$I$16-'4'!$K$16)&lt;&gt;SIGN(Tulokset!$G$15-Tulokset!$I$15),0,IF(Tulokset!$G$15=Tulokset!$I$15,IF(AND('4'!$I$16=Tulokset!$G$15,'4'!$K$16=Tulokset!$I$15),6,3),MAX(0,6-(ABS('4'!$I$16-Tulokset!$G$15)+ABS('4'!$K$16-Tulokset!$I$15))))))</f>
        <v/>
      </c>
      <c r="R7" t="str">
        <f>IF(OR(Tulokset!$G$16="",Tulokset!$I$16="",'4'!$I$17="",'4'!$K$17=""),"",IF(SIGN('4'!$I$17-'4'!$K$17)&lt;&gt;SIGN(Tulokset!$G$16-Tulokset!$I$16),0,IF(Tulokset!$G$16=Tulokset!$I$16,IF(AND('4'!$I$17=Tulokset!$G$16,'4'!$K$17=Tulokset!$I$16),6,3),MAX(0,6-(ABS('4'!$I$17-Tulokset!$G$16)+ABS('4'!$K$17-Tulokset!$I$16))))))</f>
        <v/>
      </c>
      <c r="S7" t="str">
        <f>IF(OR(Tulokset!$G$17="",Tulokset!$I$17="",'4'!$I$18="",'4'!$K$18=""),"",IF(SIGN('4'!$I$18-'4'!$K$18)&lt;&gt;SIGN(Tulokset!$G$17-Tulokset!$I$17),0,IF(Tulokset!$G$17=Tulokset!$I$17,IF(AND('4'!$I$18=Tulokset!$G$17,'4'!$K$18=Tulokset!$I$17),6,3),MAX(0,6-(ABS('4'!$I$18-Tulokset!$G$17)+ABS('4'!$K$18-Tulokset!$I$17))))))</f>
        <v/>
      </c>
      <c r="T7" t="str">
        <f>IF(OR(Tulokset!$G$18="",Tulokset!$I$18="",'4'!$I$19="",'4'!$K$19=""),"",IF(SIGN('4'!$I$19-'4'!$K$19)&lt;&gt;SIGN(Tulokset!$G$18-Tulokset!$I$18),0,IF(Tulokset!$G$18=Tulokset!$I$18,IF(AND('4'!$I$19=Tulokset!$G$18,'4'!$K$19=Tulokset!$I$18),6,3),MAX(0,6-(ABS('4'!$I$19-Tulokset!$G$18)+ABS('4'!$K$19-Tulokset!$I$18))))))</f>
        <v/>
      </c>
      <c r="U7" t="str">
        <f>IF(OR(Tulokset!$G$19="",Tulokset!$I$19="",'4'!$I$20="",'4'!$K$20=""),"",IF(SIGN('4'!$I$20-'4'!$K$20)&lt;&gt;SIGN(Tulokset!$G$19-Tulokset!$I$19),0,IF(Tulokset!$G$19=Tulokset!$I$19,IF(AND('4'!$I$20=Tulokset!$G$19,'4'!$K$20=Tulokset!$I$19),6,3),MAX(0,6-(ABS('4'!$I$20-Tulokset!$G$19)+ABS('4'!$K$20-Tulokset!$I$19))))))</f>
        <v/>
      </c>
      <c r="V7" t="str">
        <f>IF(OR(Tulokset!$G$20="",Tulokset!$I$20="",'4'!$I$21="",'4'!$K$21=""),"",IF(SIGN('4'!$I$21-'4'!$K$21)&lt;&gt;SIGN(Tulokset!$G$20-Tulokset!$I$20),0,IF(Tulokset!$G$20=Tulokset!$I$20,IF(AND('4'!$I$21=Tulokset!$G$20,'4'!$K$21=Tulokset!$I$20),6,3),MAX(0,6-(ABS('4'!$I$21-Tulokset!$G$20)+ABS('4'!$K$21-Tulokset!$I$20))))))</f>
        <v/>
      </c>
      <c r="W7" t="str">
        <f>IF(OR(Tulokset!$G$21="",Tulokset!$I$21="",'4'!$I$22="",'4'!$K$22=""),"",IF(SIGN('4'!$I$22-'4'!$K$22)&lt;&gt;SIGN(Tulokset!$G$21-Tulokset!$I$21),0,IF(Tulokset!$G$21=Tulokset!$I$21,IF(AND('4'!$I$22=Tulokset!$G$21,'4'!$K$22=Tulokset!$I$21),6,3),MAX(0,6-(ABS('4'!$I$22-Tulokset!$G$21)+ABS('4'!$K$22-Tulokset!$I$21))))))</f>
        <v/>
      </c>
      <c r="X7" t="str">
        <f>IF(OR(Tulokset!$G$22="",Tulokset!$I$22="",'4'!$I$23="",'4'!$K$23=""),"",IF(SIGN('4'!$I$23-'4'!$K$23)&lt;&gt;SIGN(Tulokset!$G$22-Tulokset!$I$22),0,IF(Tulokset!$G$22=Tulokset!$I$22,IF(AND('4'!$I$23=Tulokset!$G$22,'4'!$K$23=Tulokset!$I$22),6,3),MAX(0,6-(ABS('4'!$I$23-Tulokset!$G$22)+ABS('4'!$K$23-Tulokset!$I$22))))))</f>
        <v/>
      </c>
      <c r="Y7" t="str">
        <f>IF(OR(Tulokset!$G$23="",Tulokset!$I$23="",'4'!$I$24="",'4'!$K$24=""),"",IF(SIGN('4'!$I$24-'4'!$K$24)&lt;&gt;SIGN(Tulokset!$G$23-Tulokset!$I$23),0,IF(Tulokset!$G$23=Tulokset!$I$23,IF(AND('4'!$I$24=Tulokset!$G$23,'4'!$K$24=Tulokset!$I$23),6,3),MAX(0,6-(ABS('4'!$I$24-Tulokset!$G$23)+ABS('4'!$K$24-Tulokset!$I$23))))))</f>
        <v/>
      </c>
      <c r="Z7" t="str">
        <f>IF(OR(Tulokset!$G$24="",Tulokset!$I$24="",'4'!$I$25="",'4'!$K$25=""),"",IF(SIGN('4'!$I$25-'4'!$K$25)&lt;&gt;SIGN(Tulokset!$G$24-Tulokset!$I$24),0,IF(Tulokset!$G$24=Tulokset!$I$24,IF(AND('4'!$I$25=Tulokset!$G$24,'4'!$K$25=Tulokset!$I$24),6,3),MAX(0,6-(ABS('4'!$I$25-Tulokset!$G$24)+ABS('4'!$K$25-Tulokset!$I$24))))))</f>
        <v/>
      </c>
      <c r="AA7" t="str">
        <f>IF(OR(Tulokset!$G$25="",Tulokset!$I$25="",'4'!$I$26="",'4'!$K$26=""),"",IF(SIGN('4'!$I$26-'4'!$K$26)&lt;&gt;SIGN(Tulokset!$G$25-Tulokset!$I$25),0,IF(Tulokset!$G$25=Tulokset!$I$25,IF(AND('4'!$I$26=Tulokset!$G$25,'4'!$K$26=Tulokset!$I$25),6,3),MAX(0,6-(ABS('4'!$I$26-Tulokset!$G$25)+ABS('4'!$K$26-Tulokset!$I$25))))))</f>
        <v/>
      </c>
      <c r="AB7" t="str">
        <f>IF(OR(Tulokset!$G$26="",Tulokset!$I$26="",'4'!$I$27="",'4'!$K$27=""),"",IF(SIGN('4'!$I$27-'4'!$K$27)&lt;&gt;SIGN(Tulokset!$G$26-Tulokset!$I$26),0,IF(Tulokset!$G$26=Tulokset!$I$26,IF(AND('4'!$I$27=Tulokset!$G$26,'4'!$K$27=Tulokset!$I$26),6,3),MAX(0,6-(ABS('4'!$I$27-Tulokset!$G$26)+ABS('4'!$K$27-Tulokset!$I$26))))))</f>
        <v/>
      </c>
      <c r="AC7" t="str">
        <f>IF(OR(Tulokset!$G$27="",Tulokset!$I$27="",'4'!$I$28="",'4'!$K$28=""),"",IF(SIGN('4'!$I$28-'4'!$K$28)&lt;&gt;SIGN(Tulokset!$G$27-Tulokset!$I$27),0,IF(Tulokset!$G$27=Tulokset!$I$27,IF(AND('4'!$I$28=Tulokset!$G$27,'4'!$K$28=Tulokset!$I$27),6,3),MAX(0,6-(ABS('4'!$I$28-Tulokset!$G$27)+ABS('4'!$K$28-Tulokset!$I$27))))))</f>
        <v/>
      </c>
      <c r="AD7" t="str">
        <f>IF(OR(Tulokset!$G$28="",Tulokset!$I$28="",'4'!$I$29="",'4'!$K$29=""),"",IF(SIGN('4'!$I$29-'4'!$K$29)&lt;&gt;SIGN(Tulokset!$G$28-Tulokset!$I$28),0,IF(Tulokset!$G$28=Tulokset!$I$28,IF(AND('4'!$I$29=Tulokset!$G$28,'4'!$K$29=Tulokset!$I$28),6,3),MAX(0,6-(ABS('4'!$I$29-Tulokset!$G$28)+ABS('4'!$K$29-Tulokset!$I$28))))))</f>
        <v/>
      </c>
      <c r="AE7" t="str">
        <f>IF(OR(Tulokset!$G$29="",Tulokset!$I$29="",'4'!$I$30="",'4'!$K$30=""),"",IF(SIGN('4'!$I$30-'4'!$K$30)&lt;&gt;SIGN(Tulokset!$G$29-Tulokset!$I$29),0,IF(Tulokset!$G$29=Tulokset!$I$29,IF(AND('4'!$I$30=Tulokset!$G$29,'4'!$K$30=Tulokset!$I$29),6,3),MAX(0,6-(ABS('4'!$I$30-Tulokset!$G$29)+ABS('4'!$K$30-Tulokset!$I$29))))))</f>
        <v/>
      </c>
      <c r="AF7" t="str">
        <f>IF(OR(Tulokset!$G$30="",Tulokset!$I$30="",'4'!$I$31="",'4'!$K$31=""),"",IF(SIGN('4'!$I$31-'4'!$K$31)&lt;&gt;SIGN(Tulokset!$G$30-Tulokset!$I$30),0,IF(Tulokset!$G$30=Tulokset!$I$30,IF(AND('4'!$I$31=Tulokset!$G$30,'4'!$K$31=Tulokset!$I$30),6,3),MAX(0,6-(ABS('4'!$I$31-Tulokset!$G$30)+ABS('4'!$K$31-Tulokset!$I$30))))))</f>
        <v/>
      </c>
      <c r="AG7" t="str">
        <f>IF(OR(Tulokset!$G$31="",Tulokset!$I$31="",'4'!$I$32="",'4'!$K$32=""),"",IF(SIGN('4'!$I$32-'4'!$K$32)&lt;&gt;SIGN(Tulokset!$G$31-Tulokset!$I$31),0,IF(Tulokset!$G$31=Tulokset!$I$31,IF(AND('4'!$I$32=Tulokset!$G$31,'4'!$K$32=Tulokset!$I$31),6,3),MAX(0,6-(ABS('4'!$I$32-Tulokset!$G$31)+ABS('4'!$K$32-Tulokset!$I$31))))))</f>
        <v/>
      </c>
      <c r="AH7" t="str">
        <f>IF(OR(Tulokset!$G$32="",Tulokset!$I$32="",'4'!$I$33="",'4'!$K$33=""),"",IF(SIGN('4'!$I$33-'4'!$K$33)&lt;&gt;SIGN(Tulokset!$G$32-Tulokset!$I$32),0,IF(Tulokset!$G$32=Tulokset!$I$32,IF(AND('4'!$I$33=Tulokset!$G$32,'4'!$K$33=Tulokset!$I$32),6,3),MAX(0,6-(ABS('4'!$I$33-Tulokset!$G$32)+ABS('4'!$K$33-Tulokset!$I$32))))))</f>
        <v/>
      </c>
      <c r="AI7" t="str">
        <f>IF(OR(Tulokset!$G$33="",Tulokset!$I$33="",'4'!$I$34="",'4'!$K$34=""),"",IF(SIGN('4'!$I$34-'4'!$K$34)&lt;&gt;SIGN(Tulokset!$G$33-Tulokset!$I$33),0,IF(Tulokset!$G$33=Tulokset!$I$33,IF(AND('4'!$I$34=Tulokset!$G$33,'4'!$K$34=Tulokset!$I$33),6,3),MAX(0,6-(ABS('4'!$I$34-Tulokset!$G$33)+ABS('4'!$K$34-Tulokset!$I$33))))))</f>
        <v/>
      </c>
      <c r="AJ7" t="str">
        <f>IF(OR(Tulokset!$G$34="",Tulokset!$I$34="",'4'!$I$35="",'4'!$K$35=""),"",IF(SIGN('4'!$I$35-'4'!$K$35)&lt;&gt;SIGN(Tulokset!$G$34-Tulokset!$I$34),0,IF(Tulokset!$G$34=Tulokset!$I$34,IF(AND('4'!$I$35=Tulokset!$G$34,'4'!$K$35=Tulokset!$I$34),6,3),MAX(0,6-(ABS('4'!$I$35-Tulokset!$G$34)+ABS('4'!$K$35-Tulokset!$I$34))))))</f>
        <v/>
      </c>
      <c r="AK7" t="str">
        <f>IF(OR(Tulokset!$G$35="",Tulokset!$I$35="",'4'!$I$36="",'4'!$K$36=""),"",IF(SIGN('4'!$I$36-'4'!$K$36)&lt;&gt;SIGN(Tulokset!$G$35-Tulokset!$I$35),0,IF(Tulokset!$G$35=Tulokset!$I$35,IF(AND('4'!$I$36=Tulokset!$G$35,'4'!$K$36=Tulokset!$I$35),6,3),MAX(0,6-(ABS('4'!$I$36-Tulokset!$G$35)+ABS('4'!$K$36-Tulokset!$I$35))))))</f>
        <v/>
      </c>
      <c r="AL7" t="str">
        <f>IF(OR(Tulokset!$G$36="",Tulokset!$I$36="",'4'!$I$37="",'4'!$K$37=""),"",IF(SIGN('4'!$I$37-'4'!$K$37)&lt;&gt;SIGN(Tulokset!$G$36-Tulokset!$I$36),0,IF(Tulokset!$G$36=Tulokset!$I$36,IF(AND('4'!$I$37=Tulokset!$G$36,'4'!$K$37=Tulokset!$I$36),6,3),MAX(0,6-(ABS('4'!$I$37-Tulokset!$G$36)+ABS('4'!$K$37-Tulokset!$I$36))))))</f>
        <v/>
      </c>
      <c r="AM7" t="str">
        <f>IF(OR(Tulokset!$G$37="",Tulokset!$I$37="",'4'!$I$38="",'4'!$K$38=""),"",IF(SIGN('4'!$I$38-'4'!$K$38)&lt;&gt;SIGN(Tulokset!$G$37-Tulokset!$I$37),0,IF(Tulokset!$G$37=Tulokset!$I$37,IF(AND('4'!$I$38=Tulokset!$G$37,'4'!$K$38=Tulokset!$I$37),6,3),MAX(0,6-(ABS('4'!$I$38-Tulokset!$G$37)+ABS('4'!$K$38-Tulokset!$I$37))))))</f>
        <v/>
      </c>
      <c r="AN7" t="str">
        <f>IF(OR(Tulokset!$G$38="",Tulokset!$I$38="",'4'!$I$39="",'4'!$K$39=""),"",IF(SIGN('4'!$I$39-'4'!$K$39)&lt;&gt;SIGN(Tulokset!$G$38-Tulokset!$I$38),0,IF(Tulokset!$G$38=Tulokset!$I$38,IF(AND('4'!$I$39=Tulokset!$G$38,'4'!$K$39=Tulokset!$I$38),6,3),MAX(0,6-(ABS('4'!$I$39-Tulokset!$G$38)+ABS('4'!$K$39-Tulokset!$I$38))))))</f>
        <v/>
      </c>
      <c r="AO7" t="str">
        <f>IF(OR(Tulokset!$G$39="",Tulokset!$I$39="",'4'!$I$40="",'4'!$K$40=""),"",IF(SIGN('4'!$I$40-'4'!$K$40)&lt;&gt;SIGN(Tulokset!$G$39-Tulokset!$I$39),0,IF(Tulokset!$G$39=Tulokset!$I$39,IF(AND('4'!$I$40=Tulokset!$G$39,'4'!$K$40=Tulokset!$I$39),6,3),MAX(0,6-(ABS('4'!$I$40-Tulokset!$G$39)+ABS('4'!$K$40-Tulokset!$I$39))))))</f>
        <v/>
      </c>
      <c r="AP7" t="str">
        <f>IF(OR(Tulokset!$G$40="",Tulokset!$I$40="",'4'!$I$41="",'4'!$K$41=""),"",IF(SIGN('4'!$I$41-'4'!$K$41)&lt;&gt;SIGN(Tulokset!$G$40-Tulokset!$I$40),0,IF(Tulokset!$G$40=Tulokset!$I$40,IF(AND('4'!$I$41=Tulokset!$G$40,'4'!$K$41=Tulokset!$I$40),6,3),MAX(0,6-(ABS('4'!$I$41-Tulokset!$G$40)+ABS('4'!$K$41-Tulokset!$I$40))))))</f>
        <v/>
      </c>
      <c r="AQ7" t="str">
        <f>IF(OR(Tulokset!$G$41="",Tulokset!$I$41="",'4'!$I$42="",'4'!$K$42=""),"",IF(SIGN('4'!$I$42-'4'!$K$42)&lt;&gt;SIGN(Tulokset!$G$41-Tulokset!$I$41),0,IF(Tulokset!$G$41=Tulokset!$I$41,IF(AND('4'!$I$42=Tulokset!$G$41,'4'!$K$42=Tulokset!$I$41),6,3),MAX(0,6-(ABS('4'!$I$42-Tulokset!$G$41)+ABS('4'!$K$42-Tulokset!$I$41))))))</f>
        <v/>
      </c>
      <c r="AR7" t="str">
        <f>IF(OR(Tulokset!$G$42="",Tulokset!$I$42="",'4'!$I$43="",'4'!$K$43=""),"",IF(SIGN('4'!$I$43-'4'!$K$43)&lt;&gt;SIGN(Tulokset!$G$42-Tulokset!$I$42),0,IF(Tulokset!$G$42=Tulokset!$I$42,IF(AND('4'!$I$43=Tulokset!$G$42,'4'!$K$43=Tulokset!$I$42),6,3),MAX(0,6-(ABS('4'!$I$43-Tulokset!$G$42)+ABS('4'!$K$43-Tulokset!$I$42))))))</f>
        <v/>
      </c>
      <c r="AS7" t="str">
        <f>IF(OR(Tulokset!$G$43="",Tulokset!$I$43="",'4'!$I$44="",'4'!$K$44=""),"",IF(SIGN('4'!$I$44-'4'!$K$44)&lt;&gt;SIGN(Tulokset!$G$43-Tulokset!$I$43),0,IF(Tulokset!$G$43=Tulokset!$I$43,IF(AND('4'!$I$44=Tulokset!$G$43,'4'!$K$44=Tulokset!$I$43),6,3),MAX(0,6-(ABS('4'!$I$44-Tulokset!$G$43)+ABS('4'!$K$44-Tulokset!$I$43))))))</f>
        <v/>
      </c>
      <c r="AT7" t="str">
        <f>IF(OR(Tulokset!$G$44="",Tulokset!$I$44="",'4'!$I$45="",'4'!$K$45=""),"",IF(SIGN('4'!$I$45-'4'!$K$45)&lt;&gt;SIGN(Tulokset!$G$44-Tulokset!$I$44),0,IF(Tulokset!$G$44=Tulokset!$I$44,IF(AND('4'!$I$45=Tulokset!$G$44,'4'!$K$45=Tulokset!$I$44),6,3),MAX(0,6-(ABS('4'!$I$45-Tulokset!$G$44)+ABS('4'!$K$45-Tulokset!$I$44))))))</f>
        <v/>
      </c>
      <c r="AU7" t="str">
        <f>IF(OR(Tulokset!$G$45="",Tulokset!$I$45="",'4'!$I$46="",'4'!$K$46=""),"",IF(SIGN('4'!$I$46-'4'!$K$46)&lt;&gt;SIGN(Tulokset!$G$45-Tulokset!$I$45),0,IF(Tulokset!$G$45=Tulokset!$I$45,IF(AND('4'!$I$46=Tulokset!$G$45,'4'!$K$46=Tulokset!$I$45),6,3),MAX(0,6-(ABS('4'!$I$46-Tulokset!$G$45)+ABS('4'!$K$46-Tulokset!$I$45))))))</f>
        <v/>
      </c>
      <c r="AV7" t="str">
        <f>IF(OR(Tulokset!$G$46="",Tulokset!$I$46="",'4'!$I$47="",'4'!$K$47=""),"",IF(SIGN('4'!$I$47-'4'!$K$47)&lt;&gt;SIGN(Tulokset!$G$46-Tulokset!$I$46),0,IF(Tulokset!$G$46=Tulokset!$I$46,IF(AND('4'!$I$47=Tulokset!$G$46,'4'!$K$47=Tulokset!$I$46),6,3),MAX(0,6-(ABS('4'!$I$47-Tulokset!$G$46)+ABS('4'!$K$47-Tulokset!$I$46))))))</f>
        <v/>
      </c>
      <c r="AW7" t="str">
        <f>IF(OR(Tulokset!$G$47="",Tulokset!$I$47="",'4'!$I$48="",'4'!$K$48=""),"",IF(SIGN('4'!$I$48-'4'!$K$48)&lt;&gt;SIGN(Tulokset!$G$47-Tulokset!$I$47),0,IF(Tulokset!$G$47=Tulokset!$I$47,IF(AND('4'!$I$48=Tulokset!$G$47,'4'!$K$48=Tulokset!$I$47),6,3),MAX(0,6-(ABS('4'!$I$48-Tulokset!$G$47)+ABS('4'!$K$48-Tulokset!$I$47))))))</f>
        <v/>
      </c>
      <c r="AX7" t="str">
        <f>IF(OR(Tulokset!$G$48="",Tulokset!$I$48="",'4'!$I$49="",'4'!$K$49=""),"",IF(SIGN('4'!$I$49-'4'!$K$49)&lt;&gt;SIGN(Tulokset!$G$48-Tulokset!$I$48),0,IF(Tulokset!$G$48=Tulokset!$I$48,IF(AND('4'!$I$49=Tulokset!$G$48,'4'!$K$49=Tulokset!$I$48),6,3),MAX(0,6-(ABS('4'!$I$49-Tulokset!$G$48)+ABS('4'!$K$49-Tulokset!$I$48))))))</f>
        <v/>
      </c>
      <c r="AY7" t="str">
        <f>IF(OR(Tulokset!$G$49="",Tulokset!$I$49="",'4'!$I$50="",'4'!$K$50=""),"",IF(SIGN('4'!$I$50-'4'!$K$50)&lt;&gt;SIGN(Tulokset!$G$49-Tulokset!$I$49),0,IF(Tulokset!$G$49=Tulokset!$I$49,IF(AND('4'!$I$50=Tulokset!$G$49,'4'!$K$50=Tulokset!$I$49),6,3),MAX(0,6-(ABS('4'!$I$50-Tulokset!$G$49)+ABS('4'!$K$50-Tulokset!$I$49))))))</f>
        <v/>
      </c>
      <c r="AZ7" t="str">
        <f>IF(OR(Tulokset!$G$50="",Tulokset!$I$50="",'4'!$I$51="",'4'!$K$51=""),"",IF(SIGN('4'!$I$51-'4'!$K$51)&lt;&gt;SIGN(Tulokset!$G$50-Tulokset!$I$50),0,IF(Tulokset!$G$50=Tulokset!$I$50,IF(AND('4'!$I$51=Tulokset!$G$50,'4'!$K$51=Tulokset!$I$50),6,3),MAX(0,6-(ABS('4'!$I$51-Tulokset!$G$50)+ABS('4'!$K$51-Tulokset!$I$50))))))</f>
        <v/>
      </c>
      <c r="BA7" t="str">
        <f>IF(OR(Tulokset!$G$51="",Tulokset!$I$51="",'4'!$I$52="",'4'!$K$52=""),"",IF(SIGN('4'!$I$52-'4'!$K$52)&lt;&gt;SIGN(Tulokset!$G$51-Tulokset!$I$51),0,IF(Tulokset!$G$51=Tulokset!$I$51,IF(AND('4'!$I$52=Tulokset!$G$51,'4'!$K$52=Tulokset!$I$51),6,3),MAX(0,6-(ABS('4'!$I$52-Tulokset!$G$51)+ABS('4'!$K$52-Tulokset!$I$51))))))</f>
        <v/>
      </c>
      <c r="BB7" t="str">
        <f>IF(OR(Tulokset!$G$52="",Tulokset!$I$52="",'4'!$I$53="",'4'!$K$53=""),"",IF(SIGN('4'!$I$53-'4'!$K$53)&lt;&gt;SIGN(Tulokset!$G$52-Tulokset!$I$52),0,IF(Tulokset!$G$52=Tulokset!$I$52,IF(AND('4'!$I$53=Tulokset!$G$52,'4'!$K$53=Tulokset!$I$52),6,3),MAX(0,6-(ABS('4'!$I$53-Tulokset!$G$52)+ABS('4'!$K$53-Tulokset!$I$52))))))</f>
        <v/>
      </c>
      <c r="BC7" t="str">
        <f>IF(OR(Tulokset!$G$53="",Tulokset!$I$53="",'4'!$I$54="",'4'!$K$54=""),"",IF(SIGN('4'!$I$54-'4'!$K$54)&lt;&gt;SIGN(Tulokset!$G$53-Tulokset!$I$53),0,IF(Tulokset!$G$53=Tulokset!$I$53,IF(AND('4'!$I$54=Tulokset!$G$53,'4'!$K$54=Tulokset!$I$53),6,3),MAX(0,6-(ABS('4'!$I$54-Tulokset!$G$53)+ABS('4'!$K$54-Tulokset!$I$53))))))</f>
        <v/>
      </c>
      <c r="BD7" t="str">
        <f>IF(OR(Tulokset!$G$54="",Tulokset!$I$54="",'4'!$I$55="",'4'!$K$55=""),"",IF(SIGN('4'!$I$55-'4'!$K$55)&lt;&gt;SIGN(Tulokset!$G$54-Tulokset!$I$54),0,IF(Tulokset!$G$54=Tulokset!$I$54,IF(AND('4'!$I$55=Tulokset!$G$54,'4'!$K$55=Tulokset!$I$54),6,3),MAX(0,6-(ABS('4'!$I$55-Tulokset!$G$54)+ABS('4'!$K$55-Tulokset!$I$54))))))</f>
        <v/>
      </c>
      <c r="BE7" t="str">
        <f>IF(OR(Tulokset!$G$55="",Tulokset!$I$55="",'4'!$I$56="",'4'!$K$56=""),"",IF(SIGN('4'!$I$56-'4'!$K$56)&lt;&gt;SIGN(Tulokset!$G$55-Tulokset!$I$55),0,IF(Tulokset!$G$55=Tulokset!$I$55,IF(AND('4'!$I$56=Tulokset!$G$55,'4'!$K$56=Tulokset!$I$55),6,3),MAX(0,6-(ABS('4'!$I$56-Tulokset!$G$55)+ABS('4'!$K$56-Tulokset!$I$55))))))</f>
        <v/>
      </c>
      <c r="BF7" t="str">
        <f>IF(OR(Tulokset!$G$56="",Tulokset!$I$56="",'4'!$I$57="",'4'!$K$57=""),"",IF(SIGN('4'!$I$57-'4'!$K$57)&lt;&gt;SIGN(Tulokset!$G$56-Tulokset!$I$56),0,IF(Tulokset!$G$56=Tulokset!$I$56,IF(AND('4'!$I$57=Tulokset!$G$56,'4'!$K$57=Tulokset!$I$56),6,3),MAX(0,6-(ABS('4'!$I$57-Tulokset!$G$56)+ABS('4'!$K$57-Tulokset!$I$56))))))</f>
        <v/>
      </c>
      <c r="BG7" t="str">
        <f>IF(OR(Tulokset!$G$57="",Tulokset!$I$57="",'4'!$I$58="",'4'!$K$58=""),"",IF(SIGN('4'!$I$58-'4'!$K$58)&lt;&gt;SIGN(Tulokset!$G$57-Tulokset!$I$57),0,IF(Tulokset!$G$57=Tulokset!$I$57,IF(AND('4'!$I$58=Tulokset!$G$57,'4'!$K$58=Tulokset!$I$57),6,3),MAX(0,6-(ABS('4'!$I$58-Tulokset!$G$57)+ABS('4'!$K$58-Tulokset!$I$57))))))</f>
        <v/>
      </c>
      <c r="BH7" t="str">
        <f>IF(OR(Tulokset!$G$58="",Tulokset!$I$58="",'4'!$I$59="",'4'!$K$59=""),"",IF(SIGN('4'!$I$59-'4'!$K$59)&lt;&gt;SIGN(Tulokset!$G$58-Tulokset!$I$58),0,IF(Tulokset!$G$58=Tulokset!$I$58,IF(AND('4'!$I$59=Tulokset!$G$58,'4'!$K$59=Tulokset!$I$58),6,3),MAX(0,6-(ABS('4'!$I$59-Tulokset!$G$58)+ABS('4'!$K$59-Tulokset!$I$58))))))</f>
        <v/>
      </c>
      <c r="BI7" t="str">
        <f>IF(OR(Tulokset!$G$59="",Tulokset!$I$59="",'4'!$I$60="",'4'!$K$60=""),"",IF(SIGN('4'!$I$60-'4'!$K$60)&lt;&gt;SIGN(Tulokset!$G$59-Tulokset!$I$59),0,IF(Tulokset!$G$59=Tulokset!$I$59,IF(AND('4'!$I$60=Tulokset!$G$59,'4'!$K$60=Tulokset!$I$59),6,3),MAX(0,6-(ABS('4'!$I$60-Tulokset!$G$59)+ABS('4'!$K$60-Tulokset!$I$59))))))</f>
        <v/>
      </c>
      <c r="BJ7" t="str">
        <f>IF(OR(Tulokset!$G$60="",Tulokset!$I$60="",'4'!$I$61="",'4'!$K$61=""),"",IF(SIGN('4'!$I$61-'4'!$K$61)&lt;&gt;SIGN(Tulokset!$G$60-Tulokset!$I$60),0,IF(Tulokset!$G$60=Tulokset!$I$60,IF(AND('4'!$I$61=Tulokset!$G$60,'4'!$K$61=Tulokset!$I$60),6,3),MAX(0,6-(ABS('4'!$I$61-Tulokset!$G$60)+ABS('4'!$K$61-Tulokset!$I$60))))))</f>
        <v/>
      </c>
      <c r="BK7" t="str">
        <f>IF(OR(Tulokset!$G$61="",Tulokset!$I$61="",'4'!$I$62="",'4'!$K$62=""),"",IF(SIGN('4'!$I$62-'4'!$K$62)&lt;&gt;SIGN(Tulokset!$G$61-Tulokset!$I$61),0,IF(Tulokset!$G$61=Tulokset!$I$61,IF(AND('4'!$I$62=Tulokset!$G$61,'4'!$K$62=Tulokset!$I$61),6,3),MAX(0,6-(ABS('4'!$I$62-Tulokset!$G$61)+ABS('4'!$K$62-Tulokset!$I$61))))))</f>
        <v/>
      </c>
      <c r="BL7" t="str">
        <f>IF(OR(Tulokset!$G$62="",Tulokset!$I$62="",'4'!$I$63="",'4'!$K$63=""),"",IF(SIGN('4'!$I$63-'4'!$K$63)&lt;&gt;SIGN(Tulokset!$G$62-Tulokset!$I$62),0,IF(Tulokset!$G$62=Tulokset!$I$62,IF(AND('4'!$I$63=Tulokset!$G$62,'4'!$K$63=Tulokset!$I$62),6,3),MAX(0,6-(ABS('4'!$I$63-Tulokset!$G$62)+ABS('4'!$K$63-Tulokset!$I$62))))))</f>
        <v/>
      </c>
      <c r="BM7" t="str">
        <f>IF(OR(Tulokset!$G$63="",Tulokset!$I$63="",'4'!$I$64="",'4'!$K$64=""),"",IF(SIGN('4'!$I$64-'4'!$K$64)&lt;&gt;SIGN(Tulokset!$G$63-Tulokset!$I$63),0,IF(Tulokset!$G$63=Tulokset!$I$63,IF(AND('4'!$I$64=Tulokset!$G$63,'4'!$K$64=Tulokset!$I$63),6,3),MAX(0,6-(ABS('4'!$I$64-Tulokset!$G$63)+ABS('4'!$K$64-Tulokset!$I$63))))))</f>
        <v/>
      </c>
      <c r="BN7" t="str">
        <f>IF(OR(Tulokset!$G$64="",Tulokset!$I$64="",'4'!$I$65="",'4'!$K$65=""),"",IF(SIGN('4'!$I$65-'4'!$K$65)&lt;&gt;SIGN(Tulokset!$G$64-Tulokset!$I$64),0,IF(Tulokset!$G$64=Tulokset!$I$64,IF(AND('4'!$I$65=Tulokset!$G$64,'4'!$K$65=Tulokset!$I$64),6,3),MAX(0,6-(ABS('4'!$I$65-Tulokset!$G$64)+ABS('4'!$K$65-Tulokset!$I$64))))))</f>
        <v/>
      </c>
      <c r="BO7" t="str">
        <f>IF(OR(Tulokset!$G$65="",Tulokset!$I$65="",'4'!$I$66="",'4'!$K$66=""),"",IF(SIGN('4'!$I$66-'4'!$K$66)&lt;&gt;SIGN(Tulokset!$G$65-Tulokset!$I$65),0,IF(Tulokset!$G$65=Tulokset!$I$65,IF(AND('4'!$I$66=Tulokset!$G$65,'4'!$K$66=Tulokset!$I$65),6,3),MAX(0,6-(ABS('4'!$I$66-Tulokset!$G$65)+ABS('4'!$K$66-Tulokset!$I$65))))))</f>
        <v/>
      </c>
      <c r="BP7" t="str">
        <f>IF(OR(Tulokset!$G$66="",Tulokset!$I$66="",'4'!$I$67="",'4'!$K$67=""),"",IF(SIGN('4'!$I$67-'4'!$K$67)&lt;&gt;SIGN(Tulokset!$G$66-Tulokset!$I$66),0,IF(Tulokset!$G$66=Tulokset!$I$66,IF(AND('4'!$I$67=Tulokset!$G$66,'4'!$K$67=Tulokset!$I$66),6,3),MAX(0,6-(ABS('4'!$I$67-Tulokset!$G$66)+ABS('4'!$K$67-Tulokset!$I$66))))))</f>
        <v/>
      </c>
      <c r="BQ7" t="str">
        <f>IF(OR(Tulokset!$G$67="",Tulokset!$I$67="",'4'!$I$68="",'4'!$K$68=""),"",IF(SIGN('4'!$I$68-'4'!$K$68)&lt;&gt;SIGN(Tulokset!$G$67-Tulokset!$I$67),0,IF(Tulokset!$G$67=Tulokset!$I$67,IF(AND('4'!$I$68=Tulokset!$G$67,'4'!$K$68=Tulokset!$I$67),6,3),MAX(0,6-(ABS('4'!$I$68-Tulokset!$G$67)+ABS('4'!$K$68-Tulokset!$I$67))))))</f>
        <v/>
      </c>
      <c r="BR7" t="str">
        <f>IF(OR(Tulokset!$G$68="",Tulokset!$I$68="",'4'!$I$69="",'4'!$K$69=""),"",IF(SIGN('4'!$I$69-'4'!$K$69)&lt;&gt;SIGN(Tulokset!$G$68-Tulokset!$I$68),0,IF(Tulokset!$G$68=Tulokset!$I$68,IF(AND('4'!$I$69=Tulokset!$G$68,'4'!$K$69=Tulokset!$I$68),6,3),MAX(0,6-(ABS('4'!$I$69-Tulokset!$G$68)+ABS('4'!$K$69-Tulokset!$I$68))))))</f>
        <v/>
      </c>
      <c r="BS7" t="str">
        <f>IF(OR(Tulokset!$G$69="",Tulokset!$I$69="",'4'!$I$70="",'4'!$K$70=""),"",IF(SIGN('4'!$I$70-'4'!$K$70)&lt;&gt;SIGN(Tulokset!$G$69-Tulokset!$I$69),0,IF(Tulokset!$G$69=Tulokset!$I$69,IF(AND('4'!$I$70=Tulokset!$G$69,'4'!$K$70=Tulokset!$I$69),6,3),MAX(0,6-(ABS('4'!$I$70-Tulokset!$G$69)+ABS('4'!$K$70-Tulokset!$I$69))))))</f>
        <v/>
      </c>
      <c r="BT7" t="str">
        <f>IF(OR(Tulokset!$G$70="",Tulokset!$I$70="",'4'!$I$71="",'4'!$K$71=""),"",IF(SIGN('4'!$I$71-'4'!$K$71)&lt;&gt;SIGN(Tulokset!$G$70-Tulokset!$I$70),0,IF(Tulokset!$G$70=Tulokset!$I$70,IF(AND('4'!$I$71=Tulokset!$G$70,'4'!$K$71=Tulokset!$I$70),6,3),MAX(0,6-(ABS('4'!$I$71-Tulokset!$G$70)+ABS('4'!$K$71-Tulokset!$I$70))))))</f>
        <v/>
      </c>
      <c r="BU7" t="str">
        <f>IF(OR(Tulokset!$G$71="",Tulokset!$I$71="",'4'!$I$72="",'4'!$K$72=""),"",IF(SIGN('4'!$I$72-'4'!$K$72)&lt;&gt;SIGN(Tulokset!$G$71-Tulokset!$I$71),0,IF(Tulokset!$G$71=Tulokset!$I$71,IF(AND('4'!$I$72=Tulokset!$G$71,'4'!$K$72=Tulokset!$I$71),6,3),MAX(0,6-(ABS('4'!$I$72-Tulokset!$G$71)+ABS('4'!$K$72-Tulokset!$I$71))))))</f>
        <v/>
      </c>
      <c r="BV7" t="str">
        <f>IF(OR(Tulokset!$G$72="",Tulokset!$I$72="",'4'!$I$73="",'4'!$K$73=""),"",IF(SIGN('4'!$I$73-'4'!$K$73)&lt;&gt;SIGN(Tulokset!$G$72-Tulokset!$I$72),0,IF(Tulokset!$G$72=Tulokset!$I$72,IF(AND('4'!$I$73=Tulokset!$G$72,'4'!$K$73=Tulokset!$I$72),6,3),MAX(0,6-(ABS('4'!$I$73-Tulokset!$G$72)+ABS('4'!$K$73-Tulokset!$I$72))))))</f>
        <v/>
      </c>
      <c r="BW7" t="str">
        <f>IF(OR(Tulokset!$G$73="",Tulokset!$I$73="",'4'!$I$74="",'4'!$K$74=""),"",IF(SIGN('4'!$I$74-'4'!$K$74)&lt;&gt;SIGN(Tulokset!$G$73-Tulokset!$I$73),0,IF(Tulokset!$G$73=Tulokset!$I$73,IF(AND('4'!$I$74=Tulokset!$G$73,'4'!$K$74=Tulokset!$I$73),6,3),MAX(0,6-(ABS('4'!$I$74-Tulokset!$G$73)+ABS('4'!$K$74-Tulokset!$I$73))))))</f>
        <v/>
      </c>
      <c r="BX7" t="str">
        <f>IF(OR(Tulokset!$G$74="",Tulokset!$I$74="",'4'!$I$75="",'4'!$K$75=""),"",IF(SIGN('4'!$I$75-'4'!$K$75)&lt;&gt;SIGN(Tulokset!$G$74-Tulokset!$I$74),0,IF(Tulokset!$G$74=Tulokset!$I$74,IF(AND('4'!$I$75=Tulokset!$G$74,'4'!$K$75=Tulokset!$I$74),6,3),MAX(0,6-(ABS('4'!$I$75-Tulokset!$G$74)+ABS('4'!$K$75-Tulokset!$I$74))))))</f>
        <v/>
      </c>
      <c r="BY7" t="str">
        <f>IF(OR(Tulokset!$G$75="",Tulokset!$I$75="",'4'!$I$76="",'4'!$K$76=""),"",IF(SIGN('4'!$I$76-'4'!$K$76)&lt;&gt;SIGN(Tulokset!$G$75-Tulokset!$I$75),0,IF(Tulokset!$G$75=Tulokset!$I$75,IF(AND('4'!$I$76=Tulokset!$G$75,'4'!$K$76=Tulokset!$I$75),6,3),MAX(0,6-(ABS('4'!$I$76-Tulokset!$G$75)+ABS('4'!$K$76-Tulokset!$I$75))))))</f>
        <v/>
      </c>
      <c r="BZ7" t="str">
        <f>IF(OR(Tulokset!$G$76="",Tulokset!$I$76="",'4'!$I$77="",'4'!$K$77=""),"",IF(SIGN('4'!$I$77-'4'!$K$77)&lt;&gt;SIGN(Tulokset!$G$76-Tulokset!$I$76),0,IF(Tulokset!$G$76=Tulokset!$I$76,IF(AND('4'!$I$77=Tulokset!$G$76,'4'!$K$77=Tulokset!$I$76),6,3),MAX(0,6-(ABS('4'!$I$77-Tulokset!$G$76)+ABS('4'!$K$77-Tulokset!$I$76))))))</f>
        <v/>
      </c>
      <c r="CA7" t="str">
        <f>IF(OR(Tulokset!$G$77="",Tulokset!$I$77="",'4'!$I$78="",'4'!$K$78=""),"",IF(SIGN('4'!$I$78-'4'!$K$78)&lt;&gt;SIGN(Tulokset!$G$77-Tulokset!$I$77),0,IF(Tulokset!$G$77=Tulokset!$I$77,IF(AND('4'!$I$78=Tulokset!$G$77,'4'!$K$78=Tulokset!$I$77),6,3),MAX(0,6-(ABS('4'!$I$78-Tulokset!$G$77)+ABS('4'!$K$78-Tulokset!$I$77))))))</f>
        <v/>
      </c>
      <c r="CD7" t="str">
        <f ca="1">IF(OR(Tulokset!$M$6="",INDIRECT("'"&amp;$A7&amp;"'!$P$8")=""),"",IF(TRIM(INDIRECT("'"&amp;$A7&amp;"'!$P$8"))=TRIM(Tulokset!$M$6),2,0))</f>
        <v/>
      </c>
      <c r="CE7" t="str">
        <f ca="1">IF(OR(Tulokset!$M$7="",INDIRECT("'"&amp;$A7&amp;"'!$P$9")=""),"",IF(TRIM(INDIRECT("'"&amp;$A7&amp;"'!$P$9"))=TRIM(Tulokset!$M$7),2,0))</f>
        <v/>
      </c>
      <c r="CF7" t="str">
        <f ca="1">IF(OR(Tulokset!$M$8="",INDIRECT("'"&amp;$A7&amp;"'!$P$10")=""),"",IF(TRIM(INDIRECT("'"&amp;$A7&amp;"'!$P$10"))=TRIM(Tulokset!$M$8),2,0))</f>
        <v/>
      </c>
      <c r="CG7" t="str">
        <f ca="1">IF(OR(Tulokset!$M$9="",INDIRECT("'"&amp;$A7&amp;"'!$P$11")=""),"",IF(TRIM(INDIRECT("'"&amp;$A7&amp;"'!$P$11"))=TRIM(Tulokset!$M$9),2,0))</f>
        <v/>
      </c>
      <c r="CH7" t="str">
        <f ca="1">IF(OR(Tulokset!$N$6="",INDIRECT("'"&amp;$A7&amp;"'!$Q$8")=""),"",IF(TRIM(INDIRECT("'"&amp;$A7&amp;"'!$Q$8"))=TRIM(Tulokset!$N$6),2,0))</f>
        <v/>
      </c>
      <c r="CI7" t="str">
        <f ca="1">IF(OR(Tulokset!$N$7="",INDIRECT("'"&amp;$A7&amp;"'!$Q$9")=""),"",IF(TRIM(INDIRECT("'"&amp;$A7&amp;"'!$Q$9"))=TRIM(Tulokset!$N$7),2,0))</f>
        <v/>
      </c>
      <c r="CJ7" t="str">
        <f ca="1">IF(OR(Tulokset!$N$8="",INDIRECT("'"&amp;$A7&amp;"'!$Q$10")=""),"",IF(TRIM(INDIRECT("'"&amp;$A7&amp;"'!$Q$10"))=TRIM(Tulokset!$N$8),2,0))</f>
        <v/>
      </c>
      <c r="CK7" t="str">
        <f ca="1">IF(OR(Tulokset!$N$9="",INDIRECT("'"&amp;$A7&amp;"'!$Q$11")=""),"",IF(TRIM(INDIRECT("'"&amp;$A7&amp;"'!$Q$11"))=TRIM(Tulokset!$N$9),2,0))</f>
        <v/>
      </c>
      <c r="CL7" t="str">
        <f ca="1">IF(OR(Tulokset!$O$6="",INDIRECT("'"&amp;$A7&amp;"'!$R$8")=""),"",IF(TRIM(INDIRECT("'"&amp;$A7&amp;"'!$R$8"))=TRIM(Tulokset!$O$6),2,0))</f>
        <v/>
      </c>
      <c r="CM7" t="str">
        <f ca="1">IF(OR(Tulokset!$O$7="",INDIRECT("'"&amp;$A7&amp;"'!$R$9")=""),"",IF(TRIM(INDIRECT("'"&amp;$A7&amp;"'!$R$9"))=TRIM(Tulokset!$O$7),2,0))</f>
        <v/>
      </c>
      <c r="CN7" t="str">
        <f ca="1">IF(OR(Tulokset!$O$8="",INDIRECT("'"&amp;$A7&amp;"'!$R$10")=""),"",IF(TRIM(INDIRECT("'"&amp;$A7&amp;"'!$R$10"))=TRIM(Tulokset!$O$8),2,0))</f>
        <v/>
      </c>
      <c r="CO7" t="str">
        <f ca="1">IF(OR(Tulokset!$O$9="",INDIRECT("'"&amp;$A7&amp;"'!$R$11")=""),"",IF(TRIM(INDIRECT("'"&amp;$A7&amp;"'!$R$11"))=TRIM(Tulokset!$O$9),2,0))</f>
        <v/>
      </c>
      <c r="CP7" t="str">
        <f ca="1">IF(OR(Tulokset!$P$6="",INDIRECT("'"&amp;$A7&amp;"'!$S$8")=""),"",IF(TRIM(INDIRECT("'"&amp;$A7&amp;"'!$S$8"))=TRIM(Tulokset!$P$6),2,0))</f>
        <v/>
      </c>
      <c r="CQ7" t="str">
        <f ca="1">IF(OR(Tulokset!$P$7="",INDIRECT("'"&amp;$A7&amp;"'!$S$9")=""),"",IF(TRIM(INDIRECT("'"&amp;$A7&amp;"'!$S$9"))=TRIM(Tulokset!$P$7),2,0))</f>
        <v/>
      </c>
      <c r="CR7" t="str">
        <f ca="1">IF(OR(Tulokset!$P$8="",INDIRECT("'"&amp;$A7&amp;"'!$S$10")=""),"",IF(TRIM(INDIRECT("'"&amp;$A7&amp;"'!$S$10"))=TRIM(Tulokset!$P$8),2,0))</f>
        <v/>
      </c>
      <c r="CS7" t="str">
        <f ca="1">IF(OR(Tulokset!$P$9="",INDIRECT("'"&amp;$A7&amp;"'!$S$11")=""),"",IF(TRIM(INDIRECT("'"&amp;$A7&amp;"'!$S$11"))=TRIM(Tulokset!$P$9),2,0))</f>
        <v/>
      </c>
      <c r="CT7" t="str">
        <f ca="1">IF(OR(Tulokset!$Q$6="",INDIRECT("'"&amp;$A7&amp;"'!$T$8")=""),"",IF(TRIM(INDIRECT("'"&amp;$A7&amp;"'!$T$8"))=TRIM(Tulokset!$Q$6),2,0))</f>
        <v/>
      </c>
      <c r="CU7" t="str">
        <f ca="1">IF(OR(Tulokset!$Q$7="",INDIRECT("'"&amp;$A7&amp;"'!$T$9")=""),"",IF(TRIM(INDIRECT("'"&amp;$A7&amp;"'!$T$9"))=TRIM(Tulokset!$Q$7),2,0))</f>
        <v/>
      </c>
      <c r="CV7" t="str">
        <f ca="1">IF(OR(Tulokset!$Q$8="",INDIRECT("'"&amp;$A7&amp;"'!$T$10")=""),"",IF(TRIM(INDIRECT("'"&amp;$A7&amp;"'!$T$10"))=TRIM(Tulokset!$Q$8),2,0))</f>
        <v/>
      </c>
      <c r="CW7" t="str">
        <f ca="1">IF(OR(Tulokset!$Q$9="",INDIRECT("'"&amp;$A7&amp;"'!$T$11")=""),"",IF(TRIM(INDIRECT("'"&amp;$A7&amp;"'!$T$11"))=TRIM(Tulokset!$Q$9),2,0))</f>
        <v/>
      </c>
      <c r="CX7" t="str">
        <f ca="1">IF(OR(Tulokset!$R$6="",INDIRECT("'"&amp;$A7&amp;"'!$U$8")=""),"",IF(TRIM(INDIRECT("'"&amp;$A7&amp;"'!$U$8"))=TRIM(Tulokset!$R$6),2,0))</f>
        <v/>
      </c>
      <c r="CY7" t="str">
        <f ca="1">IF(OR(Tulokset!$R$7="",INDIRECT("'"&amp;$A7&amp;"'!$U$9")=""),"",IF(TRIM(INDIRECT("'"&amp;$A7&amp;"'!$U$9"))=TRIM(Tulokset!$R$7),2,0))</f>
        <v/>
      </c>
      <c r="CZ7" t="str">
        <f ca="1">IF(OR(Tulokset!$R$8="",INDIRECT("'"&amp;$A7&amp;"'!$U$10")=""),"",IF(TRIM(INDIRECT("'"&amp;$A7&amp;"'!$U$10"))=TRIM(Tulokset!$R$8),2,0))</f>
        <v/>
      </c>
      <c r="DA7" t="str">
        <f ca="1">IF(OR(Tulokset!$R$9="",INDIRECT("'"&amp;$A7&amp;"'!$U$11")=""),"",IF(TRIM(INDIRECT("'"&amp;$A7&amp;"'!$U$11"))=TRIM(Tulokset!$R$9),2,0))</f>
        <v/>
      </c>
      <c r="DB7" t="str">
        <f ca="1">IF(OR(Tulokset!$M$12="",INDIRECT("'"&amp;$A7&amp;"'!$P$14")=""),"",IF(TRIM(INDIRECT("'"&amp;$A7&amp;"'!$P$14"))=TRIM(Tulokset!$M$12),2,0))</f>
        <v/>
      </c>
      <c r="DC7" t="str">
        <f ca="1">IF(OR(Tulokset!$M$13="",INDIRECT("'"&amp;$A7&amp;"'!$P$15")=""),"",IF(TRIM(INDIRECT("'"&amp;$A7&amp;"'!$P$15"))=TRIM(Tulokset!$M$13),2,0))</f>
        <v/>
      </c>
      <c r="DD7" t="str">
        <f ca="1">IF(OR(Tulokset!$M$14="",INDIRECT("'"&amp;$A7&amp;"'!$P$16")=""),"",IF(TRIM(INDIRECT("'"&amp;$A7&amp;"'!$P$16"))=TRIM(Tulokset!$M$14),2,0))</f>
        <v/>
      </c>
      <c r="DE7" t="str">
        <f ca="1">IF(OR(Tulokset!$M$15="",INDIRECT("'"&amp;$A7&amp;"'!$P$17")=""),"",IF(TRIM(INDIRECT("'"&amp;$A7&amp;"'!$P$17"))=TRIM(Tulokset!$M$15),2,0))</f>
        <v/>
      </c>
      <c r="DF7" t="str">
        <f ca="1">IF(OR(Tulokset!$N$12="",INDIRECT("'"&amp;$A7&amp;"'!$Q$14")=""),"",IF(TRIM(INDIRECT("'"&amp;$A7&amp;"'!$Q$14"))=TRIM(Tulokset!$N$12),2,0))</f>
        <v/>
      </c>
      <c r="DG7" t="str">
        <f ca="1">IF(OR(Tulokset!$N$13="",INDIRECT("'"&amp;$A7&amp;"'!$Q$15")=""),"",IF(TRIM(INDIRECT("'"&amp;$A7&amp;"'!$Q$15"))=TRIM(Tulokset!$N$13),2,0))</f>
        <v/>
      </c>
      <c r="DH7" t="str">
        <f ca="1">IF(OR(Tulokset!$N$14="",INDIRECT("'"&amp;$A7&amp;"'!$Q$16")=""),"",IF(TRIM(INDIRECT("'"&amp;$A7&amp;"'!$Q$16"))=TRIM(Tulokset!$N$14),2,0))</f>
        <v/>
      </c>
      <c r="DI7" t="str">
        <f ca="1">IF(OR(Tulokset!$N$15="",INDIRECT("'"&amp;$A7&amp;"'!$Q$17")=""),"",IF(TRIM(INDIRECT("'"&amp;$A7&amp;"'!$Q$17"))=TRIM(Tulokset!$N$15),2,0))</f>
        <v/>
      </c>
      <c r="DJ7" t="str">
        <f ca="1">IF(OR(Tulokset!$O$12="",INDIRECT("'"&amp;$A7&amp;"'!$R$14")=""),"",IF(TRIM(INDIRECT("'"&amp;$A7&amp;"'!$R$14"))=TRIM(Tulokset!$O$12),2,0))</f>
        <v/>
      </c>
      <c r="DK7" t="str">
        <f ca="1">IF(OR(Tulokset!$O$13="",INDIRECT("'"&amp;$A7&amp;"'!$R$15")=""),"",IF(TRIM(INDIRECT("'"&amp;$A7&amp;"'!$R$15"))=TRIM(Tulokset!$O$13),2,0))</f>
        <v/>
      </c>
      <c r="DL7" t="str">
        <f ca="1">IF(OR(Tulokset!$O$14="",INDIRECT("'"&amp;$A7&amp;"'!$R$16")=""),"",IF(TRIM(INDIRECT("'"&amp;$A7&amp;"'!$R$16"))=TRIM(Tulokset!$O$14),2,0))</f>
        <v/>
      </c>
      <c r="DM7" t="str">
        <f ca="1">IF(OR(Tulokset!$O$15="",INDIRECT("'"&amp;$A7&amp;"'!$R$17")=""),"",IF(TRIM(INDIRECT("'"&amp;$A7&amp;"'!$R$17"))=TRIM(Tulokset!$O$15),2,0))</f>
        <v/>
      </c>
      <c r="DN7" t="str">
        <f ca="1">IF(OR(Tulokset!$P$12="",INDIRECT("'"&amp;$A7&amp;"'!$S$14")=""),"",IF(TRIM(INDIRECT("'"&amp;$A7&amp;"'!$S$14"))=TRIM(Tulokset!$P$12),2,0))</f>
        <v/>
      </c>
      <c r="DO7" t="str">
        <f ca="1">IF(OR(Tulokset!$P$13="",INDIRECT("'"&amp;$A7&amp;"'!$S$15")=""),"",IF(TRIM(INDIRECT("'"&amp;$A7&amp;"'!$S$15"))=TRIM(Tulokset!$P$13),2,0))</f>
        <v/>
      </c>
      <c r="DP7" t="str">
        <f ca="1">IF(OR(Tulokset!$P$14="",INDIRECT("'"&amp;$A7&amp;"'!$S$16")=""),"",IF(TRIM(INDIRECT("'"&amp;$A7&amp;"'!$S$16"))=TRIM(Tulokset!$P$14),2,0))</f>
        <v/>
      </c>
      <c r="DQ7" t="str">
        <f ca="1">IF(OR(Tulokset!$P$15="",INDIRECT("'"&amp;$A7&amp;"'!$S$17")=""),"",IF(TRIM(INDIRECT("'"&amp;$A7&amp;"'!$S$17"))=TRIM(Tulokset!$P$15),2,0))</f>
        <v/>
      </c>
      <c r="DR7" t="str">
        <f ca="1">IF(OR(Tulokset!$Q$12="",INDIRECT("'"&amp;$A7&amp;"'!$T$14")=""),"",IF(TRIM(INDIRECT("'"&amp;$A7&amp;"'!$T$14"))=TRIM(Tulokset!$Q$12),2,0))</f>
        <v/>
      </c>
      <c r="DS7" t="str">
        <f ca="1">IF(OR(Tulokset!$Q$13="",INDIRECT("'"&amp;$A7&amp;"'!$T$15")=""),"",IF(TRIM(INDIRECT("'"&amp;$A7&amp;"'!$T$15"))=TRIM(Tulokset!$Q$13),2,0))</f>
        <v/>
      </c>
      <c r="DT7" t="str">
        <f ca="1">IF(OR(Tulokset!$Q$14="",INDIRECT("'"&amp;$A7&amp;"'!$T$16")=""),"",IF(TRIM(INDIRECT("'"&amp;$A7&amp;"'!$T$16"))=TRIM(Tulokset!$Q$14),2,0))</f>
        <v/>
      </c>
      <c r="DU7" t="str">
        <f ca="1">IF(OR(Tulokset!$Q$15="",INDIRECT("'"&amp;$A7&amp;"'!$T$17")=""),"",IF(TRIM(INDIRECT("'"&amp;$A7&amp;"'!$T$17"))=TRIM(Tulokset!$Q$15),2,0))</f>
        <v/>
      </c>
      <c r="DV7" t="str">
        <f ca="1">IF(OR(Tulokset!$R$12="",INDIRECT("'"&amp;$A7&amp;"'!$U$14")=""),"",IF(TRIM(INDIRECT("'"&amp;$A7&amp;"'!$U$14"))=TRIM(Tulokset!$R$12),2,0))</f>
        <v/>
      </c>
      <c r="DW7" t="str">
        <f ca="1">IF(OR(Tulokset!$R$13="",INDIRECT("'"&amp;$A7&amp;"'!$U$15")=""),"",IF(TRIM(INDIRECT("'"&amp;$A7&amp;"'!$U$15"))=TRIM(Tulokset!$R$13),2,0))</f>
        <v/>
      </c>
      <c r="DX7" t="str">
        <f ca="1">IF(OR(Tulokset!$R$14="",INDIRECT("'"&amp;$A7&amp;"'!$U$16")=""),"",IF(TRIM(INDIRECT("'"&amp;$A7&amp;"'!$U$16"))=TRIM(Tulokset!$R$14),2,0))</f>
        <v/>
      </c>
      <c r="DY7" t="str">
        <f ca="1">IF(OR(Tulokset!$R$15="",INDIRECT("'"&amp;$A7&amp;"'!$U$17")=""),"",IF(TRIM(INDIRECT("'"&amp;$A7&amp;"'!$U$17"))=TRIM(Tulokset!$R$15),2,0))</f>
        <v/>
      </c>
      <c r="EA7" t="str">
        <f ca="1">IF(OR(INDIRECT("'"&amp;$A7&amp;"'!$E$79")="",COUNTA(Tulokset!$M$20:$M$21)=0),"",IF(COUNTIF(Tulokset!$M$20:$M$21,INDIRECT("'"&amp;$A7&amp;"'!$E$79"))&gt;0,2,0))</f>
        <v/>
      </c>
      <c r="EB7" t="str">
        <f ca="1">IF(OR(INDIRECT("'"&amp;$A7&amp;"'!$G$79")="",COUNTA(Tulokset!$M$20:$M$21)=0),"",IF(COUNTIF(Tulokset!$M$20:$M$21,INDIRECT("'"&amp;$A7&amp;"'!$G$79"))&gt;0,2,0))</f>
        <v/>
      </c>
      <c r="EC7" t="str">
        <f ca="1">IF(OR(INDIRECT("'"&amp;$A7&amp;"'!$E$80")="",COUNTA(Tulokset!$M$23:$M$24)=0),"",IF(COUNTIF(Tulokset!$M$23:$M$24,INDIRECT("'"&amp;$A7&amp;"'!$E$80"))&gt;0,2,0))</f>
        <v/>
      </c>
      <c r="ED7" t="str">
        <f ca="1">IF(OR(INDIRECT("'"&amp;$A7&amp;"'!$G$80")="",COUNTA(Tulokset!$M$23:$M$24)=0),"",IF(COUNTIF(Tulokset!$M$23:$M$24,INDIRECT("'"&amp;$A7&amp;"'!$G$80"))&gt;0,2,0))</f>
        <v/>
      </c>
    </row>
    <row r="8" spans="1:134">
      <c r="A8" t="s">
        <v>300</v>
      </c>
      <c r="B8" t="str">
        <f t="shared" ca="1" si="0"/>
        <v>Sedu</v>
      </c>
      <c r="C8" s="95">
        <f t="shared" si="1"/>
        <v>0</v>
      </c>
      <c r="D8" s="95">
        <f t="shared" ca="1" si="2"/>
        <v>0</v>
      </c>
      <c r="E8" s="95">
        <f t="shared" ca="1" si="3"/>
        <v>0</v>
      </c>
      <c r="F8" s="95">
        <f t="shared" ca="1" si="4"/>
        <v>0</v>
      </c>
      <c r="G8" s="95">
        <f t="shared" si="5"/>
        <v>0</v>
      </c>
      <c r="H8" t="str">
        <f>IF(OR(Tulokset!$G$6="",Tulokset!$I$6="",'5'!$I$7="",'5'!$K$7=""),"",IF(SIGN('5'!$I$7-'5'!$K$7)&lt;&gt;SIGN(Tulokset!$G$6-Tulokset!$I$6),0,IF(Tulokset!$G$6=Tulokset!$I$6,IF(AND('5'!$I$7=Tulokset!$G$6,'5'!$K$7=Tulokset!$I$6),6,3),MAX(0,6-(ABS('5'!$I$7-Tulokset!$G$6)+ABS('5'!$K$7-Tulokset!$I$6))))))</f>
        <v/>
      </c>
      <c r="I8" t="str">
        <f>IF(OR(Tulokset!$G$7="",Tulokset!$I$7="",'5'!$I$8="",'5'!$K$8=""),"",IF(SIGN('5'!$I$8-'5'!$K$8)&lt;&gt;SIGN(Tulokset!$G$7-Tulokset!$I$7),0,IF(Tulokset!$G$7=Tulokset!$I$7,IF(AND('5'!$I$8=Tulokset!$G$7,'5'!$K$8=Tulokset!$I$7),6,3),MAX(0,6-(ABS('5'!$I$8-Tulokset!$G$7)+ABS('5'!$K$8-Tulokset!$I$7))))))</f>
        <v/>
      </c>
      <c r="J8" t="str">
        <f>IF(OR(Tulokset!$G$8="",Tulokset!$I$8="",'5'!$I$9="",'5'!$K$9=""),"",IF(SIGN('5'!$I$9-'5'!$K$9)&lt;&gt;SIGN(Tulokset!$G$8-Tulokset!$I$8),0,IF(Tulokset!$G$8=Tulokset!$I$8,IF(AND('5'!$I$9=Tulokset!$G$8,'5'!$K$9=Tulokset!$I$8),6,3),MAX(0,6-(ABS('5'!$I$9-Tulokset!$G$8)+ABS('5'!$K$9-Tulokset!$I$8))))))</f>
        <v/>
      </c>
      <c r="K8" t="str">
        <f>IF(OR(Tulokset!$G$9="",Tulokset!$I$9="",'5'!$I$10="",'5'!$K$10=""),"",IF(SIGN('5'!$I$10-'5'!$K$10)&lt;&gt;SIGN(Tulokset!$G$9-Tulokset!$I$9),0,IF(Tulokset!$G$9=Tulokset!$I$9,IF(AND('5'!$I$10=Tulokset!$G$9,'5'!$K$10=Tulokset!$I$9),6,3),MAX(0,6-(ABS('5'!$I$10-Tulokset!$G$9)+ABS('5'!$K$10-Tulokset!$I$9))))))</f>
        <v/>
      </c>
      <c r="L8" t="str">
        <f>IF(OR(Tulokset!$G$10="",Tulokset!$I$10="",'5'!$I$11="",'5'!$K$11=""),"",IF(SIGN('5'!$I$11-'5'!$K$11)&lt;&gt;SIGN(Tulokset!$G$10-Tulokset!$I$10),0,IF(Tulokset!$G$10=Tulokset!$I$10,IF(AND('5'!$I$11=Tulokset!$G$10,'5'!$K$11=Tulokset!$I$10),6,3),MAX(0,6-(ABS('5'!$I$11-Tulokset!$G$10)+ABS('5'!$K$11-Tulokset!$I$10))))))</f>
        <v/>
      </c>
      <c r="M8" t="str">
        <f>IF(OR(Tulokset!$G$11="",Tulokset!$I$11="",'5'!$I$12="",'5'!$K$12=""),"",IF(SIGN('5'!$I$12-'5'!$K$12)&lt;&gt;SIGN(Tulokset!$G$11-Tulokset!$I$11),0,IF(Tulokset!$G$11=Tulokset!$I$11,IF(AND('5'!$I$12=Tulokset!$G$11,'5'!$K$12=Tulokset!$I$11),6,3),MAX(0,6-(ABS('5'!$I$12-Tulokset!$G$11)+ABS('5'!$K$12-Tulokset!$I$11))))))</f>
        <v/>
      </c>
      <c r="N8" t="str">
        <f>IF(OR(Tulokset!$G$12="",Tulokset!$I$12="",'5'!$I$13="",'5'!$K$13=""),"",IF(SIGN('5'!$I$13-'5'!$K$13)&lt;&gt;SIGN(Tulokset!$G$12-Tulokset!$I$12),0,IF(Tulokset!$G$12=Tulokset!$I$12,IF(AND('5'!$I$13=Tulokset!$G$12,'5'!$K$13=Tulokset!$I$12),6,3),MAX(0,6-(ABS('5'!$I$13-Tulokset!$G$12)+ABS('5'!$K$13-Tulokset!$I$12))))))</f>
        <v/>
      </c>
      <c r="O8" t="str">
        <f>IF(OR(Tulokset!$G$13="",Tulokset!$I$13="",'5'!$I$14="",'5'!$K$14=""),"",IF(SIGN('5'!$I$14-'5'!$K$14)&lt;&gt;SIGN(Tulokset!$G$13-Tulokset!$I$13),0,IF(Tulokset!$G$13=Tulokset!$I$13,IF(AND('5'!$I$14=Tulokset!$G$13,'5'!$K$14=Tulokset!$I$13),6,3),MAX(0,6-(ABS('5'!$I$14-Tulokset!$G$13)+ABS('5'!$K$14-Tulokset!$I$13))))))</f>
        <v/>
      </c>
      <c r="P8" t="str">
        <f>IF(OR(Tulokset!$G$14="",Tulokset!$I$14="",'5'!$I$15="",'5'!$K$15=""),"",IF(SIGN('5'!$I$15-'5'!$K$15)&lt;&gt;SIGN(Tulokset!$G$14-Tulokset!$I$14),0,IF(Tulokset!$G$14=Tulokset!$I$14,IF(AND('5'!$I$15=Tulokset!$G$14,'5'!$K$15=Tulokset!$I$14),6,3),MAX(0,6-(ABS('5'!$I$15-Tulokset!$G$14)+ABS('5'!$K$15-Tulokset!$I$14))))))</f>
        <v/>
      </c>
      <c r="Q8" t="str">
        <f>IF(OR(Tulokset!$G$15="",Tulokset!$I$15="",'5'!$I$16="",'5'!$K$16=""),"",IF(SIGN('5'!$I$16-'5'!$K$16)&lt;&gt;SIGN(Tulokset!$G$15-Tulokset!$I$15),0,IF(Tulokset!$G$15=Tulokset!$I$15,IF(AND('5'!$I$16=Tulokset!$G$15,'5'!$K$16=Tulokset!$I$15),6,3),MAX(0,6-(ABS('5'!$I$16-Tulokset!$G$15)+ABS('5'!$K$16-Tulokset!$I$15))))))</f>
        <v/>
      </c>
      <c r="R8" t="str">
        <f>IF(OR(Tulokset!$G$16="",Tulokset!$I$16="",'5'!$I$17="",'5'!$K$17=""),"",IF(SIGN('5'!$I$17-'5'!$K$17)&lt;&gt;SIGN(Tulokset!$G$16-Tulokset!$I$16),0,IF(Tulokset!$G$16=Tulokset!$I$16,IF(AND('5'!$I$17=Tulokset!$G$16,'5'!$K$17=Tulokset!$I$16),6,3),MAX(0,6-(ABS('5'!$I$17-Tulokset!$G$16)+ABS('5'!$K$17-Tulokset!$I$16))))))</f>
        <v/>
      </c>
      <c r="S8" t="str">
        <f>IF(OR(Tulokset!$G$17="",Tulokset!$I$17="",'5'!$I$18="",'5'!$K$18=""),"",IF(SIGN('5'!$I$18-'5'!$K$18)&lt;&gt;SIGN(Tulokset!$G$17-Tulokset!$I$17),0,IF(Tulokset!$G$17=Tulokset!$I$17,IF(AND('5'!$I$18=Tulokset!$G$17,'5'!$K$18=Tulokset!$I$17),6,3),MAX(0,6-(ABS('5'!$I$18-Tulokset!$G$17)+ABS('5'!$K$18-Tulokset!$I$17))))))</f>
        <v/>
      </c>
      <c r="T8" t="str">
        <f>IF(OR(Tulokset!$G$18="",Tulokset!$I$18="",'5'!$I$19="",'5'!$K$19=""),"",IF(SIGN('5'!$I$19-'5'!$K$19)&lt;&gt;SIGN(Tulokset!$G$18-Tulokset!$I$18),0,IF(Tulokset!$G$18=Tulokset!$I$18,IF(AND('5'!$I$19=Tulokset!$G$18,'5'!$K$19=Tulokset!$I$18),6,3),MAX(0,6-(ABS('5'!$I$19-Tulokset!$G$18)+ABS('5'!$K$19-Tulokset!$I$18))))))</f>
        <v/>
      </c>
      <c r="U8" t="str">
        <f>IF(OR(Tulokset!$G$19="",Tulokset!$I$19="",'5'!$I$20="",'5'!$K$20=""),"",IF(SIGN('5'!$I$20-'5'!$K$20)&lt;&gt;SIGN(Tulokset!$G$19-Tulokset!$I$19),0,IF(Tulokset!$G$19=Tulokset!$I$19,IF(AND('5'!$I$20=Tulokset!$G$19,'5'!$K$20=Tulokset!$I$19),6,3),MAX(0,6-(ABS('5'!$I$20-Tulokset!$G$19)+ABS('5'!$K$20-Tulokset!$I$19))))))</f>
        <v/>
      </c>
      <c r="V8" t="str">
        <f>IF(OR(Tulokset!$G$20="",Tulokset!$I$20="",'5'!$I$21="",'5'!$K$21=""),"",IF(SIGN('5'!$I$21-'5'!$K$21)&lt;&gt;SIGN(Tulokset!$G$20-Tulokset!$I$20),0,IF(Tulokset!$G$20=Tulokset!$I$20,IF(AND('5'!$I$21=Tulokset!$G$20,'5'!$K$21=Tulokset!$I$20),6,3),MAX(0,6-(ABS('5'!$I$21-Tulokset!$G$20)+ABS('5'!$K$21-Tulokset!$I$20))))))</f>
        <v/>
      </c>
      <c r="W8" t="str">
        <f>IF(OR(Tulokset!$G$21="",Tulokset!$I$21="",'5'!$I$22="",'5'!$K$22=""),"",IF(SIGN('5'!$I$22-'5'!$K$22)&lt;&gt;SIGN(Tulokset!$G$21-Tulokset!$I$21),0,IF(Tulokset!$G$21=Tulokset!$I$21,IF(AND('5'!$I$22=Tulokset!$G$21,'5'!$K$22=Tulokset!$I$21),6,3),MAX(0,6-(ABS('5'!$I$22-Tulokset!$G$21)+ABS('5'!$K$22-Tulokset!$I$21))))))</f>
        <v/>
      </c>
      <c r="X8" t="str">
        <f>IF(OR(Tulokset!$G$22="",Tulokset!$I$22="",'5'!$I$23="",'5'!$K$23=""),"",IF(SIGN('5'!$I$23-'5'!$K$23)&lt;&gt;SIGN(Tulokset!$G$22-Tulokset!$I$22),0,IF(Tulokset!$G$22=Tulokset!$I$22,IF(AND('5'!$I$23=Tulokset!$G$22,'5'!$K$23=Tulokset!$I$22),6,3),MAX(0,6-(ABS('5'!$I$23-Tulokset!$G$22)+ABS('5'!$K$23-Tulokset!$I$22))))))</f>
        <v/>
      </c>
      <c r="Y8" t="str">
        <f>IF(OR(Tulokset!$G$23="",Tulokset!$I$23="",'5'!$I$24="",'5'!$K$24=""),"",IF(SIGN('5'!$I$24-'5'!$K$24)&lt;&gt;SIGN(Tulokset!$G$23-Tulokset!$I$23),0,IF(Tulokset!$G$23=Tulokset!$I$23,IF(AND('5'!$I$24=Tulokset!$G$23,'5'!$K$24=Tulokset!$I$23),6,3),MAX(0,6-(ABS('5'!$I$24-Tulokset!$G$23)+ABS('5'!$K$24-Tulokset!$I$23))))))</f>
        <v/>
      </c>
      <c r="Z8" t="str">
        <f>IF(OR(Tulokset!$G$24="",Tulokset!$I$24="",'5'!$I$25="",'5'!$K$25=""),"",IF(SIGN('5'!$I$25-'5'!$K$25)&lt;&gt;SIGN(Tulokset!$G$24-Tulokset!$I$24),0,IF(Tulokset!$G$24=Tulokset!$I$24,IF(AND('5'!$I$25=Tulokset!$G$24,'5'!$K$25=Tulokset!$I$24),6,3),MAX(0,6-(ABS('5'!$I$25-Tulokset!$G$24)+ABS('5'!$K$25-Tulokset!$I$24))))))</f>
        <v/>
      </c>
      <c r="AA8" t="str">
        <f>IF(OR(Tulokset!$G$25="",Tulokset!$I$25="",'5'!$I$26="",'5'!$K$26=""),"",IF(SIGN('5'!$I$26-'5'!$K$26)&lt;&gt;SIGN(Tulokset!$G$25-Tulokset!$I$25),0,IF(Tulokset!$G$25=Tulokset!$I$25,IF(AND('5'!$I$26=Tulokset!$G$25,'5'!$K$26=Tulokset!$I$25),6,3),MAX(0,6-(ABS('5'!$I$26-Tulokset!$G$25)+ABS('5'!$K$26-Tulokset!$I$25))))))</f>
        <v/>
      </c>
      <c r="AB8" t="str">
        <f>IF(OR(Tulokset!$G$26="",Tulokset!$I$26="",'5'!$I$27="",'5'!$K$27=""),"",IF(SIGN('5'!$I$27-'5'!$K$27)&lt;&gt;SIGN(Tulokset!$G$26-Tulokset!$I$26),0,IF(Tulokset!$G$26=Tulokset!$I$26,IF(AND('5'!$I$27=Tulokset!$G$26,'5'!$K$27=Tulokset!$I$26),6,3),MAX(0,6-(ABS('5'!$I$27-Tulokset!$G$26)+ABS('5'!$K$27-Tulokset!$I$26))))))</f>
        <v/>
      </c>
      <c r="AC8" t="str">
        <f>IF(OR(Tulokset!$G$27="",Tulokset!$I$27="",'5'!$I$28="",'5'!$K$28=""),"",IF(SIGN('5'!$I$28-'5'!$K$28)&lt;&gt;SIGN(Tulokset!$G$27-Tulokset!$I$27),0,IF(Tulokset!$G$27=Tulokset!$I$27,IF(AND('5'!$I$28=Tulokset!$G$27,'5'!$K$28=Tulokset!$I$27),6,3),MAX(0,6-(ABS('5'!$I$28-Tulokset!$G$27)+ABS('5'!$K$28-Tulokset!$I$27))))))</f>
        <v/>
      </c>
      <c r="AD8" t="str">
        <f>IF(OR(Tulokset!$G$28="",Tulokset!$I$28="",'5'!$I$29="",'5'!$K$29=""),"",IF(SIGN('5'!$I$29-'5'!$K$29)&lt;&gt;SIGN(Tulokset!$G$28-Tulokset!$I$28),0,IF(Tulokset!$G$28=Tulokset!$I$28,IF(AND('5'!$I$29=Tulokset!$G$28,'5'!$K$29=Tulokset!$I$28),6,3),MAX(0,6-(ABS('5'!$I$29-Tulokset!$G$28)+ABS('5'!$K$29-Tulokset!$I$28))))))</f>
        <v/>
      </c>
      <c r="AE8" t="str">
        <f>IF(OR(Tulokset!$G$29="",Tulokset!$I$29="",'5'!$I$30="",'5'!$K$30=""),"",IF(SIGN('5'!$I$30-'5'!$K$30)&lt;&gt;SIGN(Tulokset!$G$29-Tulokset!$I$29),0,IF(Tulokset!$G$29=Tulokset!$I$29,IF(AND('5'!$I$30=Tulokset!$G$29,'5'!$K$30=Tulokset!$I$29),6,3),MAX(0,6-(ABS('5'!$I$30-Tulokset!$G$29)+ABS('5'!$K$30-Tulokset!$I$29))))))</f>
        <v/>
      </c>
      <c r="AF8" t="str">
        <f>IF(OR(Tulokset!$G$30="",Tulokset!$I$30="",'5'!$I$31="",'5'!$K$31=""),"",IF(SIGN('5'!$I$31-'5'!$K$31)&lt;&gt;SIGN(Tulokset!$G$30-Tulokset!$I$30),0,IF(Tulokset!$G$30=Tulokset!$I$30,IF(AND('5'!$I$31=Tulokset!$G$30,'5'!$K$31=Tulokset!$I$30),6,3),MAX(0,6-(ABS('5'!$I$31-Tulokset!$G$30)+ABS('5'!$K$31-Tulokset!$I$30))))))</f>
        <v/>
      </c>
      <c r="AG8" t="str">
        <f>IF(OR(Tulokset!$G$31="",Tulokset!$I$31="",'5'!$I$32="",'5'!$K$32=""),"",IF(SIGN('5'!$I$32-'5'!$K$32)&lt;&gt;SIGN(Tulokset!$G$31-Tulokset!$I$31),0,IF(Tulokset!$G$31=Tulokset!$I$31,IF(AND('5'!$I$32=Tulokset!$G$31,'5'!$K$32=Tulokset!$I$31),6,3),MAX(0,6-(ABS('5'!$I$32-Tulokset!$G$31)+ABS('5'!$K$32-Tulokset!$I$31))))))</f>
        <v/>
      </c>
      <c r="AH8" t="str">
        <f>IF(OR(Tulokset!$G$32="",Tulokset!$I$32="",'5'!$I$33="",'5'!$K$33=""),"",IF(SIGN('5'!$I$33-'5'!$K$33)&lt;&gt;SIGN(Tulokset!$G$32-Tulokset!$I$32),0,IF(Tulokset!$G$32=Tulokset!$I$32,IF(AND('5'!$I$33=Tulokset!$G$32,'5'!$K$33=Tulokset!$I$32),6,3),MAX(0,6-(ABS('5'!$I$33-Tulokset!$G$32)+ABS('5'!$K$33-Tulokset!$I$32))))))</f>
        <v/>
      </c>
      <c r="AI8" t="str">
        <f>IF(OR(Tulokset!$G$33="",Tulokset!$I$33="",'5'!$I$34="",'5'!$K$34=""),"",IF(SIGN('5'!$I$34-'5'!$K$34)&lt;&gt;SIGN(Tulokset!$G$33-Tulokset!$I$33),0,IF(Tulokset!$G$33=Tulokset!$I$33,IF(AND('5'!$I$34=Tulokset!$G$33,'5'!$K$34=Tulokset!$I$33),6,3),MAX(0,6-(ABS('5'!$I$34-Tulokset!$G$33)+ABS('5'!$K$34-Tulokset!$I$33))))))</f>
        <v/>
      </c>
      <c r="AJ8" t="str">
        <f>IF(OR(Tulokset!$G$34="",Tulokset!$I$34="",'5'!$I$35="",'5'!$K$35=""),"",IF(SIGN('5'!$I$35-'5'!$K$35)&lt;&gt;SIGN(Tulokset!$G$34-Tulokset!$I$34),0,IF(Tulokset!$G$34=Tulokset!$I$34,IF(AND('5'!$I$35=Tulokset!$G$34,'5'!$K$35=Tulokset!$I$34),6,3),MAX(0,6-(ABS('5'!$I$35-Tulokset!$G$34)+ABS('5'!$K$35-Tulokset!$I$34))))))</f>
        <v/>
      </c>
      <c r="AK8" t="str">
        <f>IF(OR(Tulokset!$G$35="",Tulokset!$I$35="",'5'!$I$36="",'5'!$K$36=""),"",IF(SIGN('5'!$I$36-'5'!$K$36)&lt;&gt;SIGN(Tulokset!$G$35-Tulokset!$I$35),0,IF(Tulokset!$G$35=Tulokset!$I$35,IF(AND('5'!$I$36=Tulokset!$G$35,'5'!$K$36=Tulokset!$I$35),6,3),MAX(0,6-(ABS('5'!$I$36-Tulokset!$G$35)+ABS('5'!$K$36-Tulokset!$I$35))))))</f>
        <v/>
      </c>
      <c r="AL8" t="str">
        <f>IF(OR(Tulokset!$G$36="",Tulokset!$I$36="",'5'!$I$37="",'5'!$K$37=""),"",IF(SIGN('5'!$I$37-'5'!$K$37)&lt;&gt;SIGN(Tulokset!$G$36-Tulokset!$I$36),0,IF(Tulokset!$G$36=Tulokset!$I$36,IF(AND('5'!$I$37=Tulokset!$G$36,'5'!$K$37=Tulokset!$I$36),6,3),MAX(0,6-(ABS('5'!$I$37-Tulokset!$G$36)+ABS('5'!$K$37-Tulokset!$I$36))))))</f>
        <v/>
      </c>
      <c r="AM8" t="str">
        <f>IF(OR(Tulokset!$G$37="",Tulokset!$I$37="",'5'!$I$38="",'5'!$K$38=""),"",IF(SIGN('5'!$I$38-'5'!$K$38)&lt;&gt;SIGN(Tulokset!$G$37-Tulokset!$I$37),0,IF(Tulokset!$G$37=Tulokset!$I$37,IF(AND('5'!$I$38=Tulokset!$G$37,'5'!$K$38=Tulokset!$I$37),6,3),MAX(0,6-(ABS('5'!$I$38-Tulokset!$G$37)+ABS('5'!$K$38-Tulokset!$I$37))))))</f>
        <v/>
      </c>
      <c r="AN8" t="str">
        <f>IF(OR(Tulokset!$G$38="",Tulokset!$I$38="",'5'!$I$39="",'5'!$K$39=""),"",IF(SIGN('5'!$I$39-'5'!$K$39)&lt;&gt;SIGN(Tulokset!$G$38-Tulokset!$I$38),0,IF(Tulokset!$G$38=Tulokset!$I$38,IF(AND('5'!$I$39=Tulokset!$G$38,'5'!$K$39=Tulokset!$I$38),6,3),MAX(0,6-(ABS('5'!$I$39-Tulokset!$G$38)+ABS('5'!$K$39-Tulokset!$I$38))))))</f>
        <v/>
      </c>
      <c r="AO8" t="str">
        <f>IF(OR(Tulokset!$G$39="",Tulokset!$I$39="",'5'!$I$40="",'5'!$K$40=""),"",IF(SIGN('5'!$I$40-'5'!$K$40)&lt;&gt;SIGN(Tulokset!$G$39-Tulokset!$I$39),0,IF(Tulokset!$G$39=Tulokset!$I$39,IF(AND('5'!$I$40=Tulokset!$G$39,'5'!$K$40=Tulokset!$I$39),6,3),MAX(0,6-(ABS('5'!$I$40-Tulokset!$G$39)+ABS('5'!$K$40-Tulokset!$I$39))))))</f>
        <v/>
      </c>
      <c r="AP8" t="str">
        <f>IF(OR(Tulokset!$G$40="",Tulokset!$I$40="",'5'!$I$41="",'5'!$K$41=""),"",IF(SIGN('5'!$I$41-'5'!$K$41)&lt;&gt;SIGN(Tulokset!$G$40-Tulokset!$I$40),0,IF(Tulokset!$G$40=Tulokset!$I$40,IF(AND('5'!$I$41=Tulokset!$G$40,'5'!$K$41=Tulokset!$I$40),6,3),MAX(0,6-(ABS('5'!$I$41-Tulokset!$G$40)+ABS('5'!$K$41-Tulokset!$I$40))))))</f>
        <v/>
      </c>
      <c r="AQ8" t="str">
        <f>IF(OR(Tulokset!$G$41="",Tulokset!$I$41="",'5'!$I$42="",'5'!$K$42=""),"",IF(SIGN('5'!$I$42-'5'!$K$42)&lt;&gt;SIGN(Tulokset!$G$41-Tulokset!$I$41),0,IF(Tulokset!$G$41=Tulokset!$I$41,IF(AND('5'!$I$42=Tulokset!$G$41,'5'!$K$42=Tulokset!$I$41),6,3),MAX(0,6-(ABS('5'!$I$42-Tulokset!$G$41)+ABS('5'!$K$42-Tulokset!$I$41))))))</f>
        <v/>
      </c>
      <c r="AR8" t="str">
        <f>IF(OR(Tulokset!$G$42="",Tulokset!$I$42="",'5'!$I$43="",'5'!$K$43=""),"",IF(SIGN('5'!$I$43-'5'!$K$43)&lt;&gt;SIGN(Tulokset!$G$42-Tulokset!$I$42),0,IF(Tulokset!$G$42=Tulokset!$I$42,IF(AND('5'!$I$43=Tulokset!$G$42,'5'!$K$43=Tulokset!$I$42),6,3),MAX(0,6-(ABS('5'!$I$43-Tulokset!$G$42)+ABS('5'!$K$43-Tulokset!$I$42))))))</f>
        <v/>
      </c>
      <c r="AS8" t="str">
        <f>IF(OR(Tulokset!$G$43="",Tulokset!$I$43="",'5'!$I$44="",'5'!$K$44=""),"",IF(SIGN('5'!$I$44-'5'!$K$44)&lt;&gt;SIGN(Tulokset!$G$43-Tulokset!$I$43),0,IF(Tulokset!$G$43=Tulokset!$I$43,IF(AND('5'!$I$44=Tulokset!$G$43,'5'!$K$44=Tulokset!$I$43),6,3),MAX(0,6-(ABS('5'!$I$44-Tulokset!$G$43)+ABS('5'!$K$44-Tulokset!$I$43))))))</f>
        <v/>
      </c>
      <c r="AT8" t="str">
        <f>IF(OR(Tulokset!$G$44="",Tulokset!$I$44="",'5'!$I$45="",'5'!$K$45=""),"",IF(SIGN('5'!$I$45-'5'!$K$45)&lt;&gt;SIGN(Tulokset!$G$44-Tulokset!$I$44),0,IF(Tulokset!$G$44=Tulokset!$I$44,IF(AND('5'!$I$45=Tulokset!$G$44,'5'!$K$45=Tulokset!$I$44),6,3),MAX(0,6-(ABS('5'!$I$45-Tulokset!$G$44)+ABS('5'!$K$45-Tulokset!$I$44))))))</f>
        <v/>
      </c>
      <c r="AU8" t="str">
        <f>IF(OR(Tulokset!$G$45="",Tulokset!$I$45="",'5'!$I$46="",'5'!$K$46=""),"",IF(SIGN('5'!$I$46-'5'!$K$46)&lt;&gt;SIGN(Tulokset!$G$45-Tulokset!$I$45),0,IF(Tulokset!$G$45=Tulokset!$I$45,IF(AND('5'!$I$46=Tulokset!$G$45,'5'!$K$46=Tulokset!$I$45),6,3),MAX(0,6-(ABS('5'!$I$46-Tulokset!$G$45)+ABS('5'!$K$46-Tulokset!$I$45))))))</f>
        <v/>
      </c>
      <c r="AV8" t="str">
        <f>IF(OR(Tulokset!$G$46="",Tulokset!$I$46="",'5'!$I$47="",'5'!$K$47=""),"",IF(SIGN('5'!$I$47-'5'!$K$47)&lt;&gt;SIGN(Tulokset!$G$46-Tulokset!$I$46),0,IF(Tulokset!$G$46=Tulokset!$I$46,IF(AND('5'!$I$47=Tulokset!$G$46,'5'!$K$47=Tulokset!$I$46),6,3),MAX(0,6-(ABS('5'!$I$47-Tulokset!$G$46)+ABS('5'!$K$47-Tulokset!$I$46))))))</f>
        <v/>
      </c>
      <c r="AW8" t="str">
        <f>IF(OR(Tulokset!$G$47="",Tulokset!$I$47="",'5'!$I$48="",'5'!$K$48=""),"",IF(SIGN('5'!$I$48-'5'!$K$48)&lt;&gt;SIGN(Tulokset!$G$47-Tulokset!$I$47),0,IF(Tulokset!$G$47=Tulokset!$I$47,IF(AND('5'!$I$48=Tulokset!$G$47,'5'!$K$48=Tulokset!$I$47),6,3),MAX(0,6-(ABS('5'!$I$48-Tulokset!$G$47)+ABS('5'!$K$48-Tulokset!$I$47))))))</f>
        <v/>
      </c>
      <c r="AX8" t="str">
        <f>IF(OR(Tulokset!$G$48="",Tulokset!$I$48="",'5'!$I$49="",'5'!$K$49=""),"",IF(SIGN('5'!$I$49-'5'!$K$49)&lt;&gt;SIGN(Tulokset!$G$48-Tulokset!$I$48),0,IF(Tulokset!$G$48=Tulokset!$I$48,IF(AND('5'!$I$49=Tulokset!$G$48,'5'!$K$49=Tulokset!$I$48),6,3),MAX(0,6-(ABS('5'!$I$49-Tulokset!$G$48)+ABS('5'!$K$49-Tulokset!$I$48))))))</f>
        <v/>
      </c>
      <c r="AY8" t="str">
        <f>IF(OR(Tulokset!$G$49="",Tulokset!$I$49="",'5'!$I$50="",'5'!$K$50=""),"",IF(SIGN('5'!$I$50-'5'!$K$50)&lt;&gt;SIGN(Tulokset!$G$49-Tulokset!$I$49),0,IF(Tulokset!$G$49=Tulokset!$I$49,IF(AND('5'!$I$50=Tulokset!$G$49,'5'!$K$50=Tulokset!$I$49),6,3),MAX(0,6-(ABS('5'!$I$50-Tulokset!$G$49)+ABS('5'!$K$50-Tulokset!$I$49))))))</f>
        <v/>
      </c>
      <c r="AZ8" t="str">
        <f>IF(OR(Tulokset!$G$50="",Tulokset!$I$50="",'5'!$I$51="",'5'!$K$51=""),"",IF(SIGN('5'!$I$51-'5'!$K$51)&lt;&gt;SIGN(Tulokset!$G$50-Tulokset!$I$50),0,IF(Tulokset!$G$50=Tulokset!$I$50,IF(AND('5'!$I$51=Tulokset!$G$50,'5'!$K$51=Tulokset!$I$50),6,3),MAX(0,6-(ABS('5'!$I$51-Tulokset!$G$50)+ABS('5'!$K$51-Tulokset!$I$50))))))</f>
        <v/>
      </c>
      <c r="BA8" t="str">
        <f>IF(OR(Tulokset!$G$51="",Tulokset!$I$51="",'5'!$I$52="",'5'!$K$52=""),"",IF(SIGN('5'!$I$52-'5'!$K$52)&lt;&gt;SIGN(Tulokset!$G$51-Tulokset!$I$51),0,IF(Tulokset!$G$51=Tulokset!$I$51,IF(AND('5'!$I$52=Tulokset!$G$51,'5'!$K$52=Tulokset!$I$51),6,3),MAX(0,6-(ABS('5'!$I$52-Tulokset!$G$51)+ABS('5'!$K$52-Tulokset!$I$51))))))</f>
        <v/>
      </c>
      <c r="BB8" t="str">
        <f>IF(OR(Tulokset!$G$52="",Tulokset!$I$52="",'5'!$I$53="",'5'!$K$53=""),"",IF(SIGN('5'!$I$53-'5'!$K$53)&lt;&gt;SIGN(Tulokset!$G$52-Tulokset!$I$52),0,IF(Tulokset!$G$52=Tulokset!$I$52,IF(AND('5'!$I$53=Tulokset!$G$52,'5'!$K$53=Tulokset!$I$52),6,3),MAX(0,6-(ABS('5'!$I$53-Tulokset!$G$52)+ABS('5'!$K$53-Tulokset!$I$52))))))</f>
        <v/>
      </c>
      <c r="BC8" t="str">
        <f>IF(OR(Tulokset!$G$53="",Tulokset!$I$53="",'5'!$I$54="",'5'!$K$54=""),"",IF(SIGN('5'!$I$54-'5'!$K$54)&lt;&gt;SIGN(Tulokset!$G$53-Tulokset!$I$53),0,IF(Tulokset!$G$53=Tulokset!$I$53,IF(AND('5'!$I$54=Tulokset!$G$53,'5'!$K$54=Tulokset!$I$53),6,3),MAX(0,6-(ABS('5'!$I$54-Tulokset!$G$53)+ABS('5'!$K$54-Tulokset!$I$53))))))</f>
        <v/>
      </c>
      <c r="BD8" t="str">
        <f>IF(OR(Tulokset!$G$54="",Tulokset!$I$54="",'5'!$I$55="",'5'!$K$55=""),"",IF(SIGN('5'!$I$55-'5'!$K$55)&lt;&gt;SIGN(Tulokset!$G$54-Tulokset!$I$54),0,IF(Tulokset!$G$54=Tulokset!$I$54,IF(AND('5'!$I$55=Tulokset!$G$54,'5'!$K$55=Tulokset!$I$54),6,3),MAX(0,6-(ABS('5'!$I$55-Tulokset!$G$54)+ABS('5'!$K$55-Tulokset!$I$54))))))</f>
        <v/>
      </c>
      <c r="BE8" t="str">
        <f>IF(OR(Tulokset!$G$55="",Tulokset!$I$55="",'5'!$I$56="",'5'!$K$56=""),"",IF(SIGN('5'!$I$56-'5'!$K$56)&lt;&gt;SIGN(Tulokset!$G$55-Tulokset!$I$55),0,IF(Tulokset!$G$55=Tulokset!$I$55,IF(AND('5'!$I$56=Tulokset!$G$55,'5'!$K$56=Tulokset!$I$55),6,3),MAX(0,6-(ABS('5'!$I$56-Tulokset!$G$55)+ABS('5'!$K$56-Tulokset!$I$55))))))</f>
        <v/>
      </c>
      <c r="BF8" t="str">
        <f>IF(OR(Tulokset!$G$56="",Tulokset!$I$56="",'5'!$I$57="",'5'!$K$57=""),"",IF(SIGN('5'!$I$57-'5'!$K$57)&lt;&gt;SIGN(Tulokset!$G$56-Tulokset!$I$56),0,IF(Tulokset!$G$56=Tulokset!$I$56,IF(AND('5'!$I$57=Tulokset!$G$56,'5'!$K$57=Tulokset!$I$56),6,3),MAX(0,6-(ABS('5'!$I$57-Tulokset!$G$56)+ABS('5'!$K$57-Tulokset!$I$56))))))</f>
        <v/>
      </c>
      <c r="BG8" t="str">
        <f>IF(OR(Tulokset!$G$57="",Tulokset!$I$57="",'5'!$I$58="",'5'!$K$58=""),"",IF(SIGN('5'!$I$58-'5'!$K$58)&lt;&gt;SIGN(Tulokset!$G$57-Tulokset!$I$57),0,IF(Tulokset!$G$57=Tulokset!$I$57,IF(AND('5'!$I$58=Tulokset!$G$57,'5'!$K$58=Tulokset!$I$57),6,3),MAX(0,6-(ABS('5'!$I$58-Tulokset!$G$57)+ABS('5'!$K$58-Tulokset!$I$57))))))</f>
        <v/>
      </c>
      <c r="BH8" t="str">
        <f>IF(OR(Tulokset!$G$58="",Tulokset!$I$58="",'5'!$I$59="",'5'!$K$59=""),"",IF(SIGN('5'!$I$59-'5'!$K$59)&lt;&gt;SIGN(Tulokset!$G$58-Tulokset!$I$58),0,IF(Tulokset!$G$58=Tulokset!$I$58,IF(AND('5'!$I$59=Tulokset!$G$58,'5'!$K$59=Tulokset!$I$58),6,3),MAX(0,6-(ABS('5'!$I$59-Tulokset!$G$58)+ABS('5'!$K$59-Tulokset!$I$58))))))</f>
        <v/>
      </c>
      <c r="BI8" t="str">
        <f>IF(OR(Tulokset!$G$59="",Tulokset!$I$59="",'5'!$I$60="",'5'!$K$60=""),"",IF(SIGN('5'!$I$60-'5'!$K$60)&lt;&gt;SIGN(Tulokset!$G$59-Tulokset!$I$59),0,IF(Tulokset!$G$59=Tulokset!$I$59,IF(AND('5'!$I$60=Tulokset!$G$59,'5'!$K$60=Tulokset!$I$59),6,3),MAX(0,6-(ABS('5'!$I$60-Tulokset!$G$59)+ABS('5'!$K$60-Tulokset!$I$59))))))</f>
        <v/>
      </c>
      <c r="BJ8" t="str">
        <f>IF(OR(Tulokset!$G$60="",Tulokset!$I$60="",'5'!$I$61="",'5'!$K$61=""),"",IF(SIGN('5'!$I$61-'5'!$K$61)&lt;&gt;SIGN(Tulokset!$G$60-Tulokset!$I$60),0,IF(Tulokset!$G$60=Tulokset!$I$60,IF(AND('5'!$I$61=Tulokset!$G$60,'5'!$K$61=Tulokset!$I$60),6,3),MAX(0,6-(ABS('5'!$I$61-Tulokset!$G$60)+ABS('5'!$K$61-Tulokset!$I$60))))))</f>
        <v/>
      </c>
      <c r="BK8" t="str">
        <f>IF(OR(Tulokset!$G$61="",Tulokset!$I$61="",'5'!$I$62="",'5'!$K$62=""),"",IF(SIGN('5'!$I$62-'5'!$K$62)&lt;&gt;SIGN(Tulokset!$G$61-Tulokset!$I$61),0,IF(Tulokset!$G$61=Tulokset!$I$61,IF(AND('5'!$I$62=Tulokset!$G$61,'5'!$K$62=Tulokset!$I$61),6,3),MAX(0,6-(ABS('5'!$I$62-Tulokset!$G$61)+ABS('5'!$K$62-Tulokset!$I$61))))))</f>
        <v/>
      </c>
      <c r="BL8" t="str">
        <f>IF(OR(Tulokset!$G$62="",Tulokset!$I$62="",'5'!$I$63="",'5'!$K$63=""),"",IF(SIGN('5'!$I$63-'5'!$K$63)&lt;&gt;SIGN(Tulokset!$G$62-Tulokset!$I$62),0,IF(Tulokset!$G$62=Tulokset!$I$62,IF(AND('5'!$I$63=Tulokset!$G$62,'5'!$K$63=Tulokset!$I$62),6,3),MAX(0,6-(ABS('5'!$I$63-Tulokset!$G$62)+ABS('5'!$K$63-Tulokset!$I$62))))))</f>
        <v/>
      </c>
      <c r="BM8" t="str">
        <f>IF(OR(Tulokset!$G$63="",Tulokset!$I$63="",'5'!$I$64="",'5'!$K$64=""),"",IF(SIGN('5'!$I$64-'5'!$K$64)&lt;&gt;SIGN(Tulokset!$G$63-Tulokset!$I$63),0,IF(Tulokset!$G$63=Tulokset!$I$63,IF(AND('5'!$I$64=Tulokset!$G$63,'5'!$K$64=Tulokset!$I$63),6,3),MAX(0,6-(ABS('5'!$I$64-Tulokset!$G$63)+ABS('5'!$K$64-Tulokset!$I$63))))))</f>
        <v/>
      </c>
      <c r="BN8" t="str">
        <f>IF(OR(Tulokset!$G$64="",Tulokset!$I$64="",'5'!$I$65="",'5'!$K$65=""),"",IF(SIGN('5'!$I$65-'5'!$K$65)&lt;&gt;SIGN(Tulokset!$G$64-Tulokset!$I$64),0,IF(Tulokset!$G$64=Tulokset!$I$64,IF(AND('5'!$I$65=Tulokset!$G$64,'5'!$K$65=Tulokset!$I$64),6,3),MAX(0,6-(ABS('5'!$I$65-Tulokset!$G$64)+ABS('5'!$K$65-Tulokset!$I$64))))))</f>
        <v/>
      </c>
      <c r="BO8" t="str">
        <f>IF(OR(Tulokset!$G$65="",Tulokset!$I$65="",'5'!$I$66="",'5'!$K$66=""),"",IF(SIGN('5'!$I$66-'5'!$K$66)&lt;&gt;SIGN(Tulokset!$G$65-Tulokset!$I$65),0,IF(Tulokset!$G$65=Tulokset!$I$65,IF(AND('5'!$I$66=Tulokset!$G$65,'5'!$K$66=Tulokset!$I$65),6,3),MAX(0,6-(ABS('5'!$I$66-Tulokset!$G$65)+ABS('5'!$K$66-Tulokset!$I$65))))))</f>
        <v/>
      </c>
      <c r="BP8" t="str">
        <f>IF(OR(Tulokset!$G$66="",Tulokset!$I$66="",'5'!$I$67="",'5'!$K$67=""),"",IF(SIGN('5'!$I$67-'5'!$K$67)&lt;&gt;SIGN(Tulokset!$G$66-Tulokset!$I$66),0,IF(Tulokset!$G$66=Tulokset!$I$66,IF(AND('5'!$I$67=Tulokset!$G$66,'5'!$K$67=Tulokset!$I$66),6,3),MAX(0,6-(ABS('5'!$I$67-Tulokset!$G$66)+ABS('5'!$K$67-Tulokset!$I$66))))))</f>
        <v/>
      </c>
      <c r="BQ8" t="str">
        <f>IF(OR(Tulokset!$G$67="",Tulokset!$I$67="",'5'!$I$68="",'5'!$K$68=""),"",IF(SIGN('5'!$I$68-'5'!$K$68)&lt;&gt;SIGN(Tulokset!$G$67-Tulokset!$I$67),0,IF(Tulokset!$G$67=Tulokset!$I$67,IF(AND('5'!$I$68=Tulokset!$G$67,'5'!$K$68=Tulokset!$I$67),6,3),MAX(0,6-(ABS('5'!$I$68-Tulokset!$G$67)+ABS('5'!$K$68-Tulokset!$I$67))))))</f>
        <v/>
      </c>
      <c r="BR8" t="str">
        <f>IF(OR(Tulokset!$G$68="",Tulokset!$I$68="",'5'!$I$69="",'5'!$K$69=""),"",IF(SIGN('5'!$I$69-'5'!$K$69)&lt;&gt;SIGN(Tulokset!$G$68-Tulokset!$I$68),0,IF(Tulokset!$G$68=Tulokset!$I$68,IF(AND('5'!$I$69=Tulokset!$G$68,'5'!$K$69=Tulokset!$I$68),6,3),MAX(0,6-(ABS('5'!$I$69-Tulokset!$G$68)+ABS('5'!$K$69-Tulokset!$I$68))))))</f>
        <v/>
      </c>
      <c r="BS8" t="str">
        <f>IF(OR(Tulokset!$G$69="",Tulokset!$I$69="",'5'!$I$70="",'5'!$K$70=""),"",IF(SIGN('5'!$I$70-'5'!$K$70)&lt;&gt;SIGN(Tulokset!$G$69-Tulokset!$I$69),0,IF(Tulokset!$G$69=Tulokset!$I$69,IF(AND('5'!$I$70=Tulokset!$G$69,'5'!$K$70=Tulokset!$I$69),6,3),MAX(0,6-(ABS('5'!$I$70-Tulokset!$G$69)+ABS('5'!$K$70-Tulokset!$I$69))))))</f>
        <v/>
      </c>
      <c r="BT8" t="str">
        <f>IF(OR(Tulokset!$G$70="",Tulokset!$I$70="",'5'!$I$71="",'5'!$K$71=""),"",IF(SIGN('5'!$I$71-'5'!$K$71)&lt;&gt;SIGN(Tulokset!$G$70-Tulokset!$I$70),0,IF(Tulokset!$G$70=Tulokset!$I$70,IF(AND('5'!$I$71=Tulokset!$G$70,'5'!$K$71=Tulokset!$I$70),6,3),MAX(0,6-(ABS('5'!$I$71-Tulokset!$G$70)+ABS('5'!$K$71-Tulokset!$I$70))))))</f>
        <v/>
      </c>
      <c r="BU8" t="str">
        <f>IF(OR(Tulokset!$G$71="",Tulokset!$I$71="",'5'!$I$72="",'5'!$K$72=""),"",IF(SIGN('5'!$I$72-'5'!$K$72)&lt;&gt;SIGN(Tulokset!$G$71-Tulokset!$I$71),0,IF(Tulokset!$G$71=Tulokset!$I$71,IF(AND('5'!$I$72=Tulokset!$G$71,'5'!$K$72=Tulokset!$I$71),6,3),MAX(0,6-(ABS('5'!$I$72-Tulokset!$G$71)+ABS('5'!$K$72-Tulokset!$I$71))))))</f>
        <v/>
      </c>
      <c r="BV8" t="str">
        <f>IF(OR(Tulokset!$G$72="",Tulokset!$I$72="",'5'!$I$73="",'5'!$K$73=""),"",IF(SIGN('5'!$I$73-'5'!$K$73)&lt;&gt;SIGN(Tulokset!$G$72-Tulokset!$I$72),0,IF(Tulokset!$G$72=Tulokset!$I$72,IF(AND('5'!$I$73=Tulokset!$G$72,'5'!$K$73=Tulokset!$I$72),6,3),MAX(0,6-(ABS('5'!$I$73-Tulokset!$G$72)+ABS('5'!$K$73-Tulokset!$I$72))))))</f>
        <v/>
      </c>
      <c r="BW8" t="str">
        <f>IF(OR(Tulokset!$G$73="",Tulokset!$I$73="",'5'!$I$74="",'5'!$K$74=""),"",IF(SIGN('5'!$I$74-'5'!$K$74)&lt;&gt;SIGN(Tulokset!$G$73-Tulokset!$I$73),0,IF(Tulokset!$G$73=Tulokset!$I$73,IF(AND('5'!$I$74=Tulokset!$G$73,'5'!$K$74=Tulokset!$I$73),6,3),MAX(0,6-(ABS('5'!$I$74-Tulokset!$G$73)+ABS('5'!$K$74-Tulokset!$I$73))))))</f>
        <v/>
      </c>
      <c r="BX8" t="str">
        <f>IF(OR(Tulokset!$G$74="",Tulokset!$I$74="",'5'!$I$75="",'5'!$K$75=""),"",IF(SIGN('5'!$I$75-'5'!$K$75)&lt;&gt;SIGN(Tulokset!$G$74-Tulokset!$I$74),0,IF(Tulokset!$G$74=Tulokset!$I$74,IF(AND('5'!$I$75=Tulokset!$G$74,'5'!$K$75=Tulokset!$I$74),6,3),MAX(0,6-(ABS('5'!$I$75-Tulokset!$G$74)+ABS('5'!$K$75-Tulokset!$I$74))))))</f>
        <v/>
      </c>
      <c r="BY8" t="str">
        <f>IF(OR(Tulokset!$G$75="",Tulokset!$I$75="",'5'!$I$76="",'5'!$K$76=""),"",IF(SIGN('5'!$I$76-'5'!$K$76)&lt;&gt;SIGN(Tulokset!$G$75-Tulokset!$I$75),0,IF(Tulokset!$G$75=Tulokset!$I$75,IF(AND('5'!$I$76=Tulokset!$G$75,'5'!$K$76=Tulokset!$I$75),6,3),MAX(0,6-(ABS('5'!$I$76-Tulokset!$G$75)+ABS('5'!$K$76-Tulokset!$I$75))))))</f>
        <v/>
      </c>
      <c r="BZ8" t="str">
        <f>IF(OR(Tulokset!$G$76="",Tulokset!$I$76="",'5'!$I$77="",'5'!$K$77=""),"",IF(SIGN('5'!$I$77-'5'!$K$77)&lt;&gt;SIGN(Tulokset!$G$76-Tulokset!$I$76),0,IF(Tulokset!$G$76=Tulokset!$I$76,IF(AND('5'!$I$77=Tulokset!$G$76,'5'!$K$77=Tulokset!$I$76),6,3),MAX(0,6-(ABS('5'!$I$77-Tulokset!$G$76)+ABS('5'!$K$77-Tulokset!$I$76))))))</f>
        <v/>
      </c>
      <c r="CA8" t="str">
        <f>IF(OR(Tulokset!$G$77="",Tulokset!$I$77="",'5'!$I$78="",'5'!$K$78=""),"",IF(SIGN('5'!$I$78-'5'!$K$78)&lt;&gt;SIGN(Tulokset!$G$77-Tulokset!$I$77),0,IF(Tulokset!$G$77=Tulokset!$I$77,IF(AND('5'!$I$78=Tulokset!$G$77,'5'!$K$78=Tulokset!$I$77),6,3),MAX(0,6-(ABS('5'!$I$78-Tulokset!$G$77)+ABS('5'!$K$78-Tulokset!$I$77))))))</f>
        <v/>
      </c>
      <c r="CD8" t="str">
        <f ca="1">IF(OR(Tulokset!$M$6="",INDIRECT("'"&amp;$A8&amp;"'!$P$8")=""),"",IF(TRIM(INDIRECT("'"&amp;$A8&amp;"'!$P$8"))=TRIM(Tulokset!$M$6),2,0))</f>
        <v/>
      </c>
      <c r="CE8" t="str">
        <f ca="1">IF(OR(Tulokset!$M$7="",INDIRECT("'"&amp;$A8&amp;"'!$P$9")=""),"",IF(TRIM(INDIRECT("'"&amp;$A8&amp;"'!$P$9"))=TRIM(Tulokset!$M$7),2,0))</f>
        <v/>
      </c>
      <c r="CF8" t="str">
        <f ca="1">IF(OR(Tulokset!$M$8="",INDIRECT("'"&amp;$A8&amp;"'!$P$10")=""),"",IF(TRIM(INDIRECT("'"&amp;$A8&amp;"'!$P$10"))=TRIM(Tulokset!$M$8),2,0))</f>
        <v/>
      </c>
      <c r="CG8" t="str">
        <f ca="1">IF(OR(Tulokset!$M$9="",INDIRECT("'"&amp;$A8&amp;"'!$P$11")=""),"",IF(TRIM(INDIRECT("'"&amp;$A8&amp;"'!$P$11"))=TRIM(Tulokset!$M$9),2,0))</f>
        <v/>
      </c>
      <c r="CH8" t="str">
        <f ca="1">IF(OR(Tulokset!$N$6="",INDIRECT("'"&amp;$A8&amp;"'!$Q$8")=""),"",IF(TRIM(INDIRECT("'"&amp;$A8&amp;"'!$Q$8"))=TRIM(Tulokset!$N$6),2,0))</f>
        <v/>
      </c>
      <c r="CI8" t="str">
        <f ca="1">IF(OR(Tulokset!$N$7="",INDIRECT("'"&amp;$A8&amp;"'!$Q$9")=""),"",IF(TRIM(INDIRECT("'"&amp;$A8&amp;"'!$Q$9"))=TRIM(Tulokset!$N$7),2,0))</f>
        <v/>
      </c>
      <c r="CJ8" t="str">
        <f ca="1">IF(OR(Tulokset!$N$8="",INDIRECT("'"&amp;$A8&amp;"'!$Q$10")=""),"",IF(TRIM(INDIRECT("'"&amp;$A8&amp;"'!$Q$10"))=TRIM(Tulokset!$N$8),2,0))</f>
        <v/>
      </c>
      <c r="CK8" t="str">
        <f ca="1">IF(OR(Tulokset!$N$9="",INDIRECT("'"&amp;$A8&amp;"'!$Q$11")=""),"",IF(TRIM(INDIRECT("'"&amp;$A8&amp;"'!$Q$11"))=TRIM(Tulokset!$N$9),2,0))</f>
        <v/>
      </c>
      <c r="CL8" t="str">
        <f ca="1">IF(OR(Tulokset!$O$6="",INDIRECT("'"&amp;$A8&amp;"'!$R$8")=""),"",IF(TRIM(INDIRECT("'"&amp;$A8&amp;"'!$R$8"))=TRIM(Tulokset!$O$6),2,0))</f>
        <v/>
      </c>
      <c r="CM8" t="str">
        <f ca="1">IF(OR(Tulokset!$O$7="",INDIRECT("'"&amp;$A8&amp;"'!$R$9")=""),"",IF(TRIM(INDIRECT("'"&amp;$A8&amp;"'!$R$9"))=TRIM(Tulokset!$O$7),2,0))</f>
        <v/>
      </c>
      <c r="CN8" t="str">
        <f ca="1">IF(OR(Tulokset!$O$8="",INDIRECT("'"&amp;$A8&amp;"'!$R$10")=""),"",IF(TRIM(INDIRECT("'"&amp;$A8&amp;"'!$R$10"))=TRIM(Tulokset!$O$8),2,0))</f>
        <v/>
      </c>
      <c r="CO8" t="str">
        <f ca="1">IF(OR(Tulokset!$O$9="",INDIRECT("'"&amp;$A8&amp;"'!$R$11")=""),"",IF(TRIM(INDIRECT("'"&amp;$A8&amp;"'!$R$11"))=TRIM(Tulokset!$O$9),2,0))</f>
        <v/>
      </c>
      <c r="CP8" t="str">
        <f ca="1">IF(OR(Tulokset!$P$6="",INDIRECT("'"&amp;$A8&amp;"'!$S$8")=""),"",IF(TRIM(INDIRECT("'"&amp;$A8&amp;"'!$S$8"))=TRIM(Tulokset!$P$6),2,0))</f>
        <v/>
      </c>
      <c r="CQ8" t="str">
        <f ca="1">IF(OR(Tulokset!$P$7="",INDIRECT("'"&amp;$A8&amp;"'!$S$9")=""),"",IF(TRIM(INDIRECT("'"&amp;$A8&amp;"'!$S$9"))=TRIM(Tulokset!$P$7),2,0))</f>
        <v/>
      </c>
      <c r="CR8" t="str">
        <f ca="1">IF(OR(Tulokset!$P$8="",INDIRECT("'"&amp;$A8&amp;"'!$S$10")=""),"",IF(TRIM(INDIRECT("'"&amp;$A8&amp;"'!$S$10"))=TRIM(Tulokset!$P$8),2,0))</f>
        <v/>
      </c>
      <c r="CS8" t="str">
        <f ca="1">IF(OR(Tulokset!$P$9="",INDIRECT("'"&amp;$A8&amp;"'!$S$11")=""),"",IF(TRIM(INDIRECT("'"&amp;$A8&amp;"'!$S$11"))=TRIM(Tulokset!$P$9),2,0))</f>
        <v/>
      </c>
      <c r="CT8" t="str">
        <f ca="1">IF(OR(Tulokset!$Q$6="",INDIRECT("'"&amp;$A8&amp;"'!$T$8")=""),"",IF(TRIM(INDIRECT("'"&amp;$A8&amp;"'!$T$8"))=TRIM(Tulokset!$Q$6),2,0))</f>
        <v/>
      </c>
      <c r="CU8" t="str">
        <f ca="1">IF(OR(Tulokset!$Q$7="",INDIRECT("'"&amp;$A8&amp;"'!$T$9")=""),"",IF(TRIM(INDIRECT("'"&amp;$A8&amp;"'!$T$9"))=TRIM(Tulokset!$Q$7),2,0))</f>
        <v/>
      </c>
      <c r="CV8" t="str">
        <f ca="1">IF(OR(Tulokset!$Q$8="",INDIRECT("'"&amp;$A8&amp;"'!$T$10")=""),"",IF(TRIM(INDIRECT("'"&amp;$A8&amp;"'!$T$10"))=TRIM(Tulokset!$Q$8),2,0))</f>
        <v/>
      </c>
      <c r="CW8" t="str">
        <f ca="1">IF(OR(Tulokset!$Q$9="",INDIRECT("'"&amp;$A8&amp;"'!$T$11")=""),"",IF(TRIM(INDIRECT("'"&amp;$A8&amp;"'!$T$11"))=TRIM(Tulokset!$Q$9),2,0))</f>
        <v/>
      </c>
      <c r="CX8" t="str">
        <f ca="1">IF(OR(Tulokset!$R$6="",INDIRECT("'"&amp;$A8&amp;"'!$U$8")=""),"",IF(TRIM(INDIRECT("'"&amp;$A8&amp;"'!$U$8"))=TRIM(Tulokset!$R$6),2,0))</f>
        <v/>
      </c>
      <c r="CY8" t="str">
        <f ca="1">IF(OR(Tulokset!$R$7="",INDIRECT("'"&amp;$A8&amp;"'!$U$9")=""),"",IF(TRIM(INDIRECT("'"&amp;$A8&amp;"'!$U$9"))=TRIM(Tulokset!$R$7),2,0))</f>
        <v/>
      </c>
      <c r="CZ8" t="str">
        <f ca="1">IF(OR(Tulokset!$R$8="",INDIRECT("'"&amp;$A8&amp;"'!$U$10")=""),"",IF(TRIM(INDIRECT("'"&amp;$A8&amp;"'!$U$10"))=TRIM(Tulokset!$R$8),2,0))</f>
        <v/>
      </c>
      <c r="DA8" t="str">
        <f ca="1">IF(OR(Tulokset!$R$9="",INDIRECT("'"&amp;$A8&amp;"'!$U$11")=""),"",IF(TRIM(INDIRECT("'"&amp;$A8&amp;"'!$U$11"))=TRIM(Tulokset!$R$9),2,0))</f>
        <v/>
      </c>
      <c r="DB8" t="str">
        <f ca="1">IF(OR(Tulokset!$M$12="",INDIRECT("'"&amp;$A8&amp;"'!$P$14")=""),"",IF(TRIM(INDIRECT("'"&amp;$A8&amp;"'!$P$14"))=TRIM(Tulokset!$M$12),2,0))</f>
        <v/>
      </c>
      <c r="DC8" t="str">
        <f ca="1">IF(OR(Tulokset!$M$13="",INDIRECT("'"&amp;$A8&amp;"'!$P$15")=""),"",IF(TRIM(INDIRECT("'"&amp;$A8&amp;"'!$P$15"))=TRIM(Tulokset!$M$13),2,0))</f>
        <v/>
      </c>
      <c r="DD8" t="str">
        <f ca="1">IF(OR(Tulokset!$M$14="",INDIRECT("'"&amp;$A8&amp;"'!$P$16")=""),"",IF(TRIM(INDIRECT("'"&amp;$A8&amp;"'!$P$16"))=TRIM(Tulokset!$M$14),2,0))</f>
        <v/>
      </c>
      <c r="DE8" t="str">
        <f ca="1">IF(OR(Tulokset!$M$15="",INDIRECT("'"&amp;$A8&amp;"'!$P$17")=""),"",IF(TRIM(INDIRECT("'"&amp;$A8&amp;"'!$P$17"))=TRIM(Tulokset!$M$15),2,0))</f>
        <v/>
      </c>
      <c r="DF8" t="str">
        <f ca="1">IF(OR(Tulokset!$N$12="",INDIRECT("'"&amp;$A8&amp;"'!$Q$14")=""),"",IF(TRIM(INDIRECT("'"&amp;$A8&amp;"'!$Q$14"))=TRIM(Tulokset!$N$12),2,0))</f>
        <v/>
      </c>
      <c r="DG8" t="str">
        <f ca="1">IF(OR(Tulokset!$N$13="",INDIRECT("'"&amp;$A8&amp;"'!$Q$15")=""),"",IF(TRIM(INDIRECT("'"&amp;$A8&amp;"'!$Q$15"))=TRIM(Tulokset!$N$13),2,0))</f>
        <v/>
      </c>
      <c r="DH8" t="str">
        <f ca="1">IF(OR(Tulokset!$N$14="",INDIRECT("'"&amp;$A8&amp;"'!$Q$16")=""),"",IF(TRIM(INDIRECT("'"&amp;$A8&amp;"'!$Q$16"))=TRIM(Tulokset!$N$14),2,0))</f>
        <v/>
      </c>
      <c r="DI8" t="str">
        <f ca="1">IF(OR(Tulokset!$N$15="",INDIRECT("'"&amp;$A8&amp;"'!$Q$17")=""),"",IF(TRIM(INDIRECT("'"&amp;$A8&amp;"'!$Q$17"))=TRIM(Tulokset!$N$15),2,0))</f>
        <v/>
      </c>
      <c r="DJ8" t="str">
        <f ca="1">IF(OR(Tulokset!$O$12="",INDIRECT("'"&amp;$A8&amp;"'!$R$14")=""),"",IF(TRIM(INDIRECT("'"&amp;$A8&amp;"'!$R$14"))=TRIM(Tulokset!$O$12),2,0))</f>
        <v/>
      </c>
      <c r="DK8" t="str">
        <f ca="1">IF(OR(Tulokset!$O$13="",INDIRECT("'"&amp;$A8&amp;"'!$R$15")=""),"",IF(TRIM(INDIRECT("'"&amp;$A8&amp;"'!$R$15"))=TRIM(Tulokset!$O$13),2,0))</f>
        <v/>
      </c>
      <c r="DL8" t="str">
        <f ca="1">IF(OR(Tulokset!$O$14="",INDIRECT("'"&amp;$A8&amp;"'!$R$16")=""),"",IF(TRIM(INDIRECT("'"&amp;$A8&amp;"'!$R$16"))=TRIM(Tulokset!$O$14),2,0))</f>
        <v/>
      </c>
      <c r="DM8" t="str">
        <f ca="1">IF(OR(Tulokset!$O$15="",INDIRECT("'"&amp;$A8&amp;"'!$R$17")=""),"",IF(TRIM(INDIRECT("'"&amp;$A8&amp;"'!$R$17"))=TRIM(Tulokset!$O$15),2,0))</f>
        <v/>
      </c>
      <c r="DN8" t="str">
        <f ca="1">IF(OR(Tulokset!$P$12="",INDIRECT("'"&amp;$A8&amp;"'!$S$14")=""),"",IF(TRIM(INDIRECT("'"&amp;$A8&amp;"'!$S$14"))=TRIM(Tulokset!$P$12),2,0))</f>
        <v/>
      </c>
      <c r="DO8" t="str">
        <f ca="1">IF(OR(Tulokset!$P$13="",INDIRECT("'"&amp;$A8&amp;"'!$S$15")=""),"",IF(TRIM(INDIRECT("'"&amp;$A8&amp;"'!$S$15"))=TRIM(Tulokset!$P$13),2,0))</f>
        <v/>
      </c>
      <c r="DP8" t="str">
        <f ca="1">IF(OR(Tulokset!$P$14="",INDIRECT("'"&amp;$A8&amp;"'!$S$16")=""),"",IF(TRIM(INDIRECT("'"&amp;$A8&amp;"'!$S$16"))=TRIM(Tulokset!$P$14),2,0))</f>
        <v/>
      </c>
      <c r="DQ8" t="str">
        <f ca="1">IF(OR(Tulokset!$P$15="",INDIRECT("'"&amp;$A8&amp;"'!$S$17")=""),"",IF(TRIM(INDIRECT("'"&amp;$A8&amp;"'!$S$17"))=TRIM(Tulokset!$P$15),2,0))</f>
        <v/>
      </c>
      <c r="DR8" t="str">
        <f ca="1">IF(OR(Tulokset!$Q$12="",INDIRECT("'"&amp;$A8&amp;"'!$T$14")=""),"",IF(TRIM(INDIRECT("'"&amp;$A8&amp;"'!$T$14"))=TRIM(Tulokset!$Q$12),2,0))</f>
        <v/>
      </c>
      <c r="DS8" t="str">
        <f ca="1">IF(OR(Tulokset!$Q$13="",INDIRECT("'"&amp;$A8&amp;"'!$T$15")=""),"",IF(TRIM(INDIRECT("'"&amp;$A8&amp;"'!$T$15"))=TRIM(Tulokset!$Q$13),2,0))</f>
        <v/>
      </c>
      <c r="DT8" t="str">
        <f ca="1">IF(OR(Tulokset!$Q$14="",INDIRECT("'"&amp;$A8&amp;"'!$T$16")=""),"",IF(TRIM(INDIRECT("'"&amp;$A8&amp;"'!$T$16"))=TRIM(Tulokset!$Q$14),2,0))</f>
        <v/>
      </c>
      <c r="DU8" t="str">
        <f ca="1">IF(OR(Tulokset!$Q$15="",INDIRECT("'"&amp;$A8&amp;"'!$T$17")=""),"",IF(TRIM(INDIRECT("'"&amp;$A8&amp;"'!$T$17"))=TRIM(Tulokset!$Q$15),2,0))</f>
        <v/>
      </c>
      <c r="DV8" t="str">
        <f ca="1">IF(OR(Tulokset!$R$12="",INDIRECT("'"&amp;$A8&amp;"'!$U$14")=""),"",IF(TRIM(INDIRECT("'"&amp;$A8&amp;"'!$U$14"))=TRIM(Tulokset!$R$12),2,0))</f>
        <v/>
      </c>
      <c r="DW8" t="str">
        <f ca="1">IF(OR(Tulokset!$R$13="",INDIRECT("'"&amp;$A8&amp;"'!$U$15")=""),"",IF(TRIM(INDIRECT("'"&amp;$A8&amp;"'!$U$15"))=TRIM(Tulokset!$R$13),2,0))</f>
        <v/>
      </c>
      <c r="DX8" t="str">
        <f ca="1">IF(OR(Tulokset!$R$14="",INDIRECT("'"&amp;$A8&amp;"'!$U$16")=""),"",IF(TRIM(INDIRECT("'"&amp;$A8&amp;"'!$U$16"))=TRIM(Tulokset!$R$14),2,0))</f>
        <v/>
      </c>
      <c r="DY8" t="str">
        <f ca="1">IF(OR(Tulokset!$R$15="",INDIRECT("'"&amp;$A8&amp;"'!$U$17")=""),"",IF(TRIM(INDIRECT("'"&amp;$A8&amp;"'!$U$17"))=TRIM(Tulokset!$R$15),2,0))</f>
        <v/>
      </c>
      <c r="EA8" t="str">
        <f ca="1">IF(OR(INDIRECT("'"&amp;$A8&amp;"'!$E$79")="",COUNTA(Tulokset!$M$20:$M$21)=0),"",IF(COUNTIF(Tulokset!$M$20:$M$21,INDIRECT("'"&amp;$A8&amp;"'!$E$79"))&gt;0,2,0))</f>
        <v/>
      </c>
      <c r="EB8" t="str">
        <f ca="1">IF(OR(INDIRECT("'"&amp;$A8&amp;"'!$G$79")="",COUNTA(Tulokset!$M$20:$M$21)=0),"",IF(COUNTIF(Tulokset!$M$20:$M$21,INDIRECT("'"&amp;$A8&amp;"'!$G$79"))&gt;0,2,0))</f>
        <v/>
      </c>
      <c r="EC8" t="str">
        <f ca="1">IF(OR(INDIRECT("'"&amp;$A8&amp;"'!$E$80")="",COUNTA(Tulokset!$M$23:$M$24)=0),"",IF(COUNTIF(Tulokset!$M$23:$M$24,INDIRECT("'"&amp;$A8&amp;"'!$E$80"))&gt;0,2,0))</f>
        <v/>
      </c>
      <c r="ED8" t="str">
        <f ca="1">IF(OR(INDIRECT("'"&amp;$A8&amp;"'!$G$80")="",COUNTA(Tulokset!$M$23:$M$24)=0),"",IF(COUNTIF(Tulokset!$M$23:$M$24,INDIRECT("'"&amp;$A8&amp;"'!$G$80"))&gt;0,2,0))</f>
        <v/>
      </c>
    </row>
    <row r="9" spans="1:134">
      <c r="A9" t="s">
        <v>301</v>
      </c>
      <c r="B9" t="str">
        <f t="shared" ca="1" si="0"/>
        <v>Pauli Koponen</v>
      </c>
      <c r="C9" s="95">
        <f t="shared" si="1"/>
        <v>0</v>
      </c>
      <c r="D9" s="95">
        <f t="shared" ca="1" si="2"/>
        <v>0</v>
      </c>
      <c r="E9" s="95">
        <f t="shared" ca="1" si="3"/>
        <v>0</v>
      </c>
      <c r="F9" s="95">
        <f t="shared" ca="1" si="4"/>
        <v>0</v>
      </c>
      <c r="G9" s="95">
        <f t="shared" si="5"/>
        <v>0</v>
      </c>
      <c r="H9" t="str">
        <f>IF(OR(Tulokset!$G$6="",Tulokset!$I$6="",'6'!$I$7="",'6'!$K$7=""),"",IF(SIGN('6'!$I$7-'6'!$K$7)&lt;&gt;SIGN(Tulokset!$G$6-Tulokset!$I$6),0,IF(Tulokset!$G$6=Tulokset!$I$6,IF(AND('6'!$I$7=Tulokset!$G$6,'6'!$K$7=Tulokset!$I$6),6,3),MAX(0,6-(ABS('6'!$I$7-Tulokset!$G$6)+ABS('6'!$K$7-Tulokset!$I$6))))))</f>
        <v/>
      </c>
      <c r="I9" t="str">
        <f>IF(OR(Tulokset!$G$7="",Tulokset!$I$7="",'6'!$I$8="",'6'!$K$8=""),"",IF(SIGN('6'!$I$8-'6'!$K$8)&lt;&gt;SIGN(Tulokset!$G$7-Tulokset!$I$7),0,IF(Tulokset!$G$7=Tulokset!$I$7,IF(AND('6'!$I$8=Tulokset!$G$7,'6'!$K$8=Tulokset!$I$7),6,3),MAX(0,6-(ABS('6'!$I$8-Tulokset!$G$7)+ABS('6'!$K$8-Tulokset!$I$7))))))</f>
        <v/>
      </c>
      <c r="J9" t="str">
        <f>IF(OR(Tulokset!$G$8="",Tulokset!$I$8="",'6'!$I$9="",'6'!$K$9=""),"",IF(SIGN('6'!$I$9-'6'!$K$9)&lt;&gt;SIGN(Tulokset!$G$8-Tulokset!$I$8),0,IF(Tulokset!$G$8=Tulokset!$I$8,IF(AND('6'!$I$9=Tulokset!$G$8,'6'!$K$9=Tulokset!$I$8),6,3),MAX(0,6-(ABS('6'!$I$9-Tulokset!$G$8)+ABS('6'!$K$9-Tulokset!$I$8))))))</f>
        <v/>
      </c>
      <c r="K9" t="str">
        <f>IF(OR(Tulokset!$G$9="",Tulokset!$I$9="",'6'!$I$10="",'6'!$K$10=""),"",IF(SIGN('6'!$I$10-'6'!$K$10)&lt;&gt;SIGN(Tulokset!$G$9-Tulokset!$I$9),0,IF(Tulokset!$G$9=Tulokset!$I$9,IF(AND('6'!$I$10=Tulokset!$G$9,'6'!$K$10=Tulokset!$I$9),6,3),MAX(0,6-(ABS('6'!$I$10-Tulokset!$G$9)+ABS('6'!$K$10-Tulokset!$I$9))))))</f>
        <v/>
      </c>
      <c r="L9" t="str">
        <f>IF(OR(Tulokset!$G$10="",Tulokset!$I$10="",'6'!$I$11="",'6'!$K$11=""),"",IF(SIGN('6'!$I$11-'6'!$K$11)&lt;&gt;SIGN(Tulokset!$G$10-Tulokset!$I$10),0,IF(Tulokset!$G$10=Tulokset!$I$10,IF(AND('6'!$I$11=Tulokset!$G$10,'6'!$K$11=Tulokset!$I$10),6,3),MAX(0,6-(ABS('6'!$I$11-Tulokset!$G$10)+ABS('6'!$K$11-Tulokset!$I$10))))))</f>
        <v/>
      </c>
      <c r="M9" t="str">
        <f>IF(OR(Tulokset!$G$11="",Tulokset!$I$11="",'6'!$I$12="",'6'!$K$12=""),"",IF(SIGN('6'!$I$12-'6'!$K$12)&lt;&gt;SIGN(Tulokset!$G$11-Tulokset!$I$11),0,IF(Tulokset!$G$11=Tulokset!$I$11,IF(AND('6'!$I$12=Tulokset!$G$11,'6'!$K$12=Tulokset!$I$11),6,3),MAX(0,6-(ABS('6'!$I$12-Tulokset!$G$11)+ABS('6'!$K$12-Tulokset!$I$11))))))</f>
        <v/>
      </c>
      <c r="N9" t="str">
        <f>IF(OR(Tulokset!$G$12="",Tulokset!$I$12="",'6'!$I$13="",'6'!$K$13=""),"",IF(SIGN('6'!$I$13-'6'!$K$13)&lt;&gt;SIGN(Tulokset!$G$12-Tulokset!$I$12),0,IF(Tulokset!$G$12=Tulokset!$I$12,IF(AND('6'!$I$13=Tulokset!$G$12,'6'!$K$13=Tulokset!$I$12),6,3),MAX(0,6-(ABS('6'!$I$13-Tulokset!$G$12)+ABS('6'!$K$13-Tulokset!$I$12))))))</f>
        <v/>
      </c>
      <c r="O9" t="str">
        <f>IF(OR(Tulokset!$G$13="",Tulokset!$I$13="",'6'!$I$14="",'6'!$K$14=""),"",IF(SIGN('6'!$I$14-'6'!$K$14)&lt;&gt;SIGN(Tulokset!$G$13-Tulokset!$I$13),0,IF(Tulokset!$G$13=Tulokset!$I$13,IF(AND('6'!$I$14=Tulokset!$G$13,'6'!$K$14=Tulokset!$I$13),6,3),MAX(0,6-(ABS('6'!$I$14-Tulokset!$G$13)+ABS('6'!$K$14-Tulokset!$I$13))))))</f>
        <v/>
      </c>
      <c r="P9" t="str">
        <f>IF(OR(Tulokset!$G$14="",Tulokset!$I$14="",'6'!$I$15="",'6'!$K$15=""),"",IF(SIGN('6'!$I$15-'6'!$K$15)&lt;&gt;SIGN(Tulokset!$G$14-Tulokset!$I$14),0,IF(Tulokset!$G$14=Tulokset!$I$14,IF(AND('6'!$I$15=Tulokset!$G$14,'6'!$K$15=Tulokset!$I$14),6,3),MAX(0,6-(ABS('6'!$I$15-Tulokset!$G$14)+ABS('6'!$K$15-Tulokset!$I$14))))))</f>
        <v/>
      </c>
      <c r="Q9" t="str">
        <f>IF(OR(Tulokset!$G$15="",Tulokset!$I$15="",'6'!$I$16="",'6'!$K$16=""),"",IF(SIGN('6'!$I$16-'6'!$K$16)&lt;&gt;SIGN(Tulokset!$G$15-Tulokset!$I$15),0,IF(Tulokset!$G$15=Tulokset!$I$15,IF(AND('6'!$I$16=Tulokset!$G$15,'6'!$K$16=Tulokset!$I$15),6,3),MAX(0,6-(ABS('6'!$I$16-Tulokset!$G$15)+ABS('6'!$K$16-Tulokset!$I$15))))))</f>
        <v/>
      </c>
      <c r="R9" t="str">
        <f>IF(OR(Tulokset!$G$16="",Tulokset!$I$16="",'6'!$I$17="",'6'!$K$17=""),"",IF(SIGN('6'!$I$17-'6'!$K$17)&lt;&gt;SIGN(Tulokset!$G$16-Tulokset!$I$16),0,IF(Tulokset!$G$16=Tulokset!$I$16,IF(AND('6'!$I$17=Tulokset!$G$16,'6'!$K$17=Tulokset!$I$16),6,3),MAX(0,6-(ABS('6'!$I$17-Tulokset!$G$16)+ABS('6'!$K$17-Tulokset!$I$16))))))</f>
        <v/>
      </c>
      <c r="S9" t="str">
        <f>IF(OR(Tulokset!$G$17="",Tulokset!$I$17="",'6'!$I$18="",'6'!$K$18=""),"",IF(SIGN('6'!$I$18-'6'!$K$18)&lt;&gt;SIGN(Tulokset!$G$17-Tulokset!$I$17),0,IF(Tulokset!$G$17=Tulokset!$I$17,IF(AND('6'!$I$18=Tulokset!$G$17,'6'!$K$18=Tulokset!$I$17),6,3),MAX(0,6-(ABS('6'!$I$18-Tulokset!$G$17)+ABS('6'!$K$18-Tulokset!$I$17))))))</f>
        <v/>
      </c>
      <c r="T9" t="str">
        <f>IF(OR(Tulokset!$G$18="",Tulokset!$I$18="",'6'!$I$19="",'6'!$K$19=""),"",IF(SIGN('6'!$I$19-'6'!$K$19)&lt;&gt;SIGN(Tulokset!$G$18-Tulokset!$I$18),0,IF(Tulokset!$G$18=Tulokset!$I$18,IF(AND('6'!$I$19=Tulokset!$G$18,'6'!$K$19=Tulokset!$I$18),6,3),MAX(0,6-(ABS('6'!$I$19-Tulokset!$G$18)+ABS('6'!$K$19-Tulokset!$I$18))))))</f>
        <v/>
      </c>
      <c r="U9" t="str">
        <f>IF(OR(Tulokset!$G$19="",Tulokset!$I$19="",'6'!$I$20="",'6'!$K$20=""),"",IF(SIGN('6'!$I$20-'6'!$K$20)&lt;&gt;SIGN(Tulokset!$G$19-Tulokset!$I$19),0,IF(Tulokset!$G$19=Tulokset!$I$19,IF(AND('6'!$I$20=Tulokset!$G$19,'6'!$K$20=Tulokset!$I$19),6,3),MAX(0,6-(ABS('6'!$I$20-Tulokset!$G$19)+ABS('6'!$K$20-Tulokset!$I$19))))))</f>
        <v/>
      </c>
      <c r="V9" t="str">
        <f>IF(OR(Tulokset!$G$20="",Tulokset!$I$20="",'6'!$I$21="",'6'!$K$21=""),"",IF(SIGN('6'!$I$21-'6'!$K$21)&lt;&gt;SIGN(Tulokset!$G$20-Tulokset!$I$20),0,IF(Tulokset!$G$20=Tulokset!$I$20,IF(AND('6'!$I$21=Tulokset!$G$20,'6'!$K$21=Tulokset!$I$20),6,3),MAX(0,6-(ABS('6'!$I$21-Tulokset!$G$20)+ABS('6'!$K$21-Tulokset!$I$20))))))</f>
        <v/>
      </c>
      <c r="W9" t="str">
        <f>IF(OR(Tulokset!$G$21="",Tulokset!$I$21="",'6'!$I$22="",'6'!$K$22=""),"",IF(SIGN('6'!$I$22-'6'!$K$22)&lt;&gt;SIGN(Tulokset!$G$21-Tulokset!$I$21),0,IF(Tulokset!$G$21=Tulokset!$I$21,IF(AND('6'!$I$22=Tulokset!$G$21,'6'!$K$22=Tulokset!$I$21),6,3),MAX(0,6-(ABS('6'!$I$22-Tulokset!$G$21)+ABS('6'!$K$22-Tulokset!$I$21))))))</f>
        <v/>
      </c>
      <c r="X9" t="str">
        <f>IF(OR(Tulokset!$G$22="",Tulokset!$I$22="",'6'!$I$23="",'6'!$K$23=""),"",IF(SIGN('6'!$I$23-'6'!$K$23)&lt;&gt;SIGN(Tulokset!$G$22-Tulokset!$I$22),0,IF(Tulokset!$G$22=Tulokset!$I$22,IF(AND('6'!$I$23=Tulokset!$G$22,'6'!$K$23=Tulokset!$I$22),6,3),MAX(0,6-(ABS('6'!$I$23-Tulokset!$G$22)+ABS('6'!$K$23-Tulokset!$I$22))))))</f>
        <v/>
      </c>
      <c r="Y9" t="str">
        <f>IF(OR(Tulokset!$G$23="",Tulokset!$I$23="",'6'!$I$24="",'6'!$K$24=""),"",IF(SIGN('6'!$I$24-'6'!$K$24)&lt;&gt;SIGN(Tulokset!$G$23-Tulokset!$I$23),0,IF(Tulokset!$G$23=Tulokset!$I$23,IF(AND('6'!$I$24=Tulokset!$G$23,'6'!$K$24=Tulokset!$I$23),6,3),MAX(0,6-(ABS('6'!$I$24-Tulokset!$G$23)+ABS('6'!$K$24-Tulokset!$I$23))))))</f>
        <v/>
      </c>
      <c r="Z9" t="str">
        <f>IF(OR(Tulokset!$G$24="",Tulokset!$I$24="",'6'!$I$25="",'6'!$K$25=""),"",IF(SIGN('6'!$I$25-'6'!$K$25)&lt;&gt;SIGN(Tulokset!$G$24-Tulokset!$I$24),0,IF(Tulokset!$G$24=Tulokset!$I$24,IF(AND('6'!$I$25=Tulokset!$G$24,'6'!$K$25=Tulokset!$I$24),6,3),MAX(0,6-(ABS('6'!$I$25-Tulokset!$G$24)+ABS('6'!$K$25-Tulokset!$I$24))))))</f>
        <v/>
      </c>
      <c r="AA9" t="str">
        <f>IF(OR(Tulokset!$G$25="",Tulokset!$I$25="",'6'!$I$26="",'6'!$K$26=""),"",IF(SIGN('6'!$I$26-'6'!$K$26)&lt;&gt;SIGN(Tulokset!$G$25-Tulokset!$I$25),0,IF(Tulokset!$G$25=Tulokset!$I$25,IF(AND('6'!$I$26=Tulokset!$G$25,'6'!$K$26=Tulokset!$I$25),6,3),MAX(0,6-(ABS('6'!$I$26-Tulokset!$G$25)+ABS('6'!$K$26-Tulokset!$I$25))))))</f>
        <v/>
      </c>
      <c r="AB9" t="str">
        <f>IF(OR(Tulokset!$G$26="",Tulokset!$I$26="",'6'!$I$27="",'6'!$K$27=""),"",IF(SIGN('6'!$I$27-'6'!$K$27)&lt;&gt;SIGN(Tulokset!$G$26-Tulokset!$I$26),0,IF(Tulokset!$G$26=Tulokset!$I$26,IF(AND('6'!$I$27=Tulokset!$G$26,'6'!$K$27=Tulokset!$I$26),6,3),MAX(0,6-(ABS('6'!$I$27-Tulokset!$G$26)+ABS('6'!$K$27-Tulokset!$I$26))))))</f>
        <v/>
      </c>
      <c r="AC9" t="str">
        <f>IF(OR(Tulokset!$G$27="",Tulokset!$I$27="",'6'!$I$28="",'6'!$K$28=""),"",IF(SIGN('6'!$I$28-'6'!$K$28)&lt;&gt;SIGN(Tulokset!$G$27-Tulokset!$I$27),0,IF(Tulokset!$G$27=Tulokset!$I$27,IF(AND('6'!$I$28=Tulokset!$G$27,'6'!$K$28=Tulokset!$I$27),6,3),MAX(0,6-(ABS('6'!$I$28-Tulokset!$G$27)+ABS('6'!$K$28-Tulokset!$I$27))))))</f>
        <v/>
      </c>
      <c r="AD9" t="str">
        <f>IF(OR(Tulokset!$G$28="",Tulokset!$I$28="",'6'!$I$29="",'6'!$K$29=""),"",IF(SIGN('6'!$I$29-'6'!$K$29)&lt;&gt;SIGN(Tulokset!$G$28-Tulokset!$I$28),0,IF(Tulokset!$G$28=Tulokset!$I$28,IF(AND('6'!$I$29=Tulokset!$G$28,'6'!$K$29=Tulokset!$I$28),6,3),MAX(0,6-(ABS('6'!$I$29-Tulokset!$G$28)+ABS('6'!$K$29-Tulokset!$I$28))))))</f>
        <v/>
      </c>
      <c r="AE9" t="str">
        <f>IF(OR(Tulokset!$G$29="",Tulokset!$I$29="",'6'!$I$30="",'6'!$K$30=""),"",IF(SIGN('6'!$I$30-'6'!$K$30)&lt;&gt;SIGN(Tulokset!$G$29-Tulokset!$I$29),0,IF(Tulokset!$G$29=Tulokset!$I$29,IF(AND('6'!$I$30=Tulokset!$G$29,'6'!$K$30=Tulokset!$I$29),6,3),MAX(0,6-(ABS('6'!$I$30-Tulokset!$G$29)+ABS('6'!$K$30-Tulokset!$I$29))))))</f>
        <v/>
      </c>
      <c r="AF9" t="str">
        <f>IF(OR(Tulokset!$G$30="",Tulokset!$I$30="",'6'!$I$31="",'6'!$K$31=""),"",IF(SIGN('6'!$I$31-'6'!$K$31)&lt;&gt;SIGN(Tulokset!$G$30-Tulokset!$I$30),0,IF(Tulokset!$G$30=Tulokset!$I$30,IF(AND('6'!$I$31=Tulokset!$G$30,'6'!$K$31=Tulokset!$I$30),6,3),MAX(0,6-(ABS('6'!$I$31-Tulokset!$G$30)+ABS('6'!$K$31-Tulokset!$I$30))))))</f>
        <v/>
      </c>
      <c r="AG9" t="str">
        <f>IF(OR(Tulokset!$G$31="",Tulokset!$I$31="",'6'!$I$32="",'6'!$K$32=""),"",IF(SIGN('6'!$I$32-'6'!$K$32)&lt;&gt;SIGN(Tulokset!$G$31-Tulokset!$I$31),0,IF(Tulokset!$G$31=Tulokset!$I$31,IF(AND('6'!$I$32=Tulokset!$G$31,'6'!$K$32=Tulokset!$I$31),6,3),MAX(0,6-(ABS('6'!$I$32-Tulokset!$G$31)+ABS('6'!$K$32-Tulokset!$I$31))))))</f>
        <v/>
      </c>
      <c r="AH9" t="str">
        <f>IF(OR(Tulokset!$G$32="",Tulokset!$I$32="",'6'!$I$33="",'6'!$K$33=""),"",IF(SIGN('6'!$I$33-'6'!$K$33)&lt;&gt;SIGN(Tulokset!$G$32-Tulokset!$I$32),0,IF(Tulokset!$G$32=Tulokset!$I$32,IF(AND('6'!$I$33=Tulokset!$G$32,'6'!$K$33=Tulokset!$I$32),6,3),MAX(0,6-(ABS('6'!$I$33-Tulokset!$G$32)+ABS('6'!$K$33-Tulokset!$I$32))))))</f>
        <v/>
      </c>
      <c r="AI9" t="str">
        <f>IF(OR(Tulokset!$G$33="",Tulokset!$I$33="",'6'!$I$34="",'6'!$K$34=""),"",IF(SIGN('6'!$I$34-'6'!$K$34)&lt;&gt;SIGN(Tulokset!$G$33-Tulokset!$I$33),0,IF(Tulokset!$G$33=Tulokset!$I$33,IF(AND('6'!$I$34=Tulokset!$G$33,'6'!$K$34=Tulokset!$I$33),6,3),MAX(0,6-(ABS('6'!$I$34-Tulokset!$G$33)+ABS('6'!$K$34-Tulokset!$I$33))))))</f>
        <v/>
      </c>
      <c r="AJ9" t="str">
        <f>IF(OR(Tulokset!$G$34="",Tulokset!$I$34="",'6'!$I$35="",'6'!$K$35=""),"",IF(SIGN('6'!$I$35-'6'!$K$35)&lt;&gt;SIGN(Tulokset!$G$34-Tulokset!$I$34),0,IF(Tulokset!$G$34=Tulokset!$I$34,IF(AND('6'!$I$35=Tulokset!$G$34,'6'!$K$35=Tulokset!$I$34),6,3),MAX(0,6-(ABS('6'!$I$35-Tulokset!$G$34)+ABS('6'!$K$35-Tulokset!$I$34))))))</f>
        <v/>
      </c>
      <c r="AK9" t="str">
        <f>IF(OR(Tulokset!$G$35="",Tulokset!$I$35="",'6'!$I$36="",'6'!$K$36=""),"",IF(SIGN('6'!$I$36-'6'!$K$36)&lt;&gt;SIGN(Tulokset!$G$35-Tulokset!$I$35),0,IF(Tulokset!$G$35=Tulokset!$I$35,IF(AND('6'!$I$36=Tulokset!$G$35,'6'!$K$36=Tulokset!$I$35),6,3),MAX(0,6-(ABS('6'!$I$36-Tulokset!$G$35)+ABS('6'!$K$36-Tulokset!$I$35))))))</f>
        <v/>
      </c>
      <c r="AL9" t="str">
        <f>IF(OR(Tulokset!$G$36="",Tulokset!$I$36="",'6'!$I$37="",'6'!$K$37=""),"",IF(SIGN('6'!$I$37-'6'!$K$37)&lt;&gt;SIGN(Tulokset!$G$36-Tulokset!$I$36),0,IF(Tulokset!$G$36=Tulokset!$I$36,IF(AND('6'!$I$37=Tulokset!$G$36,'6'!$K$37=Tulokset!$I$36),6,3),MAX(0,6-(ABS('6'!$I$37-Tulokset!$G$36)+ABS('6'!$K$37-Tulokset!$I$36))))))</f>
        <v/>
      </c>
      <c r="AM9" t="str">
        <f>IF(OR(Tulokset!$G$37="",Tulokset!$I$37="",'6'!$I$38="",'6'!$K$38=""),"",IF(SIGN('6'!$I$38-'6'!$K$38)&lt;&gt;SIGN(Tulokset!$G$37-Tulokset!$I$37),0,IF(Tulokset!$G$37=Tulokset!$I$37,IF(AND('6'!$I$38=Tulokset!$G$37,'6'!$K$38=Tulokset!$I$37),6,3),MAX(0,6-(ABS('6'!$I$38-Tulokset!$G$37)+ABS('6'!$K$38-Tulokset!$I$37))))))</f>
        <v/>
      </c>
      <c r="AN9" t="str">
        <f>IF(OR(Tulokset!$G$38="",Tulokset!$I$38="",'6'!$I$39="",'6'!$K$39=""),"",IF(SIGN('6'!$I$39-'6'!$K$39)&lt;&gt;SIGN(Tulokset!$G$38-Tulokset!$I$38),0,IF(Tulokset!$G$38=Tulokset!$I$38,IF(AND('6'!$I$39=Tulokset!$G$38,'6'!$K$39=Tulokset!$I$38),6,3),MAX(0,6-(ABS('6'!$I$39-Tulokset!$G$38)+ABS('6'!$K$39-Tulokset!$I$38))))))</f>
        <v/>
      </c>
      <c r="AO9" t="str">
        <f>IF(OR(Tulokset!$G$39="",Tulokset!$I$39="",'6'!$I$40="",'6'!$K$40=""),"",IF(SIGN('6'!$I$40-'6'!$K$40)&lt;&gt;SIGN(Tulokset!$G$39-Tulokset!$I$39),0,IF(Tulokset!$G$39=Tulokset!$I$39,IF(AND('6'!$I$40=Tulokset!$G$39,'6'!$K$40=Tulokset!$I$39),6,3),MAX(0,6-(ABS('6'!$I$40-Tulokset!$G$39)+ABS('6'!$K$40-Tulokset!$I$39))))))</f>
        <v/>
      </c>
      <c r="AP9" t="str">
        <f>IF(OR(Tulokset!$G$40="",Tulokset!$I$40="",'6'!$I$41="",'6'!$K$41=""),"",IF(SIGN('6'!$I$41-'6'!$K$41)&lt;&gt;SIGN(Tulokset!$G$40-Tulokset!$I$40),0,IF(Tulokset!$G$40=Tulokset!$I$40,IF(AND('6'!$I$41=Tulokset!$G$40,'6'!$K$41=Tulokset!$I$40),6,3),MAX(0,6-(ABS('6'!$I$41-Tulokset!$G$40)+ABS('6'!$K$41-Tulokset!$I$40))))))</f>
        <v/>
      </c>
      <c r="AQ9" t="str">
        <f>IF(OR(Tulokset!$G$41="",Tulokset!$I$41="",'6'!$I$42="",'6'!$K$42=""),"",IF(SIGN('6'!$I$42-'6'!$K$42)&lt;&gt;SIGN(Tulokset!$G$41-Tulokset!$I$41),0,IF(Tulokset!$G$41=Tulokset!$I$41,IF(AND('6'!$I$42=Tulokset!$G$41,'6'!$K$42=Tulokset!$I$41),6,3),MAX(0,6-(ABS('6'!$I$42-Tulokset!$G$41)+ABS('6'!$K$42-Tulokset!$I$41))))))</f>
        <v/>
      </c>
      <c r="AR9" t="str">
        <f>IF(OR(Tulokset!$G$42="",Tulokset!$I$42="",'6'!$I$43="",'6'!$K$43=""),"",IF(SIGN('6'!$I$43-'6'!$K$43)&lt;&gt;SIGN(Tulokset!$G$42-Tulokset!$I$42),0,IF(Tulokset!$G$42=Tulokset!$I$42,IF(AND('6'!$I$43=Tulokset!$G$42,'6'!$K$43=Tulokset!$I$42),6,3),MAX(0,6-(ABS('6'!$I$43-Tulokset!$G$42)+ABS('6'!$K$43-Tulokset!$I$42))))))</f>
        <v/>
      </c>
      <c r="AS9" t="str">
        <f>IF(OR(Tulokset!$G$43="",Tulokset!$I$43="",'6'!$I$44="",'6'!$K$44=""),"",IF(SIGN('6'!$I$44-'6'!$K$44)&lt;&gt;SIGN(Tulokset!$G$43-Tulokset!$I$43),0,IF(Tulokset!$G$43=Tulokset!$I$43,IF(AND('6'!$I$44=Tulokset!$G$43,'6'!$K$44=Tulokset!$I$43),6,3),MAX(0,6-(ABS('6'!$I$44-Tulokset!$G$43)+ABS('6'!$K$44-Tulokset!$I$43))))))</f>
        <v/>
      </c>
      <c r="AT9" t="str">
        <f>IF(OR(Tulokset!$G$44="",Tulokset!$I$44="",'6'!$I$45="",'6'!$K$45=""),"",IF(SIGN('6'!$I$45-'6'!$K$45)&lt;&gt;SIGN(Tulokset!$G$44-Tulokset!$I$44),0,IF(Tulokset!$G$44=Tulokset!$I$44,IF(AND('6'!$I$45=Tulokset!$G$44,'6'!$K$45=Tulokset!$I$44),6,3),MAX(0,6-(ABS('6'!$I$45-Tulokset!$G$44)+ABS('6'!$K$45-Tulokset!$I$44))))))</f>
        <v/>
      </c>
      <c r="AU9" t="str">
        <f>IF(OR(Tulokset!$G$45="",Tulokset!$I$45="",'6'!$I$46="",'6'!$K$46=""),"",IF(SIGN('6'!$I$46-'6'!$K$46)&lt;&gt;SIGN(Tulokset!$G$45-Tulokset!$I$45),0,IF(Tulokset!$G$45=Tulokset!$I$45,IF(AND('6'!$I$46=Tulokset!$G$45,'6'!$K$46=Tulokset!$I$45),6,3),MAX(0,6-(ABS('6'!$I$46-Tulokset!$G$45)+ABS('6'!$K$46-Tulokset!$I$45))))))</f>
        <v/>
      </c>
      <c r="AV9" t="str">
        <f>IF(OR(Tulokset!$G$46="",Tulokset!$I$46="",'6'!$I$47="",'6'!$K$47=""),"",IF(SIGN('6'!$I$47-'6'!$K$47)&lt;&gt;SIGN(Tulokset!$G$46-Tulokset!$I$46),0,IF(Tulokset!$G$46=Tulokset!$I$46,IF(AND('6'!$I$47=Tulokset!$G$46,'6'!$K$47=Tulokset!$I$46),6,3),MAX(0,6-(ABS('6'!$I$47-Tulokset!$G$46)+ABS('6'!$K$47-Tulokset!$I$46))))))</f>
        <v/>
      </c>
      <c r="AW9" t="str">
        <f>IF(OR(Tulokset!$G$47="",Tulokset!$I$47="",'6'!$I$48="",'6'!$K$48=""),"",IF(SIGN('6'!$I$48-'6'!$K$48)&lt;&gt;SIGN(Tulokset!$G$47-Tulokset!$I$47),0,IF(Tulokset!$G$47=Tulokset!$I$47,IF(AND('6'!$I$48=Tulokset!$G$47,'6'!$K$48=Tulokset!$I$47),6,3),MAX(0,6-(ABS('6'!$I$48-Tulokset!$G$47)+ABS('6'!$K$48-Tulokset!$I$47))))))</f>
        <v/>
      </c>
      <c r="AX9" t="str">
        <f>IF(OR(Tulokset!$G$48="",Tulokset!$I$48="",'6'!$I$49="",'6'!$K$49=""),"",IF(SIGN('6'!$I$49-'6'!$K$49)&lt;&gt;SIGN(Tulokset!$G$48-Tulokset!$I$48),0,IF(Tulokset!$G$48=Tulokset!$I$48,IF(AND('6'!$I$49=Tulokset!$G$48,'6'!$K$49=Tulokset!$I$48),6,3),MAX(0,6-(ABS('6'!$I$49-Tulokset!$G$48)+ABS('6'!$K$49-Tulokset!$I$48))))))</f>
        <v/>
      </c>
      <c r="AY9" t="str">
        <f>IF(OR(Tulokset!$G$49="",Tulokset!$I$49="",'6'!$I$50="",'6'!$K$50=""),"",IF(SIGN('6'!$I$50-'6'!$K$50)&lt;&gt;SIGN(Tulokset!$G$49-Tulokset!$I$49),0,IF(Tulokset!$G$49=Tulokset!$I$49,IF(AND('6'!$I$50=Tulokset!$G$49,'6'!$K$50=Tulokset!$I$49),6,3),MAX(0,6-(ABS('6'!$I$50-Tulokset!$G$49)+ABS('6'!$K$50-Tulokset!$I$49))))))</f>
        <v/>
      </c>
      <c r="AZ9" t="str">
        <f>IF(OR(Tulokset!$G$50="",Tulokset!$I$50="",'6'!$I$51="",'6'!$K$51=""),"",IF(SIGN('6'!$I$51-'6'!$K$51)&lt;&gt;SIGN(Tulokset!$G$50-Tulokset!$I$50),0,IF(Tulokset!$G$50=Tulokset!$I$50,IF(AND('6'!$I$51=Tulokset!$G$50,'6'!$K$51=Tulokset!$I$50),6,3),MAX(0,6-(ABS('6'!$I$51-Tulokset!$G$50)+ABS('6'!$K$51-Tulokset!$I$50))))))</f>
        <v/>
      </c>
      <c r="BA9" t="str">
        <f>IF(OR(Tulokset!$G$51="",Tulokset!$I$51="",'6'!$I$52="",'6'!$K$52=""),"",IF(SIGN('6'!$I$52-'6'!$K$52)&lt;&gt;SIGN(Tulokset!$G$51-Tulokset!$I$51),0,IF(Tulokset!$G$51=Tulokset!$I$51,IF(AND('6'!$I$52=Tulokset!$G$51,'6'!$K$52=Tulokset!$I$51),6,3),MAX(0,6-(ABS('6'!$I$52-Tulokset!$G$51)+ABS('6'!$K$52-Tulokset!$I$51))))))</f>
        <v/>
      </c>
      <c r="BB9" t="str">
        <f>IF(OR(Tulokset!$G$52="",Tulokset!$I$52="",'6'!$I$53="",'6'!$K$53=""),"",IF(SIGN('6'!$I$53-'6'!$K$53)&lt;&gt;SIGN(Tulokset!$G$52-Tulokset!$I$52),0,IF(Tulokset!$G$52=Tulokset!$I$52,IF(AND('6'!$I$53=Tulokset!$G$52,'6'!$K$53=Tulokset!$I$52),6,3),MAX(0,6-(ABS('6'!$I$53-Tulokset!$G$52)+ABS('6'!$K$53-Tulokset!$I$52))))))</f>
        <v/>
      </c>
      <c r="BC9" t="str">
        <f>IF(OR(Tulokset!$G$53="",Tulokset!$I$53="",'6'!$I$54="",'6'!$K$54=""),"",IF(SIGN('6'!$I$54-'6'!$K$54)&lt;&gt;SIGN(Tulokset!$G$53-Tulokset!$I$53),0,IF(Tulokset!$G$53=Tulokset!$I$53,IF(AND('6'!$I$54=Tulokset!$G$53,'6'!$K$54=Tulokset!$I$53),6,3),MAX(0,6-(ABS('6'!$I$54-Tulokset!$G$53)+ABS('6'!$K$54-Tulokset!$I$53))))))</f>
        <v/>
      </c>
      <c r="BD9" t="str">
        <f>IF(OR(Tulokset!$G$54="",Tulokset!$I$54="",'6'!$I$55="",'6'!$K$55=""),"",IF(SIGN('6'!$I$55-'6'!$K$55)&lt;&gt;SIGN(Tulokset!$G$54-Tulokset!$I$54),0,IF(Tulokset!$G$54=Tulokset!$I$54,IF(AND('6'!$I$55=Tulokset!$G$54,'6'!$K$55=Tulokset!$I$54),6,3),MAX(0,6-(ABS('6'!$I$55-Tulokset!$G$54)+ABS('6'!$K$55-Tulokset!$I$54))))))</f>
        <v/>
      </c>
      <c r="BE9" t="str">
        <f>IF(OR(Tulokset!$G$55="",Tulokset!$I$55="",'6'!$I$56="",'6'!$K$56=""),"",IF(SIGN('6'!$I$56-'6'!$K$56)&lt;&gt;SIGN(Tulokset!$G$55-Tulokset!$I$55),0,IF(Tulokset!$G$55=Tulokset!$I$55,IF(AND('6'!$I$56=Tulokset!$G$55,'6'!$K$56=Tulokset!$I$55),6,3),MAX(0,6-(ABS('6'!$I$56-Tulokset!$G$55)+ABS('6'!$K$56-Tulokset!$I$55))))))</f>
        <v/>
      </c>
      <c r="BF9" t="str">
        <f>IF(OR(Tulokset!$G$56="",Tulokset!$I$56="",'6'!$I$57="",'6'!$K$57=""),"",IF(SIGN('6'!$I$57-'6'!$K$57)&lt;&gt;SIGN(Tulokset!$G$56-Tulokset!$I$56),0,IF(Tulokset!$G$56=Tulokset!$I$56,IF(AND('6'!$I$57=Tulokset!$G$56,'6'!$K$57=Tulokset!$I$56),6,3),MAX(0,6-(ABS('6'!$I$57-Tulokset!$G$56)+ABS('6'!$K$57-Tulokset!$I$56))))))</f>
        <v/>
      </c>
      <c r="BG9" t="str">
        <f>IF(OR(Tulokset!$G$57="",Tulokset!$I$57="",'6'!$I$58="",'6'!$K$58=""),"",IF(SIGN('6'!$I$58-'6'!$K$58)&lt;&gt;SIGN(Tulokset!$G$57-Tulokset!$I$57),0,IF(Tulokset!$G$57=Tulokset!$I$57,IF(AND('6'!$I$58=Tulokset!$G$57,'6'!$K$58=Tulokset!$I$57),6,3),MAX(0,6-(ABS('6'!$I$58-Tulokset!$G$57)+ABS('6'!$K$58-Tulokset!$I$57))))))</f>
        <v/>
      </c>
      <c r="BH9" t="str">
        <f>IF(OR(Tulokset!$G$58="",Tulokset!$I$58="",'6'!$I$59="",'6'!$K$59=""),"",IF(SIGN('6'!$I$59-'6'!$K$59)&lt;&gt;SIGN(Tulokset!$G$58-Tulokset!$I$58),0,IF(Tulokset!$G$58=Tulokset!$I$58,IF(AND('6'!$I$59=Tulokset!$G$58,'6'!$K$59=Tulokset!$I$58),6,3),MAX(0,6-(ABS('6'!$I$59-Tulokset!$G$58)+ABS('6'!$K$59-Tulokset!$I$58))))))</f>
        <v/>
      </c>
      <c r="BI9" t="str">
        <f>IF(OR(Tulokset!$G$59="",Tulokset!$I$59="",'6'!$I$60="",'6'!$K$60=""),"",IF(SIGN('6'!$I$60-'6'!$K$60)&lt;&gt;SIGN(Tulokset!$G$59-Tulokset!$I$59),0,IF(Tulokset!$G$59=Tulokset!$I$59,IF(AND('6'!$I$60=Tulokset!$G$59,'6'!$K$60=Tulokset!$I$59),6,3),MAX(0,6-(ABS('6'!$I$60-Tulokset!$G$59)+ABS('6'!$K$60-Tulokset!$I$59))))))</f>
        <v/>
      </c>
      <c r="BJ9" t="str">
        <f>IF(OR(Tulokset!$G$60="",Tulokset!$I$60="",'6'!$I$61="",'6'!$K$61=""),"",IF(SIGN('6'!$I$61-'6'!$K$61)&lt;&gt;SIGN(Tulokset!$G$60-Tulokset!$I$60),0,IF(Tulokset!$G$60=Tulokset!$I$60,IF(AND('6'!$I$61=Tulokset!$G$60,'6'!$K$61=Tulokset!$I$60),6,3),MAX(0,6-(ABS('6'!$I$61-Tulokset!$G$60)+ABS('6'!$K$61-Tulokset!$I$60))))))</f>
        <v/>
      </c>
      <c r="BK9" t="str">
        <f>IF(OR(Tulokset!$G$61="",Tulokset!$I$61="",'6'!$I$62="",'6'!$K$62=""),"",IF(SIGN('6'!$I$62-'6'!$K$62)&lt;&gt;SIGN(Tulokset!$G$61-Tulokset!$I$61),0,IF(Tulokset!$G$61=Tulokset!$I$61,IF(AND('6'!$I$62=Tulokset!$G$61,'6'!$K$62=Tulokset!$I$61),6,3),MAX(0,6-(ABS('6'!$I$62-Tulokset!$G$61)+ABS('6'!$K$62-Tulokset!$I$61))))))</f>
        <v/>
      </c>
      <c r="BL9" t="str">
        <f>IF(OR(Tulokset!$G$62="",Tulokset!$I$62="",'6'!$I$63="",'6'!$K$63=""),"",IF(SIGN('6'!$I$63-'6'!$K$63)&lt;&gt;SIGN(Tulokset!$G$62-Tulokset!$I$62),0,IF(Tulokset!$G$62=Tulokset!$I$62,IF(AND('6'!$I$63=Tulokset!$G$62,'6'!$K$63=Tulokset!$I$62),6,3),MAX(0,6-(ABS('6'!$I$63-Tulokset!$G$62)+ABS('6'!$K$63-Tulokset!$I$62))))))</f>
        <v/>
      </c>
      <c r="BM9" t="str">
        <f>IF(OR(Tulokset!$G$63="",Tulokset!$I$63="",'6'!$I$64="",'6'!$K$64=""),"",IF(SIGN('6'!$I$64-'6'!$K$64)&lt;&gt;SIGN(Tulokset!$G$63-Tulokset!$I$63),0,IF(Tulokset!$G$63=Tulokset!$I$63,IF(AND('6'!$I$64=Tulokset!$G$63,'6'!$K$64=Tulokset!$I$63),6,3),MAX(0,6-(ABS('6'!$I$64-Tulokset!$G$63)+ABS('6'!$K$64-Tulokset!$I$63))))))</f>
        <v/>
      </c>
      <c r="BN9" t="str">
        <f>IF(OR(Tulokset!$G$64="",Tulokset!$I$64="",'6'!$I$65="",'6'!$K$65=""),"",IF(SIGN('6'!$I$65-'6'!$K$65)&lt;&gt;SIGN(Tulokset!$G$64-Tulokset!$I$64),0,IF(Tulokset!$G$64=Tulokset!$I$64,IF(AND('6'!$I$65=Tulokset!$G$64,'6'!$K$65=Tulokset!$I$64),6,3),MAX(0,6-(ABS('6'!$I$65-Tulokset!$G$64)+ABS('6'!$K$65-Tulokset!$I$64))))))</f>
        <v/>
      </c>
      <c r="BO9" t="str">
        <f>IF(OR(Tulokset!$G$65="",Tulokset!$I$65="",'6'!$I$66="",'6'!$K$66=""),"",IF(SIGN('6'!$I$66-'6'!$K$66)&lt;&gt;SIGN(Tulokset!$G$65-Tulokset!$I$65),0,IF(Tulokset!$G$65=Tulokset!$I$65,IF(AND('6'!$I$66=Tulokset!$G$65,'6'!$K$66=Tulokset!$I$65),6,3),MAX(0,6-(ABS('6'!$I$66-Tulokset!$G$65)+ABS('6'!$K$66-Tulokset!$I$65))))))</f>
        <v/>
      </c>
      <c r="BP9" t="str">
        <f>IF(OR(Tulokset!$G$66="",Tulokset!$I$66="",'6'!$I$67="",'6'!$K$67=""),"",IF(SIGN('6'!$I$67-'6'!$K$67)&lt;&gt;SIGN(Tulokset!$G$66-Tulokset!$I$66),0,IF(Tulokset!$G$66=Tulokset!$I$66,IF(AND('6'!$I$67=Tulokset!$G$66,'6'!$K$67=Tulokset!$I$66),6,3),MAX(0,6-(ABS('6'!$I$67-Tulokset!$G$66)+ABS('6'!$K$67-Tulokset!$I$66))))))</f>
        <v/>
      </c>
      <c r="BQ9" t="str">
        <f>IF(OR(Tulokset!$G$67="",Tulokset!$I$67="",'6'!$I$68="",'6'!$K$68=""),"",IF(SIGN('6'!$I$68-'6'!$K$68)&lt;&gt;SIGN(Tulokset!$G$67-Tulokset!$I$67),0,IF(Tulokset!$G$67=Tulokset!$I$67,IF(AND('6'!$I$68=Tulokset!$G$67,'6'!$K$68=Tulokset!$I$67),6,3),MAX(0,6-(ABS('6'!$I$68-Tulokset!$G$67)+ABS('6'!$K$68-Tulokset!$I$67))))))</f>
        <v/>
      </c>
      <c r="BR9" t="str">
        <f>IF(OR(Tulokset!$G$68="",Tulokset!$I$68="",'6'!$I$69="",'6'!$K$69=""),"",IF(SIGN('6'!$I$69-'6'!$K$69)&lt;&gt;SIGN(Tulokset!$G$68-Tulokset!$I$68),0,IF(Tulokset!$G$68=Tulokset!$I$68,IF(AND('6'!$I$69=Tulokset!$G$68,'6'!$K$69=Tulokset!$I$68),6,3),MAX(0,6-(ABS('6'!$I$69-Tulokset!$G$68)+ABS('6'!$K$69-Tulokset!$I$68))))))</f>
        <v/>
      </c>
      <c r="BS9" t="str">
        <f>IF(OR(Tulokset!$G$69="",Tulokset!$I$69="",'6'!$I$70="",'6'!$K$70=""),"",IF(SIGN('6'!$I$70-'6'!$K$70)&lt;&gt;SIGN(Tulokset!$G$69-Tulokset!$I$69),0,IF(Tulokset!$G$69=Tulokset!$I$69,IF(AND('6'!$I$70=Tulokset!$G$69,'6'!$K$70=Tulokset!$I$69),6,3),MAX(0,6-(ABS('6'!$I$70-Tulokset!$G$69)+ABS('6'!$K$70-Tulokset!$I$69))))))</f>
        <v/>
      </c>
      <c r="BT9" t="str">
        <f>IF(OR(Tulokset!$G$70="",Tulokset!$I$70="",'6'!$I$71="",'6'!$K$71=""),"",IF(SIGN('6'!$I$71-'6'!$K$71)&lt;&gt;SIGN(Tulokset!$G$70-Tulokset!$I$70),0,IF(Tulokset!$G$70=Tulokset!$I$70,IF(AND('6'!$I$71=Tulokset!$G$70,'6'!$K$71=Tulokset!$I$70),6,3),MAX(0,6-(ABS('6'!$I$71-Tulokset!$G$70)+ABS('6'!$K$71-Tulokset!$I$70))))))</f>
        <v/>
      </c>
      <c r="BU9" t="str">
        <f>IF(OR(Tulokset!$G$71="",Tulokset!$I$71="",'6'!$I$72="",'6'!$K$72=""),"",IF(SIGN('6'!$I$72-'6'!$K$72)&lt;&gt;SIGN(Tulokset!$G$71-Tulokset!$I$71),0,IF(Tulokset!$G$71=Tulokset!$I$71,IF(AND('6'!$I$72=Tulokset!$G$71,'6'!$K$72=Tulokset!$I$71),6,3),MAX(0,6-(ABS('6'!$I$72-Tulokset!$G$71)+ABS('6'!$K$72-Tulokset!$I$71))))))</f>
        <v/>
      </c>
      <c r="BV9" t="str">
        <f>IF(OR(Tulokset!$G$72="",Tulokset!$I$72="",'6'!$I$73="",'6'!$K$73=""),"",IF(SIGN('6'!$I$73-'6'!$K$73)&lt;&gt;SIGN(Tulokset!$G$72-Tulokset!$I$72),0,IF(Tulokset!$G$72=Tulokset!$I$72,IF(AND('6'!$I$73=Tulokset!$G$72,'6'!$K$73=Tulokset!$I$72),6,3),MAX(0,6-(ABS('6'!$I$73-Tulokset!$G$72)+ABS('6'!$K$73-Tulokset!$I$72))))))</f>
        <v/>
      </c>
      <c r="BW9" t="str">
        <f>IF(OR(Tulokset!$G$73="",Tulokset!$I$73="",'6'!$I$74="",'6'!$K$74=""),"",IF(SIGN('6'!$I$74-'6'!$K$74)&lt;&gt;SIGN(Tulokset!$G$73-Tulokset!$I$73),0,IF(Tulokset!$G$73=Tulokset!$I$73,IF(AND('6'!$I$74=Tulokset!$G$73,'6'!$K$74=Tulokset!$I$73),6,3),MAX(0,6-(ABS('6'!$I$74-Tulokset!$G$73)+ABS('6'!$K$74-Tulokset!$I$73))))))</f>
        <v/>
      </c>
      <c r="BX9" t="str">
        <f>IF(OR(Tulokset!$G$74="",Tulokset!$I$74="",'6'!$I$75="",'6'!$K$75=""),"",IF(SIGN('6'!$I$75-'6'!$K$75)&lt;&gt;SIGN(Tulokset!$G$74-Tulokset!$I$74),0,IF(Tulokset!$G$74=Tulokset!$I$74,IF(AND('6'!$I$75=Tulokset!$G$74,'6'!$K$75=Tulokset!$I$74),6,3),MAX(0,6-(ABS('6'!$I$75-Tulokset!$G$74)+ABS('6'!$K$75-Tulokset!$I$74))))))</f>
        <v/>
      </c>
      <c r="BY9" t="str">
        <f>IF(OR(Tulokset!$G$75="",Tulokset!$I$75="",'6'!$I$76="",'6'!$K$76=""),"",IF(SIGN('6'!$I$76-'6'!$K$76)&lt;&gt;SIGN(Tulokset!$G$75-Tulokset!$I$75),0,IF(Tulokset!$G$75=Tulokset!$I$75,IF(AND('6'!$I$76=Tulokset!$G$75,'6'!$K$76=Tulokset!$I$75),6,3),MAX(0,6-(ABS('6'!$I$76-Tulokset!$G$75)+ABS('6'!$K$76-Tulokset!$I$75))))))</f>
        <v/>
      </c>
      <c r="BZ9" t="str">
        <f>IF(OR(Tulokset!$G$76="",Tulokset!$I$76="",'6'!$I$77="",'6'!$K$77=""),"",IF(SIGN('6'!$I$77-'6'!$K$77)&lt;&gt;SIGN(Tulokset!$G$76-Tulokset!$I$76),0,IF(Tulokset!$G$76=Tulokset!$I$76,IF(AND('6'!$I$77=Tulokset!$G$76,'6'!$K$77=Tulokset!$I$76),6,3),MAX(0,6-(ABS('6'!$I$77-Tulokset!$G$76)+ABS('6'!$K$77-Tulokset!$I$76))))))</f>
        <v/>
      </c>
      <c r="CA9" t="str">
        <f>IF(OR(Tulokset!$G$77="",Tulokset!$I$77="",'6'!$I$78="",'6'!$K$78=""),"",IF(SIGN('6'!$I$78-'6'!$K$78)&lt;&gt;SIGN(Tulokset!$G$77-Tulokset!$I$77),0,IF(Tulokset!$G$77=Tulokset!$I$77,IF(AND('6'!$I$78=Tulokset!$G$77,'6'!$K$78=Tulokset!$I$77),6,3),MAX(0,6-(ABS('6'!$I$78-Tulokset!$G$77)+ABS('6'!$K$78-Tulokset!$I$77))))))</f>
        <v/>
      </c>
      <c r="CD9" t="str">
        <f ca="1">IF(OR(Tulokset!$M$6="",INDIRECT("'"&amp;$A9&amp;"'!$P$8")=""),"",IF(TRIM(INDIRECT("'"&amp;$A9&amp;"'!$P$8"))=TRIM(Tulokset!$M$6),2,0))</f>
        <v/>
      </c>
      <c r="CE9" t="str">
        <f ca="1">IF(OR(Tulokset!$M$7="",INDIRECT("'"&amp;$A9&amp;"'!$P$9")=""),"",IF(TRIM(INDIRECT("'"&amp;$A9&amp;"'!$P$9"))=TRIM(Tulokset!$M$7),2,0))</f>
        <v/>
      </c>
      <c r="CF9" t="str">
        <f ca="1">IF(OR(Tulokset!$M$8="",INDIRECT("'"&amp;$A9&amp;"'!$P$10")=""),"",IF(TRIM(INDIRECT("'"&amp;$A9&amp;"'!$P$10"))=TRIM(Tulokset!$M$8),2,0))</f>
        <v/>
      </c>
      <c r="CG9" t="str">
        <f ca="1">IF(OR(Tulokset!$M$9="",INDIRECT("'"&amp;$A9&amp;"'!$P$11")=""),"",IF(TRIM(INDIRECT("'"&amp;$A9&amp;"'!$P$11"))=TRIM(Tulokset!$M$9),2,0))</f>
        <v/>
      </c>
      <c r="CH9" t="str">
        <f ca="1">IF(OR(Tulokset!$N$6="",INDIRECT("'"&amp;$A9&amp;"'!$Q$8")=""),"",IF(TRIM(INDIRECT("'"&amp;$A9&amp;"'!$Q$8"))=TRIM(Tulokset!$N$6),2,0))</f>
        <v/>
      </c>
      <c r="CI9" t="str">
        <f ca="1">IF(OR(Tulokset!$N$7="",INDIRECT("'"&amp;$A9&amp;"'!$Q$9")=""),"",IF(TRIM(INDIRECT("'"&amp;$A9&amp;"'!$Q$9"))=TRIM(Tulokset!$N$7),2,0))</f>
        <v/>
      </c>
      <c r="CJ9" t="str">
        <f ca="1">IF(OR(Tulokset!$N$8="",INDIRECT("'"&amp;$A9&amp;"'!$Q$10")=""),"",IF(TRIM(INDIRECT("'"&amp;$A9&amp;"'!$Q$10"))=TRIM(Tulokset!$N$8),2,0))</f>
        <v/>
      </c>
      <c r="CK9" t="str">
        <f ca="1">IF(OR(Tulokset!$N$9="",INDIRECT("'"&amp;$A9&amp;"'!$Q$11")=""),"",IF(TRIM(INDIRECT("'"&amp;$A9&amp;"'!$Q$11"))=TRIM(Tulokset!$N$9),2,0))</f>
        <v/>
      </c>
      <c r="CL9" t="str">
        <f ca="1">IF(OR(Tulokset!$O$6="",INDIRECT("'"&amp;$A9&amp;"'!$R$8")=""),"",IF(TRIM(INDIRECT("'"&amp;$A9&amp;"'!$R$8"))=TRIM(Tulokset!$O$6),2,0))</f>
        <v/>
      </c>
      <c r="CM9" t="str">
        <f ca="1">IF(OR(Tulokset!$O$7="",INDIRECT("'"&amp;$A9&amp;"'!$R$9")=""),"",IF(TRIM(INDIRECT("'"&amp;$A9&amp;"'!$R$9"))=TRIM(Tulokset!$O$7),2,0))</f>
        <v/>
      </c>
      <c r="CN9" t="str">
        <f ca="1">IF(OR(Tulokset!$O$8="",INDIRECT("'"&amp;$A9&amp;"'!$R$10")=""),"",IF(TRIM(INDIRECT("'"&amp;$A9&amp;"'!$R$10"))=TRIM(Tulokset!$O$8),2,0))</f>
        <v/>
      </c>
      <c r="CO9" t="str">
        <f ca="1">IF(OR(Tulokset!$O$9="",INDIRECT("'"&amp;$A9&amp;"'!$R$11")=""),"",IF(TRIM(INDIRECT("'"&amp;$A9&amp;"'!$R$11"))=TRIM(Tulokset!$O$9),2,0))</f>
        <v/>
      </c>
      <c r="CP9" t="str">
        <f ca="1">IF(OR(Tulokset!$P$6="",INDIRECT("'"&amp;$A9&amp;"'!$S$8")=""),"",IF(TRIM(INDIRECT("'"&amp;$A9&amp;"'!$S$8"))=TRIM(Tulokset!$P$6),2,0))</f>
        <v/>
      </c>
      <c r="CQ9" t="str">
        <f ca="1">IF(OR(Tulokset!$P$7="",INDIRECT("'"&amp;$A9&amp;"'!$S$9")=""),"",IF(TRIM(INDIRECT("'"&amp;$A9&amp;"'!$S$9"))=TRIM(Tulokset!$P$7),2,0))</f>
        <v/>
      </c>
      <c r="CR9" t="str">
        <f ca="1">IF(OR(Tulokset!$P$8="",INDIRECT("'"&amp;$A9&amp;"'!$S$10")=""),"",IF(TRIM(INDIRECT("'"&amp;$A9&amp;"'!$S$10"))=TRIM(Tulokset!$P$8),2,0))</f>
        <v/>
      </c>
      <c r="CS9" t="str">
        <f ca="1">IF(OR(Tulokset!$P$9="",INDIRECT("'"&amp;$A9&amp;"'!$S$11")=""),"",IF(TRIM(INDIRECT("'"&amp;$A9&amp;"'!$S$11"))=TRIM(Tulokset!$P$9),2,0))</f>
        <v/>
      </c>
      <c r="CT9" t="str">
        <f ca="1">IF(OR(Tulokset!$Q$6="",INDIRECT("'"&amp;$A9&amp;"'!$T$8")=""),"",IF(TRIM(INDIRECT("'"&amp;$A9&amp;"'!$T$8"))=TRIM(Tulokset!$Q$6),2,0))</f>
        <v/>
      </c>
      <c r="CU9" t="str">
        <f ca="1">IF(OR(Tulokset!$Q$7="",INDIRECT("'"&amp;$A9&amp;"'!$T$9")=""),"",IF(TRIM(INDIRECT("'"&amp;$A9&amp;"'!$T$9"))=TRIM(Tulokset!$Q$7),2,0))</f>
        <v/>
      </c>
      <c r="CV9" t="str">
        <f ca="1">IF(OR(Tulokset!$Q$8="",INDIRECT("'"&amp;$A9&amp;"'!$T$10")=""),"",IF(TRIM(INDIRECT("'"&amp;$A9&amp;"'!$T$10"))=TRIM(Tulokset!$Q$8),2,0))</f>
        <v/>
      </c>
      <c r="CW9" t="str">
        <f ca="1">IF(OR(Tulokset!$Q$9="",INDIRECT("'"&amp;$A9&amp;"'!$T$11")=""),"",IF(TRIM(INDIRECT("'"&amp;$A9&amp;"'!$T$11"))=TRIM(Tulokset!$Q$9),2,0))</f>
        <v/>
      </c>
      <c r="CX9" t="str">
        <f ca="1">IF(OR(Tulokset!$R$6="",INDIRECT("'"&amp;$A9&amp;"'!$U$8")=""),"",IF(TRIM(INDIRECT("'"&amp;$A9&amp;"'!$U$8"))=TRIM(Tulokset!$R$6),2,0))</f>
        <v/>
      </c>
      <c r="CY9" t="str">
        <f ca="1">IF(OR(Tulokset!$R$7="",INDIRECT("'"&amp;$A9&amp;"'!$U$9")=""),"",IF(TRIM(INDIRECT("'"&amp;$A9&amp;"'!$U$9"))=TRIM(Tulokset!$R$7),2,0))</f>
        <v/>
      </c>
      <c r="CZ9" t="str">
        <f ca="1">IF(OR(Tulokset!$R$8="",INDIRECT("'"&amp;$A9&amp;"'!$U$10")=""),"",IF(TRIM(INDIRECT("'"&amp;$A9&amp;"'!$U$10"))=TRIM(Tulokset!$R$8),2,0))</f>
        <v/>
      </c>
      <c r="DA9" t="str">
        <f ca="1">IF(OR(Tulokset!$R$9="",INDIRECT("'"&amp;$A9&amp;"'!$U$11")=""),"",IF(TRIM(INDIRECT("'"&amp;$A9&amp;"'!$U$11"))=TRIM(Tulokset!$R$9),2,0))</f>
        <v/>
      </c>
      <c r="DB9" t="str">
        <f ca="1">IF(OR(Tulokset!$M$12="",INDIRECT("'"&amp;$A9&amp;"'!$P$14")=""),"",IF(TRIM(INDIRECT("'"&amp;$A9&amp;"'!$P$14"))=TRIM(Tulokset!$M$12),2,0))</f>
        <v/>
      </c>
      <c r="DC9" t="str">
        <f ca="1">IF(OR(Tulokset!$M$13="",INDIRECT("'"&amp;$A9&amp;"'!$P$15")=""),"",IF(TRIM(INDIRECT("'"&amp;$A9&amp;"'!$P$15"))=TRIM(Tulokset!$M$13),2,0))</f>
        <v/>
      </c>
      <c r="DD9" t="str">
        <f ca="1">IF(OR(Tulokset!$M$14="",INDIRECT("'"&amp;$A9&amp;"'!$P$16")=""),"",IF(TRIM(INDIRECT("'"&amp;$A9&amp;"'!$P$16"))=TRIM(Tulokset!$M$14),2,0))</f>
        <v/>
      </c>
      <c r="DE9" t="str">
        <f ca="1">IF(OR(Tulokset!$M$15="",INDIRECT("'"&amp;$A9&amp;"'!$P$17")=""),"",IF(TRIM(INDIRECT("'"&amp;$A9&amp;"'!$P$17"))=TRIM(Tulokset!$M$15),2,0))</f>
        <v/>
      </c>
      <c r="DF9" t="str">
        <f ca="1">IF(OR(Tulokset!$N$12="",INDIRECT("'"&amp;$A9&amp;"'!$Q$14")=""),"",IF(TRIM(INDIRECT("'"&amp;$A9&amp;"'!$Q$14"))=TRIM(Tulokset!$N$12),2,0))</f>
        <v/>
      </c>
      <c r="DG9" t="str">
        <f ca="1">IF(OR(Tulokset!$N$13="",INDIRECT("'"&amp;$A9&amp;"'!$Q$15")=""),"",IF(TRIM(INDIRECT("'"&amp;$A9&amp;"'!$Q$15"))=TRIM(Tulokset!$N$13),2,0))</f>
        <v/>
      </c>
      <c r="DH9" t="str">
        <f ca="1">IF(OR(Tulokset!$N$14="",INDIRECT("'"&amp;$A9&amp;"'!$Q$16")=""),"",IF(TRIM(INDIRECT("'"&amp;$A9&amp;"'!$Q$16"))=TRIM(Tulokset!$N$14),2,0))</f>
        <v/>
      </c>
      <c r="DI9" t="str">
        <f ca="1">IF(OR(Tulokset!$N$15="",INDIRECT("'"&amp;$A9&amp;"'!$Q$17")=""),"",IF(TRIM(INDIRECT("'"&amp;$A9&amp;"'!$Q$17"))=TRIM(Tulokset!$N$15),2,0))</f>
        <v/>
      </c>
      <c r="DJ9" t="str">
        <f ca="1">IF(OR(Tulokset!$O$12="",INDIRECT("'"&amp;$A9&amp;"'!$R$14")=""),"",IF(TRIM(INDIRECT("'"&amp;$A9&amp;"'!$R$14"))=TRIM(Tulokset!$O$12),2,0))</f>
        <v/>
      </c>
      <c r="DK9" t="str">
        <f ca="1">IF(OR(Tulokset!$O$13="",INDIRECT("'"&amp;$A9&amp;"'!$R$15")=""),"",IF(TRIM(INDIRECT("'"&amp;$A9&amp;"'!$R$15"))=TRIM(Tulokset!$O$13),2,0))</f>
        <v/>
      </c>
      <c r="DL9" t="str">
        <f ca="1">IF(OR(Tulokset!$O$14="",INDIRECT("'"&amp;$A9&amp;"'!$R$16")=""),"",IF(TRIM(INDIRECT("'"&amp;$A9&amp;"'!$R$16"))=TRIM(Tulokset!$O$14),2,0))</f>
        <v/>
      </c>
      <c r="DM9" t="str">
        <f ca="1">IF(OR(Tulokset!$O$15="",INDIRECT("'"&amp;$A9&amp;"'!$R$17")=""),"",IF(TRIM(INDIRECT("'"&amp;$A9&amp;"'!$R$17"))=TRIM(Tulokset!$O$15),2,0))</f>
        <v/>
      </c>
      <c r="DN9" t="str">
        <f ca="1">IF(OR(Tulokset!$P$12="",INDIRECT("'"&amp;$A9&amp;"'!$S$14")=""),"",IF(TRIM(INDIRECT("'"&amp;$A9&amp;"'!$S$14"))=TRIM(Tulokset!$P$12),2,0))</f>
        <v/>
      </c>
      <c r="DO9" t="str">
        <f ca="1">IF(OR(Tulokset!$P$13="",INDIRECT("'"&amp;$A9&amp;"'!$S$15")=""),"",IF(TRIM(INDIRECT("'"&amp;$A9&amp;"'!$S$15"))=TRIM(Tulokset!$P$13),2,0))</f>
        <v/>
      </c>
      <c r="DP9" t="str">
        <f ca="1">IF(OR(Tulokset!$P$14="",INDIRECT("'"&amp;$A9&amp;"'!$S$16")=""),"",IF(TRIM(INDIRECT("'"&amp;$A9&amp;"'!$S$16"))=TRIM(Tulokset!$P$14),2,0))</f>
        <v/>
      </c>
      <c r="DQ9" t="str">
        <f ca="1">IF(OR(Tulokset!$P$15="",INDIRECT("'"&amp;$A9&amp;"'!$S$17")=""),"",IF(TRIM(INDIRECT("'"&amp;$A9&amp;"'!$S$17"))=TRIM(Tulokset!$P$15),2,0))</f>
        <v/>
      </c>
      <c r="DR9" t="str">
        <f ca="1">IF(OR(Tulokset!$Q$12="",INDIRECT("'"&amp;$A9&amp;"'!$T$14")=""),"",IF(TRIM(INDIRECT("'"&amp;$A9&amp;"'!$T$14"))=TRIM(Tulokset!$Q$12),2,0))</f>
        <v/>
      </c>
      <c r="DS9" t="str">
        <f ca="1">IF(OR(Tulokset!$Q$13="",INDIRECT("'"&amp;$A9&amp;"'!$T$15")=""),"",IF(TRIM(INDIRECT("'"&amp;$A9&amp;"'!$T$15"))=TRIM(Tulokset!$Q$13),2,0))</f>
        <v/>
      </c>
      <c r="DT9" t="str">
        <f ca="1">IF(OR(Tulokset!$Q$14="",INDIRECT("'"&amp;$A9&amp;"'!$T$16")=""),"",IF(TRIM(INDIRECT("'"&amp;$A9&amp;"'!$T$16"))=TRIM(Tulokset!$Q$14),2,0))</f>
        <v/>
      </c>
      <c r="DU9" t="str">
        <f ca="1">IF(OR(Tulokset!$Q$15="",INDIRECT("'"&amp;$A9&amp;"'!$T$17")=""),"",IF(TRIM(INDIRECT("'"&amp;$A9&amp;"'!$T$17"))=TRIM(Tulokset!$Q$15),2,0))</f>
        <v/>
      </c>
      <c r="DV9" t="str">
        <f ca="1">IF(OR(Tulokset!$R$12="",INDIRECT("'"&amp;$A9&amp;"'!$U$14")=""),"",IF(TRIM(INDIRECT("'"&amp;$A9&amp;"'!$U$14"))=TRIM(Tulokset!$R$12),2,0))</f>
        <v/>
      </c>
      <c r="DW9" t="str">
        <f ca="1">IF(OR(Tulokset!$R$13="",INDIRECT("'"&amp;$A9&amp;"'!$U$15")=""),"",IF(TRIM(INDIRECT("'"&amp;$A9&amp;"'!$U$15"))=TRIM(Tulokset!$R$13),2,0))</f>
        <v/>
      </c>
      <c r="DX9" t="str">
        <f ca="1">IF(OR(Tulokset!$R$14="",INDIRECT("'"&amp;$A9&amp;"'!$U$16")=""),"",IF(TRIM(INDIRECT("'"&amp;$A9&amp;"'!$U$16"))=TRIM(Tulokset!$R$14),2,0))</f>
        <v/>
      </c>
      <c r="DY9" t="str">
        <f ca="1">IF(OR(Tulokset!$R$15="",INDIRECT("'"&amp;$A9&amp;"'!$U$17")=""),"",IF(TRIM(INDIRECT("'"&amp;$A9&amp;"'!$U$17"))=TRIM(Tulokset!$R$15),2,0))</f>
        <v/>
      </c>
      <c r="EA9" t="str">
        <f ca="1">IF(OR(INDIRECT("'"&amp;$A9&amp;"'!$E$79")="",COUNTA(Tulokset!$M$20:$M$21)=0),"",IF(COUNTIF(Tulokset!$M$20:$M$21,INDIRECT("'"&amp;$A9&amp;"'!$E$79"))&gt;0,2,0))</f>
        <v/>
      </c>
      <c r="EB9" t="str">
        <f ca="1">IF(OR(INDIRECT("'"&amp;$A9&amp;"'!$G$79")="",COUNTA(Tulokset!$M$20:$M$21)=0),"",IF(COUNTIF(Tulokset!$M$20:$M$21,INDIRECT("'"&amp;$A9&amp;"'!$G$79"))&gt;0,2,0))</f>
        <v/>
      </c>
      <c r="EC9" t="str">
        <f ca="1">IF(OR(INDIRECT("'"&amp;$A9&amp;"'!$E$80")="",COUNTA(Tulokset!$M$23:$M$24)=0),"",IF(COUNTIF(Tulokset!$M$23:$M$24,INDIRECT("'"&amp;$A9&amp;"'!$E$80"))&gt;0,2,0))</f>
        <v/>
      </c>
      <c r="ED9" t="str">
        <f ca="1">IF(OR(INDIRECT("'"&amp;$A9&amp;"'!$G$80")="",COUNTA(Tulokset!$M$23:$M$24)=0),"",IF(COUNTIF(Tulokset!$M$23:$M$24,INDIRECT("'"&amp;$A9&amp;"'!$G$80"))&gt;0,2,0))</f>
        <v/>
      </c>
    </row>
    <row r="10" spans="1:134">
      <c r="A10" t="s">
        <v>302</v>
      </c>
      <c r="B10" t="str">
        <f t="shared" ca="1" si="0"/>
        <v>Pora</v>
      </c>
      <c r="C10" s="95">
        <f t="shared" si="1"/>
        <v>0</v>
      </c>
      <c r="D10" s="95">
        <f t="shared" ca="1" si="2"/>
        <v>0</v>
      </c>
      <c r="E10" s="95">
        <f t="shared" ca="1" si="3"/>
        <v>0</v>
      </c>
      <c r="F10" s="95">
        <f t="shared" ca="1" si="4"/>
        <v>0</v>
      </c>
      <c r="G10" s="95">
        <f t="shared" si="5"/>
        <v>0</v>
      </c>
      <c r="H10" t="str">
        <f>IF(OR(Tulokset!$G$6="",Tulokset!$I$6="",'7'!$I$7="",'7'!$K$7=""),"",IF(SIGN('7'!$I$7-'7'!$K$7)&lt;&gt;SIGN(Tulokset!$G$6-Tulokset!$I$6),0,IF(Tulokset!$G$6=Tulokset!$I$6,IF(AND('7'!$I$7=Tulokset!$G$6,'7'!$K$7=Tulokset!$I$6),6,3),MAX(0,6-(ABS('7'!$I$7-Tulokset!$G$6)+ABS('7'!$K$7-Tulokset!$I$6))))))</f>
        <v/>
      </c>
      <c r="I10" t="str">
        <f>IF(OR(Tulokset!$G$7="",Tulokset!$I$7="",'7'!$I$8="",'7'!$K$8=""),"",IF(SIGN('7'!$I$8-'7'!$K$8)&lt;&gt;SIGN(Tulokset!$G$7-Tulokset!$I$7),0,IF(Tulokset!$G$7=Tulokset!$I$7,IF(AND('7'!$I$8=Tulokset!$G$7,'7'!$K$8=Tulokset!$I$7),6,3),MAX(0,6-(ABS('7'!$I$8-Tulokset!$G$7)+ABS('7'!$K$8-Tulokset!$I$7))))))</f>
        <v/>
      </c>
      <c r="J10" t="str">
        <f>IF(OR(Tulokset!$G$8="",Tulokset!$I$8="",'7'!$I$9="",'7'!$K$9=""),"",IF(SIGN('7'!$I$9-'7'!$K$9)&lt;&gt;SIGN(Tulokset!$G$8-Tulokset!$I$8),0,IF(Tulokset!$G$8=Tulokset!$I$8,IF(AND('7'!$I$9=Tulokset!$G$8,'7'!$K$9=Tulokset!$I$8),6,3),MAX(0,6-(ABS('7'!$I$9-Tulokset!$G$8)+ABS('7'!$K$9-Tulokset!$I$8))))))</f>
        <v/>
      </c>
      <c r="K10" t="str">
        <f>IF(OR(Tulokset!$G$9="",Tulokset!$I$9="",'7'!$I$10="",'7'!$K$10=""),"",IF(SIGN('7'!$I$10-'7'!$K$10)&lt;&gt;SIGN(Tulokset!$G$9-Tulokset!$I$9),0,IF(Tulokset!$G$9=Tulokset!$I$9,IF(AND('7'!$I$10=Tulokset!$G$9,'7'!$K$10=Tulokset!$I$9),6,3),MAX(0,6-(ABS('7'!$I$10-Tulokset!$G$9)+ABS('7'!$K$10-Tulokset!$I$9))))))</f>
        <v/>
      </c>
      <c r="L10" t="str">
        <f>IF(OR(Tulokset!$G$10="",Tulokset!$I$10="",'7'!$I$11="",'7'!$K$11=""),"",IF(SIGN('7'!$I$11-'7'!$K$11)&lt;&gt;SIGN(Tulokset!$G$10-Tulokset!$I$10),0,IF(Tulokset!$G$10=Tulokset!$I$10,IF(AND('7'!$I$11=Tulokset!$G$10,'7'!$K$11=Tulokset!$I$10),6,3),MAX(0,6-(ABS('7'!$I$11-Tulokset!$G$10)+ABS('7'!$K$11-Tulokset!$I$10))))))</f>
        <v/>
      </c>
      <c r="M10" t="str">
        <f>IF(OR(Tulokset!$G$11="",Tulokset!$I$11="",'7'!$I$12="",'7'!$K$12=""),"",IF(SIGN('7'!$I$12-'7'!$K$12)&lt;&gt;SIGN(Tulokset!$G$11-Tulokset!$I$11),0,IF(Tulokset!$G$11=Tulokset!$I$11,IF(AND('7'!$I$12=Tulokset!$G$11,'7'!$K$12=Tulokset!$I$11),6,3),MAX(0,6-(ABS('7'!$I$12-Tulokset!$G$11)+ABS('7'!$K$12-Tulokset!$I$11))))))</f>
        <v/>
      </c>
      <c r="N10" t="str">
        <f>IF(OR(Tulokset!$G$12="",Tulokset!$I$12="",'7'!$I$13="",'7'!$K$13=""),"",IF(SIGN('7'!$I$13-'7'!$K$13)&lt;&gt;SIGN(Tulokset!$G$12-Tulokset!$I$12),0,IF(Tulokset!$G$12=Tulokset!$I$12,IF(AND('7'!$I$13=Tulokset!$G$12,'7'!$K$13=Tulokset!$I$12),6,3),MAX(0,6-(ABS('7'!$I$13-Tulokset!$G$12)+ABS('7'!$K$13-Tulokset!$I$12))))))</f>
        <v/>
      </c>
      <c r="O10" t="str">
        <f>IF(OR(Tulokset!$G$13="",Tulokset!$I$13="",'7'!$I$14="",'7'!$K$14=""),"",IF(SIGN('7'!$I$14-'7'!$K$14)&lt;&gt;SIGN(Tulokset!$G$13-Tulokset!$I$13),0,IF(Tulokset!$G$13=Tulokset!$I$13,IF(AND('7'!$I$14=Tulokset!$G$13,'7'!$K$14=Tulokset!$I$13),6,3),MAX(0,6-(ABS('7'!$I$14-Tulokset!$G$13)+ABS('7'!$K$14-Tulokset!$I$13))))))</f>
        <v/>
      </c>
      <c r="P10" t="str">
        <f>IF(OR(Tulokset!$G$14="",Tulokset!$I$14="",'7'!$I$15="",'7'!$K$15=""),"",IF(SIGN('7'!$I$15-'7'!$K$15)&lt;&gt;SIGN(Tulokset!$G$14-Tulokset!$I$14),0,IF(Tulokset!$G$14=Tulokset!$I$14,IF(AND('7'!$I$15=Tulokset!$G$14,'7'!$K$15=Tulokset!$I$14),6,3),MAX(0,6-(ABS('7'!$I$15-Tulokset!$G$14)+ABS('7'!$K$15-Tulokset!$I$14))))))</f>
        <v/>
      </c>
      <c r="Q10" t="str">
        <f>IF(OR(Tulokset!$G$15="",Tulokset!$I$15="",'7'!$I$16="",'7'!$K$16=""),"",IF(SIGN('7'!$I$16-'7'!$K$16)&lt;&gt;SIGN(Tulokset!$G$15-Tulokset!$I$15),0,IF(Tulokset!$G$15=Tulokset!$I$15,IF(AND('7'!$I$16=Tulokset!$G$15,'7'!$K$16=Tulokset!$I$15),6,3),MAX(0,6-(ABS('7'!$I$16-Tulokset!$G$15)+ABS('7'!$K$16-Tulokset!$I$15))))))</f>
        <v/>
      </c>
      <c r="R10" t="str">
        <f>IF(OR(Tulokset!$G$16="",Tulokset!$I$16="",'7'!$I$17="",'7'!$K$17=""),"",IF(SIGN('7'!$I$17-'7'!$K$17)&lt;&gt;SIGN(Tulokset!$G$16-Tulokset!$I$16),0,IF(Tulokset!$G$16=Tulokset!$I$16,IF(AND('7'!$I$17=Tulokset!$G$16,'7'!$K$17=Tulokset!$I$16),6,3),MAX(0,6-(ABS('7'!$I$17-Tulokset!$G$16)+ABS('7'!$K$17-Tulokset!$I$16))))))</f>
        <v/>
      </c>
      <c r="S10" t="str">
        <f>IF(OR(Tulokset!$G$17="",Tulokset!$I$17="",'7'!$I$18="",'7'!$K$18=""),"",IF(SIGN('7'!$I$18-'7'!$K$18)&lt;&gt;SIGN(Tulokset!$G$17-Tulokset!$I$17),0,IF(Tulokset!$G$17=Tulokset!$I$17,IF(AND('7'!$I$18=Tulokset!$G$17,'7'!$K$18=Tulokset!$I$17),6,3),MAX(0,6-(ABS('7'!$I$18-Tulokset!$G$17)+ABS('7'!$K$18-Tulokset!$I$17))))))</f>
        <v/>
      </c>
      <c r="T10" t="str">
        <f>IF(OR(Tulokset!$G$18="",Tulokset!$I$18="",'7'!$I$19="",'7'!$K$19=""),"",IF(SIGN('7'!$I$19-'7'!$K$19)&lt;&gt;SIGN(Tulokset!$G$18-Tulokset!$I$18),0,IF(Tulokset!$G$18=Tulokset!$I$18,IF(AND('7'!$I$19=Tulokset!$G$18,'7'!$K$19=Tulokset!$I$18),6,3),MAX(0,6-(ABS('7'!$I$19-Tulokset!$G$18)+ABS('7'!$K$19-Tulokset!$I$18))))))</f>
        <v/>
      </c>
      <c r="U10" t="str">
        <f>IF(OR(Tulokset!$G$19="",Tulokset!$I$19="",'7'!$I$20="",'7'!$K$20=""),"",IF(SIGN('7'!$I$20-'7'!$K$20)&lt;&gt;SIGN(Tulokset!$G$19-Tulokset!$I$19),0,IF(Tulokset!$G$19=Tulokset!$I$19,IF(AND('7'!$I$20=Tulokset!$G$19,'7'!$K$20=Tulokset!$I$19),6,3),MAX(0,6-(ABS('7'!$I$20-Tulokset!$G$19)+ABS('7'!$K$20-Tulokset!$I$19))))))</f>
        <v/>
      </c>
      <c r="V10" t="str">
        <f>IF(OR(Tulokset!$G$20="",Tulokset!$I$20="",'7'!$I$21="",'7'!$K$21=""),"",IF(SIGN('7'!$I$21-'7'!$K$21)&lt;&gt;SIGN(Tulokset!$G$20-Tulokset!$I$20),0,IF(Tulokset!$G$20=Tulokset!$I$20,IF(AND('7'!$I$21=Tulokset!$G$20,'7'!$K$21=Tulokset!$I$20),6,3),MAX(0,6-(ABS('7'!$I$21-Tulokset!$G$20)+ABS('7'!$K$21-Tulokset!$I$20))))))</f>
        <v/>
      </c>
      <c r="W10" t="str">
        <f>IF(OR(Tulokset!$G$21="",Tulokset!$I$21="",'7'!$I$22="",'7'!$K$22=""),"",IF(SIGN('7'!$I$22-'7'!$K$22)&lt;&gt;SIGN(Tulokset!$G$21-Tulokset!$I$21),0,IF(Tulokset!$G$21=Tulokset!$I$21,IF(AND('7'!$I$22=Tulokset!$G$21,'7'!$K$22=Tulokset!$I$21),6,3),MAX(0,6-(ABS('7'!$I$22-Tulokset!$G$21)+ABS('7'!$K$22-Tulokset!$I$21))))))</f>
        <v/>
      </c>
      <c r="X10" t="str">
        <f>IF(OR(Tulokset!$G$22="",Tulokset!$I$22="",'7'!$I$23="",'7'!$K$23=""),"",IF(SIGN('7'!$I$23-'7'!$K$23)&lt;&gt;SIGN(Tulokset!$G$22-Tulokset!$I$22),0,IF(Tulokset!$G$22=Tulokset!$I$22,IF(AND('7'!$I$23=Tulokset!$G$22,'7'!$K$23=Tulokset!$I$22),6,3),MAX(0,6-(ABS('7'!$I$23-Tulokset!$G$22)+ABS('7'!$K$23-Tulokset!$I$22))))))</f>
        <v/>
      </c>
      <c r="Y10" t="str">
        <f>IF(OR(Tulokset!$G$23="",Tulokset!$I$23="",'7'!$I$24="",'7'!$K$24=""),"",IF(SIGN('7'!$I$24-'7'!$K$24)&lt;&gt;SIGN(Tulokset!$G$23-Tulokset!$I$23),0,IF(Tulokset!$G$23=Tulokset!$I$23,IF(AND('7'!$I$24=Tulokset!$G$23,'7'!$K$24=Tulokset!$I$23),6,3),MAX(0,6-(ABS('7'!$I$24-Tulokset!$G$23)+ABS('7'!$K$24-Tulokset!$I$23))))))</f>
        <v/>
      </c>
      <c r="Z10" t="str">
        <f>IF(OR(Tulokset!$G$24="",Tulokset!$I$24="",'7'!$I$25="",'7'!$K$25=""),"",IF(SIGN('7'!$I$25-'7'!$K$25)&lt;&gt;SIGN(Tulokset!$G$24-Tulokset!$I$24),0,IF(Tulokset!$G$24=Tulokset!$I$24,IF(AND('7'!$I$25=Tulokset!$G$24,'7'!$K$25=Tulokset!$I$24),6,3),MAX(0,6-(ABS('7'!$I$25-Tulokset!$G$24)+ABS('7'!$K$25-Tulokset!$I$24))))))</f>
        <v/>
      </c>
      <c r="AA10" t="str">
        <f>IF(OR(Tulokset!$G$25="",Tulokset!$I$25="",'7'!$I$26="",'7'!$K$26=""),"",IF(SIGN('7'!$I$26-'7'!$K$26)&lt;&gt;SIGN(Tulokset!$G$25-Tulokset!$I$25),0,IF(Tulokset!$G$25=Tulokset!$I$25,IF(AND('7'!$I$26=Tulokset!$G$25,'7'!$K$26=Tulokset!$I$25),6,3),MAX(0,6-(ABS('7'!$I$26-Tulokset!$G$25)+ABS('7'!$K$26-Tulokset!$I$25))))))</f>
        <v/>
      </c>
      <c r="AB10" t="str">
        <f>IF(OR(Tulokset!$G$26="",Tulokset!$I$26="",'7'!$I$27="",'7'!$K$27=""),"",IF(SIGN('7'!$I$27-'7'!$K$27)&lt;&gt;SIGN(Tulokset!$G$26-Tulokset!$I$26),0,IF(Tulokset!$G$26=Tulokset!$I$26,IF(AND('7'!$I$27=Tulokset!$G$26,'7'!$K$27=Tulokset!$I$26),6,3),MAX(0,6-(ABS('7'!$I$27-Tulokset!$G$26)+ABS('7'!$K$27-Tulokset!$I$26))))))</f>
        <v/>
      </c>
      <c r="AC10" t="str">
        <f>IF(OR(Tulokset!$G$27="",Tulokset!$I$27="",'7'!$I$28="",'7'!$K$28=""),"",IF(SIGN('7'!$I$28-'7'!$K$28)&lt;&gt;SIGN(Tulokset!$G$27-Tulokset!$I$27),0,IF(Tulokset!$G$27=Tulokset!$I$27,IF(AND('7'!$I$28=Tulokset!$G$27,'7'!$K$28=Tulokset!$I$27),6,3),MAX(0,6-(ABS('7'!$I$28-Tulokset!$G$27)+ABS('7'!$K$28-Tulokset!$I$27))))))</f>
        <v/>
      </c>
      <c r="AD10" t="str">
        <f>IF(OR(Tulokset!$G$28="",Tulokset!$I$28="",'7'!$I$29="",'7'!$K$29=""),"",IF(SIGN('7'!$I$29-'7'!$K$29)&lt;&gt;SIGN(Tulokset!$G$28-Tulokset!$I$28),0,IF(Tulokset!$G$28=Tulokset!$I$28,IF(AND('7'!$I$29=Tulokset!$G$28,'7'!$K$29=Tulokset!$I$28),6,3),MAX(0,6-(ABS('7'!$I$29-Tulokset!$G$28)+ABS('7'!$K$29-Tulokset!$I$28))))))</f>
        <v/>
      </c>
      <c r="AE10" t="str">
        <f>IF(OR(Tulokset!$G$29="",Tulokset!$I$29="",'7'!$I$30="",'7'!$K$30=""),"",IF(SIGN('7'!$I$30-'7'!$K$30)&lt;&gt;SIGN(Tulokset!$G$29-Tulokset!$I$29),0,IF(Tulokset!$G$29=Tulokset!$I$29,IF(AND('7'!$I$30=Tulokset!$G$29,'7'!$K$30=Tulokset!$I$29),6,3),MAX(0,6-(ABS('7'!$I$30-Tulokset!$G$29)+ABS('7'!$K$30-Tulokset!$I$29))))))</f>
        <v/>
      </c>
      <c r="AF10" t="str">
        <f>IF(OR(Tulokset!$G$30="",Tulokset!$I$30="",'7'!$I$31="",'7'!$K$31=""),"",IF(SIGN('7'!$I$31-'7'!$K$31)&lt;&gt;SIGN(Tulokset!$G$30-Tulokset!$I$30),0,IF(Tulokset!$G$30=Tulokset!$I$30,IF(AND('7'!$I$31=Tulokset!$G$30,'7'!$K$31=Tulokset!$I$30),6,3),MAX(0,6-(ABS('7'!$I$31-Tulokset!$G$30)+ABS('7'!$K$31-Tulokset!$I$30))))))</f>
        <v/>
      </c>
      <c r="AG10" t="str">
        <f>IF(OR(Tulokset!$G$31="",Tulokset!$I$31="",'7'!$I$32="",'7'!$K$32=""),"",IF(SIGN('7'!$I$32-'7'!$K$32)&lt;&gt;SIGN(Tulokset!$G$31-Tulokset!$I$31),0,IF(Tulokset!$G$31=Tulokset!$I$31,IF(AND('7'!$I$32=Tulokset!$G$31,'7'!$K$32=Tulokset!$I$31),6,3),MAX(0,6-(ABS('7'!$I$32-Tulokset!$G$31)+ABS('7'!$K$32-Tulokset!$I$31))))))</f>
        <v/>
      </c>
      <c r="AH10" t="str">
        <f>IF(OR(Tulokset!$G$32="",Tulokset!$I$32="",'7'!$I$33="",'7'!$K$33=""),"",IF(SIGN('7'!$I$33-'7'!$K$33)&lt;&gt;SIGN(Tulokset!$G$32-Tulokset!$I$32),0,IF(Tulokset!$G$32=Tulokset!$I$32,IF(AND('7'!$I$33=Tulokset!$G$32,'7'!$K$33=Tulokset!$I$32),6,3),MAX(0,6-(ABS('7'!$I$33-Tulokset!$G$32)+ABS('7'!$K$33-Tulokset!$I$32))))))</f>
        <v/>
      </c>
      <c r="AI10" t="str">
        <f>IF(OR(Tulokset!$G$33="",Tulokset!$I$33="",'7'!$I$34="",'7'!$K$34=""),"",IF(SIGN('7'!$I$34-'7'!$K$34)&lt;&gt;SIGN(Tulokset!$G$33-Tulokset!$I$33),0,IF(Tulokset!$G$33=Tulokset!$I$33,IF(AND('7'!$I$34=Tulokset!$G$33,'7'!$K$34=Tulokset!$I$33),6,3),MAX(0,6-(ABS('7'!$I$34-Tulokset!$G$33)+ABS('7'!$K$34-Tulokset!$I$33))))))</f>
        <v/>
      </c>
      <c r="AJ10" t="str">
        <f>IF(OR(Tulokset!$G$34="",Tulokset!$I$34="",'7'!$I$35="",'7'!$K$35=""),"",IF(SIGN('7'!$I$35-'7'!$K$35)&lt;&gt;SIGN(Tulokset!$G$34-Tulokset!$I$34),0,IF(Tulokset!$G$34=Tulokset!$I$34,IF(AND('7'!$I$35=Tulokset!$G$34,'7'!$K$35=Tulokset!$I$34),6,3),MAX(0,6-(ABS('7'!$I$35-Tulokset!$G$34)+ABS('7'!$K$35-Tulokset!$I$34))))))</f>
        <v/>
      </c>
      <c r="AK10" t="str">
        <f>IF(OR(Tulokset!$G$35="",Tulokset!$I$35="",'7'!$I$36="",'7'!$K$36=""),"",IF(SIGN('7'!$I$36-'7'!$K$36)&lt;&gt;SIGN(Tulokset!$G$35-Tulokset!$I$35),0,IF(Tulokset!$G$35=Tulokset!$I$35,IF(AND('7'!$I$36=Tulokset!$G$35,'7'!$K$36=Tulokset!$I$35),6,3),MAX(0,6-(ABS('7'!$I$36-Tulokset!$G$35)+ABS('7'!$K$36-Tulokset!$I$35))))))</f>
        <v/>
      </c>
      <c r="AL10" t="str">
        <f>IF(OR(Tulokset!$G$36="",Tulokset!$I$36="",'7'!$I$37="",'7'!$K$37=""),"",IF(SIGN('7'!$I$37-'7'!$K$37)&lt;&gt;SIGN(Tulokset!$G$36-Tulokset!$I$36),0,IF(Tulokset!$G$36=Tulokset!$I$36,IF(AND('7'!$I$37=Tulokset!$G$36,'7'!$K$37=Tulokset!$I$36),6,3),MAX(0,6-(ABS('7'!$I$37-Tulokset!$G$36)+ABS('7'!$K$37-Tulokset!$I$36))))))</f>
        <v/>
      </c>
      <c r="AM10" t="str">
        <f>IF(OR(Tulokset!$G$37="",Tulokset!$I$37="",'7'!$I$38="",'7'!$K$38=""),"",IF(SIGN('7'!$I$38-'7'!$K$38)&lt;&gt;SIGN(Tulokset!$G$37-Tulokset!$I$37),0,IF(Tulokset!$G$37=Tulokset!$I$37,IF(AND('7'!$I$38=Tulokset!$G$37,'7'!$K$38=Tulokset!$I$37),6,3),MAX(0,6-(ABS('7'!$I$38-Tulokset!$G$37)+ABS('7'!$K$38-Tulokset!$I$37))))))</f>
        <v/>
      </c>
      <c r="AN10" t="str">
        <f>IF(OR(Tulokset!$G$38="",Tulokset!$I$38="",'7'!$I$39="",'7'!$K$39=""),"",IF(SIGN('7'!$I$39-'7'!$K$39)&lt;&gt;SIGN(Tulokset!$G$38-Tulokset!$I$38),0,IF(Tulokset!$G$38=Tulokset!$I$38,IF(AND('7'!$I$39=Tulokset!$G$38,'7'!$K$39=Tulokset!$I$38),6,3),MAX(0,6-(ABS('7'!$I$39-Tulokset!$G$38)+ABS('7'!$K$39-Tulokset!$I$38))))))</f>
        <v/>
      </c>
      <c r="AO10" t="str">
        <f>IF(OR(Tulokset!$G$39="",Tulokset!$I$39="",'7'!$I$40="",'7'!$K$40=""),"",IF(SIGN('7'!$I$40-'7'!$K$40)&lt;&gt;SIGN(Tulokset!$G$39-Tulokset!$I$39),0,IF(Tulokset!$G$39=Tulokset!$I$39,IF(AND('7'!$I$40=Tulokset!$G$39,'7'!$K$40=Tulokset!$I$39),6,3),MAX(0,6-(ABS('7'!$I$40-Tulokset!$G$39)+ABS('7'!$K$40-Tulokset!$I$39))))))</f>
        <v/>
      </c>
      <c r="AP10" t="str">
        <f>IF(OR(Tulokset!$G$40="",Tulokset!$I$40="",'7'!$I$41="",'7'!$K$41=""),"",IF(SIGN('7'!$I$41-'7'!$K$41)&lt;&gt;SIGN(Tulokset!$G$40-Tulokset!$I$40),0,IF(Tulokset!$G$40=Tulokset!$I$40,IF(AND('7'!$I$41=Tulokset!$G$40,'7'!$K$41=Tulokset!$I$40),6,3),MAX(0,6-(ABS('7'!$I$41-Tulokset!$G$40)+ABS('7'!$K$41-Tulokset!$I$40))))))</f>
        <v/>
      </c>
      <c r="AQ10" t="str">
        <f>IF(OR(Tulokset!$G$41="",Tulokset!$I$41="",'7'!$I$42="",'7'!$K$42=""),"",IF(SIGN('7'!$I$42-'7'!$K$42)&lt;&gt;SIGN(Tulokset!$G$41-Tulokset!$I$41),0,IF(Tulokset!$G$41=Tulokset!$I$41,IF(AND('7'!$I$42=Tulokset!$G$41,'7'!$K$42=Tulokset!$I$41),6,3),MAX(0,6-(ABS('7'!$I$42-Tulokset!$G$41)+ABS('7'!$K$42-Tulokset!$I$41))))))</f>
        <v/>
      </c>
      <c r="AR10" t="str">
        <f>IF(OR(Tulokset!$G$42="",Tulokset!$I$42="",'7'!$I$43="",'7'!$K$43=""),"",IF(SIGN('7'!$I$43-'7'!$K$43)&lt;&gt;SIGN(Tulokset!$G$42-Tulokset!$I$42),0,IF(Tulokset!$G$42=Tulokset!$I$42,IF(AND('7'!$I$43=Tulokset!$G$42,'7'!$K$43=Tulokset!$I$42),6,3),MAX(0,6-(ABS('7'!$I$43-Tulokset!$G$42)+ABS('7'!$K$43-Tulokset!$I$42))))))</f>
        <v/>
      </c>
      <c r="AS10" t="str">
        <f>IF(OR(Tulokset!$G$43="",Tulokset!$I$43="",'7'!$I$44="",'7'!$K$44=""),"",IF(SIGN('7'!$I$44-'7'!$K$44)&lt;&gt;SIGN(Tulokset!$G$43-Tulokset!$I$43),0,IF(Tulokset!$G$43=Tulokset!$I$43,IF(AND('7'!$I$44=Tulokset!$G$43,'7'!$K$44=Tulokset!$I$43),6,3),MAX(0,6-(ABS('7'!$I$44-Tulokset!$G$43)+ABS('7'!$K$44-Tulokset!$I$43))))))</f>
        <v/>
      </c>
      <c r="AT10" t="str">
        <f>IF(OR(Tulokset!$G$44="",Tulokset!$I$44="",'7'!$I$45="",'7'!$K$45=""),"",IF(SIGN('7'!$I$45-'7'!$K$45)&lt;&gt;SIGN(Tulokset!$G$44-Tulokset!$I$44),0,IF(Tulokset!$G$44=Tulokset!$I$44,IF(AND('7'!$I$45=Tulokset!$G$44,'7'!$K$45=Tulokset!$I$44),6,3),MAX(0,6-(ABS('7'!$I$45-Tulokset!$G$44)+ABS('7'!$K$45-Tulokset!$I$44))))))</f>
        <v/>
      </c>
      <c r="AU10" t="str">
        <f>IF(OR(Tulokset!$G$45="",Tulokset!$I$45="",'7'!$I$46="",'7'!$K$46=""),"",IF(SIGN('7'!$I$46-'7'!$K$46)&lt;&gt;SIGN(Tulokset!$G$45-Tulokset!$I$45),0,IF(Tulokset!$G$45=Tulokset!$I$45,IF(AND('7'!$I$46=Tulokset!$G$45,'7'!$K$46=Tulokset!$I$45),6,3),MAX(0,6-(ABS('7'!$I$46-Tulokset!$G$45)+ABS('7'!$K$46-Tulokset!$I$45))))))</f>
        <v/>
      </c>
      <c r="AV10" t="str">
        <f>IF(OR(Tulokset!$G$46="",Tulokset!$I$46="",'7'!$I$47="",'7'!$K$47=""),"",IF(SIGN('7'!$I$47-'7'!$K$47)&lt;&gt;SIGN(Tulokset!$G$46-Tulokset!$I$46),0,IF(Tulokset!$G$46=Tulokset!$I$46,IF(AND('7'!$I$47=Tulokset!$G$46,'7'!$K$47=Tulokset!$I$46),6,3),MAX(0,6-(ABS('7'!$I$47-Tulokset!$G$46)+ABS('7'!$K$47-Tulokset!$I$46))))))</f>
        <v/>
      </c>
      <c r="AW10" t="str">
        <f>IF(OR(Tulokset!$G$47="",Tulokset!$I$47="",'7'!$I$48="",'7'!$K$48=""),"",IF(SIGN('7'!$I$48-'7'!$K$48)&lt;&gt;SIGN(Tulokset!$G$47-Tulokset!$I$47),0,IF(Tulokset!$G$47=Tulokset!$I$47,IF(AND('7'!$I$48=Tulokset!$G$47,'7'!$K$48=Tulokset!$I$47),6,3),MAX(0,6-(ABS('7'!$I$48-Tulokset!$G$47)+ABS('7'!$K$48-Tulokset!$I$47))))))</f>
        <v/>
      </c>
      <c r="AX10" t="str">
        <f>IF(OR(Tulokset!$G$48="",Tulokset!$I$48="",'7'!$I$49="",'7'!$K$49=""),"",IF(SIGN('7'!$I$49-'7'!$K$49)&lt;&gt;SIGN(Tulokset!$G$48-Tulokset!$I$48),0,IF(Tulokset!$G$48=Tulokset!$I$48,IF(AND('7'!$I$49=Tulokset!$G$48,'7'!$K$49=Tulokset!$I$48),6,3),MAX(0,6-(ABS('7'!$I$49-Tulokset!$G$48)+ABS('7'!$K$49-Tulokset!$I$48))))))</f>
        <v/>
      </c>
      <c r="AY10" t="str">
        <f>IF(OR(Tulokset!$G$49="",Tulokset!$I$49="",'7'!$I$50="",'7'!$K$50=""),"",IF(SIGN('7'!$I$50-'7'!$K$50)&lt;&gt;SIGN(Tulokset!$G$49-Tulokset!$I$49),0,IF(Tulokset!$G$49=Tulokset!$I$49,IF(AND('7'!$I$50=Tulokset!$G$49,'7'!$K$50=Tulokset!$I$49),6,3),MAX(0,6-(ABS('7'!$I$50-Tulokset!$G$49)+ABS('7'!$K$50-Tulokset!$I$49))))))</f>
        <v/>
      </c>
      <c r="AZ10" t="str">
        <f>IF(OR(Tulokset!$G$50="",Tulokset!$I$50="",'7'!$I$51="",'7'!$K$51=""),"",IF(SIGN('7'!$I$51-'7'!$K$51)&lt;&gt;SIGN(Tulokset!$G$50-Tulokset!$I$50),0,IF(Tulokset!$G$50=Tulokset!$I$50,IF(AND('7'!$I$51=Tulokset!$G$50,'7'!$K$51=Tulokset!$I$50),6,3),MAX(0,6-(ABS('7'!$I$51-Tulokset!$G$50)+ABS('7'!$K$51-Tulokset!$I$50))))))</f>
        <v/>
      </c>
      <c r="BA10" t="str">
        <f>IF(OR(Tulokset!$G$51="",Tulokset!$I$51="",'7'!$I$52="",'7'!$K$52=""),"",IF(SIGN('7'!$I$52-'7'!$K$52)&lt;&gt;SIGN(Tulokset!$G$51-Tulokset!$I$51),0,IF(Tulokset!$G$51=Tulokset!$I$51,IF(AND('7'!$I$52=Tulokset!$G$51,'7'!$K$52=Tulokset!$I$51),6,3),MAX(0,6-(ABS('7'!$I$52-Tulokset!$G$51)+ABS('7'!$K$52-Tulokset!$I$51))))))</f>
        <v/>
      </c>
      <c r="BB10" t="str">
        <f>IF(OR(Tulokset!$G$52="",Tulokset!$I$52="",'7'!$I$53="",'7'!$K$53=""),"",IF(SIGN('7'!$I$53-'7'!$K$53)&lt;&gt;SIGN(Tulokset!$G$52-Tulokset!$I$52),0,IF(Tulokset!$G$52=Tulokset!$I$52,IF(AND('7'!$I$53=Tulokset!$G$52,'7'!$K$53=Tulokset!$I$52),6,3),MAX(0,6-(ABS('7'!$I$53-Tulokset!$G$52)+ABS('7'!$K$53-Tulokset!$I$52))))))</f>
        <v/>
      </c>
      <c r="BC10" t="str">
        <f>IF(OR(Tulokset!$G$53="",Tulokset!$I$53="",'7'!$I$54="",'7'!$K$54=""),"",IF(SIGN('7'!$I$54-'7'!$K$54)&lt;&gt;SIGN(Tulokset!$G$53-Tulokset!$I$53),0,IF(Tulokset!$G$53=Tulokset!$I$53,IF(AND('7'!$I$54=Tulokset!$G$53,'7'!$K$54=Tulokset!$I$53),6,3),MAX(0,6-(ABS('7'!$I$54-Tulokset!$G$53)+ABS('7'!$K$54-Tulokset!$I$53))))))</f>
        <v/>
      </c>
      <c r="BD10" t="str">
        <f>IF(OR(Tulokset!$G$54="",Tulokset!$I$54="",'7'!$I$55="",'7'!$K$55=""),"",IF(SIGN('7'!$I$55-'7'!$K$55)&lt;&gt;SIGN(Tulokset!$G$54-Tulokset!$I$54),0,IF(Tulokset!$G$54=Tulokset!$I$54,IF(AND('7'!$I$55=Tulokset!$G$54,'7'!$K$55=Tulokset!$I$54),6,3),MAX(0,6-(ABS('7'!$I$55-Tulokset!$G$54)+ABS('7'!$K$55-Tulokset!$I$54))))))</f>
        <v/>
      </c>
      <c r="BE10" t="str">
        <f>IF(OR(Tulokset!$G$55="",Tulokset!$I$55="",'7'!$I$56="",'7'!$K$56=""),"",IF(SIGN('7'!$I$56-'7'!$K$56)&lt;&gt;SIGN(Tulokset!$G$55-Tulokset!$I$55),0,IF(Tulokset!$G$55=Tulokset!$I$55,IF(AND('7'!$I$56=Tulokset!$G$55,'7'!$K$56=Tulokset!$I$55),6,3),MAX(0,6-(ABS('7'!$I$56-Tulokset!$G$55)+ABS('7'!$K$56-Tulokset!$I$55))))))</f>
        <v/>
      </c>
      <c r="BF10" t="str">
        <f>IF(OR(Tulokset!$G$56="",Tulokset!$I$56="",'7'!$I$57="",'7'!$K$57=""),"",IF(SIGN('7'!$I$57-'7'!$K$57)&lt;&gt;SIGN(Tulokset!$G$56-Tulokset!$I$56),0,IF(Tulokset!$G$56=Tulokset!$I$56,IF(AND('7'!$I$57=Tulokset!$G$56,'7'!$K$57=Tulokset!$I$56),6,3),MAX(0,6-(ABS('7'!$I$57-Tulokset!$G$56)+ABS('7'!$K$57-Tulokset!$I$56))))))</f>
        <v/>
      </c>
      <c r="BG10" t="str">
        <f>IF(OR(Tulokset!$G$57="",Tulokset!$I$57="",'7'!$I$58="",'7'!$K$58=""),"",IF(SIGN('7'!$I$58-'7'!$K$58)&lt;&gt;SIGN(Tulokset!$G$57-Tulokset!$I$57),0,IF(Tulokset!$G$57=Tulokset!$I$57,IF(AND('7'!$I$58=Tulokset!$G$57,'7'!$K$58=Tulokset!$I$57),6,3),MAX(0,6-(ABS('7'!$I$58-Tulokset!$G$57)+ABS('7'!$K$58-Tulokset!$I$57))))))</f>
        <v/>
      </c>
      <c r="BH10" t="str">
        <f>IF(OR(Tulokset!$G$58="",Tulokset!$I$58="",'7'!$I$59="",'7'!$K$59=""),"",IF(SIGN('7'!$I$59-'7'!$K$59)&lt;&gt;SIGN(Tulokset!$G$58-Tulokset!$I$58),0,IF(Tulokset!$G$58=Tulokset!$I$58,IF(AND('7'!$I$59=Tulokset!$G$58,'7'!$K$59=Tulokset!$I$58),6,3),MAX(0,6-(ABS('7'!$I$59-Tulokset!$G$58)+ABS('7'!$K$59-Tulokset!$I$58))))))</f>
        <v/>
      </c>
      <c r="BI10" t="str">
        <f>IF(OR(Tulokset!$G$59="",Tulokset!$I$59="",'7'!$I$60="",'7'!$K$60=""),"",IF(SIGN('7'!$I$60-'7'!$K$60)&lt;&gt;SIGN(Tulokset!$G$59-Tulokset!$I$59),0,IF(Tulokset!$G$59=Tulokset!$I$59,IF(AND('7'!$I$60=Tulokset!$G$59,'7'!$K$60=Tulokset!$I$59),6,3),MAX(0,6-(ABS('7'!$I$60-Tulokset!$G$59)+ABS('7'!$K$60-Tulokset!$I$59))))))</f>
        <v/>
      </c>
      <c r="BJ10" t="str">
        <f>IF(OR(Tulokset!$G$60="",Tulokset!$I$60="",'7'!$I$61="",'7'!$K$61=""),"",IF(SIGN('7'!$I$61-'7'!$K$61)&lt;&gt;SIGN(Tulokset!$G$60-Tulokset!$I$60),0,IF(Tulokset!$G$60=Tulokset!$I$60,IF(AND('7'!$I$61=Tulokset!$G$60,'7'!$K$61=Tulokset!$I$60),6,3),MAX(0,6-(ABS('7'!$I$61-Tulokset!$G$60)+ABS('7'!$K$61-Tulokset!$I$60))))))</f>
        <v/>
      </c>
      <c r="BK10" t="str">
        <f>IF(OR(Tulokset!$G$61="",Tulokset!$I$61="",'7'!$I$62="",'7'!$K$62=""),"",IF(SIGN('7'!$I$62-'7'!$K$62)&lt;&gt;SIGN(Tulokset!$G$61-Tulokset!$I$61),0,IF(Tulokset!$G$61=Tulokset!$I$61,IF(AND('7'!$I$62=Tulokset!$G$61,'7'!$K$62=Tulokset!$I$61),6,3),MAX(0,6-(ABS('7'!$I$62-Tulokset!$G$61)+ABS('7'!$K$62-Tulokset!$I$61))))))</f>
        <v/>
      </c>
      <c r="BL10" t="str">
        <f>IF(OR(Tulokset!$G$62="",Tulokset!$I$62="",'7'!$I$63="",'7'!$K$63=""),"",IF(SIGN('7'!$I$63-'7'!$K$63)&lt;&gt;SIGN(Tulokset!$G$62-Tulokset!$I$62),0,IF(Tulokset!$G$62=Tulokset!$I$62,IF(AND('7'!$I$63=Tulokset!$G$62,'7'!$K$63=Tulokset!$I$62),6,3),MAX(0,6-(ABS('7'!$I$63-Tulokset!$G$62)+ABS('7'!$K$63-Tulokset!$I$62))))))</f>
        <v/>
      </c>
      <c r="BM10" t="str">
        <f>IF(OR(Tulokset!$G$63="",Tulokset!$I$63="",'7'!$I$64="",'7'!$K$64=""),"",IF(SIGN('7'!$I$64-'7'!$K$64)&lt;&gt;SIGN(Tulokset!$G$63-Tulokset!$I$63),0,IF(Tulokset!$G$63=Tulokset!$I$63,IF(AND('7'!$I$64=Tulokset!$G$63,'7'!$K$64=Tulokset!$I$63),6,3),MAX(0,6-(ABS('7'!$I$64-Tulokset!$G$63)+ABS('7'!$K$64-Tulokset!$I$63))))))</f>
        <v/>
      </c>
      <c r="BN10" t="str">
        <f>IF(OR(Tulokset!$G$64="",Tulokset!$I$64="",'7'!$I$65="",'7'!$K$65=""),"",IF(SIGN('7'!$I$65-'7'!$K$65)&lt;&gt;SIGN(Tulokset!$G$64-Tulokset!$I$64),0,IF(Tulokset!$G$64=Tulokset!$I$64,IF(AND('7'!$I$65=Tulokset!$G$64,'7'!$K$65=Tulokset!$I$64),6,3),MAX(0,6-(ABS('7'!$I$65-Tulokset!$G$64)+ABS('7'!$K$65-Tulokset!$I$64))))))</f>
        <v/>
      </c>
      <c r="BO10" t="str">
        <f>IF(OR(Tulokset!$G$65="",Tulokset!$I$65="",'7'!$I$66="",'7'!$K$66=""),"",IF(SIGN('7'!$I$66-'7'!$K$66)&lt;&gt;SIGN(Tulokset!$G$65-Tulokset!$I$65),0,IF(Tulokset!$G$65=Tulokset!$I$65,IF(AND('7'!$I$66=Tulokset!$G$65,'7'!$K$66=Tulokset!$I$65),6,3),MAX(0,6-(ABS('7'!$I$66-Tulokset!$G$65)+ABS('7'!$K$66-Tulokset!$I$65))))))</f>
        <v/>
      </c>
      <c r="BP10" t="str">
        <f>IF(OR(Tulokset!$G$66="",Tulokset!$I$66="",'7'!$I$67="",'7'!$K$67=""),"",IF(SIGN('7'!$I$67-'7'!$K$67)&lt;&gt;SIGN(Tulokset!$G$66-Tulokset!$I$66),0,IF(Tulokset!$G$66=Tulokset!$I$66,IF(AND('7'!$I$67=Tulokset!$G$66,'7'!$K$67=Tulokset!$I$66),6,3),MAX(0,6-(ABS('7'!$I$67-Tulokset!$G$66)+ABS('7'!$K$67-Tulokset!$I$66))))))</f>
        <v/>
      </c>
      <c r="BQ10" t="str">
        <f>IF(OR(Tulokset!$G$67="",Tulokset!$I$67="",'7'!$I$68="",'7'!$K$68=""),"",IF(SIGN('7'!$I$68-'7'!$K$68)&lt;&gt;SIGN(Tulokset!$G$67-Tulokset!$I$67),0,IF(Tulokset!$G$67=Tulokset!$I$67,IF(AND('7'!$I$68=Tulokset!$G$67,'7'!$K$68=Tulokset!$I$67),6,3),MAX(0,6-(ABS('7'!$I$68-Tulokset!$G$67)+ABS('7'!$K$68-Tulokset!$I$67))))))</f>
        <v/>
      </c>
      <c r="BR10" t="str">
        <f>IF(OR(Tulokset!$G$68="",Tulokset!$I$68="",'7'!$I$69="",'7'!$K$69=""),"",IF(SIGN('7'!$I$69-'7'!$K$69)&lt;&gt;SIGN(Tulokset!$G$68-Tulokset!$I$68),0,IF(Tulokset!$G$68=Tulokset!$I$68,IF(AND('7'!$I$69=Tulokset!$G$68,'7'!$K$69=Tulokset!$I$68),6,3),MAX(0,6-(ABS('7'!$I$69-Tulokset!$G$68)+ABS('7'!$K$69-Tulokset!$I$68))))))</f>
        <v/>
      </c>
      <c r="BS10" t="str">
        <f>IF(OR(Tulokset!$G$69="",Tulokset!$I$69="",'7'!$I$70="",'7'!$K$70=""),"",IF(SIGN('7'!$I$70-'7'!$K$70)&lt;&gt;SIGN(Tulokset!$G$69-Tulokset!$I$69),0,IF(Tulokset!$G$69=Tulokset!$I$69,IF(AND('7'!$I$70=Tulokset!$G$69,'7'!$K$70=Tulokset!$I$69),6,3),MAX(0,6-(ABS('7'!$I$70-Tulokset!$G$69)+ABS('7'!$K$70-Tulokset!$I$69))))))</f>
        <v/>
      </c>
      <c r="BT10" t="str">
        <f>IF(OR(Tulokset!$G$70="",Tulokset!$I$70="",'7'!$I$71="",'7'!$K$71=""),"",IF(SIGN('7'!$I$71-'7'!$K$71)&lt;&gt;SIGN(Tulokset!$G$70-Tulokset!$I$70),0,IF(Tulokset!$G$70=Tulokset!$I$70,IF(AND('7'!$I$71=Tulokset!$G$70,'7'!$K$71=Tulokset!$I$70),6,3),MAX(0,6-(ABS('7'!$I$71-Tulokset!$G$70)+ABS('7'!$K$71-Tulokset!$I$70))))))</f>
        <v/>
      </c>
      <c r="BU10" t="str">
        <f>IF(OR(Tulokset!$G$71="",Tulokset!$I$71="",'7'!$I$72="",'7'!$K$72=""),"",IF(SIGN('7'!$I$72-'7'!$K$72)&lt;&gt;SIGN(Tulokset!$G$71-Tulokset!$I$71),0,IF(Tulokset!$G$71=Tulokset!$I$71,IF(AND('7'!$I$72=Tulokset!$G$71,'7'!$K$72=Tulokset!$I$71),6,3),MAX(0,6-(ABS('7'!$I$72-Tulokset!$G$71)+ABS('7'!$K$72-Tulokset!$I$71))))))</f>
        <v/>
      </c>
      <c r="BV10" t="str">
        <f>IF(OR(Tulokset!$G$72="",Tulokset!$I$72="",'7'!$I$73="",'7'!$K$73=""),"",IF(SIGN('7'!$I$73-'7'!$K$73)&lt;&gt;SIGN(Tulokset!$G$72-Tulokset!$I$72),0,IF(Tulokset!$G$72=Tulokset!$I$72,IF(AND('7'!$I$73=Tulokset!$G$72,'7'!$K$73=Tulokset!$I$72),6,3),MAX(0,6-(ABS('7'!$I$73-Tulokset!$G$72)+ABS('7'!$K$73-Tulokset!$I$72))))))</f>
        <v/>
      </c>
      <c r="BW10" t="str">
        <f>IF(OR(Tulokset!$G$73="",Tulokset!$I$73="",'7'!$I$74="",'7'!$K$74=""),"",IF(SIGN('7'!$I$74-'7'!$K$74)&lt;&gt;SIGN(Tulokset!$G$73-Tulokset!$I$73),0,IF(Tulokset!$G$73=Tulokset!$I$73,IF(AND('7'!$I$74=Tulokset!$G$73,'7'!$K$74=Tulokset!$I$73),6,3),MAX(0,6-(ABS('7'!$I$74-Tulokset!$G$73)+ABS('7'!$K$74-Tulokset!$I$73))))))</f>
        <v/>
      </c>
      <c r="BX10" t="str">
        <f>IF(OR(Tulokset!$G$74="",Tulokset!$I$74="",'7'!$I$75="",'7'!$K$75=""),"",IF(SIGN('7'!$I$75-'7'!$K$75)&lt;&gt;SIGN(Tulokset!$G$74-Tulokset!$I$74),0,IF(Tulokset!$G$74=Tulokset!$I$74,IF(AND('7'!$I$75=Tulokset!$G$74,'7'!$K$75=Tulokset!$I$74),6,3),MAX(0,6-(ABS('7'!$I$75-Tulokset!$G$74)+ABS('7'!$K$75-Tulokset!$I$74))))))</f>
        <v/>
      </c>
      <c r="BY10" t="str">
        <f>IF(OR(Tulokset!$G$75="",Tulokset!$I$75="",'7'!$I$76="",'7'!$K$76=""),"",IF(SIGN('7'!$I$76-'7'!$K$76)&lt;&gt;SIGN(Tulokset!$G$75-Tulokset!$I$75),0,IF(Tulokset!$G$75=Tulokset!$I$75,IF(AND('7'!$I$76=Tulokset!$G$75,'7'!$K$76=Tulokset!$I$75),6,3),MAX(0,6-(ABS('7'!$I$76-Tulokset!$G$75)+ABS('7'!$K$76-Tulokset!$I$75))))))</f>
        <v/>
      </c>
      <c r="BZ10" t="str">
        <f>IF(OR(Tulokset!$G$76="",Tulokset!$I$76="",'7'!$I$77="",'7'!$K$77=""),"",IF(SIGN('7'!$I$77-'7'!$K$77)&lt;&gt;SIGN(Tulokset!$G$76-Tulokset!$I$76),0,IF(Tulokset!$G$76=Tulokset!$I$76,IF(AND('7'!$I$77=Tulokset!$G$76,'7'!$K$77=Tulokset!$I$76),6,3),MAX(0,6-(ABS('7'!$I$77-Tulokset!$G$76)+ABS('7'!$K$77-Tulokset!$I$76))))))</f>
        <v/>
      </c>
      <c r="CA10" t="str">
        <f>IF(OR(Tulokset!$G$77="",Tulokset!$I$77="",'7'!$I$78="",'7'!$K$78=""),"",IF(SIGN('7'!$I$78-'7'!$K$78)&lt;&gt;SIGN(Tulokset!$G$77-Tulokset!$I$77),0,IF(Tulokset!$G$77=Tulokset!$I$77,IF(AND('7'!$I$78=Tulokset!$G$77,'7'!$K$78=Tulokset!$I$77),6,3),MAX(0,6-(ABS('7'!$I$78-Tulokset!$G$77)+ABS('7'!$K$78-Tulokset!$I$77))))))</f>
        <v/>
      </c>
      <c r="CD10" t="str">
        <f ca="1">IF(OR(Tulokset!$M$6="",INDIRECT("'"&amp;$A10&amp;"'!$P$8")=""),"",IF(TRIM(INDIRECT("'"&amp;$A10&amp;"'!$P$8"))=TRIM(Tulokset!$M$6),2,0))</f>
        <v/>
      </c>
      <c r="CE10" t="str">
        <f ca="1">IF(OR(Tulokset!$M$7="",INDIRECT("'"&amp;$A10&amp;"'!$P$9")=""),"",IF(TRIM(INDIRECT("'"&amp;$A10&amp;"'!$P$9"))=TRIM(Tulokset!$M$7),2,0))</f>
        <v/>
      </c>
      <c r="CF10" t="str">
        <f ca="1">IF(OR(Tulokset!$M$8="",INDIRECT("'"&amp;$A10&amp;"'!$P$10")=""),"",IF(TRIM(INDIRECT("'"&amp;$A10&amp;"'!$P$10"))=TRIM(Tulokset!$M$8),2,0))</f>
        <v/>
      </c>
      <c r="CG10" t="str">
        <f ca="1">IF(OR(Tulokset!$M$9="",INDIRECT("'"&amp;$A10&amp;"'!$P$11")=""),"",IF(TRIM(INDIRECT("'"&amp;$A10&amp;"'!$P$11"))=TRIM(Tulokset!$M$9),2,0))</f>
        <v/>
      </c>
      <c r="CH10" t="str">
        <f ca="1">IF(OR(Tulokset!$N$6="",INDIRECT("'"&amp;$A10&amp;"'!$Q$8")=""),"",IF(TRIM(INDIRECT("'"&amp;$A10&amp;"'!$Q$8"))=TRIM(Tulokset!$N$6),2,0))</f>
        <v/>
      </c>
      <c r="CI10" t="str">
        <f ca="1">IF(OR(Tulokset!$N$7="",INDIRECT("'"&amp;$A10&amp;"'!$Q$9")=""),"",IF(TRIM(INDIRECT("'"&amp;$A10&amp;"'!$Q$9"))=TRIM(Tulokset!$N$7),2,0))</f>
        <v/>
      </c>
      <c r="CJ10" t="str">
        <f ca="1">IF(OR(Tulokset!$N$8="",INDIRECT("'"&amp;$A10&amp;"'!$Q$10")=""),"",IF(TRIM(INDIRECT("'"&amp;$A10&amp;"'!$Q$10"))=TRIM(Tulokset!$N$8),2,0))</f>
        <v/>
      </c>
      <c r="CK10" t="str">
        <f ca="1">IF(OR(Tulokset!$N$9="",INDIRECT("'"&amp;$A10&amp;"'!$Q$11")=""),"",IF(TRIM(INDIRECT("'"&amp;$A10&amp;"'!$Q$11"))=TRIM(Tulokset!$N$9),2,0))</f>
        <v/>
      </c>
      <c r="CL10" t="str">
        <f ca="1">IF(OR(Tulokset!$O$6="",INDIRECT("'"&amp;$A10&amp;"'!$R$8")=""),"",IF(TRIM(INDIRECT("'"&amp;$A10&amp;"'!$R$8"))=TRIM(Tulokset!$O$6),2,0))</f>
        <v/>
      </c>
      <c r="CM10" t="str">
        <f ca="1">IF(OR(Tulokset!$O$7="",INDIRECT("'"&amp;$A10&amp;"'!$R$9")=""),"",IF(TRIM(INDIRECT("'"&amp;$A10&amp;"'!$R$9"))=TRIM(Tulokset!$O$7),2,0))</f>
        <v/>
      </c>
      <c r="CN10" t="str">
        <f ca="1">IF(OR(Tulokset!$O$8="",INDIRECT("'"&amp;$A10&amp;"'!$R$10")=""),"",IF(TRIM(INDIRECT("'"&amp;$A10&amp;"'!$R$10"))=TRIM(Tulokset!$O$8),2,0))</f>
        <v/>
      </c>
      <c r="CO10" t="str">
        <f ca="1">IF(OR(Tulokset!$O$9="",INDIRECT("'"&amp;$A10&amp;"'!$R$11")=""),"",IF(TRIM(INDIRECT("'"&amp;$A10&amp;"'!$R$11"))=TRIM(Tulokset!$O$9),2,0))</f>
        <v/>
      </c>
      <c r="CP10" t="str">
        <f ca="1">IF(OR(Tulokset!$P$6="",INDIRECT("'"&amp;$A10&amp;"'!$S$8")=""),"",IF(TRIM(INDIRECT("'"&amp;$A10&amp;"'!$S$8"))=TRIM(Tulokset!$P$6),2,0))</f>
        <v/>
      </c>
      <c r="CQ10" t="str">
        <f ca="1">IF(OR(Tulokset!$P$7="",INDIRECT("'"&amp;$A10&amp;"'!$S$9")=""),"",IF(TRIM(INDIRECT("'"&amp;$A10&amp;"'!$S$9"))=TRIM(Tulokset!$P$7),2,0))</f>
        <v/>
      </c>
      <c r="CR10" t="str">
        <f ca="1">IF(OR(Tulokset!$P$8="",INDIRECT("'"&amp;$A10&amp;"'!$S$10")=""),"",IF(TRIM(INDIRECT("'"&amp;$A10&amp;"'!$S$10"))=TRIM(Tulokset!$P$8),2,0))</f>
        <v/>
      </c>
      <c r="CS10" t="str">
        <f ca="1">IF(OR(Tulokset!$P$9="",INDIRECT("'"&amp;$A10&amp;"'!$S$11")=""),"",IF(TRIM(INDIRECT("'"&amp;$A10&amp;"'!$S$11"))=TRIM(Tulokset!$P$9),2,0))</f>
        <v/>
      </c>
      <c r="CT10" t="str">
        <f ca="1">IF(OR(Tulokset!$Q$6="",INDIRECT("'"&amp;$A10&amp;"'!$T$8")=""),"",IF(TRIM(INDIRECT("'"&amp;$A10&amp;"'!$T$8"))=TRIM(Tulokset!$Q$6),2,0))</f>
        <v/>
      </c>
      <c r="CU10" t="str">
        <f ca="1">IF(OR(Tulokset!$Q$7="",INDIRECT("'"&amp;$A10&amp;"'!$T$9")=""),"",IF(TRIM(INDIRECT("'"&amp;$A10&amp;"'!$T$9"))=TRIM(Tulokset!$Q$7),2,0))</f>
        <v/>
      </c>
      <c r="CV10" t="str">
        <f ca="1">IF(OR(Tulokset!$Q$8="",INDIRECT("'"&amp;$A10&amp;"'!$T$10")=""),"",IF(TRIM(INDIRECT("'"&amp;$A10&amp;"'!$T$10"))=TRIM(Tulokset!$Q$8),2,0))</f>
        <v/>
      </c>
      <c r="CW10" t="str">
        <f ca="1">IF(OR(Tulokset!$Q$9="",INDIRECT("'"&amp;$A10&amp;"'!$T$11")=""),"",IF(TRIM(INDIRECT("'"&amp;$A10&amp;"'!$T$11"))=TRIM(Tulokset!$Q$9),2,0))</f>
        <v/>
      </c>
      <c r="CX10" t="str">
        <f ca="1">IF(OR(Tulokset!$R$6="",INDIRECT("'"&amp;$A10&amp;"'!$U$8")=""),"",IF(TRIM(INDIRECT("'"&amp;$A10&amp;"'!$U$8"))=TRIM(Tulokset!$R$6),2,0))</f>
        <v/>
      </c>
      <c r="CY10" t="str">
        <f ca="1">IF(OR(Tulokset!$R$7="",INDIRECT("'"&amp;$A10&amp;"'!$U$9")=""),"",IF(TRIM(INDIRECT("'"&amp;$A10&amp;"'!$U$9"))=TRIM(Tulokset!$R$7),2,0))</f>
        <v/>
      </c>
      <c r="CZ10" t="str">
        <f ca="1">IF(OR(Tulokset!$R$8="",INDIRECT("'"&amp;$A10&amp;"'!$U$10")=""),"",IF(TRIM(INDIRECT("'"&amp;$A10&amp;"'!$U$10"))=TRIM(Tulokset!$R$8),2,0))</f>
        <v/>
      </c>
      <c r="DA10" t="str">
        <f ca="1">IF(OR(Tulokset!$R$9="",INDIRECT("'"&amp;$A10&amp;"'!$U$11")=""),"",IF(TRIM(INDIRECT("'"&amp;$A10&amp;"'!$U$11"))=TRIM(Tulokset!$R$9),2,0))</f>
        <v/>
      </c>
      <c r="DB10" t="str">
        <f ca="1">IF(OR(Tulokset!$M$12="",INDIRECT("'"&amp;$A10&amp;"'!$P$14")=""),"",IF(TRIM(INDIRECT("'"&amp;$A10&amp;"'!$P$14"))=TRIM(Tulokset!$M$12),2,0))</f>
        <v/>
      </c>
      <c r="DC10" t="str">
        <f ca="1">IF(OR(Tulokset!$M$13="",INDIRECT("'"&amp;$A10&amp;"'!$P$15")=""),"",IF(TRIM(INDIRECT("'"&amp;$A10&amp;"'!$P$15"))=TRIM(Tulokset!$M$13),2,0))</f>
        <v/>
      </c>
      <c r="DD10" t="str">
        <f ca="1">IF(OR(Tulokset!$M$14="",INDIRECT("'"&amp;$A10&amp;"'!$P$16")=""),"",IF(TRIM(INDIRECT("'"&amp;$A10&amp;"'!$P$16"))=TRIM(Tulokset!$M$14),2,0))</f>
        <v/>
      </c>
      <c r="DE10" t="str">
        <f ca="1">IF(OR(Tulokset!$M$15="",INDIRECT("'"&amp;$A10&amp;"'!$P$17")=""),"",IF(TRIM(INDIRECT("'"&amp;$A10&amp;"'!$P$17"))=TRIM(Tulokset!$M$15),2,0))</f>
        <v/>
      </c>
      <c r="DF10" t="str">
        <f ca="1">IF(OR(Tulokset!$N$12="",INDIRECT("'"&amp;$A10&amp;"'!$Q$14")=""),"",IF(TRIM(INDIRECT("'"&amp;$A10&amp;"'!$Q$14"))=TRIM(Tulokset!$N$12),2,0))</f>
        <v/>
      </c>
      <c r="DG10" t="str">
        <f ca="1">IF(OR(Tulokset!$N$13="",INDIRECT("'"&amp;$A10&amp;"'!$Q$15")=""),"",IF(TRIM(INDIRECT("'"&amp;$A10&amp;"'!$Q$15"))=TRIM(Tulokset!$N$13),2,0))</f>
        <v/>
      </c>
      <c r="DH10" t="str">
        <f ca="1">IF(OR(Tulokset!$N$14="",INDIRECT("'"&amp;$A10&amp;"'!$Q$16")=""),"",IF(TRIM(INDIRECT("'"&amp;$A10&amp;"'!$Q$16"))=TRIM(Tulokset!$N$14),2,0))</f>
        <v/>
      </c>
      <c r="DI10" t="str">
        <f ca="1">IF(OR(Tulokset!$N$15="",INDIRECT("'"&amp;$A10&amp;"'!$Q$17")=""),"",IF(TRIM(INDIRECT("'"&amp;$A10&amp;"'!$Q$17"))=TRIM(Tulokset!$N$15),2,0))</f>
        <v/>
      </c>
      <c r="DJ10" t="str">
        <f ca="1">IF(OR(Tulokset!$O$12="",INDIRECT("'"&amp;$A10&amp;"'!$R$14")=""),"",IF(TRIM(INDIRECT("'"&amp;$A10&amp;"'!$R$14"))=TRIM(Tulokset!$O$12),2,0))</f>
        <v/>
      </c>
      <c r="DK10" t="str">
        <f ca="1">IF(OR(Tulokset!$O$13="",INDIRECT("'"&amp;$A10&amp;"'!$R$15")=""),"",IF(TRIM(INDIRECT("'"&amp;$A10&amp;"'!$R$15"))=TRIM(Tulokset!$O$13),2,0))</f>
        <v/>
      </c>
      <c r="DL10" t="str">
        <f ca="1">IF(OR(Tulokset!$O$14="",INDIRECT("'"&amp;$A10&amp;"'!$R$16")=""),"",IF(TRIM(INDIRECT("'"&amp;$A10&amp;"'!$R$16"))=TRIM(Tulokset!$O$14),2,0))</f>
        <v/>
      </c>
      <c r="DM10" t="str">
        <f ca="1">IF(OR(Tulokset!$O$15="",INDIRECT("'"&amp;$A10&amp;"'!$R$17")=""),"",IF(TRIM(INDIRECT("'"&amp;$A10&amp;"'!$R$17"))=TRIM(Tulokset!$O$15),2,0))</f>
        <v/>
      </c>
      <c r="DN10" t="str">
        <f ca="1">IF(OR(Tulokset!$P$12="",INDIRECT("'"&amp;$A10&amp;"'!$S$14")=""),"",IF(TRIM(INDIRECT("'"&amp;$A10&amp;"'!$S$14"))=TRIM(Tulokset!$P$12),2,0))</f>
        <v/>
      </c>
      <c r="DO10" t="str">
        <f ca="1">IF(OR(Tulokset!$P$13="",INDIRECT("'"&amp;$A10&amp;"'!$S$15")=""),"",IF(TRIM(INDIRECT("'"&amp;$A10&amp;"'!$S$15"))=TRIM(Tulokset!$P$13),2,0))</f>
        <v/>
      </c>
      <c r="DP10" t="str">
        <f ca="1">IF(OR(Tulokset!$P$14="",INDIRECT("'"&amp;$A10&amp;"'!$S$16")=""),"",IF(TRIM(INDIRECT("'"&amp;$A10&amp;"'!$S$16"))=TRIM(Tulokset!$P$14),2,0))</f>
        <v/>
      </c>
      <c r="DQ10" t="str">
        <f ca="1">IF(OR(Tulokset!$P$15="",INDIRECT("'"&amp;$A10&amp;"'!$S$17")=""),"",IF(TRIM(INDIRECT("'"&amp;$A10&amp;"'!$S$17"))=TRIM(Tulokset!$P$15),2,0))</f>
        <v/>
      </c>
      <c r="DR10" t="str">
        <f ca="1">IF(OR(Tulokset!$Q$12="",INDIRECT("'"&amp;$A10&amp;"'!$T$14")=""),"",IF(TRIM(INDIRECT("'"&amp;$A10&amp;"'!$T$14"))=TRIM(Tulokset!$Q$12),2,0))</f>
        <v/>
      </c>
      <c r="DS10" t="str">
        <f ca="1">IF(OR(Tulokset!$Q$13="",INDIRECT("'"&amp;$A10&amp;"'!$T$15")=""),"",IF(TRIM(INDIRECT("'"&amp;$A10&amp;"'!$T$15"))=TRIM(Tulokset!$Q$13),2,0))</f>
        <v/>
      </c>
      <c r="DT10" t="str">
        <f ca="1">IF(OR(Tulokset!$Q$14="",INDIRECT("'"&amp;$A10&amp;"'!$T$16")=""),"",IF(TRIM(INDIRECT("'"&amp;$A10&amp;"'!$T$16"))=TRIM(Tulokset!$Q$14),2,0))</f>
        <v/>
      </c>
      <c r="DU10" t="str">
        <f ca="1">IF(OR(Tulokset!$Q$15="",INDIRECT("'"&amp;$A10&amp;"'!$T$17")=""),"",IF(TRIM(INDIRECT("'"&amp;$A10&amp;"'!$T$17"))=TRIM(Tulokset!$Q$15),2,0))</f>
        <v/>
      </c>
      <c r="DV10" t="str">
        <f ca="1">IF(OR(Tulokset!$R$12="",INDIRECT("'"&amp;$A10&amp;"'!$U$14")=""),"",IF(TRIM(INDIRECT("'"&amp;$A10&amp;"'!$U$14"))=TRIM(Tulokset!$R$12),2,0))</f>
        <v/>
      </c>
      <c r="DW10" t="str">
        <f ca="1">IF(OR(Tulokset!$R$13="",INDIRECT("'"&amp;$A10&amp;"'!$U$15")=""),"",IF(TRIM(INDIRECT("'"&amp;$A10&amp;"'!$U$15"))=TRIM(Tulokset!$R$13),2,0))</f>
        <v/>
      </c>
      <c r="DX10" t="str">
        <f ca="1">IF(OR(Tulokset!$R$14="",INDIRECT("'"&amp;$A10&amp;"'!$U$16")=""),"",IF(TRIM(INDIRECT("'"&amp;$A10&amp;"'!$U$16"))=TRIM(Tulokset!$R$14),2,0))</f>
        <v/>
      </c>
      <c r="DY10" t="str">
        <f ca="1">IF(OR(Tulokset!$R$15="",INDIRECT("'"&amp;$A10&amp;"'!$U$17")=""),"",IF(TRIM(INDIRECT("'"&amp;$A10&amp;"'!$U$17"))=TRIM(Tulokset!$R$15),2,0))</f>
        <v/>
      </c>
      <c r="EA10" t="str">
        <f ca="1">IF(OR(INDIRECT("'"&amp;$A10&amp;"'!$E$79")="",COUNTA(Tulokset!$M$20:$M$21)=0),"",IF(COUNTIF(Tulokset!$M$20:$M$21,INDIRECT("'"&amp;$A10&amp;"'!$E$79"))&gt;0,2,0))</f>
        <v/>
      </c>
      <c r="EB10" t="str">
        <f ca="1">IF(OR(INDIRECT("'"&amp;$A10&amp;"'!$G$79")="",COUNTA(Tulokset!$M$20:$M$21)=0),"",IF(COUNTIF(Tulokset!$M$20:$M$21,INDIRECT("'"&amp;$A10&amp;"'!$G$79"))&gt;0,2,0))</f>
        <v/>
      </c>
      <c r="EC10" t="str">
        <f ca="1">IF(OR(INDIRECT("'"&amp;$A10&amp;"'!$E$80")="",COUNTA(Tulokset!$M$23:$M$24)=0),"",IF(COUNTIF(Tulokset!$M$23:$M$24,INDIRECT("'"&amp;$A10&amp;"'!$E$80"))&gt;0,2,0))</f>
        <v/>
      </c>
      <c r="ED10" t="str">
        <f ca="1">IF(OR(INDIRECT("'"&amp;$A10&amp;"'!$G$80")="",COUNTA(Tulokset!$M$23:$M$24)=0),"",IF(COUNTIF(Tulokset!$M$23:$M$24,INDIRECT("'"&amp;$A10&amp;"'!$G$80"))&gt;0,2,0))</f>
        <v/>
      </c>
    </row>
    <row r="11" spans="1:134">
      <c r="A11" t="s">
        <v>303</v>
      </c>
      <c r="B11" t="str">
        <f t="shared" ca="1" si="0"/>
        <v>Rikhard Moeller-Kalanmaksaoeljy</v>
      </c>
      <c r="C11" s="95">
        <f t="shared" si="1"/>
        <v>0</v>
      </c>
      <c r="D11" s="95">
        <f t="shared" ca="1" si="2"/>
        <v>0</v>
      </c>
      <c r="E11" s="95">
        <f t="shared" ca="1" si="3"/>
        <v>0</v>
      </c>
      <c r="F11" s="95">
        <f t="shared" ca="1" si="4"/>
        <v>0</v>
      </c>
      <c r="G11" s="95">
        <f t="shared" si="5"/>
        <v>0</v>
      </c>
      <c r="H11" t="str">
        <f>IF(OR(Tulokset!$G$6="",Tulokset!$I$6="",'8'!$I$7="",'8'!$K$7=""),"",IF(SIGN('8'!$I$7-'8'!$K$7)&lt;&gt;SIGN(Tulokset!$G$6-Tulokset!$I$6),0,IF(Tulokset!$G$6=Tulokset!$I$6,IF(AND('8'!$I$7=Tulokset!$G$6,'8'!$K$7=Tulokset!$I$6),6,3),MAX(0,6-(ABS('8'!$I$7-Tulokset!$G$6)+ABS('8'!$K$7-Tulokset!$I$6))))))</f>
        <v/>
      </c>
      <c r="I11" t="str">
        <f>IF(OR(Tulokset!$G$7="",Tulokset!$I$7="",'8'!$I$8="",'8'!$K$8=""),"",IF(SIGN('8'!$I$8-'8'!$K$8)&lt;&gt;SIGN(Tulokset!$G$7-Tulokset!$I$7),0,IF(Tulokset!$G$7=Tulokset!$I$7,IF(AND('8'!$I$8=Tulokset!$G$7,'8'!$K$8=Tulokset!$I$7),6,3),MAX(0,6-(ABS('8'!$I$8-Tulokset!$G$7)+ABS('8'!$K$8-Tulokset!$I$7))))))</f>
        <v/>
      </c>
      <c r="J11" t="str">
        <f>IF(OR(Tulokset!$G$8="",Tulokset!$I$8="",'8'!$I$9="",'8'!$K$9=""),"",IF(SIGN('8'!$I$9-'8'!$K$9)&lt;&gt;SIGN(Tulokset!$G$8-Tulokset!$I$8),0,IF(Tulokset!$G$8=Tulokset!$I$8,IF(AND('8'!$I$9=Tulokset!$G$8,'8'!$K$9=Tulokset!$I$8),6,3),MAX(0,6-(ABS('8'!$I$9-Tulokset!$G$8)+ABS('8'!$K$9-Tulokset!$I$8))))))</f>
        <v/>
      </c>
      <c r="K11" t="str">
        <f>IF(OR(Tulokset!$G$9="",Tulokset!$I$9="",'8'!$I$10="",'8'!$K$10=""),"",IF(SIGN('8'!$I$10-'8'!$K$10)&lt;&gt;SIGN(Tulokset!$G$9-Tulokset!$I$9),0,IF(Tulokset!$G$9=Tulokset!$I$9,IF(AND('8'!$I$10=Tulokset!$G$9,'8'!$K$10=Tulokset!$I$9),6,3),MAX(0,6-(ABS('8'!$I$10-Tulokset!$G$9)+ABS('8'!$K$10-Tulokset!$I$9))))))</f>
        <v/>
      </c>
      <c r="L11" t="str">
        <f>IF(OR(Tulokset!$G$10="",Tulokset!$I$10="",'8'!$I$11="",'8'!$K$11=""),"",IF(SIGN('8'!$I$11-'8'!$K$11)&lt;&gt;SIGN(Tulokset!$G$10-Tulokset!$I$10),0,IF(Tulokset!$G$10=Tulokset!$I$10,IF(AND('8'!$I$11=Tulokset!$G$10,'8'!$K$11=Tulokset!$I$10),6,3),MAX(0,6-(ABS('8'!$I$11-Tulokset!$G$10)+ABS('8'!$K$11-Tulokset!$I$10))))))</f>
        <v/>
      </c>
      <c r="M11" t="str">
        <f>IF(OR(Tulokset!$G$11="",Tulokset!$I$11="",'8'!$I$12="",'8'!$K$12=""),"",IF(SIGN('8'!$I$12-'8'!$K$12)&lt;&gt;SIGN(Tulokset!$G$11-Tulokset!$I$11),0,IF(Tulokset!$G$11=Tulokset!$I$11,IF(AND('8'!$I$12=Tulokset!$G$11,'8'!$K$12=Tulokset!$I$11),6,3),MAX(0,6-(ABS('8'!$I$12-Tulokset!$G$11)+ABS('8'!$K$12-Tulokset!$I$11))))))</f>
        <v/>
      </c>
      <c r="N11" t="str">
        <f>IF(OR(Tulokset!$G$12="",Tulokset!$I$12="",'8'!$I$13="",'8'!$K$13=""),"",IF(SIGN('8'!$I$13-'8'!$K$13)&lt;&gt;SIGN(Tulokset!$G$12-Tulokset!$I$12),0,IF(Tulokset!$G$12=Tulokset!$I$12,IF(AND('8'!$I$13=Tulokset!$G$12,'8'!$K$13=Tulokset!$I$12),6,3),MAX(0,6-(ABS('8'!$I$13-Tulokset!$G$12)+ABS('8'!$K$13-Tulokset!$I$12))))))</f>
        <v/>
      </c>
      <c r="O11" t="str">
        <f>IF(OR(Tulokset!$G$13="",Tulokset!$I$13="",'8'!$I$14="",'8'!$K$14=""),"",IF(SIGN('8'!$I$14-'8'!$K$14)&lt;&gt;SIGN(Tulokset!$G$13-Tulokset!$I$13),0,IF(Tulokset!$G$13=Tulokset!$I$13,IF(AND('8'!$I$14=Tulokset!$G$13,'8'!$K$14=Tulokset!$I$13),6,3),MAX(0,6-(ABS('8'!$I$14-Tulokset!$G$13)+ABS('8'!$K$14-Tulokset!$I$13))))))</f>
        <v/>
      </c>
      <c r="P11" t="str">
        <f>IF(OR(Tulokset!$G$14="",Tulokset!$I$14="",'8'!$I$15="",'8'!$K$15=""),"",IF(SIGN('8'!$I$15-'8'!$K$15)&lt;&gt;SIGN(Tulokset!$G$14-Tulokset!$I$14),0,IF(Tulokset!$G$14=Tulokset!$I$14,IF(AND('8'!$I$15=Tulokset!$G$14,'8'!$K$15=Tulokset!$I$14),6,3),MAX(0,6-(ABS('8'!$I$15-Tulokset!$G$14)+ABS('8'!$K$15-Tulokset!$I$14))))))</f>
        <v/>
      </c>
      <c r="Q11" t="str">
        <f>IF(OR(Tulokset!$G$15="",Tulokset!$I$15="",'8'!$I$16="",'8'!$K$16=""),"",IF(SIGN('8'!$I$16-'8'!$K$16)&lt;&gt;SIGN(Tulokset!$G$15-Tulokset!$I$15),0,IF(Tulokset!$G$15=Tulokset!$I$15,IF(AND('8'!$I$16=Tulokset!$G$15,'8'!$K$16=Tulokset!$I$15),6,3),MAX(0,6-(ABS('8'!$I$16-Tulokset!$G$15)+ABS('8'!$K$16-Tulokset!$I$15))))))</f>
        <v/>
      </c>
      <c r="R11" t="str">
        <f>IF(OR(Tulokset!$G$16="",Tulokset!$I$16="",'8'!$I$17="",'8'!$K$17=""),"",IF(SIGN('8'!$I$17-'8'!$K$17)&lt;&gt;SIGN(Tulokset!$G$16-Tulokset!$I$16),0,IF(Tulokset!$G$16=Tulokset!$I$16,IF(AND('8'!$I$17=Tulokset!$G$16,'8'!$K$17=Tulokset!$I$16),6,3),MAX(0,6-(ABS('8'!$I$17-Tulokset!$G$16)+ABS('8'!$K$17-Tulokset!$I$16))))))</f>
        <v/>
      </c>
      <c r="S11" t="str">
        <f>IF(OR(Tulokset!$G$17="",Tulokset!$I$17="",'8'!$I$18="",'8'!$K$18=""),"",IF(SIGN('8'!$I$18-'8'!$K$18)&lt;&gt;SIGN(Tulokset!$G$17-Tulokset!$I$17),0,IF(Tulokset!$G$17=Tulokset!$I$17,IF(AND('8'!$I$18=Tulokset!$G$17,'8'!$K$18=Tulokset!$I$17),6,3),MAX(0,6-(ABS('8'!$I$18-Tulokset!$G$17)+ABS('8'!$K$18-Tulokset!$I$17))))))</f>
        <v/>
      </c>
      <c r="T11" t="str">
        <f>IF(OR(Tulokset!$G$18="",Tulokset!$I$18="",'8'!$I$19="",'8'!$K$19=""),"",IF(SIGN('8'!$I$19-'8'!$K$19)&lt;&gt;SIGN(Tulokset!$G$18-Tulokset!$I$18),0,IF(Tulokset!$G$18=Tulokset!$I$18,IF(AND('8'!$I$19=Tulokset!$G$18,'8'!$K$19=Tulokset!$I$18),6,3),MAX(0,6-(ABS('8'!$I$19-Tulokset!$G$18)+ABS('8'!$K$19-Tulokset!$I$18))))))</f>
        <v/>
      </c>
      <c r="U11" t="str">
        <f>IF(OR(Tulokset!$G$19="",Tulokset!$I$19="",'8'!$I$20="",'8'!$K$20=""),"",IF(SIGN('8'!$I$20-'8'!$K$20)&lt;&gt;SIGN(Tulokset!$G$19-Tulokset!$I$19),0,IF(Tulokset!$G$19=Tulokset!$I$19,IF(AND('8'!$I$20=Tulokset!$G$19,'8'!$K$20=Tulokset!$I$19),6,3),MAX(0,6-(ABS('8'!$I$20-Tulokset!$G$19)+ABS('8'!$K$20-Tulokset!$I$19))))))</f>
        <v/>
      </c>
      <c r="V11" t="str">
        <f>IF(OR(Tulokset!$G$20="",Tulokset!$I$20="",'8'!$I$21="",'8'!$K$21=""),"",IF(SIGN('8'!$I$21-'8'!$K$21)&lt;&gt;SIGN(Tulokset!$G$20-Tulokset!$I$20),0,IF(Tulokset!$G$20=Tulokset!$I$20,IF(AND('8'!$I$21=Tulokset!$G$20,'8'!$K$21=Tulokset!$I$20),6,3),MAX(0,6-(ABS('8'!$I$21-Tulokset!$G$20)+ABS('8'!$K$21-Tulokset!$I$20))))))</f>
        <v/>
      </c>
      <c r="W11" t="str">
        <f>IF(OR(Tulokset!$G$21="",Tulokset!$I$21="",'8'!$I$22="",'8'!$K$22=""),"",IF(SIGN('8'!$I$22-'8'!$K$22)&lt;&gt;SIGN(Tulokset!$G$21-Tulokset!$I$21),0,IF(Tulokset!$G$21=Tulokset!$I$21,IF(AND('8'!$I$22=Tulokset!$G$21,'8'!$K$22=Tulokset!$I$21),6,3),MAX(0,6-(ABS('8'!$I$22-Tulokset!$G$21)+ABS('8'!$K$22-Tulokset!$I$21))))))</f>
        <v/>
      </c>
      <c r="X11" t="str">
        <f>IF(OR(Tulokset!$G$22="",Tulokset!$I$22="",'8'!$I$23="",'8'!$K$23=""),"",IF(SIGN('8'!$I$23-'8'!$K$23)&lt;&gt;SIGN(Tulokset!$G$22-Tulokset!$I$22),0,IF(Tulokset!$G$22=Tulokset!$I$22,IF(AND('8'!$I$23=Tulokset!$G$22,'8'!$K$23=Tulokset!$I$22),6,3),MAX(0,6-(ABS('8'!$I$23-Tulokset!$G$22)+ABS('8'!$K$23-Tulokset!$I$22))))))</f>
        <v/>
      </c>
      <c r="Y11" t="str">
        <f>IF(OR(Tulokset!$G$23="",Tulokset!$I$23="",'8'!$I$24="",'8'!$K$24=""),"",IF(SIGN('8'!$I$24-'8'!$K$24)&lt;&gt;SIGN(Tulokset!$G$23-Tulokset!$I$23),0,IF(Tulokset!$G$23=Tulokset!$I$23,IF(AND('8'!$I$24=Tulokset!$G$23,'8'!$K$24=Tulokset!$I$23),6,3),MAX(0,6-(ABS('8'!$I$24-Tulokset!$G$23)+ABS('8'!$K$24-Tulokset!$I$23))))))</f>
        <v/>
      </c>
      <c r="Z11" t="str">
        <f>IF(OR(Tulokset!$G$24="",Tulokset!$I$24="",'8'!$I$25="",'8'!$K$25=""),"",IF(SIGN('8'!$I$25-'8'!$K$25)&lt;&gt;SIGN(Tulokset!$G$24-Tulokset!$I$24),0,IF(Tulokset!$G$24=Tulokset!$I$24,IF(AND('8'!$I$25=Tulokset!$G$24,'8'!$K$25=Tulokset!$I$24),6,3),MAX(0,6-(ABS('8'!$I$25-Tulokset!$G$24)+ABS('8'!$K$25-Tulokset!$I$24))))))</f>
        <v/>
      </c>
      <c r="AA11" t="str">
        <f>IF(OR(Tulokset!$G$25="",Tulokset!$I$25="",'8'!$I$26="",'8'!$K$26=""),"",IF(SIGN('8'!$I$26-'8'!$K$26)&lt;&gt;SIGN(Tulokset!$G$25-Tulokset!$I$25),0,IF(Tulokset!$G$25=Tulokset!$I$25,IF(AND('8'!$I$26=Tulokset!$G$25,'8'!$K$26=Tulokset!$I$25),6,3),MAX(0,6-(ABS('8'!$I$26-Tulokset!$G$25)+ABS('8'!$K$26-Tulokset!$I$25))))))</f>
        <v/>
      </c>
      <c r="AB11" t="str">
        <f>IF(OR(Tulokset!$G$26="",Tulokset!$I$26="",'8'!$I$27="",'8'!$K$27=""),"",IF(SIGN('8'!$I$27-'8'!$K$27)&lt;&gt;SIGN(Tulokset!$G$26-Tulokset!$I$26),0,IF(Tulokset!$G$26=Tulokset!$I$26,IF(AND('8'!$I$27=Tulokset!$G$26,'8'!$K$27=Tulokset!$I$26),6,3),MAX(0,6-(ABS('8'!$I$27-Tulokset!$G$26)+ABS('8'!$K$27-Tulokset!$I$26))))))</f>
        <v/>
      </c>
      <c r="AC11" t="str">
        <f>IF(OR(Tulokset!$G$27="",Tulokset!$I$27="",'8'!$I$28="",'8'!$K$28=""),"",IF(SIGN('8'!$I$28-'8'!$K$28)&lt;&gt;SIGN(Tulokset!$G$27-Tulokset!$I$27),0,IF(Tulokset!$G$27=Tulokset!$I$27,IF(AND('8'!$I$28=Tulokset!$G$27,'8'!$K$28=Tulokset!$I$27),6,3),MAX(0,6-(ABS('8'!$I$28-Tulokset!$G$27)+ABS('8'!$K$28-Tulokset!$I$27))))))</f>
        <v/>
      </c>
      <c r="AD11" t="str">
        <f>IF(OR(Tulokset!$G$28="",Tulokset!$I$28="",'8'!$I$29="",'8'!$K$29=""),"",IF(SIGN('8'!$I$29-'8'!$K$29)&lt;&gt;SIGN(Tulokset!$G$28-Tulokset!$I$28),0,IF(Tulokset!$G$28=Tulokset!$I$28,IF(AND('8'!$I$29=Tulokset!$G$28,'8'!$K$29=Tulokset!$I$28),6,3),MAX(0,6-(ABS('8'!$I$29-Tulokset!$G$28)+ABS('8'!$K$29-Tulokset!$I$28))))))</f>
        <v/>
      </c>
      <c r="AE11" t="str">
        <f>IF(OR(Tulokset!$G$29="",Tulokset!$I$29="",'8'!$I$30="",'8'!$K$30=""),"",IF(SIGN('8'!$I$30-'8'!$K$30)&lt;&gt;SIGN(Tulokset!$G$29-Tulokset!$I$29),0,IF(Tulokset!$G$29=Tulokset!$I$29,IF(AND('8'!$I$30=Tulokset!$G$29,'8'!$K$30=Tulokset!$I$29),6,3),MAX(0,6-(ABS('8'!$I$30-Tulokset!$G$29)+ABS('8'!$K$30-Tulokset!$I$29))))))</f>
        <v/>
      </c>
      <c r="AF11" t="str">
        <f>IF(OR(Tulokset!$G$30="",Tulokset!$I$30="",'8'!$I$31="",'8'!$K$31=""),"",IF(SIGN('8'!$I$31-'8'!$K$31)&lt;&gt;SIGN(Tulokset!$G$30-Tulokset!$I$30),0,IF(Tulokset!$G$30=Tulokset!$I$30,IF(AND('8'!$I$31=Tulokset!$G$30,'8'!$K$31=Tulokset!$I$30),6,3),MAX(0,6-(ABS('8'!$I$31-Tulokset!$G$30)+ABS('8'!$K$31-Tulokset!$I$30))))))</f>
        <v/>
      </c>
      <c r="AG11" t="str">
        <f>IF(OR(Tulokset!$G$31="",Tulokset!$I$31="",'8'!$I$32="",'8'!$K$32=""),"",IF(SIGN('8'!$I$32-'8'!$K$32)&lt;&gt;SIGN(Tulokset!$G$31-Tulokset!$I$31),0,IF(Tulokset!$G$31=Tulokset!$I$31,IF(AND('8'!$I$32=Tulokset!$G$31,'8'!$K$32=Tulokset!$I$31),6,3),MAX(0,6-(ABS('8'!$I$32-Tulokset!$G$31)+ABS('8'!$K$32-Tulokset!$I$31))))))</f>
        <v/>
      </c>
      <c r="AH11" t="str">
        <f>IF(OR(Tulokset!$G$32="",Tulokset!$I$32="",'8'!$I$33="",'8'!$K$33=""),"",IF(SIGN('8'!$I$33-'8'!$K$33)&lt;&gt;SIGN(Tulokset!$G$32-Tulokset!$I$32),0,IF(Tulokset!$G$32=Tulokset!$I$32,IF(AND('8'!$I$33=Tulokset!$G$32,'8'!$K$33=Tulokset!$I$32),6,3),MAX(0,6-(ABS('8'!$I$33-Tulokset!$G$32)+ABS('8'!$K$33-Tulokset!$I$32))))))</f>
        <v/>
      </c>
      <c r="AI11" t="str">
        <f>IF(OR(Tulokset!$G$33="",Tulokset!$I$33="",'8'!$I$34="",'8'!$K$34=""),"",IF(SIGN('8'!$I$34-'8'!$K$34)&lt;&gt;SIGN(Tulokset!$G$33-Tulokset!$I$33),0,IF(Tulokset!$G$33=Tulokset!$I$33,IF(AND('8'!$I$34=Tulokset!$G$33,'8'!$K$34=Tulokset!$I$33),6,3),MAX(0,6-(ABS('8'!$I$34-Tulokset!$G$33)+ABS('8'!$K$34-Tulokset!$I$33))))))</f>
        <v/>
      </c>
      <c r="AJ11" t="str">
        <f>IF(OR(Tulokset!$G$34="",Tulokset!$I$34="",'8'!$I$35="",'8'!$K$35=""),"",IF(SIGN('8'!$I$35-'8'!$K$35)&lt;&gt;SIGN(Tulokset!$G$34-Tulokset!$I$34),0,IF(Tulokset!$G$34=Tulokset!$I$34,IF(AND('8'!$I$35=Tulokset!$G$34,'8'!$K$35=Tulokset!$I$34),6,3),MAX(0,6-(ABS('8'!$I$35-Tulokset!$G$34)+ABS('8'!$K$35-Tulokset!$I$34))))))</f>
        <v/>
      </c>
      <c r="AK11" t="str">
        <f>IF(OR(Tulokset!$G$35="",Tulokset!$I$35="",'8'!$I$36="",'8'!$K$36=""),"",IF(SIGN('8'!$I$36-'8'!$K$36)&lt;&gt;SIGN(Tulokset!$G$35-Tulokset!$I$35),0,IF(Tulokset!$G$35=Tulokset!$I$35,IF(AND('8'!$I$36=Tulokset!$G$35,'8'!$K$36=Tulokset!$I$35),6,3),MAX(0,6-(ABS('8'!$I$36-Tulokset!$G$35)+ABS('8'!$K$36-Tulokset!$I$35))))))</f>
        <v/>
      </c>
      <c r="AL11" t="str">
        <f>IF(OR(Tulokset!$G$36="",Tulokset!$I$36="",'8'!$I$37="",'8'!$K$37=""),"",IF(SIGN('8'!$I$37-'8'!$K$37)&lt;&gt;SIGN(Tulokset!$G$36-Tulokset!$I$36),0,IF(Tulokset!$G$36=Tulokset!$I$36,IF(AND('8'!$I$37=Tulokset!$G$36,'8'!$K$37=Tulokset!$I$36),6,3),MAX(0,6-(ABS('8'!$I$37-Tulokset!$G$36)+ABS('8'!$K$37-Tulokset!$I$36))))))</f>
        <v/>
      </c>
      <c r="AM11" t="str">
        <f>IF(OR(Tulokset!$G$37="",Tulokset!$I$37="",'8'!$I$38="",'8'!$K$38=""),"",IF(SIGN('8'!$I$38-'8'!$K$38)&lt;&gt;SIGN(Tulokset!$G$37-Tulokset!$I$37),0,IF(Tulokset!$G$37=Tulokset!$I$37,IF(AND('8'!$I$38=Tulokset!$G$37,'8'!$K$38=Tulokset!$I$37),6,3),MAX(0,6-(ABS('8'!$I$38-Tulokset!$G$37)+ABS('8'!$K$38-Tulokset!$I$37))))))</f>
        <v/>
      </c>
      <c r="AN11" t="str">
        <f>IF(OR(Tulokset!$G$38="",Tulokset!$I$38="",'8'!$I$39="",'8'!$K$39=""),"",IF(SIGN('8'!$I$39-'8'!$K$39)&lt;&gt;SIGN(Tulokset!$G$38-Tulokset!$I$38),0,IF(Tulokset!$G$38=Tulokset!$I$38,IF(AND('8'!$I$39=Tulokset!$G$38,'8'!$K$39=Tulokset!$I$38),6,3),MAX(0,6-(ABS('8'!$I$39-Tulokset!$G$38)+ABS('8'!$K$39-Tulokset!$I$38))))))</f>
        <v/>
      </c>
      <c r="AO11" t="str">
        <f>IF(OR(Tulokset!$G$39="",Tulokset!$I$39="",'8'!$I$40="",'8'!$K$40=""),"",IF(SIGN('8'!$I$40-'8'!$K$40)&lt;&gt;SIGN(Tulokset!$G$39-Tulokset!$I$39),0,IF(Tulokset!$G$39=Tulokset!$I$39,IF(AND('8'!$I$40=Tulokset!$G$39,'8'!$K$40=Tulokset!$I$39),6,3),MAX(0,6-(ABS('8'!$I$40-Tulokset!$G$39)+ABS('8'!$K$40-Tulokset!$I$39))))))</f>
        <v/>
      </c>
      <c r="AP11" t="str">
        <f>IF(OR(Tulokset!$G$40="",Tulokset!$I$40="",'8'!$I$41="",'8'!$K$41=""),"",IF(SIGN('8'!$I$41-'8'!$K$41)&lt;&gt;SIGN(Tulokset!$G$40-Tulokset!$I$40),0,IF(Tulokset!$G$40=Tulokset!$I$40,IF(AND('8'!$I$41=Tulokset!$G$40,'8'!$K$41=Tulokset!$I$40),6,3),MAX(0,6-(ABS('8'!$I$41-Tulokset!$G$40)+ABS('8'!$K$41-Tulokset!$I$40))))))</f>
        <v/>
      </c>
      <c r="AQ11" t="str">
        <f>IF(OR(Tulokset!$G$41="",Tulokset!$I$41="",'8'!$I$42="",'8'!$K$42=""),"",IF(SIGN('8'!$I$42-'8'!$K$42)&lt;&gt;SIGN(Tulokset!$G$41-Tulokset!$I$41),0,IF(Tulokset!$G$41=Tulokset!$I$41,IF(AND('8'!$I$42=Tulokset!$G$41,'8'!$K$42=Tulokset!$I$41),6,3),MAX(0,6-(ABS('8'!$I$42-Tulokset!$G$41)+ABS('8'!$K$42-Tulokset!$I$41))))))</f>
        <v/>
      </c>
      <c r="AR11" t="str">
        <f>IF(OR(Tulokset!$G$42="",Tulokset!$I$42="",'8'!$I$43="",'8'!$K$43=""),"",IF(SIGN('8'!$I$43-'8'!$K$43)&lt;&gt;SIGN(Tulokset!$G$42-Tulokset!$I$42),0,IF(Tulokset!$G$42=Tulokset!$I$42,IF(AND('8'!$I$43=Tulokset!$G$42,'8'!$K$43=Tulokset!$I$42),6,3),MAX(0,6-(ABS('8'!$I$43-Tulokset!$G$42)+ABS('8'!$K$43-Tulokset!$I$42))))))</f>
        <v/>
      </c>
      <c r="AS11" t="str">
        <f>IF(OR(Tulokset!$G$43="",Tulokset!$I$43="",'8'!$I$44="",'8'!$K$44=""),"",IF(SIGN('8'!$I$44-'8'!$K$44)&lt;&gt;SIGN(Tulokset!$G$43-Tulokset!$I$43),0,IF(Tulokset!$G$43=Tulokset!$I$43,IF(AND('8'!$I$44=Tulokset!$G$43,'8'!$K$44=Tulokset!$I$43),6,3),MAX(0,6-(ABS('8'!$I$44-Tulokset!$G$43)+ABS('8'!$K$44-Tulokset!$I$43))))))</f>
        <v/>
      </c>
      <c r="AT11" t="str">
        <f>IF(OR(Tulokset!$G$44="",Tulokset!$I$44="",'8'!$I$45="",'8'!$K$45=""),"",IF(SIGN('8'!$I$45-'8'!$K$45)&lt;&gt;SIGN(Tulokset!$G$44-Tulokset!$I$44),0,IF(Tulokset!$G$44=Tulokset!$I$44,IF(AND('8'!$I$45=Tulokset!$G$44,'8'!$K$45=Tulokset!$I$44),6,3),MAX(0,6-(ABS('8'!$I$45-Tulokset!$G$44)+ABS('8'!$K$45-Tulokset!$I$44))))))</f>
        <v/>
      </c>
      <c r="AU11" t="str">
        <f>IF(OR(Tulokset!$G$45="",Tulokset!$I$45="",'8'!$I$46="",'8'!$K$46=""),"",IF(SIGN('8'!$I$46-'8'!$K$46)&lt;&gt;SIGN(Tulokset!$G$45-Tulokset!$I$45),0,IF(Tulokset!$G$45=Tulokset!$I$45,IF(AND('8'!$I$46=Tulokset!$G$45,'8'!$K$46=Tulokset!$I$45),6,3),MAX(0,6-(ABS('8'!$I$46-Tulokset!$G$45)+ABS('8'!$K$46-Tulokset!$I$45))))))</f>
        <v/>
      </c>
      <c r="AV11" t="str">
        <f>IF(OR(Tulokset!$G$46="",Tulokset!$I$46="",'8'!$I$47="",'8'!$K$47=""),"",IF(SIGN('8'!$I$47-'8'!$K$47)&lt;&gt;SIGN(Tulokset!$G$46-Tulokset!$I$46),0,IF(Tulokset!$G$46=Tulokset!$I$46,IF(AND('8'!$I$47=Tulokset!$G$46,'8'!$K$47=Tulokset!$I$46),6,3),MAX(0,6-(ABS('8'!$I$47-Tulokset!$G$46)+ABS('8'!$K$47-Tulokset!$I$46))))))</f>
        <v/>
      </c>
      <c r="AW11" t="str">
        <f>IF(OR(Tulokset!$G$47="",Tulokset!$I$47="",'8'!$I$48="",'8'!$K$48=""),"",IF(SIGN('8'!$I$48-'8'!$K$48)&lt;&gt;SIGN(Tulokset!$G$47-Tulokset!$I$47),0,IF(Tulokset!$G$47=Tulokset!$I$47,IF(AND('8'!$I$48=Tulokset!$G$47,'8'!$K$48=Tulokset!$I$47),6,3),MAX(0,6-(ABS('8'!$I$48-Tulokset!$G$47)+ABS('8'!$K$48-Tulokset!$I$47))))))</f>
        <v/>
      </c>
      <c r="AX11" t="str">
        <f>IF(OR(Tulokset!$G$48="",Tulokset!$I$48="",'8'!$I$49="",'8'!$K$49=""),"",IF(SIGN('8'!$I$49-'8'!$K$49)&lt;&gt;SIGN(Tulokset!$G$48-Tulokset!$I$48),0,IF(Tulokset!$G$48=Tulokset!$I$48,IF(AND('8'!$I$49=Tulokset!$G$48,'8'!$K$49=Tulokset!$I$48),6,3),MAX(0,6-(ABS('8'!$I$49-Tulokset!$G$48)+ABS('8'!$K$49-Tulokset!$I$48))))))</f>
        <v/>
      </c>
      <c r="AY11" t="str">
        <f>IF(OR(Tulokset!$G$49="",Tulokset!$I$49="",'8'!$I$50="",'8'!$K$50=""),"",IF(SIGN('8'!$I$50-'8'!$K$50)&lt;&gt;SIGN(Tulokset!$G$49-Tulokset!$I$49),0,IF(Tulokset!$G$49=Tulokset!$I$49,IF(AND('8'!$I$50=Tulokset!$G$49,'8'!$K$50=Tulokset!$I$49),6,3),MAX(0,6-(ABS('8'!$I$50-Tulokset!$G$49)+ABS('8'!$K$50-Tulokset!$I$49))))))</f>
        <v/>
      </c>
      <c r="AZ11" t="str">
        <f>IF(OR(Tulokset!$G$50="",Tulokset!$I$50="",'8'!$I$51="",'8'!$K$51=""),"",IF(SIGN('8'!$I$51-'8'!$K$51)&lt;&gt;SIGN(Tulokset!$G$50-Tulokset!$I$50),0,IF(Tulokset!$G$50=Tulokset!$I$50,IF(AND('8'!$I$51=Tulokset!$G$50,'8'!$K$51=Tulokset!$I$50),6,3),MAX(0,6-(ABS('8'!$I$51-Tulokset!$G$50)+ABS('8'!$K$51-Tulokset!$I$50))))))</f>
        <v/>
      </c>
      <c r="BA11" t="str">
        <f>IF(OR(Tulokset!$G$51="",Tulokset!$I$51="",'8'!$I$52="",'8'!$K$52=""),"",IF(SIGN('8'!$I$52-'8'!$K$52)&lt;&gt;SIGN(Tulokset!$G$51-Tulokset!$I$51),0,IF(Tulokset!$G$51=Tulokset!$I$51,IF(AND('8'!$I$52=Tulokset!$G$51,'8'!$K$52=Tulokset!$I$51),6,3),MAX(0,6-(ABS('8'!$I$52-Tulokset!$G$51)+ABS('8'!$K$52-Tulokset!$I$51))))))</f>
        <v/>
      </c>
      <c r="BB11" t="str">
        <f>IF(OR(Tulokset!$G$52="",Tulokset!$I$52="",'8'!$I$53="",'8'!$K$53=""),"",IF(SIGN('8'!$I$53-'8'!$K$53)&lt;&gt;SIGN(Tulokset!$G$52-Tulokset!$I$52),0,IF(Tulokset!$G$52=Tulokset!$I$52,IF(AND('8'!$I$53=Tulokset!$G$52,'8'!$K$53=Tulokset!$I$52),6,3),MAX(0,6-(ABS('8'!$I$53-Tulokset!$G$52)+ABS('8'!$K$53-Tulokset!$I$52))))))</f>
        <v/>
      </c>
      <c r="BC11" t="str">
        <f>IF(OR(Tulokset!$G$53="",Tulokset!$I$53="",'8'!$I$54="",'8'!$K$54=""),"",IF(SIGN('8'!$I$54-'8'!$K$54)&lt;&gt;SIGN(Tulokset!$G$53-Tulokset!$I$53),0,IF(Tulokset!$G$53=Tulokset!$I$53,IF(AND('8'!$I$54=Tulokset!$G$53,'8'!$K$54=Tulokset!$I$53),6,3),MAX(0,6-(ABS('8'!$I$54-Tulokset!$G$53)+ABS('8'!$K$54-Tulokset!$I$53))))))</f>
        <v/>
      </c>
      <c r="BD11" t="str">
        <f>IF(OR(Tulokset!$G$54="",Tulokset!$I$54="",'8'!$I$55="",'8'!$K$55=""),"",IF(SIGN('8'!$I$55-'8'!$K$55)&lt;&gt;SIGN(Tulokset!$G$54-Tulokset!$I$54),0,IF(Tulokset!$G$54=Tulokset!$I$54,IF(AND('8'!$I$55=Tulokset!$G$54,'8'!$K$55=Tulokset!$I$54),6,3),MAX(0,6-(ABS('8'!$I$55-Tulokset!$G$54)+ABS('8'!$K$55-Tulokset!$I$54))))))</f>
        <v/>
      </c>
      <c r="BE11" t="str">
        <f>IF(OR(Tulokset!$G$55="",Tulokset!$I$55="",'8'!$I$56="",'8'!$K$56=""),"",IF(SIGN('8'!$I$56-'8'!$K$56)&lt;&gt;SIGN(Tulokset!$G$55-Tulokset!$I$55),0,IF(Tulokset!$G$55=Tulokset!$I$55,IF(AND('8'!$I$56=Tulokset!$G$55,'8'!$K$56=Tulokset!$I$55),6,3),MAX(0,6-(ABS('8'!$I$56-Tulokset!$G$55)+ABS('8'!$K$56-Tulokset!$I$55))))))</f>
        <v/>
      </c>
      <c r="BF11" t="str">
        <f>IF(OR(Tulokset!$G$56="",Tulokset!$I$56="",'8'!$I$57="",'8'!$K$57=""),"",IF(SIGN('8'!$I$57-'8'!$K$57)&lt;&gt;SIGN(Tulokset!$G$56-Tulokset!$I$56),0,IF(Tulokset!$G$56=Tulokset!$I$56,IF(AND('8'!$I$57=Tulokset!$G$56,'8'!$K$57=Tulokset!$I$56),6,3),MAX(0,6-(ABS('8'!$I$57-Tulokset!$G$56)+ABS('8'!$K$57-Tulokset!$I$56))))))</f>
        <v/>
      </c>
      <c r="BG11" t="str">
        <f>IF(OR(Tulokset!$G$57="",Tulokset!$I$57="",'8'!$I$58="",'8'!$K$58=""),"",IF(SIGN('8'!$I$58-'8'!$K$58)&lt;&gt;SIGN(Tulokset!$G$57-Tulokset!$I$57),0,IF(Tulokset!$G$57=Tulokset!$I$57,IF(AND('8'!$I$58=Tulokset!$G$57,'8'!$K$58=Tulokset!$I$57),6,3),MAX(0,6-(ABS('8'!$I$58-Tulokset!$G$57)+ABS('8'!$K$58-Tulokset!$I$57))))))</f>
        <v/>
      </c>
      <c r="BH11" t="str">
        <f>IF(OR(Tulokset!$G$58="",Tulokset!$I$58="",'8'!$I$59="",'8'!$K$59=""),"",IF(SIGN('8'!$I$59-'8'!$K$59)&lt;&gt;SIGN(Tulokset!$G$58-Tulokset!$I$58),0,IF(Tulokset!$G$58=Tulokset!$I$58,IF(AND('8'!$I$59=Tulokset!$G$58,'8'!$K$59=Tulokset!$I$58),6,3),MAX(0,6-(ABS('8'!$I$59-Tulokset!$G$58)+ABS('8'!$K$59-Tulokset!$I$58))))))</f>
        <v/>
      </c>
      <c r="BI11" t="str">
        <f>IF(OR(Tulokset!$G$59="",Tulokset!$I$59="",'8'!$I$60="",'8'!$K$60=""),"",IF(SIGN('8'!$I$60-'8'!$K$60)&lt;&gt;SIGN(Tulokset!$G$59-Tulokset!$I$59),0,IF(Tulokset!$G$59=Tulokset!$I$59,IF(AND('8'!$I$60=Tulokset!$G$59,'8'!$K$60=Tulokset!$I$59),6,3),MAX(0,6-(ABS('8'!$I$60-Tulokset!$G$59)+ABS('8'!$K$60-Tulokset!$I$59))))))</f>
        <v/>
      </c>
      <c r="BJ11" t="str">
        <f>IF(OR(Tulokset!$G$60="",Tulokset!$I$60="",'8'!$I$61="",'8'!$K$61=""),"",IF(SIGN('8'!$I$61-'8'!$K$61)&lt;&gt;SIGN(Tulokset!$G$60-Tulokset!$I$60),0,IF(Tulokset!$G$60=Tulokset!$I$60,IF(AND('8'!$I$61=Tulokset!$G$60,'8'!$K$61=Tulokset!$I$60),6,3),MAX(0,6-(ABS('8'!$I$61-Tulokset!$G$60)+ABS('8'!$K$61-Tulokset!$I$60))))))</f>
        <v/>
      </c>
      <c r="BK11" t="str">
        <f>IF(OR(Tulokset!$G$61="",Tulokset!$I$61="",'8'!$I$62="",'8'!$K$62=""),"",IF(SIGN('8'!$I$62-'8'!$K$62)&lt;&gt;SIGN(Tulokset!$G$61-Tulokset!$I$61),0,IF(Tulokset!$G$61=Tulokset!$I$61,IF(AND('8'!$I$62=Tulokset!$G$61,'8'!$K$62=Tulokset!$I$61),6,3),MAX(0,6-(ABS('8'!$I$62-Tulokset!$G$61)+ABS('8'!$K$62-Tulokset!$I$61))))))</f>
        <v/>
      </c>
      <c r="BL11" t="str">
        <f>IF(OR(Tulokset!$G$62="",Tulokset!$I$62="",'8'!$I$63="",'8'!$K$63=""),"",IF(SIGN('8'!$I$63-'8'!$K$63)&lt;&gt;SIGN(Tulokset!$G$62-Tulokset!$I$62),0,IF(Tulokset!$G$62=Tulokset!$I$62,IF(AND('8'!$I$63=Tulokset!$G$62,'8'!$K$63=Tulokset!$I$62),6,3),MAX(0,6-(ABS('8'!$I$63-Tulokset!$G$62)+ABS('8'!$K$63-Tulokset!$I$62))))))</f>
        <v/>
      </c>
      <c r="BM11" t="str">
        <f>IF(OR(Tulokset!$G$63="",Tulokset!$I$63="",'8'!$I$64="",'8'!$K$64=""),"",IF(SIGN('8'!$I$64-'8'!$K$64)&lt;&gt;SIGN(Tulokset!$G$63-Tulokset!$I$63),0,IF(Tulokset!$G$63=Tulokset!$I$63,IF(AND('8'!$I$64=Tulokset!$G$63,'8'!$K$64=Tulokset!$I$63),6,3),MAX(0,6-(ABS('8'!$I$64-Tulokset!$G$63)+ABS('8'!$K$64-Tulokset!$I$63))))))</f>
        <v/>
      </c>
      <c r="BN11" t="str">
        <f>IF(OR(Tulokset!$G$64="",Tulokset!$I$64="",'8'!$I$65="",'8'!$K$65=""),"",IF(SIGN('8'!$I$65-'8'!$K$65)&lt;&gt;SIGN(Tulokset!$G$64-Tulokset!$I$64),0,IF(Tulokset!$G$64=Tulokset!$I$64,IF(AND('8'!$I$65=Tulokset!$G$64,'8'!$K$65=Tulokset!$I$64),6,3),MAX(0,6-(ABS('8'!$I$65-Tulokset!$G$64)+ABS('8'!$K$65-Tulokset!$I$64))))))</f>
        <v/>
      </c>
      <c r="BO11" t="str">
        <f>IF(OR(Tulokset!$G$65="",Tulokset!$I$65="",'8'!$I$66="",'8'!$K$66=""),"",IF(SIGN('8'!$I$66-'8'!$K$66)&lt;&gt;SIGN(Tulokset!$G$65-Tulokset!$I$65),0,IF(Tulokset!$G$65=Tulokset!$I$65,IF(AND('8'!$I$66=Tulokset!$G$65,'8'!$K$66=Tulokset!$I$65),6,3),MAX(0,6-(ABS('8'!$I$66-Tulokset!$G$65)+ABS('8'!$K$66-Tulokset!$I$65))))))</f>
        <v/>
      </c>
      <c r="BP11" t="str">
        <f>IF(OR(Tulokset!$G$66="",Tulokset!$I$66="",'8'!$I$67="",'8'!$K$67=""),"",IF(SIGN('8'!$I$67-'8'!$K$67)&lt;&gt;SIGN(Tulokset!$G$66-Tulokset!$I$66),0,IF(Tulokset!$G$66=Tulokset!$I$66,IF(AND('8'!$I$67=Tulokset!$G$66,'8'!$K$67=Tulokset!$I$66),6,3),MAX(0,6-(ABS('8'!$I$67-Tulokset!$G$66)+ABS('8'!$K$67-Tulokset!$I$66))))))</f>
        <v/>
      </c>
      <c r="BQ11" t="str">
        <f>IF(OR(Tulokset!$G$67="",Tulokset!$I$67="",'8'!$I$68="",'8'!$K$68=""),"",IF(SIGN('8'!$I$68-'8'!$K$68)&lt;&gt;SIGN(Tulokset!$G$67-Tulokset!$I$67),0,IF(Tulokset!$G$67=Tulokset!$I$67,IF(AND('8'!$I$68=Tulokset!$G$67,'8'!$K$68=Tulokset!$I$67),6,3),MAX(0,6-(ABS('8'!$I$68-Tulokset!$G$67)+ABS('8'!$K$68-Tulokset!$I$67))))))</f>
        <v/>
      </c>
      <c r="BR11" t="str">
        <f>IF(OR(Tulokset!$G$68="",Tulokset!$I$68="",'8'!$I$69="",'8'!$K$69=""),"",IF(SIGN('8'!$I$69-'8'!$K$69)&lt;&gt;SIGN(Tulokset!$G$68-Tulokset!$I$68),0,IF(Tulokset!$G$68=Tulokset!$I$68,IF(AND('8'!$I$69=Tulokset!$G$68,'8'!$K$69=Tulokset!$I$68),6,3),MAX(0,6-(ABS('8'!$I$69-Tulokset!$G$68)+ABS('8'!$K$69-Tulokset!$I$68))))))</f>
        <v/>
      </c>
      <c r="BS11" t="str">
        <f>IF(OR(Tulokset!$G$69="",Tulokset!$I$69="",'8'!$I$70="",'8'!$K$70=""),"",IF(SIGN('8'!$I$70-'8'!$K$70)&lt;&gt;SIGN(Tulokset!$G$69-Tulokset!$I$69),0,IF(Tulokset!$G$69=Tulokset!$I$69,IF(AND('8'!$I$70=Tulokset!$G$69,'8'!$K$70=Tulokset!$I$69),6,3),MAX(0,6-(ABS('8'!$I$70-Tulokset!$G$69)+ABS('8'!$K$70-Tulokset!$I$69))))))</f>
        <v/>
      </c>
      <c r="BT11" t="str">
        <f>IF(OR(Tulokset!$G$70="",Tulokset!$I$70="",'8'!$I$71="",'8'!$K$71=""),"",IF(SIGN('8'!$I$71-'8'!$K$71)&lt;&gt;SIGN(Tulokset!$G$70-Tulokset!$I$70),0,IF(Tulokset!$G$70=Tulokset!$I$70,IF(AND('8'!$I$71=Tulokset!$G$70,'8'!$K$71=Tulokset!$I$70),6,3),MAX(0,6-(ABS('8'!$I$71-Tulokset!$G$70)+ABS('8'!$K$71-Tulokset!$I$70))))))</f>
        <v/>
      </c>
      <c r="BU11" t="str">
        <f>IF(OR(Tulokset!$G$71="",Tulokset!$I$71="",'8'!$I$72="",'8'!$K$72=""),"",IF(SIGN('8'!$I$72-'8'!$K$72)&lt;&gt;SIGN(Tulokset!$G$71-Tulokset!$I$71),0,IF(Tulokset!$G$71=Tulokset!$I$71,IF(AND('8'!$I$72=Tulokset!$G$71,'8'!$K$72=Tulokset!$I$71),6,3),MAX(0,6-(ABS('8'!$I$72-Tulokset!$G$71)+ABS('8'!$K$72-Tulokset!$I$71))))))</f>
        <v/>
      </c>
      <c r="BV11" t="str">
        <f>IF(OR(Tulokset!$G$72="",Tulokset!$I$72="",'8'!$I$73="",'8'!$K$73=""),"",IF(SIGN('8'!$I$73-'8'!$K$73)&lt;&gt;SIGN(Tulokset!$G$72-Tulokset!$I$72),0,IF(Tulokset!$G$72=Tulokset!$I$72,IF(AND('8'!$I$73=Tulokset!$G$72,'8'!$K$73=Tulokset!$I$72),6,3),MAX(0,6-(ABS('8'!$I$73-Tulokset!$G$72)+ABS('8'!$K$73-Tulokset!$I$72))))))</f>
        <v/>
      </c>
      <c r="BW11" t="str">
        <f>IF(OR(Tulokset!$G$73="",Tulokset!$I$73="",'8'!$I$74="",'8'!$K$74=""),"",IF(SIGN('8'!$I$74-'8'!$K$74)&lt;&gt;SIGN(Tulokset!$G$73-Tulokset!$I$73),0,IF(Tulokset!$G$73=Tulokset!$I$73,IF(AND('8'!$I$74=Tulokset!$G$73,'8'!$K$74=Tulokset!$I$73),6,3),MAX(0,6-(ABS('8'!$I$74-Tulokset!$G$73)+ABS('8'!$K$74-Tulokset!$I$73))))))</f>
        <v/>
      </c>
      <c r="BX11" t="str">
        <f>IF(OR(Tulokset!$G$74="",Tulokset!$I$74="",'8'!$I$75="",'8'!$K$75=""),"",IF(SIGN('8'!$I$75-'8'!$K$75)&lt;&gt;SIGN(Tulokset!$G$74-Tulokset!$I$74),0,IF(Tulokset!$G$74=Tulokset!$I$74,IF(AND('8'!$I$75=Tulokset!$G$74,'8'!$K$75=Tulokset!$I$74),6,3),MAX(0,6-(ABS('8'!$I$75-Tulokset!$G$74)+ABS('8'!$K$75-Tulokset!$I$74))))))</f>
        <v/>
      </c>
      <c r="BY11" t="str">
        <f>IF(OR(Tulokset!$G$75="",Tulokset!$I$75="",'8'!$I$76="",'8'!$K$76=""),"",IF(SIGN('8'!$I$76-'8'!$K$76)&lt;&gt;SIGN(Tulokset!$G$75-Tulokset!$I$75),0,IF(Tulokset!$G$75=Tulokset!$I$75,IF(AND('8'!$I$76=Tulokset!$G$75,'8'!$K$76=Tulokset!$I$75),6,3),MAX(0,6-(ABS('8'!$I$76-Tulokset!$G$75)+ABS('8'!$K$76-Tulokset!$I$75))))))</f>
        <v/>
      </c>
      <c r="BZ11" t="str">
        <f>IF(OR(Tulokset!$G$76="",Tulokset!$I$76="",'8'!$I$77="",'8'!$K$77=""),"",IF(SIGN('8'!$I$77-'8'!$K$77)&lt;&gt;SIGN(Tulokset!$G$76-Tulokset!$I$76),0,IF(Tulokset!$G$76=Tulokset!$I$76,IF(AND('8'!$I$77=Tulokset!$G$76,'8'!$K$77=Tulokset!$I$76),6,3),MAX(0,6-(ABS('8'!$I$77-Tulokset!$G$76)+ABS('8'!$K$77-Tulokset!$I$76))))))</f>
        <v/>
      </c>
      <c r="CA11" t="str">
        <f>IF(OR(Tulokset!$G$77="",Tulokset!$I$77="",'8'!$I$78="",'8'!$K$78=""),"",IF(SIGN('8'!$I$78-'8'!$K$78)&lt;&gt;SIGN(Tulokset!$G$77-Tulokset!$I$77),0,IF(Tulokset!$G$77=Tulokset!$I$77,IF(AND('8'!$I$78=Tulokset!$G$77,'8'!$K$78=Tulokset!$I$77),6,3),MAX(0,6-(ABS('8'!$I$78-Tulokset!$G$77)+ABS('8'!$K$78-Tulokset!$I$77))))))</f>
        <v/>
      </c>
      <c r="CD11" t="str">
        <f ca="1">IF(OR(Tulokset!$M$6="",INDIRECT("'"&amp;$A11&amp;"'!$P$8")=""),"",IF(TRIM(INDIRECT("'"&amp;$A11&amp;"'!$P$8"))=TRIM(Tulokset!$M$6),2,0))</f>
        <v/>
      </c>
      <c r="CE11" t="str">
        <f ca="1">IF(OR(Tulokset!$M$7="",INDIRECT("'"&amp;$A11&amp;"'!$P$9")=""),"",IF(TRIM(INDIRECT("'"&amp;$A11&amp;"'!$P$9"))=TRIM(Tulokset!$M$7),2,0))</f>
        <v/>
      </c>
      <c r="CF11" t="str">
        <f ca="1">IF(OR(Tulokset!$M$8="",INDIRECT("'"&amp;$A11&amp;"'!$P$10")=""),"",IF(TRIM(INDIRECT("'"&amp;$A11&amp;"'!$P$10"))=TRIM(Tulokset!$M$8),2,0))</f>
        <v/>
      </c>
      <c r="CG11" t="str">
        <f ca="1">IF(OR(Tulokset!$M$9="",INDIRECT("'"&amp;$A11&amp;"'!$P$11")=""),"",IF(TRIM(INDIRECT("'"&amp;$A11&amp;"'!$P$11"))=TRIM(Tulokset!$M$9),2,0))</f>
        <v/>
      </c>
      <c r="CH11" t="str">
        <f ca="1">IF(OR(Tulokset!$N$6="",INDIRECT("'"&amp;$A11&amp;"'!$Q$8")=""),"",IF(TRIM(INDIRECT("'"&amp;$A11&amp;"'!$Q$8"))=TRIM(Tulokset!$N$6),2,0))</f>
        <v/>
      </c>
      <c r="CI11" t="str">
        <f ca="1">IF(OR(Tulokset!$N$7="",INDIRECT("'"&amp;$A11&amp;"'!$Q$9")=""),"",IF(TRIM(INDIRECT("'"&amp;$A11&amp;"'!$Q$9"))=TRIM(Tulokset!$N$7),2,0))</f>
        <v/>
      </c>
      <c r="CJ11" t="str">
        <f ca="1">IF(OR(Tulokset!$N$8="",INDIRECT("'"&amp;$A11&amp;"'!$Q$10")=""),"",IF(TRIM(INDIRECT("'"&amp;$A11&amp;"'!$Q$10"))=TRIM(Tulokset!$N$8),2,0))</f>
        <v/>
      </c>
      <c r="CK11" t="str">
        <f ca="1">IF(OR(Tulokset!$N$9="",INDIRECT("'"&amp;$A11&amp;"'!$Q$11")=""),"",IF(TRIM(INDIRECT("'"&amp;$A11&amp;"'!$Q$11"))=TRIM(Tulokset!$N$9),2,0))</f>
        <v/>
      </c>
      <c r="CL11" t="str">
        <f ca="1">IF(OR(Tulokset!$O$6="",INDIRECT("'"&amp;$A11&amp;"'!$R$8")=""),"",IF(TRIM(INDIRECT("'"&amp;$A11&amp;"'!$R$8"))=TRIM(Tulokset!$O$6),2,0))</f>
        <v/>
      </c>
      <c r="CM11" t="str">
        <f ca="1">IF(OR(Tulokset!$O$7="",INDIRECT("'"&amp;$A11&amp;"'!$R$9")=""),"",IF(TRIM(INDIRECT("'"&amp;$A11&amp;"'!$R$9"))=TRIM(Tulokset!$O$7),2,0))</f>
        <v/>
      </c>
      <c r="CN11" t="str">
        <f ca="1">IF(OR(Tulokset!$O$8="",INDIRECT("'"&amp;$A11&amp;"'!$R$10")=""),"",IF(TRIM(INDIRECT("'"&amp;$A11&amp;"'!$R$10"))=TRIM(Tulokset!$O$8),2,0))</f>
        <v/>
      </c>
      <c r="CO11" t="str">
        <f ca="1">IF(OR(Tulokset!$O$9="",INDIRECT("'"&amp;$A11&amp;"'!$R$11")=""),"",IF(TRIM(INDIRECT("'"&amp;$A11&amp;"'!$R$11"))=TRIM(Tulokset!$O$9),2,0))</f>
        <v/>
      </c>
      <c r="CP11" t="str">
        <f ca="1">IF(OR(Tulokset!$P$6="",INDIRECT("'"&amp;$A11&amp;"'!$S$8")=""),"",IF(TRIM(INDIRECT("'"&amp;$A11&amp;"'!$S$8"))=TRIM(Tulokset!$P$6),2,0))</f>
        <v/>
      </c>
      <c r="CQ11" t="str">
        <f ca="1">IF(OR(Tulokset!$P$7="",INDIRECT("'"&amp;$A11&amp;"'!$S$9")=""),"",IF(TRIM(INDIRECT("'"&amp;$A11&amp;"'!$S$9"))=TRIM(Tulokset!$P$7),2,0))</f>
        <v/>
      </c>
      <c r="CR11" t="str">
        <f ca="1">IF(OR(Tulokset!$P$8="",INDIRECT("'"&amp;$A11&amp;"'!$S$10")=""),"",IF(TRIM(INDIRECT("'"&amp;$A11&amp;"'!$S$10"))=TRIM(Tulokset!$P$8),2,0))</f>
        <v/>
      </c>
      <c r="CS11" t="str">
        <f ca="1">IF(OR(Tulokset!$P$9="",INDIRECT("'"&amp;$A11&amp;"'!$S$11")=""),"",IF(TRIM(INDIRECT("'"&amp;$A11&amp;"'!$S$11"))=TRIM(Tulokset!$P$9),2,0))</f>
        <v/>
      </c>
      <c r="CT11" t="str">
        <f ca="1">IF(OR(Tulokset!$Q$6="",INDIRECT("'"&amp;$A11&amp;"'!$T$8")=""),"",IF(TRIM(INDIRECT("'"&amp;$A11&amp;"'!$T$8"))=TRIM(Tulokset!$Q$6),2,0))</f>
        <v/>
      </c>
      <c r="CU11" t="str">
        <f ca="1">IF(OR(Tulokset!$Q$7="",INDIRECT("'"&amp;$A11&amp;"'!$T$9")=""),"",IF(TRIM(INDIRECT("'"&amp;$A11&amp;"'!$T$9"))=TRIM(Tulokset!$Q$7),2,0))</f>
        <v/>
      </c>
      <c r="CV11" t="str">
        <f ca="1">IF(OR(Tulokset!$Q$8="",INDIRECT("'"&amp;$A11&amp;"'!$T$10")=""),"",IF(TRIM(INDIRECT("'"&amp;$A11&amp;"'!$T$10"))=TRIM(Tulokset!$Q$8),2,0))</f>
        <v/>
      </c>
      <c r="CW11" t="str">
        <f ca="1">IF(OR(Tulokset!$Q$9="",INDIRECT("'"&amp;$A11&amp;"'!$T$11")=""),"",IF(TRIM(INDIRECT("'"&amp;$A11&amp;"'!$T$11"))=TRIM(Tulokset!$Q$9),2,0))</f>
        <v/>
      </c>
      <c r="CX11" t="str">
        <f ca="1">IF(OR(Tulokset!$R$6="",INDIRECT("'"&amp;$A11&amp;"'!$U$8")=""),"",IF(TRIM(INDIRECT("'"&amp;$A11&amp;"'!$U$8"))=TRIM(Tulokset!$R$6),2,0))</f>
        <v/>
      </c>
      <c r="CY11" t="str">
        <f ca="1">IF(OR(Tulokset!$R$7="",INDIRECT("'"&amp;$A11&amp;"'!$U$9")=""),"",IF(TRIM(INDIRECT("'"&amp;$A11&amp;"'!$U$9"))=TRIM(Tulokset!$R$7),2,0))</f>
        <v/>
      </c>
      <c r="CZ11" t="str">
        <f ca="1">IF(OR(Tulokset!$R$8="",INDIRECT("'"&amp;$A11&amp;"'!$U$10")=""),"",IF(TRIM(INDIRECT("'"&amp;$A11&amp;"'!$U$10"))=TRIM(Tulokset!$R$8),2,0))</f>
        <v/>
      </c>
      <c r="DA11" t="str">
        <f ca="1">IF(OR(Tulokset!$R$9="",INDIRECT("'"&amp;$A11&amp;"'!$U$11")=""),"",IF(TRIM(INDIRECT("'"&amp;$A11&amp;"'!$U$11"))=TRIM(Tulokset!$R$9),2,0))</f>
        <v/>
      </c>
      <c r="DB11" t="str">
        <f ca="1">IF(OR(Tulokset!$M$12="",INDIRECT("'"&amp;$A11&amp;"'!$P$14")=""),"",IF(TRIM(INDIRECT("'"&amp;$A11&amp;"'!$P$14"))=TRIM(Tulokset!$M$12),2,0))</f>
        <v/>
      </c>
      <c r="DC11" t="str">
        <f ca="1">IF(OR(Tulokset!$M$13="",INDIRECT("'"&amp;$A11&amp;"'!$P$15")=""),"",IF(TRIM(INDIRECT("'"&amp;$A11&amp;"'!$P$15"))=TRIM(Tulokset!$M$13),2,0))</f>
        <v/>
      </c>
      <c r="DD11" t="str">
        <f ca="1">IF(OR(Tulokset!$M$14="",INDIRECT("'"&amp;$A11&amp;"'!$P$16")=""),"",IF(TRIM(INDIRECT("'"&amp;$A11&amp;"'!$P$16"))=TRIM(Tulokset!$M$14),2,0))</f>
        <v/>
      </c>
      <c r="DE11" t="str">
        <f ca="1">IF(OR(Tulokset!$M$15="",INDIRECT("'"&amp;$A11&amp;"'!$P$17")=""),"",IF(TRIM(INDIRECT("'"&amp;$A11&amp;"'!$P$17"))=TRIM(Tulokset!$M$15),2,0))</f>
        <v/>
      </c>
      <c r="DF11" t="str">
        <f ca="1">IF(OR(Tulokset!$N$12="",INDIRECT("'"&amp;$A11&amp;"'!$Q$14")=""),"",IF(TRIM(INDIRECT("'"&amp;$A11&amp;"'!$Q$14"))=TRIM(Tulokset!$N$12),2,0))</f>
        <v/>
      </c>
      <c r="DG11" t="str">
        <f ca="1">IF(OR(Tulokset!$N$13="",INDIRECT("'"&amp;$A11&amp;"'!$Q$15")=""),"",IF(TRIM(INDIRECT("'"&amp;$A11&amp;"'!$Q$15"))=TRIM(Tulokset!$N$13),2,0))</f>
        <v/>
      </c>
      <c r="DH11" t="str">
        <f ca="1">IF(OR(Tulokset!$N$14="",INDIRECT("'"&amp;$A11&amp;"'!$Q$16")=""),"",IF(TRIM(INDIRECT("'"&amp;$A11&amp;"'!$Q$16"))=TRIM(Tulokset!$N$14),2,0))</f>
        <v/>
      </c>
      <c r="DI11" t="str">
        <f ca="1">IF(OR(Tulokset!$N$15="",INDIRECT("'"&amp;$A11&amp;"'!$Q$17")=""),"",IF(TRIM(INDIRECT("'"&amp;$A11&amp;"'!$Q$17"))=TRIM(Tulokset!$N$15),2,0))</f>
        <v/>
      </c>
      <c r="DJ11" t="str">
        <f ca="1">IF(OR(Tulokset!$O$12="",INDIRECT("'"&amp;$A11&amp;"'!$R$14")=""),"",IF(TRIM(INDIRECT("'"&amp;$A11&amp;"'!$R$14"))=TRIM(Tulokset!$O$12),2,0))</f>
        <v/>
      </c>
      <c r="DK11" t="str">
        <f ca="1">IF(OR(Tulokset!$O$13="",INDIRECT("'"&amp;$A11&amp;"'!$R$15")=""),"",IF(TRIM(INDIRECT("'"&amp;$A11&amp;"'!$R$15"))=TRIM(Tulokset!$O$13),2,0))</f>
        <v/>
      </c>
      <c r="DL11" t="str">
        <f ca="1">IF(OR(Tulokset!$O$14="",INDIRECT("'"&amp;$A11&amp;"'!$R$16")=""),"",IF(TRIM(INDIRECT("'"&amp;$A11&amp;"'!$R$16"))=TRIM(Tulokset!$O$14),2,0))</f>
        <v/>
      </c>
      <c r="DM11" t="str">
        <f ca="1">IF(OR(Tulokset!$O$15="",INDIRECT("'"&amp;$A11&amp;"'!$R$17")=""),"",IF(TRIM(INDIRECT("'"&amp;$A11&amp;"'!$R$17"))=TRIM(Tulokset!$O$15),2,0))</f>
        <v/>
      </c>
      <c r="DN11" t="str">
        <f ca="1">IF(OR(Tulokset!$P$12="",INDIRECT("'"&amp;$A11&amp;"'!$S$14")=""),"",IF(TRIM(INDIRECT("'"&amp;$A11&amp;"'!$S$14"))=TRIM(Tulokset!$P$12),2,0))</f>
        <v/>
      </c>
      <c r="DO11" t="str">
        <f ca="1">IF(OR(Tulokset!$P$13="",INDIRECT("'"&amp;$A11&amp;"'!$S$15")=""),"",IF(TRIM(INDIRECT("'"&amp;$A11&amp;"'!$S$15"))=TRIM(Tulokset!$P$13),2,0))</f>
        <v/>
      </c>
      <c r="DP11" t="str">
        <f ca="1">IF(OR(Tulokset!$P$14="",INDIRECT("'"&amp;$A11&amp;"'!$S$16")=""),"",IF(TRIM(INDIRECT("'"&amp;$A11&amp;"'!$S$16"))=TRIM(Tulokset!$P$14),2,0))</f>
        <v/>
      </c>
      <c r="DQ11" t="str">
        <f ca="1">IF(OR(Tulokset!$P$15="",INDIRECT("'"&amp;$A11&amp;"'!$S$17")=""),"",IF(TRIM(INDIRECT("'"&amp;$A11&amp;"'!$S$17"))=TRIM(Tulokset!$P$15),2,0))</f>
        <v/>
      </c>
      <c r="DR11" t="str">
        <f ca="1">IF(OR(Tulokset!$Q$12="",INDIRECT("'"&amp;$A11&amp;"'!$T$14")=""),"",IF(TRIM(INDIRECT("'"&amp;$A11&amp;"'!$T$14"))=TRIM(Tulokset!$Q$12),2,0))</f>
        <v/>
      </c>
      <c r="DS11" t="str">
        <f ca="1">IF(OR(Tulokset!$Q$13="",INDIRECT("'"&amp;$A11&amp;"'!$T$15")=""),"",IF(TRIM(INDIRECT("'"&amp;$A11&amp;"'!$T$15"))=TRIM(Tulokset!$Q$13),2,0))</f>
        <v/>
      </c>
      <c r="DT11" t="str">
        <f ca="1">IF(OR(Tulokset!$Q$14="",INDIRECT("'"&amp;$A11&amp;"'!$T$16")=""),"",IF(TRIM(INDIRECT("'"&amp;$A11&amp;"'!$T$16"))=TRIM(Tulokset!$Q$14),2,0))</f>
        <v/>
      </c>
      <c r="DU11" t="str">
        <f ca="1">IF(OR(Tulokset!$Q$15="",INDIRECT("'"&amp;$A11&amp;"'!$T$17")=""),"",IF(TRIM(INDIRECT("'"&amp;$A11&amp;"'!$T$17"))=TRIM(Tulokset!$Q$15),2,0))</f>
        <v/>
      </c>
      <c r="DV11" t="str">
        <f ca="1">IF(OR(Tulokset!$R$12="",INDIRECT("'"&amp;$A11&amp;"'!$U$14")=""),"",IF(TRIM(INDIRECT("'"&amp;$A11&amp;"'!$U$14"))=TRIM(Tulokset!$R$12),2,0))</f>
        <v/>
      </c>
      <c r="DW11" t="str">
        <f ca="1">IF(OR(Tulokset!$R$13="",INDIRECT("'"&amp;$A11&amp;"'!$U$15")=""),"",IF(TRIM(INDIRECT("'"&amp;$A11&amp;"'!$U$15"))=TRIM(Tulokset!$R$13),2,0))</f>
        <v/>
      </c>
      <c r="DX11" t="str">
        <f ca="1">IF(OR(Tulokset!$R$14="",INDIRECT("'"&amp;$A11&amp;"'!$U$16")=""),"",IF(TRIM(INDIRECT("'"&amp;$A11&amp;"'!$U$16"))=TRIM(Tulokset!$R$14),2,0))</f>
        <v/>
      </c>
      <c r="DY11" t="str">
        <f ca="1">IF(OR(Tulokset!$R$15="",INDIRECT("'"&amp;$A11&amp;"'!$U$17")=""),"",IF(TRIM(INDIRECT("'"&amp;$A11&amp;"'!$U$17"))=TRIM(Tulokset!$R$15),2,0))</f>
        <v/>
      </c>
      <c r="EA11" t="str">
        <f ca="1">IF(OR(INDIRECT("'"&amp;$A11&amp;"'!$E$79")="",COUNTA(Tulokset!$M$20:$M$21)=0),"",IF(COUNTIF(Tulokset!$M$20:$M$21,INDIRECT("'"&amp;$A11&amp;"'!$E$79"))&gt;0,2,0))</f>
        <v/>
      </c>
      <c r="EB11" t="str">
        <f ca="1">IF(OR(INDIRECT("'"&amp;$A11&amp;"'!$G$79")="",COUNTA(Tulokset!$M$20:$M$21)=0),"",IF(COUNTIF(Tulokset!$M$20:$M$21,INDIRECT("'"&amp;$A11&amp;"'!$G$79"))&gt;0,2,0))</f>
        <v/>
      </c>
      <c r="EC11" t="str">
        <f ca="1">IF(OR(INDIRECT("'"&amp;$A11&amp;"'!$E$80")="",COUNTA(Tulokset!$M$23:$M$24)=0),"",IF(COUNTIF(Tulokset!$M$23:$M$24,INDIRECT("'"&amp;$A11&amp;"'!$E$80"))&gt;0,2,0))</f>
        <v/>
      </c>
      <c r="ED11" t="str">
        <f ca="1">IF(OR(INDIRECT("'"&amp;$A11&amp;"'!$G$80")="",COUNTA(Tulokset!$M$23:$M$24)=0),"",IF(COUNTIF(Tulokset!$M$23:$M$24,INDIRECT("'"&amp;$A11&amp;"'!$G$80"))&gt;0,2,0))</f>
        <v/>
      </c>
    </row>
    <row r="12" spans="1:134">
      <c r="A12" t="s">
        <v>304</v>
      </c>
      <c r="B12" t="str">
        <f t="shared" ca="1" si="0"/>
        <v>Tuurilla</v>
      </c>
      <c r="C12" s="95">
        <f t="shared" si="1"/>
        <v>0</v>
      </c>
      <c r="D12" s="95">
        <f t="shared" ca="1" si="2"/>
        <v>0</v>
      </c>
      <c r="E12" s="95">
        <f t="shared" ca="1" si="3"/>
        <v>0</v>
      </c>
      <c r="F12" s="95">
        <f t="shared" ca="1" si="4"/>
        <v>0</v>
      </c>
      <c r="G12" s="95">
        <f t="shared" si="5"/>
        <v>0</v>
      </c>
      <c r="H12" t="str">
        <f>IF(OR(Tulokset!$G$6="",Tulokset!$I$6="",'9'!$I$7="",'9'!$K$7=""),"",IF(SIGN('9'!$I$7-'9'!$K$7)&lt;&gt;SIGN(Tulokset!$G$6-Tulokset!$I$6),0,IF(Tulokset!$G$6=Tulokset!$I$6,IF(AND('9'!$I$7=Tulokset!$G$6,'9'!$K$7=Tulokset!$I$6),6,3),MAX(0,6-(ABS('9'!$I$7-Tulokset!$G$6)+ABS('9'!$K$7-Tulokset!$I$6))))))</f>
        <v/>
      </c>
      <c r="I12" t="str">
        <f>IF(OR(Tulokset!$G$7="",Tulokset!$I$7="",'9'!$I$8="",'9'!$K$8=""),"",IF(SIGN('9'!$I$8-'9'!$K$8)&lt;&gt;SIGN(Tulokset!$G$7-Tulokset!$I$7),0,IF(Tulokset!$G$7=Tulokset!$I$7,IF(AND('9'!$I$8=Tulokset!$G$7,'9'!$K$8=Tulokset!$I$7),6,3),MAX(0,6-(ABS('9'!$I$8-Tulokset!$G$7)+ABS('9'!$K$8-Tulokset!$I$7))))))</f>
        <v/>
      </c>
      <c r="J12" t="str">
        <f>IF(OR(Tulokset!$G$8="",Tulokset!$I$8="",'9'!$I$9="",'9'!$K$9=""),"",IF(SIGN('9'!$I$9-'9'!$K$9)&lt;&gt;SIGN(Tulokset!$G$8-Tulokset!$I$8),0,IF(Tulokset!$G$8=Tulokset!$I$8,IF(AND('9'!$I$9=Tulokset!$G$8,'9'!$K$9=Tulokset!$I$8),6,3),MAX(0,6-(ABS('9'!$I$9-Tulokset!$G$8)+ABS('9'!$K$9-Tulokset!$I$8))))))</f>
        <v/>
      </c>
      <c r="K12" t="str">
        <f>IF(OR(Tulokset!$G$9="",Tulokset!$I$9="",'9'!$I$10="",'9'!$K$10=""),"",IF(SIGN('9'!$I$10-'9'!$K$10)&lt;&gt;SIGN(Tulokset!$G$9-Tulokset!$I$9),0,IF(Tulokset!$G$9=Tulokset!$I$9,IF(AND('9'!$I$10=Tulokset!$G$9,'9'!$K$10=Tulokset!$I$9),6,3),MAX(0,6-(ABS('9'!$I$10-Tulokset!$G$9)+ABS('9'!$K$10-Tulokset!$I$9))))))</f>
        <v/>
      </c>
      <c r="L12" t="str">
        <f>IF(OR(Tulokset!$G$10="",Tulokset!$I$10="",'9'!$I$11="",'9'!$K$11=""),"",IF(SIGN('9'!$I$11-'9'!$K$11)&lt;&gt;SIGN(Tulokset!$G$10-Tulokset!$I$10),0,IF(Tulokset!$G$10=Tulokset!$I$10,IF(AND('9'!$I$11=Tulokset!$G$10,'9'!$K$11=Tulokset!$I$10),6,3),MAX(0,6-(ABS('9'!$I$11-Tulokset!$G$10)+ABS('9'!$K$11-Tulokset!$I$10))))))</f>
        <v/>
      </c>
      <c r="M12" t="str">
        <f>IF(OR(Tulokset!$G$11="",Tulokset!$I$11="",'9'!$I$12="",'9'!$K$12=""),"",IF(SIGN('9'!$I$12-'9'!$K$12)&lt;&gt;SIGN(Tulokset!$G$11-Tulokset!$I$11),0,IF(Tulokset!$G$11=Tulokset!$I$11,IF(AND('9'!$I$12=Tulokset!$G$11,'9'!$K$12=Tulokset!$I$11),6,3),MAX(0,6-(ABS('9'!$I$12-Tulokset!$G$11)+ABS('9'!$K$12-Tulokset!$I$11))))))</f>
        <v/>
      </c>
      <c r="N12" t="str">
        <f>IF(OR(Tulokset!$G$12="",Tulokset!$I$12="",'9'!$I$13="",'9'!$K$13=""),"",IF(SIGN('9'!$I$13-'9'!$K$13)&lt;&gt;SIGN(Tulokset!$G$12-Tulokset!$I$12),0,IF(Tulokset!$G$12=Tulokset!$I$12,IF(AND('9'!$I$13=Tulokset!$G$12,'9'!$K$13=Tulokset!$I$12),6,3),MAX(0,6-(ABS('9'!$I$13-Tulokset!$G$12)+ABS('9'!$K$13-Tulokset!$I$12))))))</f>
        <v/>
      </c>
      <c r="O12" t="str">
        <f>IF(OR(Tulokset!$G$13="",Tulokset!$I$13="",'9'!$I$14="",'9'!$K$14=""),"",IF(SIGN('9'!$I$14-'9'!$K$14)&lt;&gt;SIGN(Tulokset!$G$13-Tulokset!$I$13),0,IF(Tulokset!$G$13=Tulokset!$I$13,IF(AND('9'!$I$14=Tulokset!$G$13,'9'!$K$14=Tulokset!$I$13),6,3),MAX(0,6-(ABS('9'!$I$14-Tulokset!$G$13)+ABS('9'!$K$14-Tulokset!$I$13))))))</f>
        <v/>
      </c>
      <c r="P12" t="str">
        <f>IF(OR(Tulokset!$G$14="",Tulokset!$I$14="",'9'!$I$15="",'9'!$K$15=""),"",IF(SIGN('9'!$I$15-'9'!$K$15)&lt;&gt;SIGN(Tulokset!$G$14-Tulokset!$I$14),0,IF(Tulokset!$G$14=Tulokset!$I$14,IF(AND('9'!$I$15=Tulokset!$G$14,'9'!$K$15=Tulokset!$I$14),6,3),MAX(0,6-(ABS('9'!$I$15-Tulokset!$G$14)+ABS('9'!$K$15-Tulokset!$I$14))))))</f>
        <v/>
      </c>
      <c r="Q12" t="str">
        <f>IF(OR(Tulokset!$G$15="",Tulokset!$I$15="",'9'!$I$16="",'9'!$K$16=""),"",IF(SIGN('9'!$I$16-'9'!$K$16)&lt;&gt;SIGN(Tulokset!$G$15-Tulokset!$I$15),0,IF(Tulokset!$G$15=Tulokset!$I$15,IF(AND('9'!$I$16=Tulokset!$G$15,'9'!$K$16=Tulokset!$I$15),6,3),MAX(0,6-(ABS('9'!$I$16-Tulokset!$G$15)+ABS('9'!$K$16-Tulokset!$I$15))))))</f>
        <v/>
      </c>
      <c r="R12" t="str">
        <f>IF(OR(Tulokset!$G$16="",Tulokset!$I$16="",'9'!$I$17="",'9'!$K$17=""),"",IF(SIGN('9'!$I$17-'9'!$K$17)&lt;&gt;SIGN(Tulokset!$G$16-Tulokset!$I$16),0,IF(Tulokset!$G$16=Tulokset!$I$16,IF(AND('9'!$I$17=Tulokset!$G$16,'9'!$K$17=Tulokset!$I$16),6,3),MAX(0,6-(ABS('9'!$I$17-Tulokset!$G$16)+ABS('9'!$K$17-Tulokset!$I$16))))))</f>
        <v/>
      </c>
      <c r="S12" t="str">
        <f>IF(OR(Tulokset!$G$17="",Tulokset!$I$17="",'9'!$I$18="",'9'!$K$18=""),"",IF(SIGN('9'!$I$18-'9'!$K$18)&lt;&gt;SIGN(Tulokset!$G$17-Tulokset!$I$17),0,IF(Tulokset!$G$17=Tulokset!$I$17,IF(AND('9'!$I$18=Tulokset!$G$17,'9'!$K$18=Tulokset!$I$17),6,3),MAX(0,6-(ABS('9'!$I$18-Tulokset!$G$17)+ABS('9'!$K$18-Tulokset!$I$17))))))</f>
        <v/>
      </c>
      <c r="T12" t="str">
        <f>IF(OR(Tulokset!$G$18="",Tulokset!$I$18="",'9'!$I$19="",'9'!$K$19=""),"",IF(SIGN('9'!$I$19-'9'!$K$19)&lt;&gt;SIGN(Tulokset!$G$18-Tulokset!$I$18),0,IF(Tulokset!$G$18=Tulokset!$I$18,IF(AND('9'!$I$19=Tulokset!$G$18,'9'!$K$19=Tulokset!$I$18),6,3),MAX(0,6-(ABS('9'!$I$19-Tulokset!$G$18)+ABS('9'!$K$19-Tulokset!$I$18))))))</f>
        <v/>
      </c>
      <c r="U12" t="str">
        <f>IF(OR(Tulokset!$G$19="",Tulokset!$I$19="",'9'!$I$20="",'9'!$K$20=""),"",IF(SIGN('9'!$I$20-'9'!$K$20)&lt;&gt;SIGN(Tulokset!$G$19-Tulokset!$I$19),0,IF(Tulokset!$G$19=Tulokset!$I$19,IF(AND('9'!$I$20=Tulokset!$G$19,'9'!$K$20=Tulokset!$I$19),6,3),MAX(0,6-(ABS('9'!$I$20-Tulokset!$G$19)+ABS('9'!$K$20-Tulokset!$I$19))))))</f>
        <v/>
      </c>
      <c r="V12" t="str">
        <f>IF(OR(Tulokset!$G$20="",Tulokset!$I$20="",'9'!$I$21="",'9'!$K$21=""),"",IF(SIGN('9'!$I$21-'9'!$K$21)&lt;&gt;SIGN(Tulokset!$G$20-Tulokset!$I$20),0,IF(Tulokset!$G$20=Tulokset!$I$20,IF(AND('9'!$I$21=Tulokset!$G$20,'9'!$K$21=Tulokset!$I$20),6,3),MAX(0,6-(ABS('9'!$I$21-Tulokset!$G$20)+ABS('9'!$K$21-Tulokset!$I$20))))))</f>
        <v/>
      </c>
      <c r="W12" t="str">
        <f>IF(OR(Tulokset!$G$21="",Tulokset!$I$21="",'9'!$I$22="",'9'!$K$22=""),"",IF(SIGN('9'!$I$22-'9'!$K$22)&lt;&gt;SIGN(Tulokset!$G$21-Tulokset!$I$21),0,IF(Tulokset!$G$21=Tulokset!$I$21,IF(AND('9'!$I$22=Tulokset!$G$21,'9'!$K$22=Tulokset!$I$21),6,3),MAX(0,6-(ABS('9'!$I$22-Tulokset!$G$21)+ABS('9'!$K$22-Tulokset!$I$21))))))</f>
        <v/>
      </c>
      <c r="X12" t="str">
        <f>IF(OR(Tulokset!$G$22="",Tulokset!$I$22="",'9'!$I$23="",'9'!$K$23=""),"",IF(SIGN('9'!$I$23-'9'!$K$23)&lt;&gt;SIGN(Tulokset!$G$22-Tulokset!$I$22),0,IF(Tulokset!$G$22=Tulokset!$I$22,IF(AND('9'!$I$23=Tulokset!$G$22,'9'!$K$23=Tulokset!$I$22),6,3),MAX(0,6-(ABS('9'!$I$23-Tulokset!$G$22)+ABS('9'!$K$23-Tulokset!$I$22))))))</f>
        <v/>
      </c>
      <c r="Y12" t="str">
        <f>IF(OR(Tulokset!$G$23="",Tulokset!$I$23="",'9'!$I$24="",'9'!$K$24=""),"",IF(SIGN('9'!$I$24-'9'!$K$24)&lt;&gt;SIGN(Tulokset!$G$23-Tulokset!$I$23),0,IF(Tulokset!$G$23=Tulokset!$I$23,IF(AND('9'!$I$24=Tulokset!$G$23,'9'!$K$24=Tulokset!$I$23),6,3),MAX(0,6-(ABS('9'!$I$24-Tulokset!$G$23)+ABS('9'!$K$24-Tulokset!$I$23))))))</f>
        <v/>
      </c>
      <c r="Z12" t="str">
        <f>IF(OR(Tulokset!$G$24="",Tulokset!$I$24="",'9'!$I$25="",'9'!$K$25=""),"",IF(SIGN('9'!$I$25-'9'!$K$25)&lt;&gt;SIGN(Tulokset!$G$24-Tulokset!$I$24),0,IF(Tulokset!$G$24=Tulokset!$I$24,IF(AND('9'!$I$25=Tulokset!$G$24,'9'!$K$25=Tulokset!$I$24),6,3),MAX(0,6-(ABS('9'!$I$25-Tulokset!$G$24)+ABS('9'!$K$25-Tulokset!$I$24))))))</f>
        <v/>
      </c>
      <c r="AA12" t="str">
        <f>IF(OR(Tulokset!$G$25="",Tulokset!$I$25="",'9'!$I$26="",'9'!$K$26=""),"",IF(SIGN('9'!$I$26-'9'!$K$26)&lt;&gt;SIGN(Tulokset!$G$25-Tulokset!$I$25),0,IF(Tulokset!$G$25=Tulokset!$I$25,IF(AND('9'!$I$26=Tulokset!$G$25,'9'!$K$26=Tulokset!$I$25),6,3),MAX(0,6-(ABS('9'!$I$26-Tulokset!$G$25)+ABS('9'!$K$26-Tulokset!$I$25))))))</f>
        <v/>
      </c>
      <c r="AB12" t="str">
        <f>IF(OR(Tulokset!$G$26="",Tulokset!$I$26="",'9'!$I$27="",'9'!$K$27=""),"",IF(SIGN('9'!$I$27-'9'!$K$27)&lt;&gt;SIGN(Tulokset!$G$26-Tulokset!$I$26),0,IF(Tulokset!$G$26=Tulokset!$I$26,IF(AND('9'!$I$27=Tulokset!$G$26,'9'!$K$27=Tulokset!$I$26),6,3),MAX(0,6-(ABS('9'!$I$27-Tulokset!$G$26)+ABS('9'!$K$27-Tulokset!$I$26))))))</f>
        <v/>
      </c>
      <c r="AC12" t="str">
        <f>IF(OR(Tulokset!$G$27="",Tulokset!$I$27="",'9'!$I$28="",'9'!$K$28=""),"",IF(SIGN('9'!$I$28-'9'!$K$28)&lt;&gt;SIGN(Tulokset!$G$27-Tulokset!$I$27),0,IF(Tulokset!$G$27=Tulokset!$I$27,IF(AND('9'!$I$28=Tulokset!$G$27,'9'!$K$28=Tulokset!$I$27),6,3),MAX(0,6-(ABS('9'!$I$28-Tulokset!$G$27)+ABS('9'!$K$28-Tulokset!$I$27))))))</f>
        <v/>
      </c>
      <c r="AD12" t="str">
        <f>IF(OR(Tulokset!$G$28="",Tulokset!$I$28="",'9'!$I$29="",'9'!$K$29=""),"",IF(SIGN('9'!$I$29-'9'!$K$29)&lt;&gt;SIGN(Tulokset!$G$28-Tulokset!$I$28),0,IF(Tulokset!$G$28=Tulokset!$I$28,IF(AND('9'!$I$29=Tulokset!$G$28,'9'!$K$29=Tulokset!$I$28),6,3),MAX(0,6-(ABS('9'!$I$29-Tulokset!$G$28)+ABS('9'!$K$29-Tulokset!$I$28))))))</f>
        <v/>
      </c>
      <c r="AE12" t="str">
        <f>IF(OR(Tulokset!$G$29="",Tulokset!$I$29="",'9'!$I$30="",'9'!$K$30=""),"",IF(SIGN('9'!$I$30-'9'!$K$30)&lt;&gt;SIGN(Tulokset!$G$29-Tulokset!$I$29),0,IF(Tulokset!$G$29=Tulokset!$I$29,IF(AND('9'!$I$30=Tulokset!$G$29,'9'!$K$30=Tulokset!$I$29),6,3),MAX(0,6-(ABS('9'!$I$30-Tulokset!$G$29)+ABS('9'!$K$30-Tulokset!$I$29))))))</f>
        <v/>
      </c>
      <c r="AF12" t="str">
        <f>IF(OR(Tulokset!$G$30="",Tulokset!$I$30="",'9'!$I$31="",'9'!$K$31=""),"",IF(SIGN('9'!$I$31-'9'!$K$31)&lt;&gt;SIGN(Tulokset!$G$30-Tulokset!$I$30),0,IF(Tulokset!$G$30=Tulokset!$I$30,IF(AND('9'!$I$31=Tulokset!$G$30,'9'!$K$31=Tulokset!$I$30),6,3),MAX(0,6-(ABS('9'!$I$31-Tulokset!$G$30)+ABS('9'!$K$31-Tulokset!$I$30))))))</f>
        <v/>
      </c>
      <c r="AG12" t="str">
        <f>IF(OR(Tulokset!$G$31="",Tulokset!$I$31="",'9'!$I$32="",'9'!$K$32=""),"",IF(SIGN('9'!$I$32-'9'!$K$32)&lt;&gt;SIGN(Tulokset!$G$31-Tulokset!$I$31),0,IF(Tulokset!$G$31=Tulokset!$I$31,IF(AND('9'!$I$32=Tulokset!$G$31,'9'!$K$32=Tulokset!$I$31),6,3),MAX(0,6-(ABS('9'!$I$32-Tulokset!$G$31)+ABS('9'!$K$32-Tulokset!$I$31))))))</f>
        <v/>
      </c>
      <c r="AH12" t="str">
        <f>IF(OR(Tulokset!$G$32="",Tulokset!$I$32="",'9'!$I$33="",'9'!$K$33=""),"",IF(SIGN('9'!$I$33-'9'!$K$33)&lt;&gt;SIGN(Tulokset!$G$32-Tulokset!$I$32),0,IF(Tulokset!$G$32=Tulokset!$I$32,IF(AND('9'!$I$33=Tulokset!$G$32,'9'!$K$33=Tulokset!$I$32),6,3),MAX(0,6-(ABS('9'!$I$33-Tulokset!$G$32)+ABS('9'!$K$33-Tulokset!$I$32))))))</f>
        <v/>
      </c>
      <c r="AI12" t="str">
        <f>IF(OR(Tulokset!$G$33="",Tulokset!$I$33="",'9'!$I$34="",'9'!$K$34=""),"",IF(SIGN('9'!$I$34-'9'!$K$34)&lt;&gt;SIGN(Tulokset!$G$33-Tulokset!$I$33),0,IF(Tulokset!$G$33=Tulokset!$I$33,IF(AND('9'!$I$34=Tulokset!$G$33,'9'!$K$34=Tulokset!$I$33),6,3),MAX(0,6-(ABS('9'!$I$34-Tulokset!$G$33)+ABS('9'!$K$34-Tulokset!$I$33))))))</f>
        <v/>
      </c>
      <c r="AJ12" t="str">
        <f>IF(OR(Tulokset!$G$34="",Tulokset!$I$34="",'9'!$I$35="",'9'!$K$35=""),"",IF(SIGN('9'!$I$35-'9'!$K$35)&lt;&gt;SIGN(Tulokset!$G$34-Tulokset!$I$34),0,IF(Tulokset!$G$34=Tulokset!$I$34,IF(AND('9'!$I$35=Tulokset!$G$34,'9'!$K$35=Tulokset!$I$34),6,3),MAX(0,6-(ABS('9'!$I$35-Tulokset!$G$34)+ABS('9'!$K$35-Tulokset!$I$34))))))</f>
        <v/>
      </c>
      <c r="AK12" t="str">
        <f>IF(OR(Tulokset!$G$35="",Tulokset!$I$35="",'9'!$I$36="",'9'!$K$36=""),"",IF(SIGN('9'!$I$36-'9'!$K$36)&lt;&gt;SIGN(Tulokset!$G$35-Tulokset!$I$35),0,IF(Tulokset!$G$35=Tulokset!$I$35,IF(AND('9'!$I$36=Tulokset!$G$35,'9'!$K$36=Tulokset!$I$35),6,3),MAX(0,6-(ABS('9'!$I$36-Tulokset!$G$35)+ABS('9'!$K$36-Tulokset!$I$35))))))</f>
        <v/>
      </c>
      <c r="AL12" t="str">
        <f>IF(OR(Tulokset!$G$36="",Tulokset!$I$36="",'9'!$I$37="",'9'!$K$37=""),"",IF(SIGN('9'!$I$37-'9'!$K$37)&lt;&gt;SIGN(Tulokset!$G$36-Tulokset!$I$36),0,IF(Tulokset!$G$36=Tulokset!$I$36,IF(AND('9'!$I$37=Tulokset!$G$36,'9'!$K$37=Tulokset!$I$36),6,3),MAX(0,6-(ABS('9'!$I$37-Tulokset!$G$36)+ABS('9'!$K$37-Tulokset!$I$36))))))</f>
        <v/>
      </c>
      <c r="AM12" t="str">
        <f>IF(OR(Tulokset!$G$37="",Tulokset!$I$37="",'9'!$I$38="",'9'!$K$38=""),"",IF(SIGN('9'!$I$38-'9'!$K$38)&lt;&gt;SIGN(Tulokset!$G$37-Tulokset!$I$37),0,IF(Tulokset!$G$37=Tulokset!$I$37,IF(AND('9'!$I$38=Tulokset!$G$37,'9'!$K$38=Tulokset!$I$37),6,3),MAX(0,6-(ABS('9'!$I$38-Tulokset!$G$37)+ABS('9'!$K$38-Tulokset!$I$37))))))</f>
        <v/>
      </c>
      <c r="AN12" t="str">
        <f>IF(OR(Tulokset!$G$38="",Tulokset!$I$38="",'9'!$I$39="",'9'!$K$39=""),"",IF(SIGN('9'!$I$39-'9'!$K$39)&lt;&gt;SIGN(Tulokset!$G$38-Tulokset!$I$38),0,IF(Tulokset!$G$38=Tulokset!$I$38,IF(AND('9'!$I$39=Tulokset!$G$38,'9'!$K$39=Tulokset!$I$38),6,3),MAX(0,6-(ABS('9'!$I$39-Tulokset!$G$38)+ABS('9'!$K$39-Tulokset!$I$38))))))</f>
        <v/>
      </c>
      <c r="AO12" t="str">
        <f>IF(OR(Tulokset!$G$39="",Tulokset!$I$39="",'9'!$I$40="",'9'!$K$40=""),"",IF(SIGN('9'!$I$40-'9'!$K$40)&lt;&gt;SIGN(Tulokset!$G$39-Tulokset!$I$39),0,IF(Tulokset!$G$39=Tulokset!$I$39,IF(AND('9'!$I$40=Tulokset!$G$39,'9'!$K$40=Tulokset!$I$39),6,3),MAX(0,6-(ABS('9'!$I$40-Tulokset!$G$39)+ABS('9'!$K$40-Tulokset!$I$39))))))</f>
        <v/>
      </c>
      <c r="AP12" t="str">
        <f>IF(OR(Tulokset!$G$40="",Tulokset!$I$40="",'9'!$I$41="",'9'!$K$41=""),"",IF(SIGN('9'!$I$41-'9'!$K$41)&lt;&gt;SIGN(Tulokset!$G$40-Tulokset!$I$40),0,IF(Tulokset!$G$40=Tulokset!$I$40,IF(AND('9'!$I$41=Tulokset!$G$40,'9'!$K$41=Tulokset!$I$40),6,3),MAX(0,6-(ABS('9'!$I$41-Tulokset!$G$40)+ABS('9'!$K$41-Tulokset!$I$40))))))</f>
        <v/>
      </c>
      <c r="AQ12" t="str">
        <f>IF(OR(Tulokset!$G$41="",Tulokset!$I$41="",'9'!$I$42="",'9'!$K$42=""),"",IF(SIGN('9'!$I$42-'9'!$K$42)&lt;&gt;SIGN(Tulokset!$G$41-Tulokset!$I$41),0,IF(Tulokset!$G$41=Tulokset!$I$41,IF(AND('9'!$I$42=Tulokset!$G$41,'9'!$K$42=Tulokset!$I$41),6,3),MAX(0,6-(ABS('9'!$I$42-Tulokset!$G$41)+ABS('9'!$K$42-Tulokset!$I$41))))))</f>
        <v/>
      </c>
      <c r="AR12" t="str">
        <f>IF(OR(Tulokset!$G$42="",Tulokset!$I$42="",'9'!$I$43="",'9'!$K$43=""),"",IF(SIGN('9'!$I$43-'9'!$K$43)&lt;&gt;SIGN(Tulokset!$G$42-Tulokset!$I$42),0,IF(Tulokset!$G$42=Tulokset!$I$42,IF(AND('9'!$I$43=Tulokset!$G$42,'9'!$K$43=Tulokset!$I$42),6,3),MAX(0,6-(ABS('9'!$I$43-Tulokset!$G$42)+ABS('9'!$K$43-Tulokset!$I$42))))))</f>
        <v/>
      </c>
      <c r="AS12" t="str">
        <f>IF(OR(Tulokset!$G$43="",Tulokset!$I$43="",'9'!$I$44="",'9'!$K$44=""),"",IF(SIGN('9'!$I$44-'9'!$K$44)&lt;&gt;SIGN(Tulokset!$G$43-Tulokset!$I$43),0,IF(Tulokset!$G$43=Tulokset!$I$43,IF(AND('9'!$I$44=Tulokset!$G$43,'9'!$K$44=Tulokset!$I$43),6,3),MAX(0,6-(ABS('9'!$I$44-Tulokset!$G$43)+ABS('9'!$K$44-Tulokset!$I$43))))))</f>
        <v/>
      </c>
      <c r="AT12" t="str">
        <f>IF(OR(Tulokset!$G$44="",Tulokset!$I$44="",'9'!$I$45="",'9'!$K$45=""),"",IF(SIGN('9'!$I$45-'9'!$K$45)&lt;&gt;SIGN(Tulokset!$G$44-Tulokset!$I$44),0,IF(Tulokset!$G$44=Tulokset!$I$44,IF(AND('9'!$I$45=Tulokset!$G$44,'9'!$K$45=Tulokset!$I$44),6,3),MAX(0,6-(ABS('9'!$I$45-Tulokset!$G$44)+ABS('9'!$K$45-Tulokset!$I$44))))))</f>
        <v/>
      </c>
      <c r="AU12" t="str">
        <f>IF(OR(Tulokset!$G$45="",Tulokset!$I$45="",'9'!$I$46="",'9'!$K$46=""),"",IF(SIGN('9'!$I$46-'9'!$K$46)&lt;&gt;SIGN(Tulokset!$G$45-Tulokset!$I$45),0,IF(Tulokset!$G$45=Tulokset!$I$45,IF(AND('9'!$I$46=Tulokset!$G$45,'9'!$K$46=Tulokset!$I$45),6,3),MAX(0,6-(ABS('9'!$I$46-Tulokset!$G$45)+ABS('9'!$K$46-Tulokset!$I$45))))))</f>
        <v/>
      </c>
      <c r="AV12" t="str">
        <f>IF(OR(Tulokset!$G$46="",Tulokset!$I$46="",'9'!$I$47="",'9'!$K$47=""),"",IF(SIGN('9'!$I$47-'9'!$K$47)&lt;&gt;SIGN(Tulokset!$G$46-Tulokset!$I$46),0,IF(Tulokset!$G$46=Tulokset!$I$46,IF(AND('9'!$I$47=Tulokset!$G$46,'9'!$K$47=Tulokset!$I$46),6,3),MAX(0,6-(ABS('9'!$I$47-Tulokset!$G$46)+ABS('9'!$K$47-Tulokset!$I$46))))))</f>
        <v/>
      </c>
      <c r="AW12" t="str">
        <f>IF(OR(Tulokset!$G$47="",Tulokset!$I$47="",'9'!$I$48="",'9'!$K$48=""),"",IF(SIGN('9'!$I$48-'9'!$K$48)&lt;&gt;SIGN(Tulokset!$G$47-Tulokset!$I$47),0,IF(Tulokset!$G$47=Tulokset!$I$47,IF(AND('9'!$I$48=Tulokset!$G$47,'9'!$K$48=Tulokset!$I$47),6,3),MAX(0,6-(ABS('9'!$I$48-Tulokset!$G$47)+ABS('9'!$K$48-Tulokset!$I$47))))))</f>
        <v/>
      </c>
      <c r="AX12" t="str">
        <f>IF(OR(Tulokset!$G$48="",Tulokset!$I$48="",'9'!$I$49="",'9'!$K$49=""),"",IF(SIGN('9'!$I$49-'9'!$K$49)&lt;&gt;SIGN(Tulokset!$G$48-Tulokset!$I$48),0,IF(Tulokset!$G$48=Tulokset!$I$48,IF(AND('9'!$I$49=Tulokset!$G$48,'9'!$K$49=Tulokset!$I$48),6,3),MAX(0,6-(ABS('9'!$I$49-Tulokset!$G$48)+ABS('9'!$K$49-Tulokset!$I$48))))))</f>
        <v/>
      </c>
      <c r="AY12" t="str">
        <f>IF(OR(Tulokset!$G$49="",Tulokset!$I$49="",'9'!$I$50="",'9'!$K$50=""),"",IF(SIGN('9'!$I$50-'9'!$K$50)&lt;&gt;SIGN(Tulokset!$G$49-Tulokset!$I$49),0,IF(Tulokset!$G$49=Tulokset!$I$49,IF(AND('9'!$I$50=Tulokset!$G$49,'9'!$K$50=Tulokset!$I$49),6,3),MAX(0,6-(ABS('9'!$I$50-Tulokset!$G$49)+ABS('9'!$K$50-Tulokset!$I$49))))))</f>
        <v/>
      </c>
      <c r="AZ12" t="str">
        <f>IF(OR(Tulokset!$G$50="",Tulokset!$I$50="",'9'!$I$51="",'9'!$K$51=""),"",IF(SIGN('9'!$I$51-'9'!$K$51)&lt;&gt;SIGN(Tulokset!$G$50-Tulokset!$I$50),0,IF(Tulokset!$G$50=Tulokset!$I$50,IF(AND('9'!$I$51=Tulokset!$G$50,'9'!$K$51=Tulokset!$I$50),6,3),MAX(0,6-(ABS('9'!$I$51-Tulokset!$G$50)+ABS('9'!$K$51-Tulokset!$I$50))))))</f>
        <v/>
      </c>
      <c r="BA12" t="str">
        <f>IF(OR(Tulokset!$G$51="",Tulokset!$I$51="",'9'!$I$52="",'9'!$K$52=""),"",IF(SIGN('9'!$I$52-'9'!$K$52)&lt;&gt;SIGN(Tulokset!$G$51-Tulokset!$I$51),0,IF(Tulokset!$G$51=Tulokset!$I$51,IF(AND('9'!$I$52=Tulokset!$G$51,'9'!$K$52=Tulokset!$I$51),6,3),MAX(0,6-(ABS('9'!$I$52-Tulokset!$G$51)+ABS('9'!$K$52-Tulokset!$I$51))))))</f>
        <v/>
      </c>
      <c r="BB12" t="str">
        <f>IF(OR(Tulokset!$G$52="",Tulokset!$I$52="",'9'!$I$53="",'9'!$K$53=""),"",IF(SIGN('9'!$I$53-'9'!$K$53)&lt;&gt;SIGN(Tulokset!$G$52-Tulokset!$I$52),0,IF(Tulokset!$G$52=Tulokset!$I$52,IF(AND('9'!$I$53=Tulokset!$G$52,'9'!$K$53=Tulokset!$I$52),6,3),MAX(0,6-(ABS('9'!$I$53-Tulokset!$G$52)+ABS('9'!$K$53-Tulokset!$I$52))))))</f>
        <v/>
      </c>
      <c r="BC12" t="str">
        <f>IF(OR(Tulokset!$G$53="",Tulokset!$I$53="",'9'!$I$54="",'9'!$K$54=""),"",IF(SIGN('9'!$I$54-'9'!$K$54)&lt;&gt;SIGN(Tulokset!$G$53-Tulokset!$I$53),0,IF(Tulokset!$G$53=Tulokset!$I$53,IF(AND('9'!$I$54=Tulokset!$G$53,'9'!$K$54=Tulokset!$I$53),6,3),MAX(0,6-(ABS('9'!$I$54-Tulokset!$G$53)+ABS('9'!$K$54-Tulokset!$I$53))))))</f>
        <v/>
      </c>
      <c r="BD12" t="str">
        <f>IF(OR(Tulokset!$G$54="",Tulokset!$I$54="",'9'!$I$55="",'9'!$K$55=""),"",IF(SIGN('9'!$I$55-'9'!$K$55)&lt;&gt;SIGN(Tulokset!$G$54-Tulokset!$I$54),0,IF(Tulokset!$G$54=Tulokset!$I$54,IF(AND('9'!$I$55=Tulokset!$G$54,'9'!$K$55=Tulokset!$I$54),6,3),MAX(0,6-(ABS('9'!$I$55-Tulokset!$G$54)+ABS('9'!$K$55-Tulokset!$I$54))))))</f>
        <v/>
      </c>
      <c r="BE12" t="str">
        <f>IF(OR(Tulokset!$G$55="",Tulokset!$I$55="",'9'!$I$56="",'9'!$K$56=""),"",IF(SIGN('9'!$I$56-'9'!$K$56)&lt;&gt;SIGN(Tulokset!$G$55-Tulokset!$I$55),0,IF(Tulokset!$G$55=Tulokset!$I$55,IF(AND('9'!$I$56=Tulokset!$G$55,'9'!$K$56=Tulokset!$I$55),6,3),MAX(0,6-(ABS('9'!$I$56-Tulokset!$G$55)+ABS('9'!$K$56-Tulokset!$I$55))))))</f>
        <v/>
      </c>
      <c r="BF12" t="str">
        <f>IF(OR(Tulokset!$G$56="",Tulokset!$I$56="",'9'!$I$57="",'9'!$K$57=""),"",IF(SIGN('9'!$I$57-'9'!$K$57)&lt;&gt;SIGN(Tulokset!$G$56-Tulokset!$I$56),0,IF(Tulokset!$G$56=Tulokset!$I$56,IF(AND('9'!$I$57=Tulokset!$G$56,'9'!$K$57=Tulokset!$I$56),6,3),MAX(0,6-(ABS('9'!$I$57-Tulokset!$G$56)+ABS('9'!$K$57-Tulokset!$I$56))))))</f>
        <v/>
      </c>
      <c r="BG12" t="str">
        <f>IF(OR(Tulokset!$G$57="",Tulokset!$I$57="",'9'!$I$58="",'9'!$K$58=""),"",IF(SIGN('9'!$I$58-'9'!$K$58)&lt;&gt;SIGN(Tulokset!$G$57-Tulokset!$I$57),0,IF(Tulokset!$G$57=Tulokset!$I$57,IF(AND('9'!$I$58=Tulokset!$G$57,'9'!$K$58=Tulokset!$I$57),6,3),MAX(0,6-(ABS('9'!$I$58-Tulokset!$G$57)+ABS('9'!$K$58-Tulokset!$I$57))))))</f>
        <v/>
      </c>
      <c r="BH12" t="str">
        <f>IF(OR(Tulokset!$G$58="",Tulokset!$I$58="",'9'!$I$59="",'9'!$K$59=""),"",IF(SIGN('9'!$I$59-'9'!$K$59)&lt;&gt;SIGN(Tulokset!$G$58-Tulokset!$I$58),0,IF(Tulokset!$G$58=Tulokset!$I$58,IF(AND('9'!$I$59=Tulokset!$G$58,'9'!$K$59=Tulokset!$I$58),6,3),MAX(0,6-(ABS('9'!$I$59-Tulokset!$G$58)+ABS('9'!$K$59-Tulokset!$I$58))))))</f>
        <v/>
      </c>
      <c r="BI12" t="str">
        <f>IF(OR(Tulokset!$G$59="",Tulokset!$I$59="",'9'!$I$60="",'9'!$K$60=""),"",IF(SIGN('9'!$I$60-'9'!$K$60)&lt;&gt;SIGN(Tulokset!$G$59-Tulokset!$I$59),0,IF(Tulokset!$G$59=Tulokset!$I$59,IF(AND('9'!$I$60=Tulokset!$G$59,'9'!$K$60=Tulokset!$I$59),6,3),MAX(0,6-(ABS('9'!$I$60-Tulokset!$G$59)+ABS('9'!$K$60-Tulokset!$I$59))))))</f>
        <v/>
      </c>
      <c r="BJ12" t="str">
        <f>IF(OR(Tulokset!$G$60="",Tulokset!$I$60="",'9'!$I$61="",'9'!$K$61=""),"",IF(SIGN('9'!$I$61-'9'!$K$61)&lt;&gt;SIGN(Tulokset!$G$60-Tulokset!$I$60),0,IF(Tulokset!$G$60=Tulokset!$I$60,IF(AND('9'!$I$61=Tulokset!$G$60,'9'!$K$61=Tulokset!$I$60),6,3),MAX(0,6-(ABS('9'!$I$61-Tulokset!$G$60)+ABS('9'!$K$61-Tulokset!$I$60))))))</f>
        <v/>
      </c>
      <c r="BK12" t="str">
        <f>IF(OR(Tulokset!$G$61="",Tulokset!$I$61="",'9'!$I$62="",'9'!$K$62=""),"",IF(SIGN('9'!$I$62-'9'!$K$62)&lt;&gt;SIGN(Tulokset!$G$61-Tulokset!$I$61),0,IF(Tulokset!$G$61=Tulokset!$I$61,IF(AND('9'!$I$62=Tulokset!$G$61,'9'!$K$62=Tulokset!$I$61),6,3),MAX(0,6-(ABS('9'!$I$62-Tulokset!$G$61)+ABS('9'!$K$62-Tulokset!$I$61))))))</f>
        <v/>
      </c>
      <c r="BL12" t="str">
        <f>IF(OR(Tulokset!$G$62="",Tulokset!$I$62="",'9'!$I$63="",'9'!$K$63=""),"",IF(SIGN('9'!$I$63-'9'!$K$63)&lt;&gt;SIGN(Tulokset!$G$62-Tulokset!$I$62),0,IF(Tulokset!$G$62=Tulokset!$I$62,IF(AND('9'!$I$63=Tulokset!$G$62,'9'!$K$63=Tulokset!$I$62),6,3),MAX(0,6-(ABS('9'!$I$63-Tulokset!$G$62)+ABS('9'!$K$63-Tulokset!$I$62))))))</f>
        <v/>
      </c>
      <c r="BM12" t="str">
        <f>IF(OR(Tulokset!$G$63="",Tulokset!$I$63="",'9'!$I$64="",'9'!$K$64=""),"",IF(SIGN('9'!$I$64-'9'!$K$64)&lt;&gt;SIGN(Tulokset!$G$63-Tulokset!$I$63),0,IF(Tulokset!$G$63=Tulokset!$I$63,IF(AND('9'!$I$64=Tulokset!$G$63,'9'!$K$64=Tulokset!$I$63),6,3),MAX(0,6-(ABS('9'!$I$64-Tulokset!$G$63)+ABS('9'!$K$64-Tulokset!$I$63))))))</f>
        <v/>
      </c>
      <c r="BN12" t="str">
        <f>IF(OR(Tulokset!$G$64="",Tulokset!$I$64="",'9'!$I$65="",'9'!$K$65=""),"",IF(SIGN('9'!$I$65-'9'!$K$65)&lt;&gt;SIGN(Tulokset!$G$64-Tulokset!$I$64),0,IF(Tulokset!$G$64=Tulokset!$I$64,IF(AND('9'!$I$65=Tulokset!$G$64,'9'!$K$65=Tulokset!$I$64),6,3),MAX(0,6-(ABS('9'!$I$65-Tulokset!$G$64)+ABS('9'!$K$65-Tulokset!$I$64))))))</f>
        <v/>
      </c>
      <c r="BO12" t="str">
        <f>IF(OR(Tulokset!$G$65="",Tulokset!$I$65="",'9'!$I$66="",'9'!$K$66=""),"",IF(SIGN('9'!$I$66-'9'!$K$66)&lt;&gt;SIGN(Tulokset!$G$65-Tulokset!$I$65),0,IF(Tulokset!$G$65=Tulokset!$I$65,IF(AND('9'!$I$66=Tulokset!$G$65,'9'!$K$66=Tulokset!$I$65),6,3),MAX(0,6-(ABS('9'!$I$66-Tulokset!$G$65)+ABS('9'!$K$66-Tulokset!$I$65))))))</f>
        <v/>
      </c>
      <c r="BP12" t="str">
        <f>IF(OR(Tulokset!$G$66="",Tulokset!$I$66="",'9'!$I$67="",'9'!$K$67=""),"",IF(SIGN('9'!$I$67-'9'!$K$67)&lt;&gt;SIGN(Tulokset!$G$66-Tulokset!$I$66),0,IF(Tulokset!$G$66=Tulokset!$I$66,IF(AND('9'!$I$67=Tulokset!$G$66,'9'!$K$67=Tulokset!$I$66),6,3),MAX(0,6-(ABS('9'!$I$67-Tulokset!$G$66)+ABS('9'!$K$67-Tulokset!$I$66))))))</f>
        <v/>
      </c>
      <c r="BQ12" t="str">
        <f>IF(OR(Tulokset!$G$67="",Tulokset!$I$67="",'9'!$I$68="",'9'!$K$68=""),"",IF(SIGN('9'!$I$68-'9'!$K$68)&lt;&gt;SIGN(Tulokset!$G$67-Tulokset!$I$67),0,IF(Tulokset!$G$67=Tulokset!$I$67,IF(AND('9'!$I$68=Tulokset!$G$67,'9'!$K$68=Tulokset!$I$67),6,3),MAX(0,6-(ABS('9'!$I$68-Tulokset!$G$67)+ABS('9'!$K$68-Tulokset!$I$67))))))</f>
        <v/>
      </c>
      <c r="BR12" t="str">
        <f>IF(OR(Tulokset!$G$68="",Tulokset!$I$68="",'9'!$I$69="",'9'!$K$69=""),"",IF(SIGN('9'!$I$69-'9'!$K$69)&lt;&gt;SIGN(Tulokset!$G$68-Tulokset!$I$68),0,IF(Tulokset!$G$68=Tulokset!$I$68,IF(AND('9'!$I$69=Tulokset!$G$68,'9'!$K$69=Tulokset!$I$68),6,3),MAX(0,6-(ABS('9'!$I$69-Tulokset!$G$68)+ABS('9'!$K$69-Tulokset!$I$68))))))</f>
        <v/>
      </c>
      <c r="BS12" t="str">
        <f>IF(OR(Tulokset!$G$69="",Tulokset!$I$69="",'9'!$I$70="",'9'!$K$70=""),"",IF(SIGN('9'!$I$70-'9'!$K$70)&lt;&gt;SIGN(Tulokset!$G$69-Tulokset!$I$69),0,IF(Tulokset!$G$69=Tulokset!$I$69,IF(AND('9'!$I$70=Tulokset!$G$69,'9'!$K$70=Tulokset!$I$69),6,3),MAX(0,6-(ABS('9'!$I$70-Tulokset!$G$69)+ABS('9'!$K$70-Tulokset!$I$69))))))</f>
        <v/>
      </c>
      <c r="BT12" t="str">
        <f>IF(OR(Tulokset!$G$70="",Tulokset!$I$70="",'9'!$I$71="",'9'!$K$71=""),"",IF(SIGN('9'!$I$71-'9'!$K$71)&lt;&gt;SIGN(Tulokset!$G$70-Tulokset!$I$70),0,IF(Tulokset!$G$70=Tulokset!$I$70,IF(AND('9'!$I$71=Tulokset!$G$70,'9'!$K$71=Tulokset!$I$70),6,3),MAX(0,6-(ABS('9'!$I$71-Tulokset!$G$70)+ABS('9'!$K$71-Tulokset!$I$70))))))</f>
        <v/>
      </c>
      <c r="BU12" t="str">
        <f>IF(OR(Tulokset!$G$71="",Tulokset!$I$71="",'9'!$I$72="",'9'!$K$72=""),"",IF(SIGN('9'!$I$72-'9'!$K$72)&lt;&gt;SIGN(Tulokset!$G$71-Tulokset!$I$71),0,IF(Tulokset!$G$71=Tulokset!$I$71,IF(AND('9'!$I$72=Tulokset!$G$71,'9'!$K$72=Tulokset!$I$71),6,3),MAX(0,6-(ABS('9'!$I$72-Tulokset!$G$71)+ABS('9'!$K$72-Tulokset!$I$71))))))</f>
        <v/>
      </c>
      <c r="BV12" t="str">
        <f>IF(OR(Tulokset!$G$72="",Tulokset!$I$72="",'9'!$I$73="",'9'!$K$73=""),"",IF(SIGN('9'!$I$73-'9'!$K$73)&lt;&gt;SIGN(Tulokset!$G$72-Tulokset!$I$72),0,IF(Tulokset!$G$72=Tulokset!$I$72,IF(AND('9'!$I$73=Tulokset!$G$72,'9'!$K$73=Tulokset!$I$72),6,3),MAX(0,6-(ABS('9'!$I$73-Tulokset!$G$72)+ABS('9'!$K$73-Tulokset!$I$72))))))</f>
        <v/>
      </c>
      <c r="BW12" t="str">
        <f>IF(OR(Tulokset!$G$73="",Tulokset!$I$73="",'9'!$I$74="",'9'!$K$74=""),"",IF(SIGN('9'!$I$74-'9'!$K$74)&lt;&gt;SIGN(Tulokset!$G$73-Tulokset!$I$73),0,IF(Tulokset!$G$73=Tulokset!$I$73,IF(AND('9'!$I$74=Tulokset!$G$73,'9'!$K$74=Tulokset!$I$73),6,3),MAX(0,6-(ABS('9'!$I$74-Tulokset!$G$73)+ABS('9'!$K$74-Tulokset!$I$73))))))</f>
        <v/>
      </c>
      <c r="BX12" t="str">
        <f>IF(OR(Tulokset!$G$74="",Tulokset!$I$74="",'9'!$I$75="",'9'!$K$75=""),"",IF(SIGN('9'!$I$75-'9'!$K$75)&lt;&gt;SIGN(Tulokset!$G$74-Tulokset!$I$74),0,IF(Tulokset!$G$74=Tulokset!$I$74,IF(AND('9'!$I$75=Tulokset!$G$74,'9'!$K$75=Tulokset!$I$74),6,3),MAX(0,6-(ABS('9'!$I$75-Tulokset!$G$74)+ABS('9'!$K$75-Tulokset!$I$74))))))</f>
        <v/>
      </c>
      <c r="BY12" t="str">
        <f>IF(OR(Tulokset!$G$75="",Tulokset!$I$75="",'9'!$I$76="",'9'!$K$76=""),"",IF(SIGN('9'!$I$76-'9'!$K$76)&lt;&gt;SIGN(Tulokset!$G$75-Tulokset!$I$75),0,IF(Tulokset!$G$75=Tulokset!$I$75,IF(AND('9'!$I$76=Tulokset!$G$75,'9'!$K$76=Tulokset!$I$75),6,3),MAX(0,6-(ABS('9'!$I$76-Tulokset!$G$75)+ABS('9'!$K$76-Tulokset!$I$75))))))</f>
        <v/>
      </c>
      <c r="BZ12" t="str">
        <f>IF(OR(Tulokset!$G$76="",Tulokset!$I$76="",'9'!$I$77="",'9'!$K$77=""),"",IF(SIGN('9'!$I$77-'9'!$K$77)&lt;&gt;SIGN(Tulokset!$G$76-Tulokset!$I$76),0,IF(Tulokset!$G$76=Tulokset!$I$76,IF(AND('9'!$I$77=Tulokset!$G$76,'9'!$K$77=Tulokset!$I$76),6,3),MAX(0,6-(ABS('9'!$I$77-Tulokset!$G$76)+ABS('9'!$K$77-Tulokset!$I$76))))))</f>
        <v/>
      </c>
      <c r="CA12" t="str">
        <f>IF(OR(Tulokset!$G$77="",Tulokset!$I$77="",'9'!$I$78="",'9'!$K$78=""),"",IF(SIGN('9'!$I$78-'9'!$K$78)&lt;&gt;SIGN(Tulokset!$G$77-Tulokset!$I$77),0,IF(Tulokset!$G$77=Tulokset!$I$77,IF(AND('9'!$I$78=Tulokset!$G$77,'9'!$K$78=Tulokset!$I$77),6,3),MAX(0,6-(ABS('9'!$I$78-Tulokset!$G$77)+ABS('9'!$K$78-Tulokset!$I$77))))))</f>
        <v/>
      </c>
      <c r="CD12" t="str">
        <f ca="1">IF(OR(Tulokset!$M$6="",INDIRECT("'"&amp;$A12&amp;"'!$P$8")=""),"",IF(TRIM(INDIRECT("'"&amp;$A12&amp;"'!$P$8"))=TRIM(Tulokset!$M$6),2,0))</f>
        <v/>
      </c>
      <c r="CE12" t="str">
        <f ca="1">IF(OR(Tulokset!$M$7="",INDIRECT("'"&amp;$A12&amp;"'!$P$9")=""),"",IF(TRIM(INDIRECT("'"&amp;$A12&amp;"'!$P$9"))=TRIM(Tulokset!$M$7),2,0))</f>
        <v/>
      </c>
      <c r="CF12" t="str">
        <f ca="1">IF(OR(Tulokset!$M$8="",INDIRECT("'"&amp;$A12&amp;"'!$P$10")=""),"",IF(TRIM(INDIRECT("'"&amp;$A12&amp;"'!$P$10"))=TRIM(Tulokset!$M$8),2,0))</f>
        <v/>
      </c>
      <c r="CG12" t="str">
        <f ca="1">IF(OR(Tulokset!$M$9="",INDIRECT("'"&amp;$A12&amp;"'!$P$11")=""),"",IF(TRIM(INDIRECT("'"&amp;$A12&amp;"'!$P$11"))=TRIM(Tulokset!$M$9),2,0))</f>
        <v/>
      </c>
      <c r="CH12" t="str">
        <f ca="1">IF(OR(Tulokset!$N$6="",INDIRECT("'"&amp;$A12&amp;"'!$Q$8")=""),"",IF(TRIM(INDIRECT("'"&amp;$A12&amp;"'!$Q$8"))=TRIM(Tulokset!$N$6),2,0))</f>
        <v/>
      </c>
      <c r="CI12" t="str">
        <f ca="1">IF(OR(Tulokset!$N$7="",INDIRECT("'"&amp;$A12&amp;"'!$Q$9")=""),"",IF(TRIM(INDIRECT("'"&amp;$A12&amp;"'!$Q$9"))=TRIM(Tulokset!$N$7),2,0))</f>
        <v/>
      </c>
      <c r="CJ12" t="str">
        <f ca="1">IF(OR(Tulokset!$N$8="",INDIRECT("'"&amp;$A12&amp;"'!$Q$10")=""),"",IF(TRIM(INDIRECT("'"&amp;$A12&amp;"'!$Q$10"))=TRIM(Tulokset!$N$8),2,0))</f>
        <v/>
      </c>
      <c r="CK12" t="str">
        <f ca="1">IF(OR(Tulokset!$N$9="",INDIRECT("'"&amp;$A12&amp;"'!$Q$11")=""),"",IF(TRIM(INDIRECT("'"&amp;$A12&amp;"'!$Q$11"))=TRIM(Tulokset!$N$9),2,0))</f>
        <v/>
      </c>
      <c r="CL12" t="str">
        <f ca="1">IF(OR(Tulokset!$O$6="",INDIRECT("'"&amp;$A12&amp;"'!$R$8")=""),"",IF(TRIM(INDIRECT("'"&amp;$A12&amp;"'!$R$8"))=TRIM(Tulokset!$O$6),2,0))</f>
        <v/>
      </c>
      <c r="CM12" t="str">
        <f ca="1">IF(OR(Tulokset!$O$7="",INDIRECT("'"&amp;$A12&amp;"'!$R$9")=""),"",IF(TRIM(INDIRECT("'"&amp;$A12&amp;"'!$R$9"))=TRIM(Tulokset!$O$7),2,0))</f>
        <v/>
      </c>
      <c r="CN12" t="str">
        <f ca="1">IF(OR(Tulokset!$O$8="",INDIRECT("'"&amp;$A12&amp;"'!$R$10")=""),"",IF(TRIM(INDIRECT("'"&amp;$A12&amp;"'!$R$10"))=TRIM(Tulokset!$O$8),2,0))</f>
        <v/>
      </c>
      <c r="CO12" t="str">
        <f ca="1">IF(OR(Tulokset!$O$9="",INDIRECT("'"&amp;$A12&amp;"'!$R$11")=""),"",IF(TRIM(INDIRECT("'"&amp;$A12&amp;"'!$R$11"))=TRIM(Tulokset!$O$9),2,0))</f>
        <v/>
      </c>
      <c r="CP12" t="str">
        <f ca="1">IF(OR(Tulokset!$P$6="",INDIRECT("'"&amp;$A12&amp;"'!$S$8")=""),"",IF(TRIM(INDIRECT("'"&amp;$A12&amp;"'!$S$8"))=TRIM(Tulokset!$P$6),2,0))</f>
        <v/>
      </c>
      <c r="CQ12" t="str">
        <f ca="1">IF(OR(Tulokset!$P$7="",INDIRECT("'"&amp;$A12&amp;"'!$S$9")=""),"",IF(TRIM(INDIRECT("'"&amp;$A12&amp;"'!$S$9"))=TRIM(Tulokset!$P$7),2,0))</f>
        <v/>
      </c>
      <c r="CR12" t="str">
        <f ca="1">IF(OR(Tulokset!$P$8="",INDIRECT("'"&amp;$A12&amp;"'!$S$10")=""),"",IF(TRIM(INDIRECT("'"&amp;$A12&amp;"'!$S$10"))=TRIM(Tulokset!$P$8),2,0))</f>
        <v/>
      </c>
      <c r="CS12" t="str">
        <f ca="1">IF(OR(Tulokset!$P$9="",INDIRECT("'"&amp;$A12&amp;"'!$S$11")=""),"",IF(TRIM(INDIRECT("'"&amp;$A12&amp;"'!$S$11"))=TRIM(Tulokset!$P$9),2,0))</f>
        <v/>
      </c>
      <c r="CT12" t="str">
        <f ca="1">IF(OR(Tulokset!$Q$6="",INDIRECT("'"&amp;$A12&amp;"'!$T$8")=""),"",IF(TRIM(INDIRECT("'"&amp;$A12&amp;"'!$T$8"))=TRIM(Tulokset!$Q$6),2,0))</f>
        <v/>
      </c>
      <c r="CU12" t="str">
        <f ca="1">IF(OR(Tulokset!$Q$7="",INDIRECT("'"&amp;$A12&amp;"'!$T$9")=""),"",IF(TRIM(INDIRECT("'"&amp;$A12&amp;"'!$T$9"))=TRIM(Tulokset!$Q$7),2,0))</f>
        <v/>
      </c>
      <c r="CV12" t="str">
        <f ca="1">IF(OR(Tulokset!$Q$8="",INDIRECT("'"&amp;$A12&amp;"'!$T$10")=""),"",IF(TRIM(INDIRECT("'"&amp;$A12&amp;"'!$T$10"))=TRIM(Tulokset!$Q$8),2,0))</f>
        <v/>
      </c>
      <c r="CW12" t="str">
        <f ca="1">IF(OR(Tulokset!$Q$9="",INDIRECT("'"&amp;$A12&amp;"'!$T$11")=""),"",IF(TRIM(INDIRECT("'"&amp;$A12&amp;"'!$T$11"))=TRIM(Tulokset!$Q$9),2,0))</f>
        <v/>
      </c>
      <c r="CX12" t="str">
        <f ca="1">IF(OR(Tulokset!$R$6="",INDIRECT("'"&amp;$A12&amp;"'!$U$8")=""),"",IF(TRIM(INDIRECT("'"&amp;$A12&amp;"'!$U$8"))=TRIM(Tulokset!$R$6),2,0))</f>
        <v/>
      </c>
      <c r="CY12" t="str">
        <f ca="1">IF(OR(Tulokset!$R$7="",INDIRECT("'"&amp;$A12&amp;"'!$U$9")=""),"",IF(TRIM(INDIRECT("'"&amp;$A12&amp;"'!$U$9"))=TRIM(Tulokset!$R$7),2,0))</f>
        <v/>
      </c>
      <c r="CZ12" t="str">
        <f ca="1">IF(OR(Tulokset!$R$8="",INDIRECT("'"&amp;$A12&amp;"'!$U$10")=""),"",IF(TRIM(INDIRECT("'"&amp;$A12&amp;"'!$U$10"))=TRIM(Tulokset!$R$8),2,0))</f>
        <v/>
      </c>
      <c r="DA12" t="str">
        <f ca="1">IF(OR(Tulokset!$R$9="",INDIRECT("'"&amp;$A12&amp;"'!$U$11")=""),"",IF(TRIM(INDIRECT("'"&amp;$A12&amp;"'!$U$11"))=TRIM(Tulokset!$R$9),2,0))</f>
        <v/>
      </c>
      <c r="DB12" t="str">
        <f ca="1">IF(OR(Tulokset!$M$12="",INDIRECT("'"&amp;$A12&amp;"'!$P$14")=""),"",IF(TRIM(INDIRECT("'"&amp;$A12&amp;"'!$P$14"))=TRIM(Tulokset!$M$12),2,0))</f>
        <v/>
      </c>
      <c r="DC12" t="str">
        <f ca="1">IF(OR(Tulokset!$M$13="",INDIRECT("'"&amp;$A12&amp;"'!$P$15")=""),"",IF(TRIM(INDIRECT("'"&amp;$A12&amp;"'!$P$15"))=TRIM(Tulokset!$M$13),2,0))</f>
        <v/>
      </c>
      <c r="DD12" t="str">
        <f ca="1">IF(OR(Tulokset!$M$14="",INDIRECT("'"&amp;$A12&amp;"'!$P$16")=""),"",IF(TRIM(INDIRECT("'"&amp;$A12&amp;"'!$P$16"))=TRIM(Tulokset!$M$14),2,0))</f>
        <v/>
      </c>
      <c r="DE12" t="str">
        <f ca="1">IF(OR(Tulokset!$M$15="",INDIRECT("'"&amp;$A12&amp;"'!$P$17")=""),"",IF(TRIM(INDIRECT("'"&amp;$A12&amp;"'!$P$17"))=TRIM(Tulokset!$M$15),2,0))</f>
        <v/>
      </c>
      <c r="DF12" t="str">
        <f ca="1">IF(OR(Tulokset!$N$12="",INDIRECT("'"&amp;$A12&amp;"'!$Q$14")=""),"",IF(TRIM(INDIRECT("'"&amp;$A12&amp;"'!$Q$14"))=TRIM(Tulokset!$N$12),2,0))</f>
        <v/>
      </c>
      <c r="DG12" t="str">
        <f ca="1">IF(OR(Tulokset!$N$13="",INDIRECT("'"&amp;$A12&amp;"'!$Q$15")=""),"",IF(TRIM(INDIRECT("'"&amp;$A12&amp;"'!$Q$15"))=TRIM(Tulokset!$N$13),2,0))</f>
        <v/>
      </c>
      <c r="DH12" t="str">
        <f ca="1">IF(OR(Tulokset!$N$14="",INDIRECT("'"&amp;$A12&amp;"'!$Q$16")=""),"",IF(TRIM(INDIRECT("'"&amp;$A12&amp;"'!$Q$16"))=TRIM(Tulokset!$N$14),2,0))</f>
        <v/>
      </c>
      <c r="DI12" t="str">
        <f ca="1">IF(OR(Tulokset!$N$15="",INDIRECT("'"&amp;$A12&amp;"'!$Q$17")=""),"",IF(TRIM(INDIRECT("'"&amp;$A12&amp;"'!$Q$17"))=TRIM(Tulokset!$N$15),2,0))</f>
        <v/>
      </c>
      <c r="DJ12" t="str">
        <f ca="1">IF(OR(Tulokset!$O$12="",INDIRECT("'"&amp;$A12&amp;"'!$R$14")=""),"",IF(TRIM(INDIRECT("'"&amp;$A12&amp;"'!$R$14"))=TRIM(Tulokset!$O$12),2,0))</f>
        <v/>
      </c>
      <c r="DK12" t="str">
        <f ca="1">IF(OR(Tulokset!$O$13="",INDIRECT("'"&amp;$A12&amp;"'!$R$15")=""),"",IF(TRIM(INDIRECT("'"&amp;$A12&amp;"'!$R$15"))=TRIM(Tulokset!$O$13),2,0))</f>
        <v/>
      </c>
      <c r="DL12" t="str">
        <f ca="1">IF(OR(Tulokset!$O$14="",INDIRECT("'"&amp;$A12&amp;"'!$R$16")=""),"",IF(TRIM(INDIRECT("'"&amp;$A12&amp;"'!$R$16"))=TRIM(Tulokset!$O$14),2,0))</f>
        <v/>
      </c>
      <c r="DM12" t="str">
        <f ca="1">IF(OR(Tulokset!$O$15="",INDIRECT("'"&amp;$A12&amp;"'!$R$17")=""),"",IF(TRIM(INDIRECT("'"&amp;$A12&amp;"'!$R$17"))=TRIM(Tulokset!$O$15),2,0))</f>
        <v/>
      </c>
      <c r="DN12" t="str">
        <f ca="1">IF(OR(Tulokset!$P$12="",INDIRECT("'"&amp;$A12&amp;"'!$S$14")=""),"",IF(TRIM(INDIRECT("'"&amp;$A12&amp;"'!$S$14"))=TRIM(Tulokset!$P$12),2,0))</f>
        <v/>
      </c>
      <c r="DO12" t="str">
        <f ca="1">IF(OR(Tulokset!$P$13="",INDIRECT("'"&amp;$A12&amp;"'!$S$15")=""),"",IF(TRIM(INDIRECT("'"&amp;$A12&amp;"'!$S$15"))=TRIM(Tulokset!$P$13),2,0))</f>
        <v/>
      </c>
      <c r="DP12" t="str">
        <f ca="1">IF(OR(Tulokset!$P$14="",INDIRECT("'"&amp;$A12&amp;"'!$S$16")=""),"",IF(TRIM(INDIRECT("'"&amp;$A12&amp;"'!$S$16"))=TRIM(Tulokset!$P$14),2,0))</f>
        <v/>
      </c>
      <c r="DQ12" t="str">
        <f ca="1">IF(OR(Tulokset!$P$15="",INDIRECT("'"&amp;$A12&amp;"'!$S$17")=""),"",IF(TRIM(INDIRECT("'"&amp;$A12&amp;"'!$S$17"))=TRIM(Tulokset!$P$15),2,0))</f>
        <v/>
      </c>
      <c r="DR12" t="str">
        <f ca="1">IF(OR(Tulokset!$Q$12="",INDIRECT("'"&amp;$A12&amp;"'!$T$14")=""),"",IF(TRIM(INDIRECT("'"&amp;$A12&amp;"'!$T$14"))=TRIM(Tulokset!$Q$12),2,0))</f>
        <v/>
      </c>
      <c r="DS12" t="str">
        <f ca="1">IF(OR(Tulokset!$Q$13="",INDIRECT("'"&amp;$A12&amp;"'!$T$15")=""),"",IF(TRIM(INDIRECT("'"&amp;$A12&amp;"'!$T$15"))=TRIM(Tulokset!$Q$13),2,0))</f>
        <v/>
      </c>
      <c r="DT12" t="str">
        <f ca="1">IF(OR(Tulokset!$Q$14="",INDIRECT("'"&amp;$A12&amp;"'!$T$16")=""),"",IF(TRIM(INDIRECT("'"&amp;$A12&amp;"'!$T$16"))=TRIM(Tulokset!$Q$14),2,0))</f>
        <v/>
      </c>
      <c r="DU12" t="str">
        <f ca="1">IF(OR(Tulokset!$Q$15="",INDIRECT("'"&amp;$A12&amp;"'!$T$17")=""),"",IF(TRIM(INDIRECT("'"&amp;$A12&amp;"'!$T$17"))=TRIM(Tulokset!$Q$15),2,0))</f>
        <v/>
      </c>
      <c r="DV12" t="str">
        <f ca="1">IF(OR(Tulokset!$R$12="",INDIRECT("'"&amp;$A12&amp;"'!$U$14")=""),"",IF(TRIM(INDIRECT("'"&amp;$A12&amp;"'!$U$14"))=TRIM(Tulokset!$R$12),2,0))</f>
        <v/>
      </c>
      <c r="DW12" t="str">
        <f ca="1">IF(OR(Tulokset!$R$13="",INDIRECT("'"&amp;$A12&amp;"'!$U$15")=""),"",IF(TRIM(INDIRECT("'"&amp;$A12&amp;"'!$U$15"))=TRIM(Tulokset!$R$13),2,0))</f>
        <v/>
      </c>
      <c r="DX12" t="str">
        <f ca="1">IF(OR(Tulokset!$R$14="",INDIRECT("'"&amp;$A12&amp;"'!$U$16")=""),"",IF(TRIM(INDIRECT("'"&amp;$A12&amp;"'!$U$16"))=TRIM(Tulokset!$R$14),2,0))</f>
        <v/>
      </c>
      <c r="DY12" t="str">
        <f ca="1">IF(OR(Tulokset!$R$15="",INDIRECT("'"&amp;$A12&amp;"'!$U$17")=""),"",IF(TRIM(INDIRECT("'"&amp;$A12&amp;"'!$U$17"))=TRIM(Tulokset!$R$15),2,0))</f>
        <v/>
      </c>
      <c r="EA12" t="str">
        <f ca="1">IF(OR(INDIRECT("'"&amp;$A12&amp;"'!$E$79")="",COUNTA(Tulokset!$M$20:$M$21)=0),"",IF(COUNTIF(Tulokset!$M$20:$M$21,INDIRECT("'"&amp;$A12&amp;"'!$E$79"))&gt;0,2,0))</f>
        <v/>
      </c>
      <c r="EB12" t="str">
        <f ca="1">IF(OR(INDIRECT("'"&amp;$A12&amp;"'!$G$79")="",COUNTA(Tulokset!$M$20:$M$21)=0),"",IF(COUNTIF(Tulokset!$M$20:$M$21,INDIRECT("'"&amp;$A12&amp;"'!$G$79"))&gt;0,2,0))</f>
        <v/>
      </c>
      <c r="EC12" t="str">
        <f ca="1">IF(OR(INDIRECT("'"&amp;$A12&amp;"'!$E$80")="",COUNTA(Tulokset!$M$23:$M$24)=0),"",IF(COUNTIF(Tulokset!$M$23:$M$24,INDIRECT("'"&amp;$A12&amp;"'!$E$80"))&gt;0,2,0))</f>
        <v/>
      </c>
      <c r="ED12" t="str">
        <f ca="1">IF(OR(INDIRECT("'"&amp;$A12&amp;"'!$G$80")="",COUNTA(Tulokset!$M$23:$M$24)=0),"",IF(COUNTIF(Tulokset!$M$23:$M$24,INDIRECT("'"&amp;$A12&amp;"'!$G$80"))&gt;0,2,0))</f>
        <v/>
      </c>
    </row>
    <row r="13" spans="1:134">
      <c r="A13" t="s">
        <v>305</v>
      </c>
      <c r="B13" t="str">
        <f t="shared" ca="1" si="0"/>
        <v>PoHan Pullistus</v>
      </c>
      <c r="C13" s="95">
        <f t="shared" si="1"/>
        <v>0</v>
      </c>
      <c r="D13" s="95">
        <f t="shared" ca="1" si="2"/>
        <v>0</v>
      </c>
      <c r="E13" s="95">
        <f t="shared" ca="1" si="3"/>
        <v>0</v>
      </c>
      <c r="F13" s="95">
        <f t="shared" ca="1" si="4"/>
        <v>0</v>
      </c>
      <c r="G13" s="95">
        <f t="shared" si="5"/>
        <v>0</v>
      </c>
      <c r="H13" t="str">
        <f>IF(OR(Tulokset!$G$6="",Tulokset!$I$6="",'10'!$I$7="",'10'!$K$7=""),"",IF(SIGN('10'!$I$7-'10'!$K$7)&lt;&gt;SIGN(Tulokset!$G$6-Tulokset!$I$6),0,IF(Tulokset!$G$6=Tulokset!$I$6,IF(AND('10'!$I$7=Tulokset!$G$6,'10'!$K$7=Tulokset!$I$6),6,3),MAX(0,6-(ABS('10'!$I$7-Tulokset!$G$6)+ABS('10'!$K$7-Tulokset!$I$6))))))</f>
        <v/>
      </c>
      <c r="I13" t="str">
        <f>IF(OR(Tulokset!$G$7="",Tulokset!$I$7="",'10'!$I$8="",'10'!$K$8=""),"",IF(SIGN('10'!$I$8-'10'!$K$8)&lt;&gt;SIGN(Tulokset!$G$7-Tulokset!$I$7),0,IF(Tulokset!$G$7=Tulokset!$I$7,IF(AND('10'!$I$8=Tulokset!$G$7,'10'!$K$8=Tulokset!$I$7),6,3),MAX(0,6-(ABS('10'!$I$8-Tulokset!$G$7)+ABS('10'!$K$8-Tulokset!$I$7))))))</f>
        <v/>
      </c>
      <c r="J13" t="str">
        <f>IF(OR(Tulokset!$G$8="",Tulokset!$I$8="",'10'!$I$9="",'10'!$K$9=""),"",IF(SIGN('10'!$I$9-'10'!$K$9)&lt;&gt;SIGN(Tulokset!$G$8-Tulokset!$I$8),0,IF(Tulokset!$G$8=Tulokset!$I$8,IF(AND('10'!$I$9=Tulokset!$G$8,'10'!$K$9=Tulokset!$I$8),6,3),MAX(0,6-(ABS('10'!$I$9-Tulokset!$G$8)+ABS('10'!$K$9-Tulokset!$I$8))))))</f>
        <v/>
      </c>
      <c r="K13" t="str">
        <f>IF(OR(Tulokset!$G$9="",Tulokset!$I$9="",'10'!$I$10="",'10'!$K$10=""),"",IF(SIGN('10'!$I$10-'10'!$K$10)&lt;&gt;SIGN(Tulokset!$G$9-Tulokset!$I$9),0,IF(Tulokset!$G$9=Tulokset!$I$9,IF(AND('10'!$I$10=Tulokset!$G$9,'10'!$K$10=Tulokset!$I$9),6,3),MAX(0,6-(ABS('10'!$I$10-Tulokset!$G$9)+ABS('10'!$K$10-Tulokset!$I$9))))))</f>
        <v/>
      </c>
      <c r="L13" t="str">
        <f>IF(OR(Tulokset!$G$10="",Tulokset!$I$10="",'10'!$I$11="",'10'!$K$11=""),"",IF(SIGN('10'!$I$11-'10'!$K$11)&lt;&gt;SIGN(Tulokset!$G$10-Tulokset!$I$10),0,IF(Tulokset!$G$10=Tulokset!$I$10,IF(AND('10'!$I$11=Tulokset!$G$10,'10'!$K$11=Tulokset!$I$10),6,3),MAX(0,6-(ABS('10'!$I$11-Tulokset!$G$10)+ABS('10'!$K$11-Tulokset!$I$10))))))</f>
        <v/>
      </c>
      <c r="M13" t="str">
        <f>IF(OR(Tulokset!$G$11="",Tulokset!$I$11="",'10'!$I$12="",'10'!$K$12=""),"",IF(SIGN('10'!$I$12-'10'!$K$12)&lt;&gt;SIGN(Tulokset!$G$11-Tulokset!$I$11),0,IF(Tulokset!$G$11=Tulokset!$I$11,IF(AND('10'!$I$12=Tulokset!$G$11,'10'!$K$12=Tulokset!$I$11),6,3),MAX(0,6-(ABS('10'!$I$12-Tulokset!$G$11)+ABS('10'!$K$12-Tulokset!$I$11))))))</f>
        <v/>
      </c>
      <c r="N13" t="str">
        <f>IF(OR(Tulokset!$G$12="",Tulokset!$I$12="",'10'!$I$13="",'10'!$K$13=""),"",IF(SIGN('10'!$I$13-'10'!$K$13)&lt;&gt;SIGN(Tulokset!$G$12-Tulokset!$I$12),0,IF(Tulokset!$G$12=Tulokset!$I$12,IF(AND('10'!$I$13=Tulokset!$G$12,'10'!$K$13=Tulokset!$I$12),6,3),MAX(0,6-(ABS('10'!$I$13-Tulokset!$G$12)+ABS('10'!$K$13-Tulokset!$I$12))))))</f>
        <v/>
      </c>
      <c r="O13" t="str">
        <f>IF(OR(Tulokset!$G$13="",Tulokset!$I$13="",'10'!$I$14="",'10'!$K$14=""),"",IF(SIGN('10'!$I$14-'10'!$K$14)&lt;&gt;SIGN(Tulokset!$G$13-Tulokset!$I$13),0,IF(Tulokset!$G$13=Tulokset!$I$13,IF(AND('10'!$I$14=Tulokset!$G$13,'10'!$K$14=Tulokset!$I$13),6,3),MAX(0,6-(ABS('10'!$I$14-Tulokset!$G$13)+ABS('10'!$K$14-Tulokset!$I$13))))))</f>
        <v/>
      </c>
      <c r="P13" t="str">
        <f>IF(OR(Tulokset!$G$14="",Tulokset!$I$14="",'10'!$I$15="",'10'!$K$15=""),"",IF(SIGN('10'!$I$15-'10'!$K$15)&lt;&gt;SIGN(Tulokset!$G$14-Tulokset!$I$14),0,IF(Tulokset!$G$14=Tulokset!$I$14,IF(AND('10'!$I$15=Tulokset!$G$14,'10'!$K$15=Tulokset!$I$14),6,3),MAX(0,6-(ABS('10'!$I$15-Tulokset!$G$14)+ABS('10'!$K$15-Tulokset!$I$14))))))</f>
        <v/>
      </c>
      <c r="Q13" t="str">
        <f>IF(OR(Tulokset!$G$15="",Tulokset!$I$15="",'10'!$I$16="",'10'!$K$16=""),"",IF(SIGN('10'!$I$16-'10'!$K$16)&lt;&gt;SIGN(Tulokset!$G$15-Tulokset!$I$15),0,IF(Tulokset!$G$15=Tulokset!$I$15,IF(AND('10'!$I$16=Tulokset!$G$15,'10'!$K$16=Tulokset!$I$15),6,3),MAX(0,6-(ABS('10'!$I$16-Tulokset!$G$15)+ABS('10'!$K$16-Tulokset!$I$15))))))</f>
        <v/>
      </c>
      <c r="R13" t="str">
        <f>IF(OR(Tulokset!$G$16="",Tulokset!$I$16="",'10'!$I$17="",'10'!$K$17=""),"",IF(SIGN('10'!$I$17-'10'!$K$17)&lt;&gt;SIGN(Tulokset!$G$16-Tulokset!$I$16),0,IF(Tulokset!$G$16=Tulokset!$I$16,IF(AND('10'!$I$17=Tulokset!$G$16,'10'!$K$17=Tulokset!$I$16),6,3),MAX(0,6-(ABS('10'!$I$17-Tulokset!$G$16)+ABS('10'!$K$17-Tulokset!$I$16))))))</f>
        <v/>
      </c>
      <c r="S13" t="str">
        <f>IF(OR(Tulokset!$G$17="",Tulokset!$I$17="",'10'!$I$18="",'10'!$K$18=""),"",IF(SIGN('10'!$I$18-'10'!$K$18)&lt;&gt;SIGN(Tulokset!$G$17-Tulokset!$I$17),0,IF(Tulokset!$G$17=Tulokset!$I$17,IF(AND('10'!$I$18=Tulokset!$G$17,'10'!$K$18=Tulokset!$I$17),6,3),MAX(0,6-(ABS('10'!$I$18-Tulokset!$G$17)+ABS('10'!$K$18-Tulokset!$I$17))))))</f>
        <v/>
      </c>
      <c r="T13" t="str">
        <f>IF(OR(Tulokset!$G$18="",Tulokset!$I$18="",'10'!$I$19="",'10'!$K$19=""),"",IF(SIGN('10'!$I$19-'10'!$K$19)&lt;&gt;SIGN(Tulokset!$G$18-Tulokset!$I$18),0,IF(Tulokset!$G$18=Tulokset!$I$18,IF(AND('10'!$I$19=Tulokset!$G$18,'10'!$K$19=Tulokset!$I$18),6,3),MAX(0,6-(ABS('10'!$I$19-Tulokset!$G$18)+ABS('10'!$K$19-Tulokset!$I$18))))))</f>
        <v/>
      </c>
      <c r="U13" t="str">
        <f>IF(OR(Tulokset!$G$19="",Tulokset!$I$19="",'10'!$I$20="",'10'!$K$20=""),"",IF(SIGN('10'!$I$20-'10'!$K$20)&lt;&gt;SIGN(Tulokset!$G$19-Tulokset!$I$19),0,IF(Tulokset!$G$19=Tulokset!$I$19,IF(AND('10'!$I$20=Tulokset!$G$19,'10'!$K$20=Tulokset!$I$19),6,3),MAX(0,6-(ABS('10'!$I$20-Tulokset!$G$19)+ABS('10'!$K$20-Tulokset!$I$19))))))</f>
        <v/>
      </c>
      <c r="V13" t="str">
        <f>IF(OR(Tulokset!$G$20="",Tulokset!$I$20="",'10'!$I$21="",'10'!$K$21=""),"",IF(SIGN('10'!$I$21-'10'!$K$21)&lt;&gt;SIGN(Tulokset!$G$20-Tulokset!$I$20),0,IF(Tulokset!$G$20=Tulokset!$I$20,IF(AND('10'!$I$21=Tulokset!$G$20,'10'!$K$21=Tulokset!$I$20),6,3),MAX(0,6-(ABS('10'!$I$21-Tulokset!$G$20)+ABS('10'!$K$21-Tulokset!$I$20))))))</f>
        <v/>
      </c>
      <c r="W13" t="str">
        <f>IF(OR(Tulokset!$G$21="",Tulokset!$I$21="",'10'!$I$22="",'10'!$K$22=""),"",IF(SIGN('10'!$I$22-'10'!$K$22)&lt;&gt;SIGN(Tulokset!$G$21-Tulokset!$I$21),0,IF(Tulokset!$G$21=Tulokset!$I$21,IF(AND('10'!$I$22=Tulokset!$G$21,'10'!$K$22=Tulokset!$I$21),6,3),MAX(0,6-(ABS('10'!$I$22-Tulokset!$G$21)+ABS('10'!$K$22-Tulokset!$I$21))))))</f>
        <v/>
      </c>
      <c r="X13" t="str">
        <f>IF(OR(Tulokset!$G$22="",Tulokset!$I$22="",'10'!$I$23="",'10'!$K$23=""),"",IF(SIGN('10'!$I$23-'10'!$K$23)&lt;&gt;SIGN(Tulokset!$G$22-Tulokset!$I$22),0,IF(Tulokset!$G$22=Tulokset!$I$22,IF(AND('10'!$I$23=Tulokset!$G$22,'10'!$K$23=Tulokset!$I$22),6,3),MAX(0,6-(ABS('10'!$I$23-Tulokset!$G$22)+ABS('10'!$K$23-Tulokset!$I$22))))))</f>
        <v/>
      </c>
      <c r="Y13" t="str">
        <f>IF(OR(Tulokset!$G$23="",Tulokset!$I$23="",'10'!$I$24="",'10'!$K$24=""),"",IF(SIGN('10'!$I$24-'10'!$K$24)&lt;&gt;SIGN(Tulokset!$G$23-Tulokset!$I$23),0,IF(Tulokset!$G$23=Tulokset!$I$23,IF(AND('10'!$I$24=Tulokset!$G$23,'10'!$K$24=Tulokset!$I$23),6,3),MAX(0,6-(ABS('10'!$I$24-Tulokset!$G$23)+ABS('10'!$K$24-Tulokset!$I$23))))))</f>
        <v/>
      </c>
      <c r="Z13" t="str">
        <f>IF(OR(Tulokset!$G$24="",Tulokset!$I$24="",'10'!$I$25="",'10'!$K$25=""),"",IF(SIGN('10'!$I$25-'10'!$K$25)&lt;&gt;SIGN(Tulokset!$G$24-Tulokset!$I$24),0,IF(Tulokset!$G$24=Tulokset!$I$24,IF(AND('10'!$I$25=Tulokset!$G$24,'10'!$K$25=Tulokset!$I$24),6,3),MAX(0,6-(ABS('10'!$I$25-Tulokset!$G$24)+ABS('10'!$K$25-Tulokset!$I$24))))))</f>
        <v/>
      </c>
      <c r="AA13" t="str">
        <f>IF(OR(Tulokset!$G$25="",Tulokset!$I$25="",'10'!$I$26="",'10'!$K$26=""),"",IF(SIGN('10'!$I$26-'10'!$K$26)&lt;&gt;SIGN(Tulokset!$G$25-Tulokset!$I$25),0,IF(Tulokset!$G$25=Tulokset!$I$25,IF(AND('10'!$I$26=Tulokset!$G$25,'10'!$K$26=Tulokset!$I$25),6,3),MAX(0,6-(ABS('10'!$I$26-Tulokset!$G$25)+ABS('10'!$K$26-Tulokset!$I$25))))))</f>
        <v/>
      </c>
      <c r="AB13" t="str">
        <f>IF(OR(Tulokset!$G$26="",Tulokset!$I$26="",'10'!$I$27="",'10'!$K$27=""),"",IF(SIGN('10'!$I$27-'10'!$K$27)&lt;&gt;SIGN(Tulokset!$G$26-Tulokset!$I$26),0,IF(Tulokset!$G$26=Tulokset!$I$26,IF(AND('10'!$I$27=Tulokset!$G$26,'10'!$K$27=Tulokset!$I$26),6,3),MAX(0,6-(ABS('10'!$I$27-Tulokset!$G$26)+ABS('10'!$K$27-Tulokset!$I$26))))))</f>
        <v/>
      </c>
      <c r="AC13" t="str">
        <f>IF(OR(Tulokset!$G$27="",Tulokset!$I$27="",'10'!$I$28="",'10'!$K$28=""),"",IF(SIGN('10'!$I$28-'10'!$K$28)&lt;&gt;SIGN(Tulokset!$G$27-Tulokset!$I$27),0,IF(Tulokset!$G$27=Tulokset!$I$27,IF(AND('10'!$I$28=Tulokset!$G$27,'10'!$K$28=Tulokset!$I$27),6,3),MAX(0,6-(ABS('10'!$I$28-Tulokset!$G$27)+ABS('10'!$K$28-Tulokset!$I$27))))))</f>
        <v/>
      </c>
      <c r="AD13" t="str">
        <f>IF(OR(Tulokset!$G$28="",Tulokset!$I$28="",'10'!$I$29="",'10'!$K$29=""),"",IF(SIGN('10'!$I$29-'10'!$K$29)&lt;&gt;SIGN(Tulokset!$G$28-Tulokset!$I$28),0,IF(Tulokset!$G$28=Tulokset!$I$28,IF(AND('10'!$I$29=Tulokset!$G$28,'10'!$K$29=Tulokset!$I$28),6,3),MAX(0,6-(ABS('10'!$I$29-Tulokset!$G$28)+ABS('10'!$K$29-Tulokset!$I$28))))))</f>
        <v/>
      </c>
      <c r="AE13" t="str">
        <f>IF(OR(Tulokset!$G$29="",Tulokset!$I$29="",'10'!$I$30="",'10'!$K$30=""),"",IF(SIGN('10'!$I$30-'10'!$K$30)&lt;&gt;SIGN(Tulokset!$G$29-Tulokset!$I$29),0,IF(Tulokset!$G$29=Tulokset!$I$29,IF(AND('10'!$I$30=Tulokset!$G$29,'10'!$K$30=Tulokset!$I$29),6,3),MAX(0,6-(ABS('10'!$I$30-Tulokset!$G$29)+ABS('10'!$K$30-Tulokset!$I$29))))))</f>
        <v/>
      </c>
      <c r="AF13" t="str">
        <f>IF(OR(Tulokset!$G$30="",Tulokset!$I$30="",'10'!$I$31="",'10'!$K$31=""),"",IF(SIGN('10'!$I$31-'10'!$K$31)&lt;&gt;SIGN(Tulokset!$G$30-Tulokset!$I$30),0,IF(Tulokset!$G$30=Tulokset!$I$30,IF(AND('10'!$I$31=Tulokset!$G$30,'10'!$K$31=Tulokset!$I$30),6,3),MAX(0,6-(ABS('10'!$I$31-Tulokset!$G$30)+ABS('10'!$K$31-Tulokset!$I$30))))))</f>
        <v/>
      </c>
      <c r="AG13" t="str">
        <f>IF(OR(Tulokset!$G$31="",Tulokset!$I$31="",'10'!$I$32="",'10'!$K$32=""),"",IF(SIGN('10'!$I$32-'10'!$K$32)&lt;&gt;SIGN(Tulokset!$G$31-Tulokset!$I$31),0,IF(Tulokset!$G$31=Tulokset!$I$31,IF(AND('10'!$I$32=Tulokset!$G$31,'10'!$K$32=Tulokset!$I$31),6,3),MAX(0,6-(ABS('10'!$I$32-Tulokset!$G$31)+ABS('10'!$K$32-Tulokset!$I$31))))))</f>
        <v/>
      </c>
      <c r="AH13" t="str">
        <f>IF(OR(Tulokset!$G$32="",Tulokset!$I$32="",'10'!$I$33="",'10'!$K$33=""),"",IF(SIGN('10'!$I$33-'10'!$K$33)&lt;&gt;SIGN(Tulokset!$G$32-Tulokset!$I$32),0,IF(Tulokset!$G$32=Tulokset!$I$32,IF(AND('10'!$I$33=Tulokset!$G$32,'10'!$K$33=Tulokset!$I$32),6,3),MAX(0,6-(ABS('10'!$I$33-Tulokset!$G$32)+ABS('10'!$K$33-Tulokset!$I$32))))))</f>
        <v/>
      </c>
      <c r="AI13" t="str">
        <f>IF(OR(Tulokset!$G$33="",Tulokset!$I$33="",'10'!$I$34="",'10'!$K$34=""),"",IF(SIGN('10'!$I$34-'10'!$K$34)&lt;&gt;SIGN(Tulokset!$G$33-Tulokset!$I$33),0,IF(Tulokset!$G$33=Tulokset!$I$33,IF(AND('10'!$I$34=Tulokset!$G$33,'10'!$K$34=Tulokset!$I$33),6,3),MAX(0,6-(ABS('10'!$I$34-Tulokset!$G$33)+ABS('10'!$K$34-Tulokset!$I$33))))))</f>
        <v/>
      </c>
      <c r="AJ13" t="str">
        <f>IF(OR(Tulokset!$G$34="",Tulokset!$I$34="",'10'!$I$35="",'10'!$K$35=""),"",IF(SIGN('10'!$I$35-'10'!$K$35)&lt;&gt;SIGN(Tulokset!$G$34-Tulokset!$I$34),0,IF(Tulokset!$G$34=Tulokset!$I$34,IF(AND('10'!$I$35=Tulokset!$G$34,'10'!$K$35=Tulokset!$I$34),6,3),MAX(0,6-(ABS('10'!$I$35-Tulokset!$G$34)+ABS('10'!$K$35-Tulokset!$I$34))))))</f>
        <v/>
      </c>
      <c r="AK13" t="str">
        <f>IF(OR(Tulokset!$G$35="",Tulokset!$I$35="",'10'!$I$36="",'10'!$K$36=""),"",IF(SIGN('10'!$I$36-'10'!$K$36)&lt;&gt;SIGN(Tulokset!$G$35-Tulokset!$I$35),0,IF(Tulokset!$G$35=Tulokset!$I$35,IF(AND('10'!$I$36=Tulokset!$G$35,'10'!$K$36=Tulokset!$I$35),6,3),MAX(0,6-(ABS('10'!$I$36-Tulokset!$G$35)+ABS('10'!$K$36-Tulokset!$I$35))))))</f>
        <v/>
      </c>
      <c r="AL13" t="str">
        <f>IF(OR(Tulokset!$G$36="",Tulokset!$I$36="",'10'!$I$37="",'10'!$K$37=""),"",IF(SIGN('10'!$I$37-'10'!$K$37)&lt;&gt;SIGN(Tulokset!$G$36-Tulokset!$I$36),0,IF(Tulokset!$G$36=Tulokset!$I$36,IF(AND('10'!$I$37=Tulokset!$G$36,'10'!$K$37=Tulokset!$I$36),6,3),MAX(0,6-(ABS('10'!$I$37-Tulokset!$G$36)+ABS('10'!$K$37-Tulokset!$I$36))))))</f>
        <v/>
      </c>
      <c r="AM13" t="str">
        <f>IF(OR(Tulokset!$G$37="",Tulokset!$I$37="",'10'!$I$38="",'10'!$K$38=""),"",IF(SIGN('10'!$I$38-'10'!$K$38)&lt;&gt;SIGN(Tulokset!$G$37-Tulokset!$I$37),0,IF(Tulokset!$G$37=Tulokset!$I$37,IF(AND('10'!$I$38=Tulokset!$G$37,'10'!$K$38=Tulokset!$I$37),6,3),MAX(0,6-(ABS('10'!$I$38-Tulokset!$G$37)+ABS('10'!$K$38-Tulokset!$I$37))))))</f>
        <v/>
      </c>
      <c r="AN13" t="str">
        <f>IF(OR(Tulokset!$G$38="",Tulokset!$I$38="",'10'!$I$39="",'10'!$K$39=""),"",IF(SIGN('10'!$I$39-'10'!$K$39)&lt;&gt;SIGN(Tulokset!$G$38-Tulokset!$I$38),0,IF(Tulokset!$G$38=Tulokset!$I$38,IF(AND('10'!$I$39=Tulokset!$G$38,'10'!$K$39=Tulokset!$I$38),6,3),MAX(0,6-(ABS('10'!$I$39-Tulokset!$G$38)+ABS('10'!$K$39-Tulokset!$I$38))))))</f>
        <v/>
      </c>
      <c r="AO13" t="str">
        <f>IF(OR(Tulokset!$G$39="",Tulokset!$I$39="",'10'!$I$40="",'10'!$K$40=""),"",IF(SIGN('10'!$I$40-'10'!$K$40)&lt;&gt;SIGN(Tulokset!$G$39-Tulokset!$I$39),0,IF(Tulokset!$G$39=Tulokset!$I$39,IF(AND('10'!$I$40=Tulokset!$G$39,'10'!$K$40=Tulokset!$I$39),6,3),MAX(0,6-(ABS('10'!$I$40-Tulokset!$G$39)+ABS('10'!$K$40-Tulokset!$I$39))))))</f>
        <v/>
      </c>
      <c r="AP13" t="str">
        <f>IF(OR(Tulokset!$G$40="",Tulokset!$I$40="",'10'!$I$41="",'10'!$K$41=""),"",IF(SIGN('10'!$I$41-'10'!$K$41)&lt;&gt;SIGN(Tulokset!$G$40-Tulokset!$I$40),0,IF(Tulokset!$G$40=Tulokset!$I$40,IF(AND('10'!$I$41=Tulokset!$G$40,'10'!$K$41=Tulokset!$I$40),6,3),MAX(0,6-(ABS('10'!$I$41-Tulokset!$G$40)+ABS('10'!$K$41-Tulokset!$I$40))))))</f>
        <v/>
      </c>
      <c r="AQ13" t="str">
        <f>IF(OR(Tulokset!$G$41="",Tulokset!$I$41="",'10'!$I$42="",'10'!$K$42=""),"",IF(SIGN('10'!$I$42-'10'!$K$42)&lt;&gt;SIGN(Tulokset!$G$41-Tulokset!$I$41),0,IF(Tulokset!$G$41=Tulokset!$I$41,IF(AND('10'!$I$42=Tulokset!$G$41,'10'!$K$42=Tulokset!$I$41),6,3),MAX(0,6-(ABS('10'!$I$42-Tulokset!$G$41)+ABS('10'!$K$42-Tulokset!$I$41))))))</f>
        <v/>
      </c>
      <c r="AR13" t="str">
        <f>IF(OR(Tulokset!$G$42="",Tulokset!$I$42="",'10'!$I$43="",'10'!$K$43=""),"",IF(SIGN('10'!$I$43-'10'!$K$43)&lt;&gt;SIGN(Tulokset!$G$42-Tulokset!$I$42),0,IF(Tulokset!$G$42=Tulokset!$I$42,IF(AND('10'!$I$43=Tulokset!$G$42,'10'!$K$43=Tulokset!$I$42),6,3),MAX(0,6-(ABS('10'!$I$43-Tulokset!$G$42)+ABS('10'!$K$43-Tulokset!$I$42))))))</f>
        <v/>
      </c>
      <c r="AS13" t="str">
        <f>IF(OR(Tulokset!$G$43="",Tulokset!$I$43="",'10'!$I$44="",'10'!$K$44=""),"",IF(SIGN('10'!$I$44-'10'!$K$44)&lt;&gt;SIGN(Tulokset!$G$43-Tulokset!$I$43),0,IF(Tulokset!$G$43=Tulokset!$I$43,IF(AND('10'!$I$44=Tulokset!$G$43,'10'!$K$44=Tulokset!$I$43),6,3),MAX(0,6-(ABS('10'!$I$44-Tulokset!$G$43)+ABS('10'!$K$44-Tulokset!$I$43))))))</f>
        <v/>
      </c>
      <c r="AT13" t="str">
        <f>IF(OR(Tulokset!$G$44="",Tulokset!$I$44="",'10'!$I$45="",'10'!$K$45=""),"",IF(SIGN('10'!$I$45-'10'!$K$45)&lt;&gt;SIGN(Tulokset!$G$44-Tulokset!$I$44),0,IF(Tulokset!$G$44=Tulokset!$I$44,IF(AND('10'!$I$45=Tulokset!$G$44,'10'!$K$45=Tulokset!$I$44),6,3),MAX(0,6-(ABS('10'!$I$45-Tulokset!$G$44)+ABS('10'!$K$45-Tulokset!$I$44))))))</f>
        <v/>
      </c>
      <c r="AU13" t="str">
        <f>IF(OR(Tulokset!$G$45="",Tulokset!$I$45="",'10'!$I$46="",'10'!$K$46=""),"",IF(SIGN('10'!$I$46-'10'!$K$46)&lt;&gt;SIGN(Tulokset!$G$45-Tulokset!$I$45),0,IF(Tulokset!$G$45=Tulokset!$I$45,IF(AND('10'!$I$46=Tulokset!$G$45,'10'!$K$46=Tulokset!$I$45),6,3),MAX(0,6-(ABS('10'!$I$46-Tulokset!$G$45)+ABS('10'!$K$46-Tulokset!$I$45))))))</f>
        <v/>
      </c>
      <c r="AV13" t="str">
        <f>IF(OR(Tulokset!$G$46="",Tulokset!$I$46="",'10'!$I$47="",'10'!$K$47=""),"",IF(SIGN('10'!$I$47-'10'!$K$47)&lt;&gt;SIGN(Tulokset!$G$46-Tulokset!$I$46),0,IF(Tulokset!$G$46=Tulokset!$I$46,IF(AND('10'!$I$47=Tulokset!$G$46,'10'!$K$47=Tulokset!$I$46),6,3),MAX(0,6-(ABS('10'!$I$47-Tulokset!$G$46)+ABS('10'!$K$47-Tulokset!$I$46))))))</f>
        <v/>
      </c>
      <c r="AW13" t="str">
        <f>IF(OR(Tulokset!$G$47="",Tulokset!$I$47="",'10'!$I$48="",'10'!$K$48=""),"",IF(SIGN('10'!$I$48-'10'!$K$48)&lt;&gt;SIGN(Tulokset!$G$47-Tulokset!$I$47),0,IF(Tulokset!$G$47=Tulokset!$I$47,IF(AND('10'!$I$48=Tulokset!$G$47,'10'!$K$48=Tulokset!$I$47),6,3),MAX(0,6-(ABS('10'!$I$48-Tulokset!$G$47)+ABS('10'!$K$48-Tulokset!$I$47))))))</f>
        <v/>
      </c>
      <c r="AX13" t="str">
        <f>IF(OR(Tulokset!$G$48="",Tulokset!$I$48="",'10'!$I$49="",'10'!$K$49=""),"",IF(SIGN('10'!$I$49-'10'!$K$49)&lt;&gt;SIGN(Tulokset!$G$48-Tulokset!$I$48),0,IF(Tulokset!$G$48=Tulokset!$I$48,IF(AND('10'!$I$49=Tulokset!$G$48,'10'!$K$49=Tulokset!$I$48),6,3),MAX(0,6-(ABS('10'!$I$49-Tulokset!$G$48)+ABS('10'!$K$49-Tulokset!$I$48))))))</f>
        <v/>
      </c>
      <c r="AY13" t="str">
        <f>IF(OR(Tulokset!$G$49="",Tulokset!$I$49="",'10'!$I$50="",'10'!$K$50=""),"",IF(SIGN('10'!$I$50-'10'!$K$50)&lt;&gt;SIGN(Tulokset!$G$49-Tulokset!$I$49),0,IF(Tulokset!$G$49=Tulokset!$I$49,IF(AND('10'!$I$50=Tulokset!$G$49,'10'!$K$50=Tulokset!$I$49),6,3),MAX(0,6-(ABS('10'!$I$50-Tulokset!$G$49)+ABS('10'!$K$50-Tulokset!$I$49))))))</f>
        <v/>
      </c>
      <c r="AZ13" t="str">
        <f>IF(OR(Tulokset!$G$50="",Tulokset!$I$50="",'10'!$I$51="",'10'!$K$51=""),"",IF(SIGN('10'!$I$51-'10'!$K$51)&lt;&gt;SIGN(Tulokset!$G$50-Tulokset!$I$50),0,IF(Tulokset!$G$50=Tulokset!$I$50,IF(AND('10'!$I$51=Tulokset!$G$50,'10'!$K$51=Tulokset!$I$50),6,3),MAX(0,6-(ABS('10'!$I$51-Tulokset!$G$50)+ABS('10'!$K$51-Tulokset!$I$50))))))</f>
        <v/>
      </c>
      <c r="BA13" t="str">
        <f>IF(OR(Tulokset!$G$51="",Tulokset!$I$51="",'10'!$I$52="",'10'!$K$52=""),"",IF(SIGN('10'!$I$52-'10'!$K$52)&lt;&gt;SIGN(Tulokset!$G$51-Tulokset!$I$51),0,IF(Tulokset!$G$51=Tulokset!$I$51,IF(AND('10'!$I$52=Tulokset!$G$51,'10'!$K$52=Tulokset!$I$51),6,3),MAX(0,6-(ABS('10'!$I$52-Tulokset!$G$51)+ABS('10'!$K$52-Tulokset!$I$51))))))</f>
        <v/>
      </c>
      <c r="BB13" t="str">
        <f>IF(OR(Tulokset!$G$52="",Tulokset!$I$52="",'10'!$I$53="",'10'!$K$53=""),"",IF(SIGN('10'!$I$53-'10'!$K$53)&lt;&gt;SIGN(Tulokset!$G$52-Tulokset!$I$52),0,IF(Tulokset!$G$52=Tulokset!$I$52,IF(AND('10'!$I$53=Tulokset!$G$52,'10'!$K$53=Tulokset!$I$52),6,3),MAX(0,6-(ABS('10'!$I$53-Tulokset!$G$52)+ABS('10'!$K$53-Tulokset!$I$52))))))</f>
        <v/>
      </c>
      <c r="BC13" t="str">
        <f>IF(OR(Tulokset!$G$53="",Tulokset!$I$53="",'10'!$I$54="",'10'!$K$54=""),"",IF(SIGN('10'!$I$54-'10'!$K$54)&lt;&gt;SIGN(Tulokset!$G$53-Tulokset!$I$53),0,IF(Tulokset!$G$53=Tulokset!$I$53,IF(AND('10'!$I$54=Tulokset!$G$53,'10'!$K$54=Tulokset!$I$53),6,3),MAX(0,6-(ABS('10'!$I$54-Tulokset!$G$53)+ABS('10'!$K$54-Tulokset!$I$53))))))</f>
        <v/>
      </c>
      <c r="BD13" t="str">
        <f>IF(OR(Tulokset!$G$54="",Tulokset!$I$54="",'10'!$I$55="",'10'!$K$55=""),"",IF(SIGN('10'!$I$55-'10'!$K$55)&lt;&gt;SIGN(Tulokset!$G$54-Tulokset!$I$54),0,IF(Tulokset!$G$54=Tulokset!$I$54,IF(AND('10'!$I$55=Tulokset!$G$54,'10'!$K$55=Tulokset!$I$54),6,3),MAX(0,6-(ABS('10'!$I$55-Tulokset!$G$54)+ABS('10'!$K$55-Tulokset!$I$54))))))</f>
        <v/>
      </c>
      <c r="BE13" t="str">
        <f>IF(OR(Tulokset!$G$55="",Tulokset!$I$55="",'10'!$I$56="",'10'!$K$56=""),"",IF(SIGN('10'!$I$56-'10'!$K$56)&lt;&gt;SIGN(Tulokset!$G$55-Tulokset!$I$55),0,IF(Tulokset!$G$55=Tulokset!$I$55,IF(AND('10'!$I$56=Tulokset!$G$55,'10'!$K$56=Tulokset!$I$55),6,3),MAX(0,6-(ABS('10'!$I$56-Tulokset!$G$55)+ABS('10'!$K$56-Tulokset!$I$55))))))</f>
        <v/>
      </c>
      <c r="BF13" t="str">
        <f>IF(OR(Tulokset!$G$56="",Tulokset!$I$56="",'10'!$I$57="",'10'!$K$57=""),"",IF(SIGN('10'!$I$57-'10'!$K$57)&lt;&gt;SIGN(Tulokset!$G$56-Tulokset!$I$56),0,IF(Tulokset!$G$56=Tulokset!$I$56,IF(AND('10'!$I$57=Tulokset!$G$56,'10'!$K$57=Tulokset!$I$56),6,3),MAX(0,6-(ABS('10'!$I$57-Tulokset!$G$56)+ABS('10'!$K$57-Tulokset!$I$56))))))</f>
        <v/>
      </c>
      <c r="BG13" t="str">
        <f>IF(OR(Tulokset!$G$57="",Tulokset!$I$57="",'10'!$I$58="",'10'!$K$58=""),"",IF(SIGN('10'!$I$58-'10'!$K$58)&lt;&gt;SIGN(Tulokset!$G$57-Tulokset!$I$57),0,IF(Tulokset!$G$57=Tulokset!$I$57,IF(AND('10'!$I$58=Tulokset!$G$57,'10'!$K$58=Tulokset!$I$57),6,3),MAX(0,6-(ABS('10'!$I$58-Tulokset!$G$57)+ABS('10'!$K$58-Tulokset!$I$57))))))</f>
        <v/>
      </c>
      <c r="BH13" t="str">
        <f>IF(OR(Tulokset!$G$58="",Tulokset!$I$58="",'10'!$I$59="",'10'!$K$59=""),"",IF(SIGN('10'!$I$59-'10'!$K$59)&lt;&gt;SIGN(Tulokset!$G$58-Tulokset!$I$58),0,IF(Tulokset!$G$58=Tulokset!$I$58,IF(AND('10'!$I$59=Tulokset!$G$58,'10'!$K$59=Tulokset!$I$58),6,3),MAX(0,6-(ABS('10'!$I$59-Tulokset!$G$58)+ABS('10'!$K$59-Tulokset!$I$58))))))</f>
        <v/>
      </c>
      <c r="BI13" t="str">
        <f>IF(OR(Tulokset!$G$59="",Tulokset!$I$59="",'10'!$I$60="",'10'!$K$60=""),"",IF(SIGN('10'!$I$60-'10'!$K$60)&lt;&gt;SIGN(Tulokset!$G$59-Tulokset!$I$59),0,IF(Tulokset!$G$59=Tulokset!$I$59,IF(AND('10'!$I$60=Tulokset!$G$59,'10'!$K$60=Tulokset!$I$59),6,3),MAX(0,6-(ABS('10'!$I$60-Tulokset!$G$59)+ABS('10'!$K$60-Tulokset!$I$59))))))</f>
        <v/>
      </c>
      <c r="BJ13" t="str">
        <f>IF(OR(Tulokset!$G$60="",Tulokset!$I$60="",'10'!$I$61="",'10'!$K$61=""),"",IF(SIGN('10'!$I$61-'10'!$K$61)&lt;&gt;SIGN(Tulokset!$G$60-Tulokset!$I$60),0,IF(Tulokset!$G$60=Tulokset!$I$60,IF(AND('10'!$I$61=Tulokset!$G$60,'10'!$K$61=Tulokset!$I$60),6,3),MAX(0,6-(ABS('10'!$I$61-Tulokset!$G$60)+ABS('10'!$K$61-Tulokset!$I$60))))))</f>
        <v/>
      </c>
      <c r="BK13" t="str">
        <f>IF(OR(Tulokset!$G$61="",Tulokset!$I$61="",'10'!$I$62="",'10'!$K$62=""),"",IF(SIGN('10'!$I$62-'10'!$K$62)&lt;&gt;SIGN(Tulokset!$G$61-Tulokset!$I$61),0,IF(Tulokset!$G$61=Tulokset!$I$61,IF(AND('10'!$I$62=Tulokset!$G$61,'10'!$K$62=Tulokset!$I$61),6,3),MAX(0,6-(ABS('10'!$I$62-Tulokset!$G$61)+ABS('10'!$K$62-Tulokset!$I$61))))))</f>
        <v/>
      </c>
      <c r="BL13" t="str">
        <f>IF(OR(Tulokset!$G$62="",Tulokset!$I$62="",'10'!$I$63="",'10'!$K$63=""),"",IF(SIGN('10'!$I$63-'10'!$K$63)&lt;&gt;SIGN(Tulokset!$G$62-Tulokset!$I$62),0,IF(Tulokset!$G$62=Tulokset!$I$62,IF(AND('10'!$I$63=Tulokset!$G$62,'10'!$K$63=Tulokset!$I$62),6,3),MAX(0,6-(ABS('10'!$I$63-Tulokset!$G$62)+ABS('10'!$K$63-Tulokset!$I$62))))))</f>
        <v/>
      </c>
      <c r="BM13" t="str">
        <f>IF(OR(Tulokset!$G$63="",Tulokset!$I$63="",'10'!$I$64="",'10'!$K$64=""),"",IF(SIGN('10'!$I$64-'10'!$K$64)&lt;&gt;SIGN(Tulokset!$G$63-Tulokset!$I$63),0,IF(Tulokset!$G$63=Tulokset!$I$63,IF(AND('10'!$I$64=Tulokset!$G$63,'10'!$K$64=Tulokset!$I$63),6,3),MAX(0,6-(ABS('10'!$I$64-Tulokset!$G$63)+ABS('10'!$K$64-Tulokset!$I$63))))))</f>
        <v/>
      </c>
      <c r="BN13" t="str">
        <f>IF(OR(Tulokset!$G$64="",Tulokset!$I$64="",'10'!$I$65="",'10'!$K$65=""),"",IF(SIGN('10'!$I$65-'10'!$K$65)&lt;&gt;SIGN(Tulokset!$G$64-Tulokset!$I$64),0,IF(Tulokset!$G$64=Tulokset!$I$64,IF(AND('10'!$I$65=Tulokset!$G$64,'10'!$K$65=Tulokset!$I$64),6,3),MAX(0,6-(ABS('10'!$I$65-Tulokset!$G$64)+ABS('10'!$K$65-Tulokset!$I$64))))))</f>
        <v/>
      </c>
      <c r="BO13" t="str">
        <f>IF(OR(Tulokset!$G$65="",Tulokset!$I$65="",'10'!$I$66="",'10'!$K$66=""),"",IF(SIGN('10'!$I$66-'10'!$K$66)&lt;&gt;SIGN(Tulokset!$G$65-Tulokset!$I$65),0,IF(Tulokset!$G$65=Tulokset!$I$65,IF(AND('10'!$I$66=Tulokset!$G$65,'10'!$K$66=Tulokset!$I$65),6,3),MAX(0,6-(ABS('10'!$I$66-Tulokset!$G$65)+ABS('10'!$K$66-Tulokset!$I$65))))))</f>
        <v/>
      </c>
      <c r="BP13" t="str">
        <f>IF(OR(Tulokset!$G$66="",Tulokset!$I$66="",'10'!$I$67="",'10'!$K$67=""),"",IF(SIGN('10'!$I$67-'10'!$K$67)&lt;&gt;SIGN(Tulokset!$G$66-Tulokset!$I$66),0,IF(Tulokset!$G$66=Tulokset!$I$66,IF(AND('10'!$I$67=Tulokset!$G$66,'10'!$K$67=Tulokset!$I$66),6,3),MAX(0,6-(ABS('10'!$I$67-Tulokset!$G$66)+ABS('10'!$K$67-Tulokset!$I$66))))))</f>
        <v/>
      </c>
      <c r="BQ13" t="str">
        <f>IF(OR(Tulokset!$G$67="",Tulokset!$I$67="",'10'!$I$68="",'10'!$K$68=""),"",IF(SIGN('10'!$I$68-'10'!$K$68)&lt;&gt;SIGN(Tulokset!$G$67-Tulokset!$I$67),0,IF(Tulokset!$G$67=Tulokset!$I$67,IF(AND('10'!$I$68=Tulokset!$G$67,'10'!$K$68=Tulokset!$I$67),6,3),MAX(0,6-(ABS('10'!$I$68-Tulokset!$G$67)+ABS('10'!$K$68-Tulokset!$I$67))))))</f>
        <v/>
      </c>
      <c r="BR13" t="str">
        <f>IF(OR(Tulokset!$G$68="",Tulokset!$I$68="",'10'!$I$69="",'10'!$K$69=""),"",IF(SIGN('10'!$I$69-'10'!$K$69)&lt;&gt;SIGN(Tulokset!$G$68-Tulokset!$I$68),0,IF(Tulokset!$G$68=Tulokset!$I$68,IF(AND('10'!$I$69=Tulokset!$G$68,'10'!$K$69=Tulokset!$I$68),6,3),MAX(0,6-(ABS('10'!$I$69-Tulokset!$G$68)+ABS('10'!$K$69-Tulokset!$I$68))))))</f>
        <v/>
      </c>
      <c r="BS13" t="str">
        <f>IF(OR(Tulokset!$G$69="",Tulokset!$I$69="",'10'!$I$70="",'10'!$K$70=""),"",IF(SIGN('10'!$I$70-'10'!$K$70)&lt;&gt;SIGN(Tulokset!$G$69-Tulokset!$I$69),0,IF(Tulokset!$G$69=Tulokset!$I$69,IF(AND('10'!$I$70=Tulokset!$G$69,'10'!$K$70=Tulokset!$I$69),6,3),MAX(0,6-(ABS('10'!$I$70-Tulokset!$G$69)+ABS('10'!$K$70-Tulokset!$I$69))))))</f>
        <v/>
      </c>
      <c r="BT13" t="str">
        <f>IF(OR(Tulokset!$G$70="",Tulokset!$I$70="",'10'!$I$71="",'10'!$K$71=""),"",IF(SIGN('10'!$I$71-'10'!$K$71)&lt;&gt;SIGN(Tulokset!$G$70-Tulokset!$I$70),0,IF(Tulokset!$G$70=Tulokset!$I$70,IF(AND('10'!$I$71=Tulokset!$G$70,'10'!$K$71=Tulokset!$I$70),6,3),MAX(0,6-(ABS('10'!$I$71-Tulokset!$G$70)+ABS('10'!$K$71-Tulokset!$I$70))))))</f>
        <v/>
      </c>
      <c r="BU13" t="str">
        <f>IF(OR(Tulokset!$G$71="",Tulokset!$I$71="",'10'!$I$72="",'10'!$K$72=""),"",IF(SIGN('10'!$I$72-'10'!$K$72)&lt;&gt;SIGN(Tulokset!$G$71-Tulokset!$I$71),0,IF(Tulokset!$G$71=Tulokset!$I$71,IF(AND('10'!$I$72=Tulokset!$G$71,'10'!$K$72=Tulokset!$I$71),6,3),MAX(0,6-(ABS('10'!$I$72-Tulokset!$G$71)+ABS('10'!$K$72-Tulokset!$I$71))))))</f>
        <v/>
      </c>
      <c r="BV13" t="str">
        <f>IF(OR(Tulokset!$G$72="",Tulokset!$I$72="",'10'!$I$73="",'10'!$K$73=""),"",IF(SIGN('10'!$I$73-'10'!$K$73)&lt;&gt;SIGN(Tulokset!$G$72-Tulokset!$I$72),0,IF(Tulokset!$G$72=Tulokset!$I$72,IF(AND('10'!$I$73=Tulokset!$G$72,'10'!$K$73=Tulokset!$I$72),6,3),MAX(0,6-(ABS('10'!$I$73-Tulokset!$G$72)+ABS('10'!$K$73-Tulokset!$I$72))))))</f>
        <v/>
      </c>
      <c r="BW13" t="str">
        <f>IF(OR(Tulokset!$G$73="",Tulokset!$I$73="",'10'!$I$74="",'10'!$K$74=""),"",IF(SIGN('10'!$I$74-'10'!$K$74)&lt;&gt;SIGN(Tulokset!$G$73-Tulokset!$I$73),0,IF(Tulokset!$G$73=Tulokset!$I$73,IF(AND('10'!$I$74=Tulokset!$G$73,'10'!$K$74=Tulokset!$I$73),6,3),MAX(0,6-(ABS('10'!$I$74-Tulokset!$G$73)+ABS('10'!$K$74-Tulokset!$I$73))))))</f>
        <v/>
      </c>
      <c r="BX13" t="str">
        <f>IF(OR(Tulokset!$G$74="",Tulokset!$I$74="",'10'!$I$75="",'10'!$K$75=""),"",IF(SIGN('10'!$I$75-'10'!$K$75)&lt;&gt;SIGN(Tulokset!$G$74-Tulokset!$I$74),0,IF(Tulokset!$G$74=Tulokset!$I$74,IF(AND('10'!$I$75=Tulokset!$G$74,'10'!$K$75=Tulokset!$I$74),6,3),MAX(0,6-(ABS('10'!$I$75-Tulokset!$G$74)+ABS('10'!$K$75-Tulokset!$I$74))))))</f>
        <v/>
      </c>
      <c r="BY13" t="str">
        <f>IF(OR(Tulokset!$G$75="",Tulokset!$I$75="",'10'!$I$76="",'10'!$K$76=""),"",IF(SIGN('10'!$I$76-'10'!$K$76)&lt;&gt;SIGN(Tulokset!$G$75-Tulokset!$I$75),0,IF(Tulokset!$G$75=Tulokset!$I$75,IF(AND('10'!$I$76=Tulokset!$G$75,'10'!$K$76=Tulokset!$I$75),6,3),MAX(0,6-(ABS('10'!$I$76-Tulokset!$G$75)+ABS('10'!$K$76-Tulokset!$I$75))))))</f>
        <v/>
      </c>
      <c r="BZ13" t="str">
        <f>IF(OR(Tulokset!$G$76="",Tulokset!$I$76="",'10'!$I$77="",'10'!$K$77=""),"",IF(SIGN('10'!$I$77-'10'!$K$77)&lt;&gt;SIGN(Tulokset!$G$76-Tulokset!$I$76),0,IF(Tulokset!$G$76=Tulokset!$I$76,IF(AND('10'!$I$77=Tulokset!$G$76,'10'!$K$77=Tulokset!$I$76),6,3),MAX(0,6-(ABS('10'!$I$77-Tulokset!$G$76)+ABS('10'!$K$77-Tulokset!$I$76))))))</f>
        <v/>
      </c>
      <c r="CA13" t="str">
        <f>IF(OR(Tulokset!$G$77="",Tulokset!$I$77="",'10'!$I$78="",'10'!$K$78=""),"",IF(SIGN('10'!$I$78-'10'!$K$78)&lt;&gt;SIGN(Tulokset!$G$77-Tulokset!$I$77),0,IF(Tulokset!$G$77=Tulokset!$I$77,IF(AND('10'!$I$78=Tulokset!$G$77,'10'!$K$78=Tulokset!$I$77),6,3),MAX(0,6-(ABS('10'!$I$78-Tulokset!$G$77)+ABS('10'!$K$78-Tulokset!$I$77))))))</f>
        <v/>
      </c>
      <c r="CD13" t="str">
        <f ca="1">IF(OR(Tulokset!$M$6="",INDIRECT("'"&amp;$A13&amp;"'!$P$8")=""),"",IF(TRIM(INDIRECT("'"&amp;$A13&amp;"'!$P$8"))=TRIM(Tulokset!$M$6),2,0))</f>
        <v/>
      </c>
      <c r="CE13" t="str">
        <f ca="1">IF(OR(Tulokset!$M$7="",INDIRECT("'"&amp;$A13&amp;"'!$P$9")=""),"",IF(TRIM(INDIRECT("'"&amp;$A13&amp;"'!$P$9"))=TRIM(Tulokset!$M$7),2,0))</f>
        <v/>
      </c>
      <c r="CF13" t="str">
        <f ca="1">IF(OR(Tulokset!$M$8="",INDIRECT("'"&amp;$A13&amp;"'!$P$10")=""),"",IF(TRIM(INDIRECT("'"&amp;$A13&amp;"'!$P$10"))=TRIM(Tulokset!$M$8),2,0))</f>
        <v/>
      </c>
      <c r="CG13" t="str">
        <f ca="1">IF(OR(Tulokset!$M$9="",INDIRECT("'"&amp;$A13&amp;"'!$P$11")=""),"",IF(TRIM(INDIRECT("'"&amp;$A13&amp;"'!$P$11"))=TRIM(Tulokset!$M$9),2,0))</f>
        <v/>
      </c>
      <c r="CH13" t="str">
        <f ca="1">IF(OR(Tulokset!$N$6="",INDIRECT("'"&amp;$A13&amp;"'!$Q$8")=""),"",IF(TRIM(INDIRECT("'"&amp;$A13&amp;"'!$Q$8"))=TRIM(Tulokset!$N$6),2,0))</f>
        <v/>
      </c>
      <c r="CI13" t="str">
        <f ca="1">IF(OR(Tulokset!$N$7="",INDIRECT("'"&amp;$A13&amp;"'!$Q$9")=""),"",IF(TRIM(INDIRECT("'"&amp;$A13&amp;"'!$Q$9"))=TRIM(Tulokset!$N$7),2,0))</f>
        <v/>
      </c>
      <c r="CJ13" t="str">
        <f ca="1">IF(OR(Tulokset!$N$8="",INDIRECT("'"&amp;$A13&amp;"'!$Q$10")=""),"",IF(TRIM(INDIRECT("'"&amp;$A13&amp;"'!$Q$10"))=TRIM(Tulokset!$N$8),2,0))</f>
        <v/>
      </c>
      <c r="CK13" t="str">
        <f ca="1">IF(OR(Tulokset!$N$9="",INDIRECT("'"&amp;$A13&amp;"'!$Q$11")=""),"",IF(TRIM(INDIRECT("'"&amp;$A13&amp;"'!$Q$11"))=TRIM(Tulokset!$N$9),2,0))</f>
        <v/>
      </c>
      <c r="CL13" t="str">
        <f ca="1">IF(OR(Tulokset!$O$6="",INDIRECT("'"&amp;$A13&amp;"'!$R$8")=""),"",IF(TRIM(INDIRECT("'"&amp;$A13&amp;"'!$R$8"))=TRIM(Tulokset!$O$6),2,0))</f>
        <v/>
      </c>
      <c r="CM13" t="str">
        <f ca="1">IF(OR(Tulokset!$O$7="",INDIRECT("'"&amp;$A13&amp;"'!$R$9")=""),"",IF(TRIM(INDIRECT("'"&amp;$A13&amp;"'!$R$9"))=TRIM(Tulokset!$O$7),2,0))</f>
        <v/>
      </c>
      <c r="CN13" t="str">
        <f ca="1">IF(OR(Tulokset!$O$8="",INDIRECT("'"&amp;$A13&amp;"'!$R$10")=""),"",IF(TRIM(INDIRECT("'"&amp;$A13&amp;"'!$R$10"))=TRIM(Tulokset!$O$8),2,0))</f>
        <v/>
      </c>
      <c r="CO13" t="str">
        <f ca="1">IF(OR(Tulokset!$O$9="",INDIRECT("'"&amp;$A13&amp;"'!$R$11")=""),"",IF(TRIM(INDIRECT("'"&amp;$A13&amp;"'!$R$11"))=TRIM(Tulokset!$O$9),2,0))</f>
        <v/>
      </c>
      <c r="CP13" t="str">
        <f ca="1">IF(OR(Tulokset!$P$6="",INDIRECT("'"&amp;$A13&amp;"'!$S$8")=""),"",IF(TRIM(INDIRECT("'"&amp;$A13&amp;"'!$S$8"))=TRIM(Tulokset!$P$6),2,0))</f>
        <v/>
      </c>
      <c r="CQ13" t="str">
        <f ca="1">IF(OR(Tulokset!$P$7="",INDIRECT("'"&amp;$A13&amp;"'!$S$9")=""),"",IF(TRIM(INDIRECT("'"&amp;$A13&amp;"'!$S$9"))=TRIM(Tulokset!$P$7),2,0))</f>
        <v/>
      </c>
      <c r="CR13" t="str">
        <f ca="1">IF(OR(Tulokset!$P$8="",INDIRECT("'"&amp;$A13&amp;"'!$S$10")=""),"",IF(TRIM(INDIRECT("'"&amp;$A13&amp;"'!$S$10"))=TRIM(Tulokset!$P$8),2,0))</f>
        <v/>
      </c>
      <c r="CS13" t="str">
        <f ca="1">IF(OR(Tulokset!$P$9="",INDIRECT("'"&amp;$A13&amp;"'!$S$11")=""),"",IF(TRIM(INDIRECT("'"&amp;$A13&amp;"'!$S$11"))=TRIM(Tulokset!$P$9),2,0))</f>
        <v/>
      </c>
      <c r="CT13" t="str">
        <f ca="1">IF(OR(Tulokset!$Q$6="",INDIRECT("'"&amp;$A13&amp;"'!$T$8")=""),"",IF(TRIM(INDIRECT("'"&amp;$A13&amp;"'!$T$8"))=TRIM(Tulokset!$Q$6),2,0))</f>
        <v/>
      </c>
      <c r="CU13" t="str">
        <f ca="1">IF(OR(Tulokset!$Q$7="",INDIRECT("'"&amp;$A13&amp;"'!$T$9")=""),"",IF(TRIM(INDIRECT("'"&amp;$A13&amp;"'!$T$9"))=TRIM(Tulokset!$Q$7),2,0))</f>
        <v/>
      </c>
      <c r="CV13" t="str">
        <f ca="1">IF(OR(Tulokset!$Q$8="",INDIRECT("'"&amp;$A13&amp;"'!$T$10")=""),"",IF(TRIM(INDIRECT("'"&amp;$A13&amp;"'!$T$10"))=TRIM(Tulokset!$Q$8),2,0))</f>
        <v/>
      </c>
      <c r="CW13" t="str">
        <f ca="1">IF(OR(Tulokset!$Q$9="",INDIRECT("'"&amp;$A13&amp;"'!$T$11")=""),"",IF(TRIM(INDIRECT("'"&amp;$A13&amp;"'!$T$11"))=TRIM(Tulokset!$Q$9),2,0))</f>
        <v/>
      </c>
      <c r="CX13" t="str">
        <f ca="1">IF(OR(Tulokset!$R$6="",INDIRECT("'"&amp;$A13&amp;"'!$U$8")=""),"",IF(TRIM(INDIRECT("'"&amp;$A13&amp;"'!$U$8"))=TRIM(Tulokset!$R$6),2,0))</f>
        <v/>
      </c>
      <c r="CY13" t="str">
        <f ca="1">IF(OR(Tulokset!$R$7="",INDIRECT("'"&amp;$A13&amp;"'!$U$9")=""),"",IF(TRIM(INDIRECT("'"&amp;$A13&amp;"'!$U$9"))=TRIM(Tulokset!$R$7),2,0))</f>
        <v/>
      </c>
      <c r="CZ13" t="str">
        <f ca="1">IF(OR(Tulokset!$R$8="",INDIRECT("'"&amp;$A13&amp;"'!$U$10")=""),"",IF(TRIM(INDIRECT("'"&amp;$A13&amp;"'!$U$10"))=TRIM(Tulokset!$R$8),2,0))</f>
        <v/>
      </c>
      <c r="DA13" t="str">
        <f ca="1">IF(OR(Tulokset!$R$9="",INDIRECT("'"&amp;$A13&amp;"'!$U$11")=""),"",IF(TRIM(INDIRECT("'"&amp;$A13&amp;"'!$U$11"))=TRIM(Tulokset!$R$9),2,0))</f>
        <v/>
      </c>
      <c r="DB13" t="str">
        <f ca="1">IF(OR(Tulokset!$M$12="",INDIRECT("'"&amp;$A13&amp;"'!$P$14")=""),"",IF(TRIM(INDIRECT("'"&amp;$A13&amp;"'!$P$14"))=TRIM(Tulokset!$M$12),2,0))</f>
        <v/>
      </c>
      <c r="DC13" t="str">
        <f ca="1">IF(OR(Tulokset!$M$13="",INDIRECT("'"&amp;$A13&amp;"'!$P$15")=""),"",IF(TRIM(INDIRECT("'"&amp;$A13&amp;"'!$P$15"))=TRIM(Tulokset!$M$13),2,0))</f>
        <v/>
      </c>
      <c r="DD13" t="str">
        <f ca="1">IF(OR(Tulokset!$M$14="",INDIRECT("'"&amp;$A13&amp;"'!$P$16")=""),"",IF(TRIM(INDIRECT("'"&amp;$A13&amp;"'!$P$16"))=TRIM(Tulokset!$M$14),2,0))</f>
        <v/>
      </c>
      <c r="DE13" t="str">
        <f ca="1">IF(OR(Tulokset!$M$15="",INDIRECT("'"&amp;$A13&amp;"'!$P$17")=""),"",IF(TRIM(INDIRECT("'"&amp;$A13&amp;"'!$P$17"))=TRIM(Tulokset!$M$15),2,0))</f>
        <v/>
      </c>
      <c r="DF13" t="str">
        <f ca="1">IF(OR(Tulokset!$N$12="",INDIRECT("'"&amp;$A13&amp;"'!$Q$14")=""),"",IF(TRIM(INDIRECT("'"&amp;$A13&amp;"'!$Q$14"))=TRIM(Tulokset!$N$12),2,0))</f>
        <v/>
      </c>
      <c r="DG13" t="str">
        <f ca="1">IF(OR(Tulokset!$N$13="",INDIRECT("'"&amp;$A13&amp;"'!$Q$15")=""),"",IF(TRIM(INDIRECT("'"&amp;$A13&amp;"'!$Q$15"))=TRIM(Tulokset!$N$13),2,0))</f>
        <v/>
      </c>
      <c r="DH13" t="str">
        <f ca="1">IF(OR(Tulokset!$N$14="",INDIRECT("'"&amp;$A13&amp;"'!$Q$16")=""),"",IF(TRIM(INDIRECT("'"&amp;$A13&amp;"'!$Q$16"))=TRIM(Tulokset!$N$14),2,0))</f>
        <v/>
      </c>
      <c r="DI13" t="str">
        <f ca="1">IF(OR(Tulokset!$N$15="",INDIRECT("'"&amp;$A13&amp;"'!$Q$17")=""),"",IF(TRIM(INDIRECT("'"&amp;$A13&amp;"'!$Q$17"))=TRIM(Tulokset!$N$15),2,0))</f>
        <v/>
      </c>
      <c r="DJ13" t="str">
        <f ca="1">IF(OR(Tulokset!$O$12="",INDIRECT("'"&amp;$A13&amp;"'!$R$14")=""),"",IF(TRIM(INDIRECT("'"&amp;$A13&amp;"'!$R$14"))=TRIM(Tulokset!$O$12),2,0))</f>
        <v/>
      </c>
      <c r="DK13" t="str">
        <f ca="1">IF(OR(Tulokset!$O$13="",INDIRECT("'"&amp;$A13&amp;"'!$R$15")=""),"",IF(TRIM(INDIRECT("'"&amp;$A13&amp;"'!$R$15"))=TRIM(Tulokset!$O$13),2,0))</f>
        <v/>
      </c>
      <c r="DL13" t="str">
        <f ca="1">IF(OR(Tulokset!$O$14="",INDIRECT("'"&amp;$A13&amp;"'!$R$16")=""),"",IF(TRIM(INDIRECT("'"&amp;$A13&amp;"'!$R$16"))=TRIM(Tulokset!$O$14),2,0))</f>
        <v/>
      </c>
      <c r="DM13" t="str">
        <f ca="1">IF(OR(Tulokset!$O$15="",INDIRECT("'"&amp;$A13&amp;"'!$R$17")=""),"",IF(TRIM(INDIRECT("'"&amp;$A13&amp;"'!$R$17"))=TRIM(Tulokset!$O$15),2,0))</f>
        <v/>
      </c>
      <c r="DN13" t="str">
        <f ca="1">IF(OR(Tulokset!$P$12="",INDIRECT("'"&amp;$A13&amp;"'!$S$14")=""),"",IF(TRIM(INDIRECT("'"&amp;$A13&amp;"'!$S$14"))=TRIM(Tulokset!$P$12),2,0))</f>
        <v/>
      </c>
      <c r="DO13" t="str">
        <f ca="1">IF(OR(Tulokset!$P$13="",INDIRECT("'"&amp;$A13&amp;"'!$S$15")=""),"",IF(TRIM(INDIRECT("'"&amp;$A13&amp;"'!$S$15"))=TRIM(Tulokset!$P$13),2,0))</f>
        <v/>
      </c>
      <c r="DP13" t="str">
        <f ca="1">IF(OR(Tulokset!$P$14="",INDIRECT("'"&amp;$A13&amp;"'!$S$16")=""),"",IF(TRIM(INDIRECT("'"&amp;$A13&amp;"'!$S$16"))=TRIM(Tulokset!$P$14),2,0))</f>
        <v/>
      </c>
      <c r="DQ13" t="str">
        <f ca="1">IF(OR(Tulokset!$P$15="",INDIRECT("'"&amp;$A13&amp;"'!$S$17")=""),"",IF(TRIM(INDIRECT("'"&amp;$A13&amp;"'!$S$17"))=TRIM(Tulokset!$P$15),2,0))</f>
        <v/>
      </c>
      <c r="DR13" t="str">
        <f ca="1">IF(OR(Tulokset!$Q$12="",INDIRECT("'"&amp;$A13&amp;"'!$T$14")=""),"",IF(TRIM(INDIRECT("'"&amp;$A13&amp;"'!$T$14"))=TRIM(Tulokset!$Q$12),2,0))</f>
        <v/>
      </c>
      <c r="DS13" t="str">
        <f ca="1">IF(OR(Tulokset!$Q$13="",INDIRECT("'"&amp;$A13&amp;"'!$T$15")=""),"",IF(TRIM(INDIRECT("'"&amp;$A13&amp;"'!$T$15"))=TRIM(Tulokset!$Q$13),2,0))</f>
        <v/>
      </c>
      <c r="DT13" t="str">
        <f ca="1">IF(OR(Tulokset!$Q$14="",INDIRECT("'"&amp;$A13&amp;"'!$T$16")=""),"",IF(TRIM(INDIRECT("'"&amp;$A13&amp;"'!$T$16"))=TRIM(Tulokset!$Q$14),2,0))</f>
        <v/>
      </c>
      <c r="DU13" t="str">
        <f ca="1">IF(OR(Tulokset!$Q$15="",INDIRECT("'"&amp;$A13&amp;"'!$T$17")=""),"",IF(TRIM(INDIRECT("'"&amp;$A13&amp;"'!$T$17"))=TRIM(Tulokset!$Q$15),2,0))</f>
        <v/>
      </c>
      <c r="DV13" t="str">
        <f ca="1">IF(OR(Tulokset!$R$12="",INDIRECT("'"&amp;$A13&amp;"'!$U$14")=""),"",IF(TRIM(INDIRECT("'"&amp;$A13&amp;"'!$U$14"))=TRIM(Tulokset!$R$12),2,0))</f>
        <v/>
      </c>
      <c r="DW13" t="str">
        <f ca="1">IF(OR(Tulokset!$R$13="",INDIRECT("'"&amp;$A13&amp;"'!$U$15")=""),"",IF(TRIM(INDIRECT("'"&amp;$A13&amp;"'!$U$15"))=TRIM(Tulokset!$R$13),2,0))</f>
        <v/>
      </c>
      <c r="DX13" t="str">
        <f ca="1">IF(OR(Tulokset!$R$14="",INDIRECT("'"&amp;$A13&amp;"'!$U$16")=""),"",IF(TRIM(INDIRECT("'"&amp;$A13&amp;"'!$U$16"))=TRIM(Tulokset!$R$14),2,0))</f>
        <v/>
      </c>
      <c r="DY13" t="str">
        <f ca="1">IF(OR(Tulokset!$R$15="",INDIRECT("'"&amp;$A13&amp;"'!$U$17")=""),"",IF(TRIM(INDIRECT("'"&amp;$A13&amp;"'!$U$17"))=TRIM(Tulokset!$R$15),2,0))</f>
        <v/>
      </c>
      <c r="EA13" t="str">
        <f ca="1">IF(OR(INDIRECT("'"&amp;$A13&amp;"'!$E$79")="",COUNTA(Tulokset!$M$20:$M$21)=0),"",IF(COUNTIF(Tulokset!$M$20:$M$21,INDIRECT("'"&amp;$A13&amp;"'!$E$79"))&gt;0,2,0))</f>
        <v/>
      </c>
      <c r="EB13" t="str">
        <f ca="1">IF(OR(INDIRECT("'"&amp;$A13&amp;"'!$G$79")="",COUNTA(Tulokset!$M$20:$M$21)=0),"",IF(COUNTIF(Tulokset!$M$20:$M$21,INDIRECT("'"&amp;$A13&amp;"'!$G$79"))&gt;0,2,0))</f>
        <v/>
      </c>
      <c r="EC13" t="str">
        <f ca="1">IF(OR(INDIRECT("'"&amp;$A13&amp;"'!$E$80")="",COUNTA(Tulokset!$M$23:$M$24)=0),"",IF(COUNTIF(Tulokset!$M$23:$M$24,INDIRECT("'"&amp;$A13&amp;"'!$E$80"))&gt;0,2,0))</f>
        <v/>
      </c>
      <c r="ED13" t="str">
        <f ca="1">IF(OR(INDIRECT("'"&amp;$A13&amp;"'!$G$80")="",COUNTA(Tulokset!$M$23:$M$24)=0),"",IF(COUNTIF(Tulokset!$M$23:$M$24,INDIRECT("'"&amp;$A13&amp;"'!$G$80"))&gt;0,2,0))</f>
        <v/>
      </c>
    </row>
    <row r="14" spans="1:134">
      <c r="A14" t="s">
        <v>306</v>
      </c>
      <c r="B14" t="str">
        <f t="shared" ca="1" si="0"/>
        <v>Profeetta Möttönen</v>
      </c>
      <c r="C14" s="95">
        <f t="shared" si="1"/>
        <v>0</v>
      </c>
      <c r="D14" s="95">
        <f t="shared" ca="1" si="2"/>
        <v>0</v>
      </c>
      <c r="E14" s="95">
        <f t="shared" ca="1" si="3"/>
        <v>0</v>
      </c>
      <c r="F14" s="95">
        <f t="shared" ca="1" si="4"/>
        <v>0</v>
      </c>
      <c r="G14" s="95">
        <f t="shared" si="5"/>
        <v>0</v>
      </c>
      <c r="H14" t="str">
        <f>IF(OR(Tulokset!$G$6="",Tulokset!$I$6="",'11'!$I$7="",'11'!$K$7=""),"",IF(SIGN('11'!$I$7-'11'!$K$7)&lt;&gt;SIGN(Tulokset!$G$6-Tulokset!$I$6),0,IF(Tulokset!$G$6=Tulokset!$I$6,IF(AND('11'!$I$7=Tulokset!$G$6,'11'!$K$7=Tulokset!$I$6),6,3),MAX(0,6-(ABS('11'!$I$7-Tulokset!$G$6)+ABS('11'!$K$7-Tulokset!$I$6))))))</f>
        <v/>
      </c>
      <c r="I14" t="str">
        <f>IF(OR(Tulokset!$G$7="",Tulokset!$I$7="",'11'!$I$8="",'11'!$K$8=""),"",IF(SIGN('11'!$I$8-'11'!$K$8)&lt;&gt;SIGN(Tulokset!$G$7-Tulokset!$I$7),0,IF(Tulokset!$G$7=Tulokset!$I$7,IF(AND('11'!$I$8=Tulokset!$G$7,'11'!$K$8=Tulokset!$I$7),6,3),MAX(0,6-(ABS('11'!$I$8-Tulokset!$G$7)+ABS('11'!$K$8-Tulokset!$I$7))))))</f>
        <v/>
      </c>
      <c r="J14" t="str">
        <f>IF(OR(Tulokset!$G$8="",Tulokset!$I$8="",'11'!$I$9="",'11'!$K$9=""),"",IF(SIGN('11'!$I$9-'11'!$K$9)&lt;&gt;SIGN(Tulokset!$G$8-Tulokset!$I$8),0,IF(Tulokset!$G$8=Tulokset!$I$8,IF(AND('11'!$I$9=Tulokset!$G$8,'11'!$K$9=Tulokset!$I$8),6,3),MAX(0,6-(ABS('11'!$I$9-Tulokset!$G$8)+ABS('11'!$K$9-Tulokset!$I$8))))))</f>
        <v/>
      </c>
      <c r="K14" t="str">
        <f>IF(OR(Tulokset!$G$9="",Tulokset!$I$9="",'11'!$I$10="",'11'!$K$10=""),"",IF(SIGN('11'!$I$10-'11'!$K$10)&lt;&gt;SIGN(Tulokset!$G$9-Tulokset!$I$9),0,IF(Tulokset!$G$9=Tulokset!$I$9,IF(AND('11'!$I$10=Tulokset!$G$9,'11'!$K$10=Tulokset!$I$9),6,3),MAX(0,6-(ABS('11'!$I$10-Tulokset!$G$9)+ABS('11'!$K$10-Tulokset!$I$9))))))</f>
        <v/>
      </c>
      <c r="L14" t="str">
        <f>IF(OR(Tulokset!$G$10="",Tulokset!$I$10="",'11'!$I$11="",'11'!$K$11=""),"",IF(SIGN('11'!$I$11-'11'!$K$11)&lt;&gt;SIGN(Tulokset!$G$10-Tulokset!$I$10),0,IF(Tulokset!$G$10=Tulokset!$I$10,IF(AND('11'!$I$11=Tulokset!$G$10,'11'!$K$11=Tulokset!$I$10),6,3),MAX(0,6-(ABS('11'!$I$11-Tulokset!$G$10)+ABS('11'!$K$11-Tulokset!$I$10))))))</f>
        <v/>
      </c>
      <c r="M14" t="str">
        <f>IF(OR(Tulokset!$G$11="",Tulokset!$I$11="",'11'!$I$12="",'11'!$K$12=""),"",IF(SIGN('11'!$I$12-'11'!$K$12)&lt;&gt;SIGN(Tulokset!$G$11-Tulokset!$I$11),0,IF(Tulokset!$G$11=Tulokset!$I$11,IF(AND('11'!$I$12=Tulokset!$G$11,'11'!$K$12=Tulokset!$I$11),6,3),MAX(0,6-(ABS('11'!$I$12-Tulokset!$G$11)+ABS('11'!$K$12-Tulokset!$I$11))))))</f>
        <v/>
      </c>
      <c r="N14" t="str">
        <f>IF(OR(Tulokset!$G$12="",Tulokset!$I$12="",'11'!$I$13="",'11'!$K$13=""),"",IF(SIGN('11'!$I$13-'11'!$K$13)&lt;&gt;SIGN(Tulokset!$G$12-Tulokset!$I$12),0,IF(Tulokset!$G$12=Tulokset!$I$12,IF(AND('11'!$I$13=Tulokset!$G$12,'11'!$K$13=Tulokset!$I$12),6,3),MAX(0,6-(ABS('11'!$I$13-Tulokset!$G$12)+ABS('11'!$K$13-Tulokset!$I$12))))))</f>
        <v/>
      </c>
      <c r="O14" t="str">
        <f>IF(OR(Tulokset!$G$13="",Tulokset!$I$13="",'11'!$I$14="",'11'!$K$14=""),"",IF(SIGN('11'!$I$14-'11'!$K$14)&lt;&gt;SIGN(Tulokset!$G$13-Tulokset!$I$13),0,IF(Tulokset!$G$13=Tulokset!$I$13,IF(AND('11'!$I$14=Tulokset!$G$13,'11'!$K$14=Tulokset!$I$13),6,3),MAX(0,6-(ABS('11'!$I$14-Tulokset!$G$13)+ABS('11'!$K$14-Tulokset!$I$13))))))</f>
        <v/>
      </c>
      <c r="P14" t="str">
        <f>IF(OR(Tulokset!$G$14="",Tulokset!$I$14="",'11'!$I$15="",'11'!$K$15=""),"",IF(SIGN('11'!$I$15-'11'!$K$15)&lt;&gt;SIGN(Tulokset!$G$14-Tulokset!$I$14),0,IF(Tulokset!$G$14=Tulokset!$I$14,IF(AND('11'!$I$15=Tulokset!$G$14,'11'!$K$15=Tulokset!$I$14),6,3),MAX(0,6-(ABS('11'!$I$15-Tulokset!$G$14)+ABS('11'!$K$15-Tulokset!$I$14))))))</f>
        <v/>
      </c>
      <c r="Q14" t="str">
        <f>IF(OR(Tulokset!$G$15="",Tulokset!$I$15="",'11'!$I$16="",'11'!$K$16=""),"",IF(SIGN('11'!$I$16-'11'!$K$16)&lt;&gt;SIGN(Tulokset!$G$15-Tulokset!$I$15),0,IF(Tulokset!$G$15=Tulokset!$I$15,IF(AND('11'!$I$16=Tulokset!$G$15,'11'!$K$16=Tulokset!$I$15),6,3),MAX(0,6-(ABS('11'!$I$16-Tulokset!$G$15)+ABS('11'!$K$16-Tulokset!$I$15))))))</f>
        <v/>
      </c>
      <c r="R14" t="str">
        <f>IF(OR(Tulokset!$G$16="",Tulokset!$I$16="",'11'!$I$17="",'11'!$K$17=""),"",IF(SIGN('11'!$I$17-'11'!$K$17)&lt;&gt;SIGN(Tulokset!$G$16-Tulokset!$I$16),0,IF(Tulokset!$G$16=Tulokset!$I$16,IF(AND('11'!$I$17=Tulokset!$G$16,'11'!$K$17=Tulokset!$I$16),6,3),MAX(0,6-(ABS('11'!$I$17-Tulokset!$G$16)+ABS('11'!$K$17-Tulokset!$I$16))))))</f>
        <v/>
      </c>
      <c r="S14" t="str">
        <f>IF(OR(Tulokset!$G$17="",Tulokset!$I$17="",'11'!$I$18="",'11'!$K$18=""),"",IF(SIGN('11'!$I$18-'11'!$K$18)&lt;&gt;SIGN(Tulokset!$G$17-Tulokset!$I$17),0,IF(Tulokset!$G$17=Tulokset!$I$17,IF(AND('11'!$I$18=Tulokset!$G$17,'11'!$K$18=Tulokset!$I$17),6,3),MAX(0,6-(ABS('11'!$I$18-Tulokset!$G$17)+ABS('11'!$K$18-Tulokset!$I$17))))))</f>
        <v/>
      </c>
      <c r="T14" t="str">
        <f>IF(OR(Tulokset!$G$18="",Tulokset!$I$18="",'11'!$I$19="",'11'!$K$19=""),"",IF(SIGN('11'!$I$19-'11'!$K$19)&lt;&gt;SIGN(Tulokset!$G$18-Tulokset!$I$18),0,IF(Tulokset!$G$18=Tulokset!$I$18,IF(AND('11'!$I$19=Tulokset!$G$18,'11'!$K$19=Tulokset!$I$18),6,3),MAX(0,6-(ABS('11'!$I$19-Tulokset!$G$18)+ABS('11'!$K$19-Tulokset!$I$18))))))</f>
        <v/>
      </c>
      <c r="U14" t="str">
        <f>IF(OR(Tulokset!$G$19="",Tulokset!$I$19="",'11'!$I$20="",'11'!$K$20=""),"",IF(SIGN('11'!$I$20-'11'!$K$20)&lt;&gt;SIGN(Tulokset!$G$19-Tulokset!$I$19),0,IF(Tulokset!$G$19=Tulokset!$I$19,IF(AND('11'!$I$20=Tulokset!$G$19,'11'!$K$20=Tulokset!$I$19),6,3),MAX(0,6-(ABS('11'!$I$20-Tulokset!$G$19)+ABS('11'!$K$20-Tulokset!$I$19))))))</f>
        <v/>
      </c>
      <c r="V14" t="str">
        <f>IF(OR(Tulokset!$G$20="",Tulokset!$I$20="",'11'!$I$21="",'11'!$K$21=""),"",IF(SIGN('11'!$I$21-'11'!$K$21)&lt;&gt;SIGN(Tulokset!$G$20-Tulokset!$I$20),0,IF(Tulokset!$G$20=Tulokset!$I$20,IF(AND('11'!$I$21=Tulokset!$G$20,'11'!$K$21=Tulokset!$I$20),6,3),MAX(0,6-(ABS('11'!$I$21-Tulokset!$G$20)+ABS('11'!$K$21-Tulokset!$I$20))))))</f>
        <v/>
      </c>
      <c r="W14" t="str">
        <f>IF(OR(Tulokset!$G$21="",Tulokset!$I$21="",'11'!$I$22="",'11'!$K$22=""),"",IF(SIGN('11'!$I$22-'11'!$K$22)&lt;&gt;SIGN(Tulokset!$G$21-Tulokset!$I$21),0,IF(Tulokset!$G$21=Tulokset!$I$21,IF(AND('11'!$I$22=Tulokset!$G$21,'11'!$K$22=Tulokset!$I$21),6,3),MAX(0,6-(ABS('11'!$I$22-Tulokset!$G$21)+ABS('11'!$K$22-Tulokset!$I$21))))))</f>
        <v/>
      </c>
      <c r="X14" t="str">
        <f>IF(OR(Tulokset!$G$22="",Tulokset!$I$22="",'11'!$I$23="",'11'!$K$23=""),"",IF(SIGN('11'!$I$23-'11'!$K$23)&lt;&gt;SIGN(Tulokset!$G$22-Tulokset!$I$22),0,IF(Tulokset!$G$22=Tulokset!$I$22,IF(AND('11'!$I$23=Tulokset!$G$22,'11'!$K$23=Tulokset!$I$22),6,3),MAX(0,6-(ABS('11'!$I$23-Tulokset!$G$22)+ABS('11'!$K$23-Tulokset!$I$22))))))</f>
        <v/>
      </c>
      <c r="Y14" t="str">
        <f>IF(OR(Tulokset!$G$23="",Tulokset!$I$23="",'11'!$I$24="",'11'!$K$24=""),"",IF(SIGN('11'!$I$24-'11'!$K$24)&lt;&gt;SIGN(Tulokset!$G$23-Tulokset!$I$23),0,IF(Tulokset!$G$23=Tulokset!$I$23,IF(AND('11'!$I$24=Tulokset!$G$23,'11'!$K$24=Tulokset!$I$23),6,3),MAX(0,6-(ABS('11'!$I$24-Tulokset!$G$23)+ABS('11'!$K$24-Tulokset!$I$23))))))</f>
        <v/>
      </c>
      <c r="Z14" t="str">
        <f>IF(OR(Tulokset!$G$24="",Tulokset!$I$24="",'11'!$I$25="",'11'!$K$25=""),"",IF(SIGN('11'!$I$25-'11'!$K$25)&lt;&gt;SIGN(Tulokset!$G$24-Tulokset!$I$24),0,IF(Tulokset!$G$24=Tulokset!$I$24,IF(AND('11'!$I$25=Tulokset!$G$24,'11'!$K$25=Tulokset!$I$24),6,3),MAX(0,6-(ABS('11'!$I$25-Tulokset!$G$24)+ABS('11'!$K$25-Tulokset!$I$24))))))</f>
        <v/>
      </c>
      <c r="AA14" t="str">
        <f>IF(OR(Tulokset!$G$25="",Tulokset!$I$25="",'11'!$I$26="",'11'!$K$26=""),"",IF(SIGN('11'!$I$26-'11'!$K$26)&lt;&gt;SIGN(Tulokset!$G$25-Tulokset!$I$25),0,IF(Tulokset!$G$25=Tulokset!$I$25,IF(AND('11'!$I$26=Tulokset!$G$25,'11'!$K$26=Tulokset!$I$25),6,3),MAX(0,6-(ABS('11'!$I$26-Tulokset!$G$25)+ABS('11'!$K$26-Tulokset!$I$25))))))</f>
        <v/>
      </c>
      <c r="AB14" t="str">
        <f>IF(OR(Tulokset!$G$26="",Tulokset!$I$26="",'11'!$I$27="",'11'!$K$27=""),"",IF(SIGN('11'!$I$27-'11'!$K$27)&lt;&gt;SIGN(Tulokset!$G$26-Tulokset!$I$26),0,IF(Tulokset!$G$26=Tulokset!$I$26,IF(AND('11'!$I$27=Tulokset!$G$26,'11'!$K$27=Tulokset!$I$26),6,3),MAX(0,6-(ABS('11'!$I$27-Tulokset!$G$26)+ABS('11'!$K$27-Tulokset!$I$26))))))</f>
        <v/>
      </c>
      <c r="AC14" t="str">
        <f>IF(OR(Tulokset!$G$27="",Tulokset!$I$27="",'11'!$I$28="",'11'!$K$28=""),"",IF(SIGN('11'!$I$28-'11'!$K$28)&lt;&gt;SIGN(Tulokset!$G$27-Tulokset!$I$27),0,IF(Tulokset!$G$27=Tulokset!$I$27,IF(AND('11'!$I$28=Tulokset!$G$27,'11'!$K$28=Tulokset!$I$27),6,3),MAX(0,6-(ABS('11'!$I$28-Tulokset!$G$27)+ABS('11'!$K$28-Tulokset!$I$27))))))</f>
        <v/>
      </c>
      <c r="AD14" t="str">
        <f>IF(OR(Tulokset!$G$28="",Tulokset!$I$28="",'11'!$I$29="",'11'!$K$29=""),"",IF(SIGN('11'!$I$29-'11'!$K$29)&lt;&gt;SIGN(Tulokset!$G$28-Tulokset!$I$28),0,IF(Tulokset!$G$28=Tulokset!$I$28,IF(AND('11'!$I$29=Tulokset!$G$28,'11'!$K$29=Tulokset!$I$28),6,3),MAX(0,6-(ABS('11'!$I$29-Tulokset!$G$28)+ABS('11'!$K$29-Tulokset!$I$28))))))</f>
        <v/>
      </c>
      <c r="AE14" t="str">
        <f>IF(OR(Tulokset!$G$29="",Tulokset!$I$29="",'11'!$I$30="",'11'!$K$30=""),"",IF(SIGN('11'!$I$30-'11'!$K$30)&lt;&gt;SIGN(Tulokset!$G$29-Tulokset!$I$29),0,IF(Tulokset!$G$29=Tulokset!$I$29,IF(AND('11'!$I$30=Tulokset!$G$29,'11'!$K$30=Tulokset!$I$29),6,3),MAX(0,6-(ABS('11'!$I$30-Tulokset!$G$29)+ABS('11'!$K$30-Tulokset!$I$29))))))</f>
        <v/>
      </c>
      <c r="AF14" t="str">
        <f>IF(OR(Tulokset!$G$30="",Tulokset!$I$30="",'11'!$I$31="",'11'!$K$31=""),"",IF(SIGN('11'!$I$31-'11'!$K$31)&lt;&gt;SIGN(Tulokset!$G$30-Tulokset!$I$30),0,IF(Tulokset!$G$30=Tulokset!$I$30,IF(AND('11'!$I$31=Tulokset!$G$30,'11'!$K$31=Tulokset!$I$30),6,3),MAX(0,6-(ABS('11'!$I$31-Tulokset!$G$30)+ABS('11'!$K$31-Tulokset!$I$30))))))</f>
        <v/>
      </c>
      <c r="AG14" t="str">
        <f>IF(OR(Tulokset!$G$31="",Tulokset!$I$31="",'11'!$I$32="",'11'!$K$32=""),"",IF(SIGN('11'!$I$32-'11'!$K$32)&lt;&gt;SIGN(Tulokset!$G$31-Tulokset!$I$31),0,IF(Tulokset!$G$31=Tulokset!$I$31,IF(AND('11'!$I$32=Tulokset!$G$31,'11'!$K$32=Tulokset!$I$31),6,3),MAX(0,6-(ABS('11'!$I$32-Tulokset!$G$31)+ABS('11'!$K$32-Tulokset!$I$31))))))</f>
        <v/>
      </c>
      <c r="AH14" t="str">
        <f>IF(OR(Tulokset!$G$32="",Tulokset!$I$32="",'11'!$I$33="",'11'!$K$33=""),"",IF(SIGN('11'!$I$33-'11'!$K$33)&lt;&gt;SIGN(Tulokset!$G$32-Tulokset!$I$32),0,IF(Tulokset!$G$32=Tulokset!$I$32,IF(AND('11'!$I$33=Tulokset!$G$32,'11'!$K$33=Tulokset!$I$32),6,3),MAX(0,6-(ABS('11'!$I$33-Tulokset!$G$32)+ABS('11'!$K$33-Tulokset!$I$32))))))</f>
        <v/>
      </c>
      <c r="AI14" t="str">
        <f>IF(OR(Tulokset!$G$33="",Tulokset!$I$33="",'11'!$I$34="",'11'!$K$34=""),"",IF(SIGN('11'!$I$34-'11'!$K$34)&lt;&gt;SIGN(Tulokset!$G$33-Tulokset!$I$33),0,IF(Tulokset!$G$33=Tulokset!$I$33,IF(AND('11'!$I$34=Tulokset!$G$33,'11'!$K$34=Tulokset!$I$33),6,3),MAX(0,6-(ABS('11'!$I$34-Tulokset!$G$33)+ABS('11'!$K$34-Tulokset!$I$33))))))</f>
        <v/>
      </c>
      <c r="AJ14" t="str">
        <f>IF(OR(Tulokset!$G$34="",Tulokset!$I$34="",'11'!$I$35="",'11'!$K$35=""),"",IF(SIGN('11'!$I$35-'11'!$K$35)&lt;&gt;SIGN(Tulokset!$G$34-Tulokset!$I$34),0,IF(Tulokset!$G$34=Tulokset!$I$34,IF(AND('11'!$I$35=Tulokset!$G$34,'11'!$K$35=Tulokset!$I$34),6,3),MAX(0,6-(ABS('11'!$I$35-Tulokset!$G$34)+ABS('11'!$K$35-Tulokset!$I$34))))))</f>
        <v/>
      </c>
      <c r="AK14" t="str">
        <f>IF(OR(Tulokset!$G$35="",Tulokset!$I$35="",'11'!$I$36="",'11'!$K$36=""),"",IF(SIGN('11'!$I$36-'11'!$K$36)&lt;&gt;SIGN(Tulokset!$G$35-Tulokset!$I$35),0,IF(Tulokset!$G$35=Tulokset!$I$35,IF(AND('11'!$I$36=Tulokset!$G$35,'11'!$K$36=Tulokset!$I$35),6,3),MAX(0,6-(ABS('11'!$I$36-Tulokset!$G$35)+ABS('11'!$K$36-Tulokset!$I$35))))))</f>
        <v/>
      </c>
      <c r="AL14" t="str">
        <f>IF(OR(Tulokset!$G$36="",Tulokset!$I$36="",'11'!$I$37="",'11'!$K$37=""),"",IF(SIGN('11'!$I$37-'11'!$K$37)&lt;&gt;SIGN(Tulokset!$G$36-Tulokset!$I$36),0,IF(Tulokset!$G$36=Tulokset!$I$36,IF(AND('11'!$I$37=Tulokset!$G$36,'11'!$K$37=Tulokset!$I$36),6,3),MAX(0,6-(ABS('11'!$I$37-Tulokset!$G$36)+ABS('11'!$K$37-Tulokset!$I$36))))))</f>
        <v/>
      </c>
      <c r="AM14" t="str">
        <f>IF(OR(Tulokset!$G$37="",Tulokset!$I$37="",'11'!$I$38="",'11'!$K$38=""),"",IF(SIGN('11'!$I$38-'11'!$K$38)&lt;&gt;SIGN(Tulokset!$G$37-Tulokset!$I$37),0,IF(Tulokset!$G$37=Tulokset!$I$37,IF(AND('11'!$I$38=Tulokset!$G$37,'11'!$K$38=Tulokset!$I$37),6,3),MAX(0,6-(ABS('11'!$I$38-Tulokset!$G$37)+ABS('11'!$K$38-Tulokset!$I$37))))))</f>
        <v/>
      </c>
      <c r="AN14" t="str">
        <f>IF(OR(Tulokset!$G$38="",Tulokset!$I$38="",'11'!$I$39="",'11'!$K$39=""),"",IF(SIGN('11'!$I$39-'11'!$K$39)&lt;&gt;SIGN(Tulokset!$G$38-Tulokset!$I$38),0,IF(Tulokset!$G$38=Tulokset!$I$38,IF(AND('11'!$I$39=Tulokset!$G$38,'11'!$K$39=Tulokset!$I$38),6,3),MAX(0,6-(ABS('11'!$I$39-Tulokset!$G$38)+ABS('11'!$K$39-Tulokset!$I$38))))))</f>
        <v/>
      </c>
      <c r="AO14" t="str">
        <f>IF(OR(Tulokset!$G$39="",Tulokset!$I$39="",'11'!$I$40="",'11'!$K$40=""),"",IF(SIGN('11'!$I$40-'11'!$K$40)&lt;&gt;SIGN(Tulokset!$G$39-Tulokset!$I$39),0,IF(Tulokset!$G$39=Tulokset!$I$39,IF(AND('11'!$I$40=Tulokset!$G$39,'11'!$K$40=Tulokset!$I$39),6,3),MAX(0,6-(ABS('11'!$I$40-Tulokset!$G$39)+ABS('11'!$K$40-Tulokset!$I$39))))))</f>
        <v/>
      </c>
      <c r="AP14" t="str">
        <f>IF(OR(Tulokset!$G$40="",Tulokset!$I$40="",'11'!$I$41="",'11'!$K$41=""),"",IF(SIGN('11'!$I$41-'11'!$K$41)&lt;&gt;SIGN(Tulokset!$G$40-Tulokset!$I$40),0,IF(Tulokset!$G$40=Tulokset!$I$40,IF(AND('11'!$I$41=Tulokset!$G$40,'11'!$K$41=Tulokset!$I$40),6,3),MAX(0,6-(ABS('11'!$I$41-Tulokset!$G$40)+ABS('11'!$K$41-Tulokset!$I$40))))))</f>
        <v/>
      </c>
      <c r="AQ14" t="str">
        <f>IF(OR(Tulokset!$G$41="",Tulokset!$I$41="",'11'!$I$42="",'11'!$K$42=""),"",IF(SIGN('11'!$I$42-'11'!$K$42)&lt;&gt;SIGN(Tulokset!$G$41-Tulokset!$I$41),0,IF(Tulokset!$G$41=Tulokset!$I$41,IF(AND('11'!$I$42=Tulokset!$G$41,'11'!$K$42=Tulokset!$I$41),6,3),MAX(0,6-(ABS('11'!$I$42-Tulokset!$G$41)+ABS('11'!$K$42-Tulokset!$I$41))))))</f>
        <v/>
      </c>
      <c r="AR14" t="str">
        <f>IF(OR(Tulokset!$G$42="",Tulokset!$I$42="",'11'!$I$43="",'11'!$K$43=""),"",IF(SIGN('11'!$I$43-'11'!$K$43)&lt;&gt;SIGN(Tulokset!$G$42-Tulokset!$I$42),0,IF(Tulokset!$G$42=Tulokset!$I$42,IF(AND('11'!$I$43=Tulokset!$G$42,'11'!$K$43=Tulokset!$I$42),6,3),MAX(0,6-(ABS('11'!$I$43-Tulokset!$G$42)+ABS('11'!$K$43-Tulokset!$I$42))))))</f>
        <v/>
      </c>
      <c r="AS14" t="str">
        <f>IF(OR(Tulokset!$G$43="",Tulokset!$I$43="",'11'!$I$44="",'11'!$K$44=""),"",IF(SIGN('11'!$I$44-'11'!$K$44)&lt;&gt;SIGN(Tulokset!$G$43-Tulokset!$I$43),0,IF(Tulokset!$G$43=Tulokset!$I$43,IF(AND('11'!$I$44=Tulokset!$G$43,'11'!$K$44=Tulokset!$I$43),6,3),MAX(0,6-(ABS('11'!$I$44-Tulokset!$G$43)+ABS('11'!$K$44-Tulokset!$I$43))))))</f>
        <v/>
      </c>
      <c r="AT14" t="str">
        <f>IF(OR(Tulokset!$G$44="",Tulokset!$I$44="",'11'!$I$45="",'11'!$K$45=""),"",IF(SIGN('11'!$I$45-'11'!$K$45)&lt;&gt;SIGN(Tulokset!$G$44-Tulokset!$I$44),0,IF(Tulokset!$G$44=Tulokset!$I$44,IF(AND('11'!$I$45=Tulokset!$G$44,'11'!$K$45=Tulokset!$I$44),6,3),MAX(0,6-(ABS('11'!$I$45-Tulokset!$G$44)+ABS('11'!$K$45-Tulokset!$I$44))))))</f>
        <v/>
      </c>
      <c r="AU14" t="str">
        <f>IF(OR(Tulokset!$G$45="",Tulokset!$I$45="",'11'!$I$46="",'11'!$K$46=""),"",IF(SIGN('11'!$I$46-'11'!$K$46)&lt;&gt;SIGN(Tulokset!$G$45-Tulokset!$I$45),0,IF(Tulokset!$G$45=Tulokset!$I$45,IF(AND('11'!$I$46=Tulokset!$G$45,'11'!$K$46=Tulokset!$I$45),6,3),MAX(0,6-(ABS('11'!$I$46-Tulokset!$G$45)+ABS('11'!$K$46-Tulokset!$I$45))))))</f>
        <v/>
      </c>
      <c r="AV14" t="str">
        <f>IF(OR(Tulokset!$G$46="",Tulokset!$I$46="",'11'!$I$47="",'11'!$K$47=""),"",IF(SIGN('11'!$I$47-'11'!$K$47)&lt;&gt;SIGN(Tulokset!$G$46-Tulokset!$I$46),0,IF(Tulokset!$G$46=Tulokset!$I$46,IF(AND('11'!$I$47=Tulokset!$G$46,'11'!$K$47=Tulokset!$I$46),6,3),MAX(0,6-(ABS('11'!$I$47-Tulokset!$G$46)+ABS('11'!$K$47-Tulokset!$I$46))))))</f>
        <v/>
      </c>
      <c r="AW14" t="str">
        <f>IF(OR(Tulokset!$G$47="",Tulokset!$I$47="",'11'!$I$48="",'11'!$K$48=""),"",IF(SIGN('11'!$I$48-'11'!$K$48)&lt;&gt;SIGN(Tulokset!$G$47-Tulokset!$I$47),0,IF(Tulokset!$G$47=Tulokset!$I$47,IF(AND('11'!$I$48=Tulokset!$G$47,'11'!$K$48=Tulokset!$I$47),6,3),MAX(0,6-(ABS('11'!$I$48-Tulokset!$G$47)+ABS('11'!$K$48-Tulokset!$I$47))))))</f>
        <v/>
      </c>
      <c r="AX14" t="str">
        <f>IF(OR(Tulokset!$G$48="",Tulokset!$I$48="",'11'!$I$49="",'11'!$K$49=""),"",IF(SIGN('11'!$I$49-'11'!$K$49)&lt;&gt;SIGN(Tulokset!$G$48-Tulokset!$I$48),0,IF(Tulokset!$G$48=Tulokset!$I$48,IF(AND('11'!$I$49=Tulokset!$G$48,'11'!$K$49=Tulokset!$I$48),6,3),MAX(0,6-(ABS('11'!$I$49-Tulokset!$G$48)+ABS('11'!$K$49-Tulokset!$I$48))))))</f>
        <v/>
      </c>
      <c r="AY14" t="str">
        <f>IF(OR(Tulokset!$G$49="",Tulokset!$I$49="",'11'!$I$50="",'11'!$K$50=""),"",IF(SIGN('11'!$I$50-'11'!$K$50)&lt;&gt;SIGN(Tulokset!$G$49-Tulokset!$I$49),0,IF(Tulokset!$G$49=Tulokset!$I$49,IF(AND('11'!$I$50=Tulokset!$G$49,'11'!$K$50=Tulokset!$I$49),6,3),MAX(0,6-(ABS('11'!$I$50-Tulokset!$G$49)+ABS('11'!$K$50-Tulokset!$I$49))))))</f>
        <v/>
      </c>
      <c r="AZ14" t="str">
        <f>IF(OR(Tulokset!$G$50="",Tulokset!$I$50="",'11'!$I$51="",'11'!$K$51=""),"",IF(SIGN('11'!$I$51-'11'!$K$51)&lt;&gt;SIGN(Tulokset!$G$50-Tulokset!$I$50),0,IF(Tulokset!$G$50=Tulokset!$I$50,IF(AND('11'!$I$51=Tulokset!$G$50,'11'!$K$51=Tulokset!$I$50),6,3),MAX(0,6-(ABS('11'!$I$51-Tulokset!$G$50)+ABS('11'!$K$51-Tulokset!$I$50))))))</f>
        <v/>
      </c>
      <c r="BA14" t="str">
        <f>IF(OR(Tulokset!$G$51="",Tulokset!$I$51="",'11'!$I$52="",'11'!$K$52=""),"",IF(SIGN('11'!$I$52-'11'!$K$52)&lt;&gt;SIGN(Tulokset!$G$51-Tulokset!$I$51),0,IF(Tulokset!$G$51=Tulokset!$I$51,IF(AND('11'!$I$52=Tulokset!$G$51,'11'!$K$52=Tulokset!$I$51),6,3),MAX(0,6-(ABS('11'!$I$52-Tulokset!$G$51)+ABS('11'!$K$52-Tulokset!$I$51))))))</f>
        <v/>
      </c>
      <c r="BB14" t="str">
        <f>IF(OR(Tulokset!$G$52="",Tulokset!$I$52="",'11'!$I$53="",'11'!$K$53=""),"",IF(SIGN('11'!$I$53-'11'!$K$53)&lt;&gt;SIGN(Tulokset!$G$52-Tulokset!$I$52),0,IF(Tulokset!$G$52=Tulokset!$I$52,IF(AND('11'!$I$53=Tulokset!$G$52,'11'!$K$53=Tulokset!$I$52),6,3),MAX(0,6-(ABS('11'!$I$53-Tulokset!$G$52)+ABS('11'!$K$53-Tulokset!$I$52))))))</f>
        <v/>
      </c>
      <c r="BC14" t="str">
        <f>IF(OR(Tulokset!$G$53="",Tulokset!$I$53="",'11'!$I$54="",'11'!$K$54=""),"",IF(SIGN('11'!$I$54-'11'!$K$54)&lt;&gt;SIGN(Tulokset!$G$53-Tulokset!$I$53),0,IF(Tulokset!$G$53=Tulokset!$I$53,IF(AND('11'!$I$54=Tulokset!$G$53,'11'!$K$54=Tulokset!$I$53),6,3),MAX(0,6-(ABS('11'!$I$54-Tulokset!$G$53)+ABS('11'!$K$54-Tulokset!$I$53))))))</f>
        <v/>
      </c>
      <c r="BD14" t="str">
        <f>IF(OR(Tulokset!$G$54="",Tulokset!$I$54="",'11'!$I$55="",'11'!$K$55=""),"",IF(SIGN('11'!$I$55-'11'!$K$55)&lt;&gt;SIGN(Tulokset!$G$54-Tulokset!$I$54),0,IF(Tulokset!$G$54=Tulokset!$I$54,IF(AND('11'!$I$55=Tulokset!$G$54,'11'!$K$55=Tulokset!$I$54),6,3),MAX(0,6-(ABS('11'!$I$55-Tulokset!$G$54)+ABS('11'!$K$55-Tulokset!$I$54))))))</f>
        <v/>
      </c>
      <c r="BE14" t="str">
        <f>IF(OR(Tulokset!$G$55="",Tulokset!$I$55="",'11'!$I$56="",'11'!$K$56=""),"",IF(SIGN('11'!$I$56-'11'!$K$56)&lt;&gt;SIGN(Tulokset!$G$55-Tulokset!$I$55),0,IF(Tulokset!$G$55=Tulokset!$I$55,IF(AND('11'!$I$56=Tulokset!$G$55,'11'!$K$56=Tulokset!$I$55),6,3),MAX(0,6-(ABS('11'!$I$56-Tulokset!$G$55)+ABS('11'!$K$56-Tulokset!$I$55))))))</f>
        <v/>
      </c>
      <c r="BF14" t="str">
        <f>IF(OR(Tulokset!$G$56="",Tulokset!$I$56="",'11'!$I$57="",'11'!$K$57=""),"",IF(SIGN('11'!$I$57-'11'!$K$57)&lt;&gt;SIGN(Tulokset!$G$56-Tulokset!$I$56),0,IF(Tulokset!$G$56=Tulokset!$I$56,IF(AND('11'!$I$57=Tulokset!$G$56,'11'!$K$57=Tulokset!$I$56),6,3),MAX(0,6-(ABS('11'!$I$57-Tulokset!$G$56)+ABS('11'!$K$57-Tulokset!$I$56))))))</f>
        <v/>
      </c>
      <c r="BG14" t="str">
        <f>IF(OR(Tulokset!$G$57="",Tulokset!$I$57="",'11'!$I$58="",'11'!$K$58=""),"",IF(SIGN('11'!$I$58-'11'!$K$58)&lt;&gt;SIGN(Tulokset!$G$57-Tulokset!$I$57),0,IF(Tulokset!$G$57=Tulokset!$I$57,IF(AND('11'!$I$58=Tulokset!$G$57,'11'!$K$58=Tulokset!$I$57),6,3),MAX(0,6-(ABS('11'!$I$58-Tulokset!$G$57)+ABS('11'!$K$58-Tulokset!$I$57))))))</f>
        <v/>
      </c>
      <c r="BH14" t="str">
        <f>IF(OR(Tulokset!$G$58="",Tulokset!$I$58="",'11'!$I$59="",'11'!$K$59=""),"",IF(SIGN('11'!$I$59-'11'!$K$59)&lt;&gt;SIGN(Tulokset!$G$58-Tulokset!$I$58),0,IF(Tulokset!$G$58=Tulokset!$I$58,IF(AND('11'!$I$59=Tulokset!$G$58,'11'!$K$59=Tulokset!$I$58),6,3),MAX(0,6-(ABS('11'!$I$59-Tulokset!$G$58)+ABS('11'!$K$59-Tulokset!$I$58))))))</f>
        <v/>
      </c>
      <c r="BI14" t="str">
        <f>IF(OR(Tulokset!$G$59="",Tulokset!$I$59="",'11'!$I$60="",'11'!$K$60=""),"",IF(SIGN('11'!$I$60-'11'!$K$60)&lt;&gt;SIGN(Tulokset!$G$59-Tulokset!$I$59),0,IF(Tulokset!$G$59=Tulokset!$I$59,IF(AND('11'!$I$60=Tulokset!$G$59,'11'!$K$60=Tulokset!$I$59),6,3),MAX(0,6-(ABS('11'!$I$60-Tulokset!$G$59)+ABS('11'!$K$60-Tulokset!$I$59))))))</f>
        <v/>
      </c>
      <c r="BJ14" t="str">
        <f>IF(OR(Tulokset!$G$60="",Tulokset!$I$60="",'11'!$I$61="",'11'!$K$61=""),"",IF(SIGN('11'!$I$61-'11'!$K$61)&lt;&gt;SIGN(Tulokset!$G$60-Tulokset!$I$60),0,IF(Tulokset!$G$60=Tulokset!$I$60,IF(AND('11'!$I$61=Tulokset!$G$60,'11'!$K$61=Tulokset!$I$60),6,3),MAX(0,6-(ABS('11'!$I$61-Tulokset!$G$60)+ABS('11'!$K$61-Tulokset!$I$60))))))</f>
        <v/>
      </c>
      <c r="BK14" t="str">
        <f>IF(OR(Tulokset!$G$61="",Tulokset!$I$61="",'11'!$I$62="",'11'!$K$62=""),"",IF(SIGN('11'!$I$62-'11'!$K$62)&lt;&gt;SIGN(Tulokset!$G$61-Tulokset!$I$61),0,IF(Tulokset!$G$61=Tulokset!$I$61,IF(AND('11'!$I$62=Tulokset!$G$61,'11'!$K$62=Tulokset!$I$61),6,3),MAX(0,6-(ABS('11'!$I$62-Tulokset!$G$61)+ABS('11'!$K$62-Tulokset!$I$61))))))</f>
        <v/>
      </c>
      <c r="BL14" t="str">
        <f>IF(OR(Tulokset!$G$62="",Tulokset!$I$62="",'11'!$I$63="",'11'!$K$63=""),"",IF(SIGN('11'!$I$63-'11'!$K$63)&lt;&gt;SIGN(Tulokset!$G$62-Tulokset!$I$62),0,IF(Tulokset!$G$62=Tulokset!$I$62,IF(AND('11'!$I$63=Tulokset!$G$62,'11'!$K$63=Tulokset!$I$62),6,3),MAX(0,6-(ABS('11'!$I$63-Tulokset!$G$62)+ABS('11'!$K$63-Tulokset!$I$62))))))</f>
        <v/>
      </c>
      <c r="BM14" t="str">
        <f>IF(OR(Tulokset!$G$63="",Tulokset!$I$63="",'11'!$I$64="",'11'!$K$64=""),"",IF(SIGN('11'!$I$64-'11'!$K$64)&lt;&gt;SIGN(Tulokset!$G$63-Tulokset!$I$63),0,IF(Tulokset!$G$63=Tulokset!$I$63,IF(AND('11'!$I$64=Tulokset!$G$63,'11'!$K$64=Tulokset!$I$63),6,3),MAX(0,6-(ABS('11'!$I$64-Tulokset!$G$63)+ABS('11'!$K$64-Tulokset!$I$63))))))</f>
        <v/>
      </c>
      <c r="BN14" t="str">
        <f>IF(OR(Tulokset!$G$64="",Tulokset!$I$64="",'11'!$I$65="",'11'!$K$65=""),"",IF(SIGN('11'!$I$65-'11'!$K$65)&lt;&gt;SIGN(Tulokset!$G$64-Tulokset!$I$64),0,IF(Tulokset!$G$64=Tulokset!$I$64,IF(AND('11'!$I$65=Tulokset!$G$64,'11'!$K$65=Tulokset!$I$64),6,3),MAX(0,6-(ABS('11'!$I$65-Tulokset!$G$64)+ABS('11'!$K$65-Tulokset!$I$64))))))</f>
        <v/>
      </c>
      <c r="BO14" t="str">
        <f>IF(OR(Tulokset!$G$65="",Tulokset!$I$65="",'11'!$I$66="",'11'!$K$66=""),"",IF(SIGN('11'!$I$66-'11'!$K$66)&lt;&gt;SIGN(Tulokset!$G$65-Tulokset!$I$65),0,IF(Tulokset!$G$65=Tulokset!$I$65,IF(AND('11'!$I$66=Tulokset!$G$65,'11'!$K$66=Tulokset!$I$65),6,3),MAX(0,6-(ABS('11'!$I$66-Tulokset!$G$65)+ABS('11'!$K$66-Tulokset!$I$65))))))</f>
        <v/>
      </c>
      <c r="BP14" t="str">
        <f>IF(OR(Tulokset!$G$66="",Tulokset!$I$66="",'11'!$I$67="",'11'!$K$67=""),"",IF(SIGN('11'!$I$67-'11'!$K$67)&lt;&gt;SIGN(Tulokset!$G$66-Tulokset!$I$66),0,IF(Tulokset!$G$66=Tulokset!$I$66,IF(AND('11'!$I$67=Tulokset!$G$66,'11'!$K$67=Tulokset!$I$66),6,3),MAX(0,6-(ABS('11'!$I$67-Tulokset!$G$66)+ABS('11'!$K$67-Tulokset!$I$66))))))</f>
        <v/>
      </c>
      <c r="BQ14" t="str">
        <f>IF(OR(Tulokset!$G$67="",Tulokset!$I$67="",'11'!$I$68="",'11'!$K$68=""),"",IF(SIGN('11'!$I$68-'11'!$K$68)&lt;&gt;SIGN(Tulokset!$G$67-Tulokset!$I$67),0,IF(Tulokset!$G$67=Tulokset!$I$67,IF(AND('11'!$I$68=Tulokset!$G$67,'11'!$K$68=Tulokset!$I$67),6,3),MAX(0,6-(ABS('11'!$I$68-Tulokset!$G$67)+ABS('11'!$K$68-Tulokset!$I$67))))))</f>
        <v/>
      </c>
      <c r="BR14" t="str">
        <f>IF(OR(Tulokset!$G$68="",Tulokset!$I$68="",'11'!$I$69="",'11'!$K$69=""),"",IF(SIGN('11'!$I$69-'11'!$K$69)&lt;&gt;SIGN(Tulokset!$G$68-Tulokset!$I$68),0,IF(Tulokset!$G$68=Tulokset!$I$68,IF(AND('11'!$I$69=Tulokset!$G$68,'11'!$K$69=Tulokset!$I$68),6,3),MAX(0,6-(ABS('11'!$I$69-Tulokset!$G$68)+ABS('11'!$K$69-Tulokset!$I$68))))))</f>
        <v/>
      </c>
      <c r="BS14" t="str">
        <f>IF(OR(Tulokset!$G$69="",Tulokset!$I$69="",'11'!$I$70="",'11'!$K$70=""),"",IF(SIGN('11'!$I$70-'11'!$K$70)&lt;&gt;SIGN(Tulokset!$G$69-Tulokset!$I$69),0,IF(Tulokset!$G$69=Tulokset!$I$69,IF(AND('11'!$I$70=Tulokset!$G$69,'11'!$K$70=Tulokset!$I$69),6,3),MAX(0,6-(ABS('11'!$I$70-Tulokset!$G$69)+ABS('11'!$K$70-Tulokset!$I$69))))))</f>
        <v/>
      </c>
      <c r="BT14" t="str">
        <f>IF(OR(Tulokset!$G$70="",Tulokset!$I$70="",'11'!$I$71="",'11'!$K$71=""),"",IF(SIGN('11'!$I$71-'11'!$K$71)&lt;&gt;SIGN(Tulokset!$G$70-Tulokset!$I$70),0,IF(Tulokset!$G$70=Tulokset!$I$70,IF(AND('11'!$I$71=Tulokset!$G$70,'11'!$K$71=Tulokset!$I$70),6,3),MAX(0,6-(ABS('11'!$I$71-Tulokset!$G$70)+ABS('11'!$K$71-Tulokset!$I$70))))))</f>
        <v/>
      </c>
      <c r="BU14" t="str">
        <f>IF(OR(Tulokset!$G$71="",Tulokset!$I$71="",'11'!$I$72="",'11'!$K$72=""),"",IF(SIGN('11'!$I$72-'11'!$K$72)&lt;&gt;SIGN(Tulokset!$G$71-Tulokset!$I$71),0,IF(Tulokset!$G$71=Tulokset!$I$71,IF(AND('11'!$I$72=Tulokset!$G$71,'11'!$K$72=Tulokset!$I$71),6,3),MAX(0,6-(ABS('11'!$I$72-Tulokset!$G$71)+ABS('11'!$K$72-Tulokset!$I$71))))))</f>
        <v/>
      </c>
      <c r="BV14" t="str">
        <f>IF(OR(Tulokset!$G$72="",Tulokset!$I$72="",'11'!$I$73="",'11'!$K$73=""),"",IF(SIGN('11'!$I$73-'11'!$K$73)&lt;&gt;SIGN(Tulokset!$G$72-Tulokset!$I$72),0,IF(Tulokset!$G$72=Tulokset!$I$72,IF(AND('11'!$I$73=Tulokset!$G$72,'11'!$K$73=Tulokset!$I$72),6,3),MAX(0,6-(ABS('11'!$I$73-Tulokset!$G$72)+ABS('11'!$K$73-Tulokset!$I$72))))))</f>
        <v/>
      </c>
      <c r="BW14" t="str">
        <f>IF(OR(Tulokset!$G$73="",Tulokset!$I$73="",'11'!$I$74="",'11'!$K$74=""),"",IF(SIGN('11'!$I$74-'11'!$K$74)&lt;&gt;SIGN(Tulokset!$G$73-Tulokset!$I$73),0,IF(Tulokset!$G$73=Tulokset!$I$73,IF(AND('11'!$I$74=Tulokset!$G$73,'11'!$K$74=Tulokset!$I$73),6,3),MAX(0,6-(ABS('11'!$I$74-Tulokset!$G$73)+ABS('11'!$K$74-Tulokset!$I$73))))))</f>
        <v/>
      </c>
      <c r="BX14" t="str">
        <f>IF(OR(Tulokset!$G$74="",Tulokset!$I$74="",'11'!$I$75="",'11'!$K$75=""),"",IF(SIGN('11'!$I$75-'11'!$K$75)&lt;&gt;SIGN(Tulokset!$G$74-Tulokset!$I$74),0,IF(Tulokset!$G$74=Tulokset!$I$74,IF(AND('11'!$I$75=Tulokset!$G$74,'11'!$K$75=Tulokset!$I$74),6,3),MAX(0,6-(ABS('11'!$I$75-Tulokset!$G$74)+ABS('11'!$K$75-Tulokset!$I$74))))))</f>
        <v/>
      </c>
      <c r="BY14" t="str">
        <f>IF(OR(Tulokset!$G$75="",Tulokset!$I$75="",'11'!$I$76="",'11'!$K$76=""),"",IF(SIGN('11'!$I$76-'11'!$K$76)&lt;&gt;SIGN(Tulokset!$G$75-Tulokset!$I$75),0,IF(Tulokset!$G$75=Tulokset!$I$75,IF(AND('11'!$I$76=Tulokset!$G$75,'11'!$K$76=Tulokset!$I$75),6,3),MAX(0,6-(ABS('11'!$I$76-Tulokset!$G$75)+ABS('11'!$K$76-Tulokset!$I$75))))))</f>
        <v/>
      </c>
      <c r="BZ14" t="str">
        <f>IF(OR(Tulokset!$G$76="",Tulokset!$I$76="",'11'!$I$77="",'11'!$K$77=""),"",IF(SIGN('11'!$I$77-'11'!$K$77)&lt;&gt;SIGN(Tulokset!$G$76-Tulokset!$I$76),0,IF(Tulokset!$G$76=Tulokset!$I$76,IF(AND('11'!$I$77=Tulokset!$G$76,'11'!$K$77=Tulokset!$I$76),6,3),MAX(0,6-(ABS('11'!$I$77-Tulokset!$G$76)+ABS('11'!$K$77-Tulokset!$I$76))))))</f>
        <v/>
      </c>
      <c r="CA14" t="str">
        <f>IF(OR(Tulokset!$G$77="",Tulokset!$I$77="",'11'!$I$78="",'11'!$K$78=""),"",IF(SIGN('11'!$I$78-'11'!$K$78)&lt;&gt;SIGN(Tulokset!$G$77-Tulokset!$I$77),0,IF(Tulokset!$G$77=Tulokset!$I$77,IF(AND('11'!$I$78=Tulokset!$G$77,'11'!$K$78=Tulokset!$I$77),6,3),MAX(0,6-(ABS('11'!$I$78-Tulokset!$G$77)+ABS('11'!$K$78-Tulokset!$I$77))))))</f>
        <v/>
      </c>
      <c r="CD14" t="str">
        <f ca="1">IF(OR(Tulokset!$M$6="",INDIRECT("'"&amp;$A14&amp;"'!$P$8")=""),"",IF(TRIM(INDIRECT("'"&amp;$A14&amp;"'!$P$8"))=TRIM(Tulokset!$M$6),2,0))</f>
        <v/>
      </c>
      <c r="CE14" t="str">
        <f ca="1">IF(OR(Tulokset!$M$7="",INDIRECT("'"&amp;$A14&amp;"'!$P$9")=""),"",IF(TRIM(INDIRECT("'"&amp;$A14&amp;"'!$P$9"))=TRIM(Tulokset!$M$7),2,0))</f>
        <v/>
      </c>
      <c r="CF14" t="str">
        <f ca="1">IF(OR(Tulokset!$M$8="",INDIRECT("'"&amp;$A14&amp;"'!$P$10")=""),"",IF(TRIM(INDIRECT("'"&amp;$A14&amp;"'!$P$10"))=TRIM(Tulokset!$M$8),2,0))</f>
        <v/>
      </c>
      <c r="CG14" t="str">
        <f ca="1">IF(OR(Tulokset!$M$9="",INDIRECT("'"&amp;$A14&amp;"'!$P$11")=""),"",IF(TRIM(INDIRECT("'"&amp;$A14&amp;"'!$P$11"))=TRIM(Tulokset!$M$9),2,0))</f>
        <v/>
      </c>
      <c r="CH14" t="str">
        <f ca="1">IF(OR(Tulokset!$N$6="",INDIRECT("'"&amp;$A14&amp;"'!$Q$8")=""),"",IF(TRIM(INDIRECT("'"&amp;$A14&amp;"'!$Q$8"))=TRIM(Tulokset!$N$6),2,0))</f>
        <v/>
      </c>
      <c r="CI14" t="str">
        <f ca="1">IF(OR(Tulokset!$N$7="",INDIRECT("'"&amp;$A14&amp;"'!$Q$9")=""),"",IF(TRIM(INDIRECT("'"&amp;$A14&amp;"'!$Q$9"))=TRIM(Tulokset!$N$7),2,0))</f>
        <v/>
      </c>
      <c r="CJ14" t="str">
        <f ca="1">IF(OR(Tulokset!$N$8="",INDIRECT("'"&amp;$A14&amp;"'!$Q$10")=""),"",IF(TRIM(INDIRECT("'"&amp;$A14&amp;"'!$Q$10"))=TRIM(Tulokset!$N$8),2,0))</f>
        <v/>
      </c>
      <c r="CK14" t="str">
        <f ca="1">IF(OR(Tulokset!$N$9="",INDIRECT("'"&amp;$A14&amp;"'!$Q$11")=""),"",IF(TRIM(INDIRECT("'"&amp;$A14&amp;"'!$Q$11"))=TRIM(Tulokset!$N$9),2,0))</f>
        <v/>
      </c>
      <c r="CL14" t="str">
        <f ca="1">IF(OR(Tulokset!$O$6="",INDIRECT("'"&amp;$A14&amp;"'!$R$8")=""),"",IF(TRIM(INDIRECT("'"&amp;$A14&amp;"'!$R$8"))=TRIM(Tulokset!$O$6),2,0))</f>
        <v/>
      </c>
      <c r="CM14" t="str">
        <f ca="1">IF(OR(Tulokset!$O$7="",INDIRECT("'"&amp;$A14&amp;"'!$R$9")=""),"",IF(TRIM(INDIRECT("'"&amp;$A14&amp;"'!$R$9"))=TRIM(Tulokset!$O$7),2,0))</f>
        <v/>
      </c>
      <c r="CN14" t="str">
        <f ca="1">IF(OR(Tulokset!$O$8="",INDIRECT("'"&amp;$A14&amp;"'!$R$10")=""),"",IF(TRIM(INDIRECT("'"&amp;$A14&amp;"'!$R$10"))=TRIM(Tulokset!$O$8),2,0))</f>
        <v/>
      </c>
      <c r="CO14" t="str">
        <f ca="1">IF(OR(Tulokset!$O$9="",INDIRECT("'"&amp;$A14&amp;"'!$R$11")=""),"",IF(TRIM(INDIRECT("'"&amp;$A14&amp;"'!$R$11"))=TRIM(Tulokset!$O$9),2,0))</f>
        <v/>
      </c>
      <c r="CP14" t="str">
        <f ca="1">IF(OR(Tulokset!$P$6="",INDIRECT("'"&amp;$A14&amp;"'!$S$8")=""),"",IF(TRIM(INDIRECT("'"&amp;$A14&amp;"'!$S$8"))=TRIM(Tulokset!$P$6),2,0))</f>
        <v/>
      </c>
      <c r="CQ14" t="str">
        <f ca="1">IF(OR(Tulokset!$P$7="",INDIRECT("'"&amp;$A14&amp;"'!$S$9")=""),"",IF(TRIM(INDIRECT("'"&amp;$A14&amp;"'!$S$9"))=TRIM(Tulokset!$P$7),2,0))</f>
        <v/>
      </c>
      <c r="CR14" t="str">
        <f ca="1">IF(OR(Tulokset!$P$8="",INDIRECT("'"&amp;$A14&amp;"'!$S$10")=""),"",IF(TRIM(INDIRECT("'"&amp;$A14&amp;"'!$S$10"))=TRIM(Tulokset!$P$8),2,0))</f>
        <v/>
      </c>
      <c r="CS14" t="str">
        <f ca="1">IF(OR(Tulokset!$P$9="",INDIRECT("'"&amp;$A14&amp;"'!$S$11")=""),"",IF(TRIM(INDIRECT("'"&amp;$A14&amp;"'!$S$11"))=TRIM(Tulokset!$P$9),2,0))</f>
        <v/>
      </c>
      <c r="CT14" t="str">
        <f ca="1">IF(OR(Tulokset!$Q$6="",INDIRECT("'"&amp;$A14&amp;"'!$T$8")=""),"",IF(TRIM(INDIRECT("'"&amp;$A14&amp;"'!$T$8"))=TRIM(Tulokset!$Q$6),2,0))</f>
        <v/>
      </c>
      <c r="CU14" t="str">
        <f ca="1">IF(OR(Tulokset!$Q$7="",INDIRECT("'"&amp;$A14&amp;"'!$T$9")=""),"",IF(TRIM(INDIRECT("'"&amp;$A14&amp;"'!$T$9"))=TRIM(Tulokset!$Q$7),2,0))</f>
        <v/>
      </c>
      <c r="CV14" t="str">
        <f ca="1">IF(OR(Tulokset!$Q$8="",INDIRECT("'"&amp;$A14&amp;"'!$T$10")=""),"",IF(TRIM(INDIRECT("'"&amp;$A14&amp;"'!$T$10"))=TRIM(Tulokset!$Q$8),2,0))</f>
        <v/>
      </c>
      <c r="CW14" t="str">
        <f ca="1">IF(OR(Tulokset!$Q$9="",INDIRECT("'"&amp;$A14&amp;"'!$T$11")=""),"",IF(TRIM(INDIRECT("'"&amp;$A14&amp;"'!$T$11"))=TRIM(Tulokset!$Q$9),2,0))</f>
        <v/>
      </c>
      <c r="CX14" t="str">
        <f ca="1">IF(OR(Tulokset!$R$6="",INDIRECT("'"&amp;$A14&amp;"'!$U$8")=""),"",IF(TRIM(INDIRECT("'"&amp;$A14&amp;"'!$U$8"))=TRIM(Tulokset!$R$6),2,0))</f>
        <v/>
      </c>
      <c r="CY14" t="str">
        <f ca="1">IF(OR(Tulokset!$R$7="",INDIRECT("'"&amp;$A14&amp;"'!$U$9")=""),"",IF(TRIM(INDIRECT("'"&amp;$A14&amp;"'!$U$9"))=TRIM(Tulokset!$R$7),2,0))</f>
        <v/>
      </c>
      <c r="CZ14" t="str">
        <f ca="1">IF(OR(Tulokset!$R$8="",INDIRECT("'"&amp;$A14&amp;"'!$U$10")=""),"",IF(TRIM(INDIRECT("'"&amp;$A14&amp;"'!$U$10"))=TRIM(Tulokset!$R$8),2,0))</f>
        <v/>
      </c>
      <c r="DA14" t="str">
        <f ca="1">IF(OR(Tulokset!$R$9="",INDIRECT("'"&amp;$A14&amp;"'!$U$11")=""),"",IF(TRIM(INDIRECT("'"&amp;$A14&amp;"'!$U$11"))=TRIM(Tulokset!$R$9),2,0))</f>
        <v/>
      </c>
      <c r="DB14" t="str">
        <f ca="1">IF(OR(Tulokset!$M$12="",INDIRECT("'"&amp;$A14&amp;"'!$P$14")=""),"",IF(TRIM(INDIRECT("'"&amp;$A14&amp;"'!$P$14"))=TRIM(Tulokset!$M$12),2,0))</f>
        <v/>
      </c>
      <c r="DC14" t="str">
        <f ca="1">IF(OR(Tulokset!$M$13="",INDIRECT("'"&amp;$A14&amp;"'!$P$15")=""),"",IF(TRIM(INDIRECT("'"&amp;$A14&amp;"'!$P$15"))=TRIM(Tulokset!$M$13),2,0))</f>
        <v/>
      </c>
      <c r="DD14" t="str">
        <f ca="1">IF(OR(Tulokset!$M$14="",INDIRECT("'"&amp;$A14&amp;"'!$P$16")=""),"",IF(TRIM(INDIRECT("'"&amp;$A14&amp;"'!$P$16"))=TRIM(Tulokset!$M$14),2,0))</f>
        <v/>
      </c>
      <c r="DE14" t="str">
        <f ca="1">IF(OR(Tulokset!$M$15="",INDIRECT("'"&amp;$A14&amp;"'!$P$17")=""),"",IF(TRIM(INDIRECT("'"&amp;$A14&amp;"'!$P$17"))=TRIM(Tulokset!$M$15),2,0))</f>
        <v/>
      </c>
      <c r="DF14" t="str">
        <f ca="1">IF(OR(Tulokset!$N$12="",INDIRECT("'"&amp;$A14&amp;"'!$Q$14")=""),"",IF(TRIM(INDIRECT("'"&amp;$A14&amp;"'!$Q$14"))=TRIM(Tulokset!$N$12),2,0))</f>
        <v/>
      </c>
      <c r="DG14" t="str">
        <f ca="1">IF(OR(Tulokset!$N$13="",INDIRECT("'"&amp;$A14&amp;"'!$Q$15")=""),"",IF(TRIM(INDIRECT("'"&amp;$A14&amp;"'!$Q$15"))=TRIM(Tulokset!$N$13),2,0))</f>
        <v/>
      </c>
      <c r="DH14" t="str">
        <f ca="1">IF(OR(Tulokset!$N$14="",INDIRECT("'"&amp;$A14&amp;"'!$Q$16")=""),"",IF(TRIM(INDIRECT("'"&amp;$A14&amp;"'!$Q$16"))=TRIM(Tulokset!$N$14),2,0))</f>
        <v/>
      </c>
      <c r="DI14" t="str">
        <f ca="1">IF(OR(Tulokset!$N$15="",INDIRECT("'"&amp;$A14&amp;"'!$Q$17")=""),"",IF(TRIM(INDIRECT("'"&amp;$A14&amp;"'!$Q$17"))=TRIM(Tulokset!$N$15),2,0))</f>
        <v/>
      </c>
      <c r="DJ14" t="str">
        <f ca="1">IF(OR(Tulokset!$O$12="",INDIRECT("'"&amp;$A14&amp;"'!$R$14")=""),"",IF(TRIM(INDIRECT("'"&amp;$A14&amp;"'!$R$14"))=TRIM(Tulokset!$O$12),2,0))</f>
        <v/>
      </c>
      <c r="DK14" t="str">
        <f ca="1">IF(OR(Tulokset!$O$13="",INDIRECT("'"&amp;$A14&amp;"'!$R$15")=""),"",IF(TRIM(INDIRECT("'"&amp;$A14&amp;"'!$R$15"))=TRIM(Tulokset!$O$13),2,0))</f>
        <v/>
      </c>
      <c r="DL14" t="str">
        <f ca="1">IF(OR(Tulokset!$O$14="",INDIRECT("'"&amp;$A14&amp;"'!$R$16")=""),"",IF(TRIM(INDIRECT("'"&amp;$A14&amp;"'!$R$16"))=TRIM(Tulokset!$O$14),2,0))</f>
        <v/>
      </c>
      <c r="DM14" t="str">
        <f ca="1">IF(OR(Tulokset!$O$15="",INDIRECT("'"&amp;$A14&amp;"'!$R$17")=""),"",IF(TRIM(INDIRECT("'"&amp;$A14&amp;"'!$R$17"))=TRIM(Tulokset!$O$15),2,0))</f>
        <v/>
      </c>
      <c r="DN14" t="str">
        <f ca="1">IF(OR(Tulokset!$P$12="",INDIRECT("'"&amp;$A14&amp;"'!$S$14")=""),"",IF(TRIM(INDIRECT("'"&amp;$A14&amp;"'!$S$14"))=TRIM(Tulokset!$P$12),2,0))</f>
        <v/>
      </c>
      <c r="DO14" t="str">
        <f ca="1">IF(OR(Tulokset!$P$13="",INDIRECT("'"&amp;$A14&amp;"'!$S$15")=""),"",IF(TRIM(INDIRECT("'"&amp;$A14&amp;"'!$S$15"))=TRIM(Tulokset!$P$13),2,0))</f>
        <v/>
      </c>
      <c r="DP14" t="str">
        <f ca="1">IF(OR(Tulokset!$P$14="",INDIRECT("'"&amp;$A14&amp;"'!$S$16")=""),"",IF(TRIM(INDIRECT("'"&amp;$A14&amp;"'!$S$16"))=TRIM(Tulokset!$P$14),2,0))</f>
        <v/>
      </c>
      <c r="DQ14" t="str">
        <f ca="1">IF(OR(Tulokset!$P$15="",INDIRECT("'"&amp;$A14&amp;"'!$S$17")=""),"",IF(TRIM(INDIRECT("'"&amp;$A14&amp;"'!$S$17"))=TRIM(Tulokset!$P$15),2,0))</f>
        <v/>
      </c>
      <c r="DR14" t="str">
        <f ca="1">IF(OR(Tulokset!$Q$12="",INDIRECT("'"&amp;$A14&amp;"'!$T$14")=""),"",IF(TRIM(INDIRECT("'"&amp;$A14&amp;"'!$T$14"))=TRIM(Tulokset!$Q$12),2,0))</f>
        <v/>
      </c>
      <c r="DS14" t="str">
        <f ca="1">IF(OR(Tulokset!$Q$13="",INDIRECT("'"&amp;$A14&amp;"'!$T$15")=""),"",IF(TRIM(INDIRECT("'"&amp;$A14&amp;"'!$T$15"))=TRIM(Tulokset!$Q$13),2,0))</f>
        <v/>
      </c>
      <c r="DT14" t="str">
        <f ca="1">IF(OR(Tulokset!$Q$14="",INDIRECT("'"&amp;$A14&amp;"'!$T$16")=""),"",IF(TRIM(INDIRECT("'"&amp;$A14&amp;"'!$T$16"))=TRIM(Tulokset!$Q$14),2,0))</f>
        <v/>
      </c>
      <c r="DU14" t="str">
        <f ca="1">IF(OR(Tulokset!$Q$15="",INDIRECT("'"&amp;$A14&amp;"'!$T$17")=""),"",IF(TRIM(INDIRECT("'"&amp;$A14&amp;"'!$T$17"))=TRIM(Tulokset!$Q$15),2,0))</f>
        <v/>
      </c>
      <c r="DV14" t="str">
        <f ca="1">IF(OR(Tulokset!$R$12="",INDIRECT("'"&amp;$A14&amp;"'!$U$14")=""),"",IF(TRIM(INDIRECT("'"&amp;$A14&amp;"'!$U$14"))=TRIM(Tulokset!$R$12),2,0))</f>
        <v/>
      </c>
      <c r="DW14" t="str">
        <f ca="1">IF(OR(Tulokset!$R$13="",INDIRECT("'"&amp;$A14&amp;"'!$U$15")=""),"",IF(TRIM(INDIRECT("'"&amp;$A14&amp;"'!$U$15"))=TRIM(Tulokset!$R$13),2,0))</f>
        <v/>
      </c>
      <c r="DX14" t="str">
        <f ca="1">IF(OR(Tulokset!$R$14="",INDIRECT("'"&amp;$A14&amp;"'!$U$16")=""),"",IF(TRIM(INDIRECT("'"&amp;$A14&amp;"'!$U$16"))=TRIM(Tulokset!$R$14),2,0))</f>
        <v/>
      </c>
      <c r="DY14" t="str">
        <f ca="1">IF(OR(Tulokset!$R$15="",INDIRECT("'"&amp;$A14&amp;"'!$U$17")=""),"",IF(TRIM(INDIRECT("'"&amp;$A14&amp;"'!$U$17"))=TRIM(Tulokset!$R$15),2,0))</f>
        <v/>
      </c>
      <c r="EA14" t="str">
        <f ca="1">IF(OR(INDIRECT("'"&amp;$A14&amp;"'!$E$79")="",COUNTA(Tulokset!$M$20:$M$21)=0),"",IF(COUNTIF(Tulokset!$M$20:$M$21,INDIRECT("'"&amp;$A14&amp;"'!$E$79"))&gt;0,2,0))</f>
        <v/>
      </c>
      <c r="EB14" t="str">
        <f ca="1">IF(OR(INDIRECT("'"&amp;$A14&amp;"'!$G$79")="",COUNTA(Tulokset!$M$20:$M$21)=0),"",IF(COUNTIF(Tulokset!$M$20:$M$21,INDIRECT("'"&amp;$A14&amp;"'!$G$79"))&gt;0,2,0))</f>
        <v/>
      </c>
      <c r="EC14" t="str">
        <f ca="1">IF(OR(INDIRECT("'"&amp;$A14&amp;"'!$E$80")="",COUNTA(Tulokset!$M$23:$M$24)=0),"",IF(COUNTIF(Tulokset!$M$23:$M$24,INDIRECT("'"&amp;$A14&amp;"'!$E$80"))&gt;0,2,0))</f>
        <v/>
      </c>
      <c r="ED14" t="str">
        <f ca="1">IF(OR(INDIRECT("'"&amp;$A14&amp;"'!$G$80")="",COUNTA(Tulokset!$M$23:$M$24)=0),"",IF(COUNTIF(Tulokset!$M$23:$M$24,INDIRECT("'"&amp;$A14&amp;"'!$G$80"))&gt;0,2,0))</f>
        <v/>
      </c>
    </row>
    <row r="15" spans="1:134">
      <c r="A15" t="s">
        <v>307</v>
      </c>
      <c r="B15" t="str">
        <f t="shared" ca="1" si="0"/>
        <v>Xhakku</v>
      </c>
      <c r="C15" s="95">
        <f t="shared" si="1"/>
        <v>0</v>
      </c>
      <c r="D15" s="95">
        <f t="shared" ca="1" si="2"/>
        <v>0</v>
      </c>
      <c r="E15" s="95">
        <f t="shared" ca="1" si="3"/>
        <v>0</v>
      </c>
      <c r="F15" s="95">
        <f t="shared" ca="1" si="4"/>
        <v>0</v>
      </c>
      <c r="G15" s="95">
        <f t="shared" si="5"/>
        <v>0</v>
      </c>
      <c r="H15" t="str">
        <f>IF(OR(Tulokset!$G$6="",Tulokset!$I$6="",'12'!$I$7="",'12'!$K$7=""),"",IF(SIGN('12'!$I$7-'12'!$K$7)&lt;&gt;SIGN(Tulokset!$G$6-Tulokset!$I$6),0,IF(Tulokset!$G$6=Tulokset!$I$6,IF(AND('12'!$I$7=Tulokset!$G$6,'12'!$K$7=Tulokset!$I$6),6,3),MAX(0,6-(ABS('12'!$I$7-Tulokset!$G$6)+ABS('12'!$K$7-Tulokset!$I$6))))))</f>
        <v/>
      </c>
      <c r="I15" t="str">
        <f>IF(OR(Tulokset!$G$7="",Tulokset!$I$7="",'12'!$I$8="",'12'!$K$8=""),"",IF(SIGN('12'!$I$8-'12'!$K$8)&lt;&gt;SIGN(Tulokset!$G$7-Tulokset!$I$7),0,IF(Tulokset!$G$7=Tulokset!$I$7,IF(AND('12'!$I$8=Tulokset!$G$7,'12'!$K$8=Tulokset!$I$7),6,3),MAX(0,6-(ABS('12'!$I$8-Tulokset!$G$7)+ABS('12'!$K$8-Tulokset!$I$7))))))</f>
        <v/>
      </c>
      <c r="J15" t="str">
        <f>IF(OR(Tulokset!$G$8="",Tulokset!$I$8="",'12'!$I$9="",'12'!$K$9=""),"",IF(SIGN('12'!$I$9-'12'!$K$9)&lt;&gt;SIGN(Tulokset!$G$8-Tulokset!$I$8),0,IF(Tulokset!$G$8=Tulokset!$I$8,IF(AND('12'!$I$9=Tulokset!$G$8,'12'!$K$9=Tulokset!$I$8),6,3),MAX(0,6-(ABS('12'!$I$9-Tulokset!$G$8)+ABS('12'!$K$9-Tulokset!$I$8))))))</f>
        <v/>
      </c>
      <c r="K15" t="str">
        <f>IF(OR(Tulokset!$G$9="",Tulokset!$I$9="",'12'!$I$10="",'12'!$K$10=""),"",IF(SIGN('12'!$I$10-'12'!$K$10)&lt;&gt;SIGN(Tulokset!$G$9-Tulokset!$I$9),0,IF(Tulokset!$G$9=Tulokset!$I$9,IF(AND('12'!$I$10=Tulokset!$G$9,'12'!$K$10=Tulokset!$I$9),6,3),MAX(0,6-(ABS('12'!$I$10-Tulokset!$G$9)+ABS('12'!$K$10-Tulokset!$I$9))))))</f>
        <v/>
      </c>
      <c r="L15" t="str">
        <f>IF(OR(Tulokset!$G$10="",Tulokset!$I$10="",'12'!$I$11="",'12'!$K$11=""),"",IF(SIGN('12'!$I$11-'12'!$K$11)&lt;&gt;SIGN(Tulokset!$G$10-Tulokset!$I$10),0,IF(Tulokset!$G$10=Tulokset!$I$10,IF(AND('12'!$I$11=Tulokset!$G$10,'12'!$K$11=Tulokset!$I$10),6,3),MAX(0,6-(ABS('12'!$I$11-Tulokset!$G$10)+ABS('12'!$K$11-Tulokset!$I$10))))))</f>
        <v/>
      </c>
      <c r="M15" t="str">
        <f>IF(OR(Tulokset!$G$11="",Tulokset!$I$11="",'12'!$I$12="",'12'!$K$12=""),"",IF(SIGN('12'!$I$12-'12'!$K$12)&lt;&gt;SIGN(Tulokset!$G$11-Tulokset!$I$11),0,IF(Tulokset!$G$11=Tulokset!$I$11,IF(AND('12'!$I$12=Tulokset!$G$11,'12'!$K$12=Tulokset!$I$11),6,3),MAX(0,6-(ABS('12'!$I$12-Tulokset!$G$11)+ABS('12'!$K$12-Tulokset!$I$11))))))</f>
        <v/>
      </c>
      <c r="N15" t="str">
        <f>IF(OR(Tulokset!$G$12="",Tulokset!$I$12="",'12'!$I$13="",'12'!$K$13=""),"",IF(SIGN('12'!$I$13-'12'!$K$13)&lt;&gt;SIGN(Tulokset!$G$12-Tulokset!$I$12),0,IF(Tulokset!$G$12=Tulokset!$I$12,IF(AND('12'!$I$13=Tulokset!$G$12,'12'!$K$13=Tulokset!$I$12),6,3),MAX(0,6-(ABS('12'!$I$13-Tulokset!$G$12)+ABS('12'!$K$13-Tulokset!$I$12))))))</f>
        <v/>
      </c>
      <c r="O15" t="str">
        <f>IF(OR(Tulokset!$G$13="",Tulokset!$I$13="",'12'!$I$14="",'12'!$K$14=""),"",IF(SIGN('12'!$I$14-'12'!$K$14)&lt;&gt;SIGN(Tulokset!$G$13-Tulokset!$I$13),0,IF(Tulokset!$G$13=Tulokset!$I$13,IF(AND('12'!$I$14=Tulokset!$G$13,'12'!$K$14=Tulokset!$I$13),6,3),MAX(0,6-(ABS('12'!$I$14-Tulokset!$G$13)+ABS('12'!$K$14-Tulokset!$I$13))))))</f>
        <v/>
      </c>
      <c r="P15" t="str">
        <f>IF(OR(Tulokset!$G$14="",Tulokset!$I$14="",'12'!$I$15="",'12'!$K$15=""),"",IF(SIGN('12'!$I$15-'12'!$K$15)&lt;&gt;SIGN(Tulokset!$G$14-Tulokset!$I$14),0,IF(Tulokset!$G$14=Tulokset!$I$14,IF(AND('12'!$I$15=Tulokset!$G$14,'12'!$K$15=Tulokset!$I$14),6,3),MAX(0,6-(ABS('12'!$I$15-Tulokset!$G$14)+ABS('12'!$K$15-Tulokset!$I$14))))))</f>
        <v/>
      </c>
      <c r="Q15" t="str">
        <f>IF(OR(Tulokset!$G$15="",Tulokset!$I$15="",'12'!$I$16="",'12'!$K$16=""),"",IF(SIGN('12'!$I$16-'12'!$K$16)&lt;&gt;SIGN(Tulokset!$G$15-Tulokset!$I$15),0,IF(Tulokset!$G$15=Tulokset!$I$15,IF(AND('12'!$I$16=Tulokset!$G$15,'12'!$K$16=Tulokset!$I$15),6,3),MAX(0,6-(ABS('12'!$I$16-Tulokset!$G$15)+ABS('12'!$K$16-Tulokset!$I$15))))))</f>
        <v/>
      </c>
      <c r="R15" t="str">
        <f>IF(OR(Tulokset!$G$16="",Tulokset!$I$16="",'12'!$I$17="",'12'!$K$17=""),"",IF(SIGN('12'!$I$17-'12'!$K$17)&lt;&gt;SIGN(Tulokset!$G$16-Tulokset!$I$16),0,IF(Tulokset!$G$16=Tulokset!$I$16,IF(AND('12'!$I$17=Tulokset!$G$16,'12'!$K$17=Tulokset!$I$16),6,3),MAX(0,6-(ABS('12'!$I$17-Tulokset!$G$16)+ABS('12'!$K$17-Tulokset!$I$16))))))</f>
        <v/>
      </c>
      <c r="S15" t="str">
        <f>IF(OR(Tulokset!$G$17="",Tulokset!$I$17="",'12'!$I$18="",'12'!$K$18=""),"",IF(SIGN('12'!$I$18-'12'!$K$18)&lt;&gt;SIGN(Tulokset!$G$17-Tulokset!$I$17),0,IF(Tulokset!$G$17=Tulokset!$I$17,IF(AND('12'!$I$18=Tulokset!$G$17,'12'!$K$18=Tulokset!$I$17),6,3),MAX(0,6-(ABS('12'!$I$18-Tulokset!$G$17)+ABS('12'!$K$18-Tulokset!$I$17))))))</f>
        <v/>
      </c>
      <c r="T15" t="str">
        <f>IF(OR(Tulokset!$G$18="",Tulokset!$I$18="",'12'!$I$19="",'12'!$K$19=""),"",IF(SIGN('12'!$I$19-'12'!$K$19)&lt;&gt;SIGN(Tulokset!$G$18-Tulokset!$I$18),0,IF(Tulokset!$G$18=Tulokset!$I$18,IF(AND('12'!$I$19=Tulokset!$G$18,'12'!$K$19=Tulokset!$I$18),6,3),MAX(0,6-(ABS('12'!$I$19-Tulokset!$G$18)+ABS('12'!$K$19-Tulokset!$I$18))))))</f>
        <v/>
      </c>
      <c r="U15" t="str">
        <f>IF(OR(Tulokset!$G$19="",Tulokset!$I$19="",'12'!$I$20="",'12'!$K$20=""),"",IF(SIGN('12'!$I$20-'12'!$K$20)&lt;&gt;SIGN(Tulokset!$G$19-Tulokset!$I$19),0,IF(Tulokset!$G$19=Tulokset!$I$19,IF(AND('12'!$I$20=Tulokset!$G$19,'12'!$K$20=Tulokset!$I$19),6,3),MAX(0,6-(ABS('12'!$I$20-Tulokset!$G$19)+ABS('12'!$K$20-Tulokset!$I$19))))))</f>
        <v/>
      </c>
      <c r="V15" t="str">
        <f>IF(OR(Tulokset!$G$20="",Tulokset!$I$20="",'12'!$I$21="",'12'!$K$21=""),"",IF(SIGN('12'!$I$21-'12'!$K$21)&lt;&gt;SIGN(Tulokset!$G$20-Tulokset!$I$20),0,IF(Tulokset!$G$20=Tulokset!$I$20,IF(AND('12'!$I$21=Tulokset!$G$20,'12'!$K$21=Tulokset!$I$20),6,3),MAX(0,6-(ABS('12'!$I$21-Tulokset!$G$20)+ABS('12'!$K$21-Tulokset!$I$20))))))</f>
        <v/>
      </c>
      <c r="W15" t="str">
        <f>IF(OR(Tulokset!$G$21="",Tulokset!$I$21="",'12'!$I$22="",'12'!$K$22=""),"",IF(SIGN('12'!$I$22-'12'!$K$22)&lt;&gt;SIGN(Tulokset!$G$21-Tulokset!$I$21),0,IF(Tulokset!$G$21=Tulokset!$I$21,IF(AND('12'!$I$22=Tulokset!$G$21,'12'!$K$22=Tulokset!$I$21),6,3),MAX(0,6-(ABS('12'!$I$22-Tulokset!$G$21)+ABS('12'!$K$22-Tulokset!$I$21))))))</f>
        <v/>
      </c>
      <c r="X15" t="str">
        <f>IF(OR(Tulokset!$G$22="",Tulokset!$I$22="",'12'!$I$23="",'12'!$K$23=""),"",IF(SIGN('12'!$I$23-'12'!$K$23)&lt;&gt;SIGN(Tulokset!$G$22-Tulokset!$I$22),0,IF(Tulokset!$G$22=Tulokset!$I$22,IF(AND('12'!$I$23=Tulokset!$G$22,'12'!$K$23=Tulokset!$I$22),6,3),MAX(0,6-(ABS('12'!$I$23-Tulokset!$G$22)+ABS('12'!$K$23-Tulokset!$I$22))))))</f>
        <v/>
      </c>
      <c r="Y15" t="str">
        <f>IF(OR(Tulokset!$G$23="",Tulokset!$I$23="",'12'!$I$24="",'12'!$K$24=""),"",IF(SIGN('12'!$I$24-'12'!$K$24)&lt;&gt;SIGN(Tulokset!$G$23-Tulokset!$I$23),0,IF(Tulokset!$G$23=Tulokset!$I$23,IF(AND('12'!$I$24=Tulokset!$G$23,'12'!$K$24=Tulokset!$I$23),6,3),MAX(0,6-(ABS('12'!$I$24-Tulokset!$G$23)+ABS('12'!$K$24-Tulokset!$I$23))))))</f>
        <v/>
      </c>
      <c r="Z15" t="str">
        <f>IF(OR(Tulokset!$G$24="",Tulokset!$I$24="",'12'!$I$25="",'12'!$K$25=""),"",IF(SIGN('12'!$I$25-'12'!$K$25)&lt;&gt;SIGN(Tulokset!$G$24-Tulokset!$I$24),0,IF(Tulokset!$G$24=Tulokset!$I$24,IF(AND('12'!$I$25=Tulokset!$G$24,'12'!$K$25=Tulokset!$I$24),6,3),MAX(0,6-(ABS('12'!$I$25-Tulokset!$G$24)+ABS('12'!$K$25-Tulokset!$I$24))))))</f>
        <v/>
      </c>
      <c r="AA15" t="str">
        <f>IF(OR(Tulokset!$G$25="",Tulokset!$I$25="",'12'!$I$26="",'12'!$K$26=""),"",IF(SIGN('12'!$I$26-'12'!$K$26)&lt;&gt;SIGN(Tulokset!$G$25-Tulokset!$I$25),0,IF(Tulokset!$G$25=Tulokset!$I$25,IF(AND('12'!$I$26=Tulokset!$G$25,'12'!$K$26=Tulokset!$I$25),6,3),MAX(0,6-(ABS('12'!$I$26-Tulokset!$G$25)+ABS('12'!$K$26-Tulokset!$I$25))))))</f>
        <v/>
      </c>
      <c r="AB15" t="str">
        <f>IF(OR(Tulokset!$G$26="",Tulokset!$I$26="",'12'!$I$27="",'12'!$K$27=""),"",IF(SIGN('12'!$I$27-'12'!$K$27)&lt;&gt;SIGN(Tulokset!$G$26-Tulokset!$I$26),0,IF(Tulokset!$G$26=Tulokset!$I$26,IF(AND('12'!$I$27=Tulokset!$G$26,'12'!$K$27=Tulokset!$I$26),6,3),MAX(0,6-(ABS('12'!$I$27-Tulokset!$G$26)+ABS('12'!$K$27-Tulokset!$I$26))))))</f>
        <v/>
      </c>
      <c r="AC15" t="str">
        <f>IF(OR(Tulokset!$G$27="",Tulokset!$I$27="",'12'!$I$28="",'12'!$K$28=""),"",IF(SIGN('12'!$I$28-'12'!$K$28)&lt;&gt;SIGN(Tulokset!$G$27-Tulokset!$I$27),0,IF(Tulokset!$G$27=Tulokset!$I$27,IF(AND('12'!$I$28=Tulokset!$G$27,'12'!$K$28=Tulokset!$I$27),6,3),MAX(0,6-(ABS('12'!$I$28-Tulokset!$G$27)+ABS('12'!$K$28-Tulokset!$I$27))))))</f>
        <v/>
      </c>
      <c r="AD15" t="str">
        <f>IF(OR(Tulokset!$G$28="",Tulokset!$I$28="",'12'!$I$29="",'12'!$K$29=""),"",IF(SIGN('12'!$I$29-'12'!$K$29)&lt;&gt;SIGN(Tulokset!$G$28-Tulokset!$I$28),0,IF(Tulokset!$G$28=Tulokset!$I$28,IF(AND('12'!$I$29=Tulokset!$G$28,'12'!$K$29=Tulokset!$I$28),6,3),MAX(0,6-(ABS('12'!$I$29-Tulokset!$G$28)+ABS('12'!$K$29-Tulokset!$I$28))))))</f>
        <v/>
      </c>
      <c r="AE15" t="str">
        <f>IF(OR(Tulokset!$G$29="",Tulokset!$I$29="",'12'!$I$30="",'12'!$K$30=""),"",IF(SIGN('12'!$I$30-'12'!$K$30)&lt;&gt;SIGN(Tulokset!$G$29-Tulokset!$I$29),0,IF(Tulokset!$G$29=Tulokset!$I$29,IF(AND('12'!$I$30=Tulokset!$G$29,'12'!$K$30=Tulokset!$I$29),6,3),MAX(0,6-(ABS('12'!$I$30-Tulokset!$G$29)+ABS('12'!$K$30-Tulokset!$I$29))))))</f>
        <v/>
      </c>
      <c r="AF15" t="str">
        <f>IF(OR(Tulokset!$G$30="",Tulokset!$I$30="",'12'!$I$31="",'12'!$K$31=""),"",IF(SIGN('12'!$I$31-'12'!$K$31)&lt;&gt;SIGN(Tulokset!$G$30-Tulokset!$I$30),0,IF(Tulokset!$G$30=Tulokset!$I$30,IF(AND('12'!$I$31=Tulokset!$G$30,'12'!$K$31=Tulokset!$I$30),6,3),MAX(0,6-(ABS('12'!$I$31-Tulokset!$G$30)+ABS('12'!$K$31-Tulokset!$I$30))))))</f>
        <v/>
      </c>
      <c r="AG15" t="str">
        <f>IF(OR(Tulokset!$G$31="",Tulokset!$I$31="",'12'!$I$32="",'12'!$K$32=""),"",IF(SIGN('12'!$I$32-'12'!$K$32)&lt;&gt;SIGN(Tulokset!$G$31-Tulokset!$I$31),0,IF(Tulokset!$G$31=Tulokset!$I$31,IF(AND('12'!$I$32=Tulokset!$G$31,'12'!$K$32=Tulokset!$I$31),6,3),MAX(0,6-(ABS('12'!$I$32-Tulokset!$G$31)+ABS('12'!$K$32-Tulokset!$I$31))))))</f>
        <v/>
      </c>
      <c r="AH15" t="str">
        <f>IF(OR(Tulokset!$G$32="",Tulokset!$I$32="",'12'!$I$33="",'12'!$K$33=""),"",IF(SIGN('12'!$I$33-'12'!$K$33)&lt;&gt;SIGN(Tulokset!$G$32-Tulokset!$I$32),0,IF(Tulokset!$G$32=Tulokset!$I$32,IF(AND('12'!$I$33=Tulokset!$G$32,'12'!$K$33=Tulokset!$I$32),6,3),MAX(0,6-(ABS('12'!$I$33-Tulokset!$G$32)+ABS('12'!$K$33-Tulokset!$I$32))))))</f>
        <v/>
      </c>
      <c r="AI15" t="str">
        <f>IF(OR(Tulokset!$G$33="",Tulokset!$I$33="",'12'!$I$34="",'12'!$K$34=""),"",IF(SIGN('12'!$I$34-'12'!$K$34)&lt;&gt;SIGN(Tulokset!$G$33-Tulokset!$I$33),0,IF(Tulokset!$G$33=Tulokset!$I$33,IF(AND('12'!$I$34=Tulokset!$G$33,'12'!$K$34=Tulokset!$I$33),6,3),MAX(0,6-(ABS('12'!$I$34-Tulokset!$G$33)+ABS('12'!$K$34-Tulokset!$I$33))))))</f>
        <v/>
      </c>
      <c r="AJ15" t="str">
        <f>IF(OR(Tulokset!$G$34="",Tulokset!$I$34="",'12'!$I$35="",'12'!$K$35=""),"",IF(SIGN('12'!$I$35-'12'!$K$35)&lt;&gt;SIGN(Tulokset!$G$34-Tulokset!$I$34),0,IF(Tulokset!$G$34=Tulokset!$I$34,IF(AND('12'!$I$35=Tulokset!$G$34,'12'!$K$35=Tulokset!$I$34),6,3),MAX(0,6-(ABS('12'!$I$35-Tulokset!$G$34)+ABS('12'!$K$35-Tulokset!$I$34))))))</f>
        <v/>
      </c>
      <c r="AK15" t="str">
        <f>IF(OR(Tulokset!$G$35="",Tulokset!$I$35="",'12'!$I$36="",'12'!$K$36=""),"",IF(SIGN('12'!$I$36-'12'!$K$36)&lt;&gt;SIGN(Tulokset!$G$35-Tulokset!$I$35),0,IF(Tulokset!$G$35=Tulokset!$I$35,IF(AND('12'!$I$36=Tulokset!$G$35,'12'!$K$36=Tulokset!$I$35),6,3),MAX(0,6-(ABS('12'!$I$36-Tulokset!$G$35)+ABS('12'!$K$36-Tulokset!$I$35))))))</f>
        <v/>
      </c>
      <c r="AL15" t="str">
        <f>IF(OR(Tulokset!$G$36="",Tulokset!$I$36="",'12'!$I$37="",'12'!$K$37=""),"",IF(SIGN('12'!$I$37-'12'!$K$37)&lt;&gt;SIGN(Tulokset!$G$36-Tulokset!$I$36),0,IF(Tulokset!$G$36=Tulokset!$I$36,IF(AND('12'!$I$37=Tulokset!$G$36,'12'!$K$37=Tulokset!$I$36),6,3),MAX(0,6-(ABS('12'!$I$37-Tulokset!$G$36)+ABS('12'!$K$37-Tulokset!$I$36))))))</f>
        <v/>
      </c>
      <c r="AM15" t="str">
        <f>IF(OR(Tulokset!$G$37="",Tulokset!$I$37="",'12'!$I$38="",'12'!$K$38=""),"",IF(SIGN('12'!$I$38-'12'!$K$38)&lt;&gt;SIGN(Tulokset!$G$37-Tulokset!$I$37),0,IF(Tulokset!$G$37=Tulokset!$I$37,IF(AND('12'!$I$38=Tulokset!$G$37,'12'!$K$38=Tulokset!$I$37),6,3),MAX(0,6-(ABS('12'!$I$38-Tulokset!$G$37)+ABS('12'!$K$38-Tulokset!$I$37))))))</f>
        <v/>
      </c>
      <c r="AN15" t="str">
        <f>IF(OR(Tulokset!$G$38="",Tulokset!$I$38="",'12'!$I$39="",'12'!$K$39=""),"",IF(SIGN('12'!$I$39-'12'!$K$39)&lt;&gt;SIGN(Tulokset!$G$38-Tulokset!$I$38),0,IF(Tulokset!$G$38=Tulokset!$I$38,IF(AND('12'!$I$39=Tulokset!$G$38,'12'!$K$39=Tulokset!$I$38),6,3),MAX(0,6-(ABS('12'!$I$39-Tulokset!$G$38)+ABS('12'!$K$39-Tulokset!$I$38))))))</f>
        <v/>
      </c>
      <c r="AO15" t="str">
        <f>IF(OR(Tulokset!$G$39="",Tulokset!$I$39="",'12'!$I$40="",'12'!$K$40=""),"",IF(SIGN('12'!$I$40-'12'!$K$40)&lt;&gt;SIGN(Tulokset!$G$39-Tulokset!$I$39),0,IF(Tulokset!$G$39=Tulokset!$I$39,IF(AND('12'!$I$40=Tulokset!$G$39,'12'!$K$40=Tulokset!$I$39),6,3),MAX(0,6-(ABS('12'!$I$40-Tulokset!$G$39)+ABS('12'!$K$40-Tulokset!$I$39))))))</f>
        <v/>
      </c>
      <c r="AP15" t="str">
        <f>IF(OR(Tulokset!$G$40="",Tulokset!$I$40="",'12'!$I$41="",'12'!$K$41=""),"",IF(SIGN('12'!$I$41-'12'!$K$41)&lt;&gt;SIGN(Tulokset!$G$40-Tulokset!$I$40),0,IF(Tulokset!$G$40=Tulokset!$I$40,IF(AND('12'!$I$41=Tulokset!$G$40,'12'!$K$41=Tulokset!$I$40),6,3),MAX(0,6-(ABS('12'!$I$41-Tulokset!$G$40)+ABS('12'!$K$41-Tulokset!$I$40))))))</f>
        <v/>
      </c>
      <c r="AQ15" t="str">
        <f>IF(OR(Tulokset!$G$41="",Tulokset!$I$41="",'12'!$I$42="",'12'!$K$42=""),"",IF(SIGN('12'!$I$42-'12'!$K$42)&lt;&gt;SIGN(Tulokset!$G$41-Tulokset!$I$41),0,IF(Tulokset!$G$41=Tulokset!$I$41,IF(AND('12'!$I$42=Tulokset!$G$41,'12'!$K$42=Tulokset!$I$41),6,3),MAX(0,6-(ABS('12'!$I$42-Tulokset!$G$41)+ABS('12'!$K$42-Tulokset!$I$41))))))</f>
        <v/>
      </c>
      <c r="AR15" t="str">
        <f>IF(OR(Tulokset!$G$42="",Tulokset!$I$42="",'12'!$I$43="",'12'!$K$43=""),"",IF(SIGN('12'!$I$43-'12'!$K$43)&lt;&gt;SIGN(Tulokset!$G$42-Tulokset!$I$42),0,IF(Tulokset!$G$42=Tulokset!$I$42,IF(AND('12'!$I$43=Tulokset!$G$42,'12'!$K$43=Tulokset!$I$42),6,3),MAX(0,6-(ABS('12'!$I$43-Tulokset!$G$42)+ABS('12'!$K$43-Tulokset!$I$42))))))</f>
        <v/>
      </c>
      <c r="AS15" t="str">
        <f>IF(OR(Tulokset!$G$43="",Tulokset!$I$43="",'12'!$I$44="",'12'!$K$44=""),"",IF(SIGN('12'!$I$44-'12'!$K$44)&lt;&gt;SIGN(Tulokset!$G$43-Tulokset!$I$43),0,IF(Tulokset!$G$43=Tulokset!$I$43,IF(AND('12'!$I$44=Tulokset!$G$43,'12'!$K$44=Tulokset!$I$43),6,3),MAX(0,6-(ABS('12'!$I$44-Tulokset!$G$43)+ABS('12'!$K$44-Tulokset!$I$43))))))</f>
        <v/>
      </c>
      <c r="AT15" t="str">
        <f>IF(OR(Tulokset!$G$44="",Tulokset!$I$44="",'12'!$I$45="",'12'!$K$45=""),"",IF(SIGN('12'!$I$45-'12'!$K$45)&lt;&gt;SIGN(Tulokset!$G$44-Tulokset!$I$44),0,IF(Tulokset!$G$44=Tulokset!$I$44,IF(AND('12'!$I$45=Tulokset!$G$44,'12'!$K$45=Tulokset!$I$44),6,3),MAX(0,6-(ABS('12'!$I$45-Tulokset!$G$44)+ABS('12'!$K$45-Tulokset!$I$44))))))</f>
        <v/>
      </c>
      <c r="AU15" t="str">
        <f>IF(OR(Tulokset!$G$45="",Tulokset!$I$45="",'12'!$I$46="",'12'!$K$46=""),"",IF(SIGN('12'!$I$46-'12'!$K$46)&lt;&gt;SIGN(Tulokset!$G$45-Tulokset!$I$45),0,IF(Tulokset!$G$45=Tulokset!$I$45,IF(AND('12'!$I$46=Tulokset!$G$45,'12'!$K$46=Tulokset!$I$45),6,3),MAX(0,6-(ABS('12'!$I$46-Tulokset!$G$45)+ABS('12'!$K$46-Tulokset!$I$45))))))</f>
        <v/>
      </c>
      <c r="AV15" t="str">
        <f>IF(OR(Tulokset!$G$46="",Tulokset!$I$46="",'12'!$I$47="",'12'!$K$47=""),"",IF(SIGN('12'!$I$47-'12'!$K$47)&lt;&gt;SIGN(Tulokset!$G$46-Tulokset!$I$46),0,IF(Tulokset!$G$46=Tulokset!$I$46,IF(AND('12'!$I$47=Tulokset!$G$46,'12'!$K$47=Tulokset!$I$46),6,3),MAX(0,6-(ABS('12'!$I$47-Tulokset!$G$46)+ABS('12'!$K$47-Tulokset!$I$46))))))</f>
        <v/>
      </c>
      <c r="AW15" t="str">
        <f>IF(OR(Tulokset!$G$47="",Tulokset!$I$47="",'12'!$I$48="",'12'!$K$48=""),"",IF(SIGN('12'!$I$48-'12'!$K$48)&lt;&gt;SIGN(Tulokset!$G$47-Tulokset!$I$47),0,IF(Tulokset!$G$47=Tulokset!$I$47,IF(AND('12'!$I$48=Tulokset!$G$47,'12'!$K$48=Tulokset!$I$47),6,3),MAX(0,6-(ABS('12'!$I$48-Tulokset!$G$47)+ABS('12'!$K$48-Tulokset!$I$47))))))</f>
        <v/>
      </c>
      <c r="AX15" t="str">
        <f>IF(OR(Tulokset!$G$48="",Tulokset!$I$48="",'12'!$I$49="",'12'!$K$49=""),"",IF(SIGN('12'!$I$49-'12'!$K$49)&lt;&gt;SIGN(Tulokset!$G$48-Tulokset!$I$48),0,IF(Tulokset!$G$48=Tulokset!$I$48,IF(AND('12'!$I$49=Tulokset!$G$48,'12'!$K$49=Tulokset!$I$48),6,3),MAX(0,6-(ABS('12'!$I$49-Tulokset!$G$48)+ABS('12'!$K$49-Tulokset!$I$48))))))</f>
        <v/>
      </c>
      <c r="AY15" t="str">
        <f>IF(OR(Tulokset!$G$49="",Tulokset!$I$49="",'12'!$I$50="",'12'!$K$50=""),"",IF(SIGN('12'!$I$50-'12'!$K$50)&lt;&gt;SIGN(Tulokset!$G$49-Tulokset!$I$49),0,IF(Tulokset!$G$49=Tulokset!$I$49,IF(AND('12'!$I$50=Tulokset!$G$49,'12'!$K$50=Tulokset!$I$49),6,3),MAX(0,6-(ABS('12'!$I$50-Tulokset!$G$49)+ABS('12'!$K$50-Tulokset!$I$49))))))</f>
        <v/>
      </c>
      <c r="AZ15" t="str">
        <f>IF(OR(Tulokset!$G$50="",Tulokset!$I$50="",'12'!$I$51="",'12'!$K$51=""),"",IF(SIGN('12'!$I$51-'12'!$K$51)&lt;&gt;SIGN(Tulokset!$G$50-Tulokset!$I$50),0,IF(Tulokset!$G$50=Tulokset!$I$50,IF(AND('12'!$I$51=Tulokset!$G$50,'12'!$K$51=Tulokset!$I$50),6,3),MAX(0,6-(ABS('12'!$I$51-Tulokset!$G$50)+ABS('12'!$K$51-Tulokset!$I$50))))))</f>
        <v/>
      </c>
      <c r="BA15" t="str">
        <f>IF(OR(Tulokset!$G$51="",Tulokset!$I$51="",'12'!$I$52="",'12'!$K$52=""),"",IF(SIGN('12'!$I$52-'12'!$K$52)&lt;&gt;SIGN(Tulokset!$G$51-Tulokset!$I$51),0,IF(Tulokset!$G$51=Tulokset!$I$51,IF(AND('12'!$I$52=Tulokset!$G$51,'12'!$K$52=Tulokset!$I$51),6,3),MAX(0,6-(ABS('12'!$I$52-Tulokset!$G$51)+ABS('12'!$K$52-Tulokset!$I$51))))))</f>
        <v/>
      </c>
      <c r="BB15" t="str">
        <f>IF(OR(Tulokset!$G$52="",Tulokset!$I$52="",'12'!$I$53="",'12'!$K$53=""),"",IF(SIGN('12'!$I$53-'12'!$K$53)&lt;&gt;SIGN(Tulokset!$G$52-Tulokset!$I$52),0,IF(Tulokset!$G$52=Tulokset!$I$52,IF(AND('12'!$I$53=Tulokset!$G$52,'12'!$K$53=Tulokset!$I$52),6,3),MAX(0,6-(ABS('12'!$I$53-Tulokset!$G$52)+ABS('12'!$K$53-Tulokset!$I$52))))))</f>
        <v/>
      </c>
      <c r="BC15" t="str">
        <f>IF(OR(Tulokset!$G$53="",Tulokset!$I$53="",'12'!$I$54="",'12'!$K$54=""),"",IF(SIGN('12'!$I$54-'12'!$K$54)&lt;&gt;SIGN(Tulokset!$G$53-Tulokset!$I$53),0,IF(Tulokset!$G$53=Tulokset!$I$53,IF(AND('12'!$I$54=Tulokset!$G$53,'12'!$K$54=Tulokset!$I$53),6,3),MAX(0,6-(ABS('12'!$I$54-Tulokset!$G$53)+ABS('12'!$K$54-Tulokset!$I$53))))))</f>
        <v/>
      </c>
      <c r="BD15" t="str">
        <f>IF(OR(Tulokset!$G$54="",Tulokset!$I$54="",'12'!$I$55="",'12'!$K$55=""),"",IF(SIGN('12'!$I$55-'12'!$K$55)&lt;&gt;SIGN(Tulokset!$G$54-Tulokset!$I$54),0,IF(Tulokset!$G$54=Tulokset!$I$54,IF(AND('12'!$I$55=Tulokset!$G$54,'12'!$K$55=Tulokset!$I$54),6,3),MAX(0,6-(ABS('12'!$I$55-Tulokset!$G$54)+ABS('12'!$K$55-Tulokset!$I$54))))))</f>
        <v/>
      </c>
      <c r="BE15" t="str">
        <f>IF(OR(Tulokset!$G$55="",Tulokset!$I$55="",'12'!$I$56="",'12'!$K$56=""),"",IF(SIGN('12'!$I$56-'12'!$K$56)&lt;&gt;SIGN(Tulokset!$G$55-Tulokset!$I$55),0,IF(Tulokset!$G$55=Tulokset!$I$55,IF(AND('12'!$I$56=Tulokset!$G$55,'12'!$K$56=Tulokset!$I$55),6,3),MAX(0,6-(ABS('12'!$I$56-Tulokset!$G$55)+ABS('12'!$K$56-Tulokset!$I$55))))))</f>
        <v/>
      </c>
      <c r="BF15" t="str">
        <f>IF(OR(Tulokset!$G$56="",Tulokset!$I$56="",'12'!$I$57="",'12'!$K$57=""),"",IF(SIGN('12'!$I$57-'12'!$K$57)&lt;&gt;SIGN(Tulokset!$G$56-Tulokset!$I$56),0,IF(Tulokset!$G$56=Tulokset!$I$56,IF(AND('12'!$I$57=Tulokset!$G$56,'12'!$K$57=Tulokset!$I$56),6,3),MAX(0,6-(ABS('12'!$I$57-Tulokset!$G$56)+ABS('12'!$K$57-Tulokset!$I$56))))))</f>
        <v/>
      </c>
      <c r="BG15" t="str">
        <f>IF(OR(Tulokset!$G$57="",Tulokset!$I$57="",'12'!$I$58="",'12'!$K$58=""),"",IF(SIGN('12'!$I$58-'12'!$K$58)&lt;&gt;SIGN(Tulokset!$G$57-Tulokset!$I$57),0,IF(Tulokset!$G$57=Tulokset!$I$57,IF(AND('12'!$I$58=Tulokset!$G$57,'12'!$K$58=Tulokset!$I$57),6,3),MAX(0,6-(ABS('12'!$I$58-Tulokset!$G$57)+ABS('12'!$K$58-Tulokset!$I$57))))))</f>
        <v/>
      </c>
      <c r="BH15" t="str">
        <f>IF(OR(Tulokset!$G$58="",Tulokset!$I$58="",'12'!$I$59="",'12'!$K$59=""),"",IF(SIGN('12'!$I$59-'12'!$K$59)&lt;&gt;SIGN(Tulokset!$G$58-Tulokset!$I$58),0,IF(Tulokset!$G$58=Tulokset!$I$58,IF(AND('12'!$I$59=Tulokset!$G$58,'12'!$K$59=Tulokset!$I$58),6,3),MAX(0,6-(ABS('12'!$I$59-Tulokset!$G$58)+ABS('12'!$K$59-Tulokset!$I$58))))))</f>
        <v/>
      </c>
      <c r="BI15" t="str">
        <f>IF(OR(Tulokset!$G$59="",Tulokset!$I$59="",'12'!$I$60="",'12'!$K$60=""),"",IF(SIGN('12'!$I$60-'12'!$K$60)&lt;&gt;SIGN(Tulokset!$G$59-Tulokset!$I$59),0,IF(Tulokset!$G$59=Tulokset!$I$59,IF(AND('12'!$I$60=Tulokset!$G$59,'12'!$K$60=Tulokset!$I$59),6,3),MAX(0,6-(ABS('12'!$I$60-Tulokset!$G$59)+ABS('12'!$K$60-Tulokset!$I$59))))))</f>
        <v/>
      </c>
      <c r="BJ15" t="str">
        <f>IF(OR(Tulokset!$G$60="",Tulokset!$I$60="",'12'!$I$61="",'12'!$K$61=""),"",IF(SIGN('12'!$I$61-'12'!$K$61)&lt;&gt;SIGN(Tulokset!$G$60-Tulokset!$I$60),0,IF(Tulokset!$G$60=Tulokset!$I$60,IF(AND('12'!$I$61=Tulokset!$G$60,'12'!$K$61=Tulokset!$I$60),6,3),MAX(0,6-(ABS('12'!$I$61-Tulokset!$G$60)+ABS('12'!$K$61-Tulokset!$I$60))))))</f>
        <v/>
      </c>
      <c r="BK15" t="str">
        <f>IF(OR(Tulokset!$G$61="",Tulokset!$I$61="",'12'!$I$62="",'12'!$K$62=""),"",IF(SIGN('12'!$I$62-'12'!$K$62)&lt;&gt;SIGN(Tulokset!$G$61-Tulokset!$I$61),0,IF(Tulokset!$G$61=Tulokset!$I$61,IF(AND('12'!$I$62=Tulokset!$G$61,'12'!$K$62=Tulokset!$I$61),6,3),MAX(0,6-(ABS('12'!$I$62-Tulokset!$G$61)+ABS('12'!$K$62-Tulokset!$I$61))))))</f>
        <v/>
      </c>
      <c r="BL15" t="str">
        <f>IF(OR(Tulokset!$G$62="",Tulokset!$I$62="",'12'!$I$63="",'12'!$K$63=""),"",IF(SIGN('12'!$I$63-'12'!$K$63)&lt;&gt;SIGN(Tulokset!$G$62-Tulokset!$I$62),0,IF(Tulokset!$G$62=Tulokset!$I$62,IF(AND('12'!$I$63=Tulokset!$G$62,'12'!$K$63=Tulokset!$I$62),6,3),MAX(0,6-(ABS('12'!$I$63-Tulokset!$G$62)+ABS('12'!$K$63-Tulokset!$I$62))))))</f>
        <v/>
      </c>
      <c r="BM15" t="str">
        <f>IF(OR(Tulokset!$G$63="",Tulokset!$I$63="",'12'!$I$64="",'12'!$K$64=""),"",IF(SIGN('12'!$I$64-'12'!$K$64)&lt;&gt;SIGN(Tulokset!$G$63-Tulokset!$I$63),0,IF(Tulokset!$G$63=Tulokset!$I$63,IF(AND('12'!$I$64=Tulokset!$G$63,'12'!$K$64=Tulokset!$I$63),6,3),MAX(0,6-(ABS('12'!$I$64-Tulokset!$G$63)+ABS('12'!$K$64-Tulokset!$I$63))))))</f>
        <v/>
      </c>
      <c r="BN15" t="str">
        <f>IF(OR(Tulokset!$G$64="",Tulokset!$I$64="",'12'!$I$65="",'12'!$K$65=""),"",IF(SIGN('12'!$I$65-'12'!$K$65)&lt;&gt;SIGN(Tulokset!$G$64-Tulokset!$I$64),0,IF(Tulokset!$G$64=Tulokset!$I$64,IF(AND('12'!$I$65=Tulokset!$G$64,'12'!$K$65=Tulokset!$I$64),6,3),MAX(0,6-(ABS('12'!$I$65-Tulokset!$G$64)+ABS('12'!$K$65-Tulokset!$I$64))))))</f>
        <v/>
      </c>
      <c r="BO15" t="str">
        <f>IF(OR(Tulokset!$G$65="",Tulokset!$I$65="",'12'!$I$66="",'12'!$K$66=""),"",IF(SIGN('12'!$I$66-'12'!$K$66)&lt;&gt;SIGN(Tulokset!$G$65-Tulokset!$I$65),0,IF(Tulokset!$G$65=Tulokset!$I$65,IF(AND('12'!$I$66=Tulokset!$G$65,'12'!$K$66=Tulokset!$I$65),6,3),MAX(0,6-(ABS('12'!$I$66-Tulokset!$G$65)+ABS('12'!$K$66-Tulokset!$I$65))))))</f>
        <v/>
      </c>
      <c r="BP15" t="str">
        <f>IF(OR(Tulokset!$G$66="",Tulokset!$I$66="",'12'!$I$67="",'12'!$K$67=""),"",IF(SIGN('12'!$I$67-'12'!$K$67)&lt;&gt;SIGN(Tulokset!$G$66-Tulokset!$I$66),0,IF(Tulokset!$G$66=Tulokset!$I$66,IF(AND('12'!$I$67=Tulokset!$G$66,'12'!$K$67=Tulokset!$I$66),6,3),MAX(0,6-(ABS('12'!$I$67-Tulokset!$G$66)+ABS('12'!$K$67-Tulokset!$I$66))))))</f>
        <v/>
      </c>
      <c r="BQ15" t="str">
        <f>IF(OR(Tulokset!$G$67="",Tulokset!$I$67="",'12'!$I$68="",'12'!$K$68=""),"",IF(SIGN('12'!$I$68-'12'!$K$68)&lt;&gt;SIGN(Tulokset!$G$67-Tulokset!$I$67),0,IF(Tulokset!$G$67=Tulokset!$I$67,IF(AND('12'!$I$68=Tulokset!$G$67,'12'!$K$68=Tulokset!$I$67),6,3),MAX(0,6-(ABS('12'!$I$68-Tulokset!$G$67)+ABS('12'!$K$68-Tulokset!$I$67))))))</f>
        <v/>
      </c>
      <c r="BR15" t="str">
        <f>IF(OR(Tulokset!$G$68="",Tulokset!$I$68="",'12'!$I$69="",'12'!$K$69=""),"",IF(SIGN('12'!$I$69-'12'!$K$69)&lt;&gt;SIGN(Tulokset!$G$68-Tulokset!$I$68),0,IF(Tulokset!$G$68=Tulokset!$I$68,IF(AND('12'!$I$69=Tulokset!$G$68,'12'!$K$69=Tulokset!$I$68),6,3),MAX(0,6-(ABS('12'!$I$69-Tulokset!$G$68)+ABS('12'!$K$69-Tulokset!$I$68))))))</f>
        <v/>
      </c>
      <c r="BS15" t="str">
        <f>IF(OR(Tulokset!$G$69="",Tulokset!$I$69="",'12'!$I$70="",'12'!$K$70=""),"",IF(SIGN('12'!$I$70-'12'!$K$70)&lt;&gt;SIGN(Tulokset!$G$69-Tulokset!$I$69),0,IF(Tulokset!$G$69=Tulokset!$I$69,IF(AND('12'!$I$70=Tulokset!$G$69,'12'!$K$70=Tulokset!$I$69),6,3),MAX(0,6-(ABS('12'!$I$70-Tulokset!$G$69)+ABS('12'!$K$70-Tulokset!$I$69))))))</f>
        <v/>
      </c>
      <c r="BT15" t="str">
        <f>IF(OR(Tulokset!$G$70="",Tulokset!$I$70="",'12'!$I$71="",'12'!$K$71=""),"",IF(SIGN('12'!$I$71-'12'!$K$71)&lt;&gt;SIGN(Tulokset!$G$70-Tulokset!$I$70),0,IF(Tulokset!$G$70=Tulokset!$I$70,IF(AND('12'!$I$71=Tulokset!$G$70,'12'!$K$71=Tulokset!$I$70),6,3),MAX(0,6-(ABS('12'!$I$71-Tulokset!$G$70)+ABS('12'!$K$71-Tulokset!$I$70))))))</f>
        <v/>
      </c>
      <c r="BU15" t="str">
        <f>IF(OR(Tulokset!$G$71="",Tulokset!$I$71="",'12'!$I$72="",'12'!$K$72=""),"",IF(SIGN('12'!$I$72-'12'!$K$72)&lt;&gt;SIGN(Tulokset!$G$71-Tulokset!$I$71),0,IF(Tulokset!$G$71=Tulokset!$I$71,IF(AND('12'!$I$72=Tulokset!$G$71,'12'!$K$72=Tulokset!$I$71),6,3),MAX(0,6-(ABS('12'!$I$72-Tulokset!$G$71)+ABS('12'!$K$72-Tulokset!$I$71))))))</f>
        <v/>
      </c>
      <c r="BV15" t="str">
        <f>IF(OR(Tulokset!$G$72="",Tulokset!$I$72="",'12'!$I$73="",'12'!$K$73=""),"",IF(SIGN('12'!$I$73-'12'!$K$73)&lt;&gt;SIGN(Tulokset!$G$72-Tulokset!$I$72),0,IF(Tulokset!$G$72=Tulokset!$I$72,IF(AND('12'!$I$73=Tulokset!$G$72,'12'!$K$73=Tulokset!$I$72),6,3),MAX(0,6-(ABS('12'!$I$73-Tulokset!$G$72)+ABS('12'!$K$73-Tulokset!$I$72))))))</f>
        <v/>
      </c>
      <c r="BW15" t="str">
        <f>IF(OR(Tulokset!$G$73="",Tulokset!$I$73="",'12'!$I$74="",'12'!$K$74=""),"",IF(SIGN('12'!$I$74-'12'!$K$74)&lt;&gt;SIGN(Tulokset!$G$73-Tulokset!$I$73),0,IF(Tulokset!$G$73=Tulokset!$I$73,IF(AND('12'!$I$74=Tulokset!$G$73,'12'!$K$74=Tulokset!$I$73),6,3),MAX(0,6-(ABS('12'!$I$74-Tulokset!$G$73)+ABS('12'!$K$74-Tulokset!$I$73))))))</f>
        <v/>
      </c>
      <c r="BX15" t="str">
        <f>IF(OR(Tulokset!$G$74="",Tulokset!$I$74="",'12'!$I$75="",'12'!$K$75=""),"",IF(SIGN('12'!$I$75-'12'!$K$75)&lt;&gt;SIGN(Tulokset!$G$74-Tulokset!$I$74),0,IF(Tulokset!$G$74=Tulokset!$I$74,IF(AND('12'!$I$75=Tulokset!$G$74,'12'!$K$75=Tulokset!$I$74),6,3),MAX(0,6-(ABS('12'!$I$75-Tulokset!$G$74)+ABS('12'!$K$75-Tulokset!$I$74))))))</f>
        <v/>
      </c>
      <c r="BY15" t="str">
        <f>IF(OR(Tulokset!$G$75="",Tulokset!$I$75="",'12'!$I$76="",'12'!$K$76=""),"",IF(SIGN('12'!$I$76-'12'!$K$76)&lt;&gt;SIGN(Tulokset!$G$75-Tulokset!$I$75),0,IF(Tulokset!$G$75=Tulokset!$I$75,IF(AND('12'!$I$76=Tulokset!$G$75,'12'!$K$76=Tulokset!$I$75),6,3),MAX(0,6-(ABS('12'!$I$76-Tulokset!$G$75)+ABS('12'!$K$76-Tulokset!$I$75))))))</f>
        <v/>
      </c>
      <c r="BZ15" t="str">
        <f>IF(OR(Tulokset!$G$76="",Tulokset!$I$76="",'12'!$I$77="",'12'!$K$77=""),"",IF(SIGN('12'!$I$77-'12'!$K$77)&lt;&gt;SIGN(Tulokset!$G$76-Tulokset!$I$76),0,IF(Tulokset!$G$76=Tulokset!$I$76,IF(AND('12'!$I$77=Tulokset!$G$76,'12'!$K$77=Tulokset!$I$76),6,3),MAX(0,6-(ABS('12'!$I$77-Tulokset!$G$76)+ABS('12'!$K$77-Tulokset!$I$76))))))</f>
        <v/>
      </c>
      <c r="CA15" t="str">
        <f>IF(OR(Tulokset!$G$77="",Tulokset!$I$77="",'12'!$I$78="",'12'!$K$78=""),"",IF(SIGN('12'!$I$78-'12'!$K$78)&lt;&gt;SIGN(Tulokset!$G$77-Tulokset!$I$77),0,IF(Tulokset!$G$77=Tulokset!$I$77,IF(AND('12'!$I$78=Tulokset!$G$77,'12'!$K$78=Tulokset!$I$77),6,3),MAX(0,6-(ABS('12'!$I$78-Tulokset!$G$77)+ABS('12'!$K$78-Tulokset!$I$77))))))</f>
        <v/>
      </c>
      <c r="CD15" t="str">
        <f ca="1">IF(OR(Tulokset!$M$6="",INDIRECT("'"&amp;$A15&amp;"'!$P$8")=""),"",IF(TRIM(INDIRECT("'"&amp;$A15&amp;"'!$P$8"))=TRIM(Tulokset!$M$6),2,0))</f>
        <v/>
      </c>
      <c r="CE15" t="str">
        <f ca="1">IF(OR(Tulokset!$M$7="",INDIRECT("'"&amp;$A15&amp;"'!$P$9")=""),"",IF(TRIM(INDIRECT("'"&amp;$A15&amp;"'!$P$9"))=TRIM(Tulokset!$M$7),2,0))</f>
        <v/>
      </c>
      <c r="CF15" t="str">
        <f ca="1">IF(OR(Tulokset!$M$8="",INDIRECT("'"&amp;$A15&amp;"'!$P$10")=""),"",IF(TRIM(INDIRECT("'"&amp;$A15&amp;"'!$P$10"))=TRIM(Tulokset!$M$8),2,0))</f>
        <v/>
      </c>
      <c r="CG15" t="str">
        <f ca="1">IF(OR(Tulokset!$M$9="",INDIRECT("'"&amp;$A15&amp;"'!$P$11")=""),"",IF(TRIM(INDIRECT("'"&amp;$A15&amp;"'!$P$11"))=TRIM(Tulokset!$M$9),2,0))</f>
        <v/>
      </c>
      <c r="CH15" t="str">
        <f ca="1">IF(OR(Tulokset!$N$6="",INDIRECT("'"&amp;$A15&amp;"'!$Q$8")=""),"",IF(TRIM(INDIRECT("'"&amp;$A15&amp;"'!$Q$8"))=TRIM(Tulokset!$N$6),2,0))</f>
        <v/>
      </c>
      <c r="CI15" t="str">
        <f ca="1">IF(OR(Tulokset!$N$7="",INDIRECT("'"&amp;$A15&amp;"'!$Q$9")=""),"",IF(TRIM(INDIRECT("'"&amp;$A15&amp;"'!$Q$9"))=TRIM(Tulokset!$N$7),2,0))</f>
        <v/>
      </c>
      <c r="CJ15" t="str">
        <f ca="1">IF(OR(Tulokset!$N$8="",INDIRECT("'"&amp;$A15&amp;"'!$Q$10")=""),"",IF(TRIM(INDIRECT("'"&amp;$A15&amp;"'!$Q$10"))=TRIM(Tulokset!$N$8),2,0))</f>
        <v/>
      </c>
      <c r="CK15" t="str">
        <f ca="1">IF(OR(Tulokset!$N$9="",INDIRECT("'"&amp;$A15&amp;"'!$Q$11")=""),"",IF(TRIM(INDIRECT("'"&amp;$A15&amp;"'!$Q$11"))=TRIM(Tulokset!$N$9),2,0))</f>
        <v/>
      </c>
      <c r="CL15" t="str">
        <f ca="1">IF(OR(Tulokset!$O$6="",INDIRECT("'"&amp;$A15&amp;"'!$R$8")=""),"",IF(TRIM(INDIRECT("'"&amp;$A15&amp;"'!$R$8"))=TRIM(Tulokset!$O$6),2,0))</f>
        <v/>
      </c>
      <c r="CM15" t="str">
        <f ca="1">IF(OR(Tulokset!$O$7="",INDIRECT("'"&amp;$A15&amp;"'!$R$9")=""),"",IF(TRIM(INDIRECT("'"&amp;$A15&amp;"'!$R$9"))=TRIM(Tulokset!$O$7),2,0))</f>
        <v/>
      </c>
      <c r="CN15" t="str">
        <f ca="1">IF(OR(Tulokset!$O$8="",INDIRECT("'"&amp;$A15&amp;"'!$R$10")=""),"",IF(TRIM(INDIRECT("'"&amp;$A15&amp;"'!$R$10"))=TRIM(Tulokset!$O$8),2,0))</f>
        <v/>
      </c>
      <c r="CO15" t="str">
        <f ca="1">IF(OR(Tulokset!$O$9="",INDIRECT("'"&amp;$A15&amp;"'!$R$11")=""),"",IF(TRIM(INDIRECT("'"&amp;$A15&amp;"'!$R$11"))=TRIM(Tulokset!$O$9),2,0))</f>
        <v/>
      </c>
      <c r="CP15" t="str">
        <f ca="1">IF(OR(Tulokset!$P$6="",INDIRECT("'"&amp;$A15&amp;"'!$S$8")=""),"",IF(TRIM(INDIRECT("'"&amp;$A15&amp;"'!$S$8"))=TRIM(Tulokset!$P$6),2,0))</f>
        <v/>
      </c>
      <c r="CQ15" t="str">
        <f ca="1">IF(OR(Tulokset!$P$7="",INDIRECT("'"&amp;$A15&amp;"'!$S$9")=""),"",IF(TRIM(INDIRECT("'"&amp;$A15&amp;"'!$S$9"))=TRIM(Tulokset!$P$7),2,0))</f>
        <v/>
      </c>
      <c r="CR15" t="str">
        <f ca="1">IF(OR(Tulokset!$P$8="",INDIRECT("'"&amp;$A15&amp;"'!$S$10")=""),"",IF(TRIM(INDIRECT("'"&amp;$A15&amp;"'!$S$10"))=TRIM(Tulokset!$P$8),2,0))</f>
        <v/>
      </c>
      <c r="CS15" t="str">
        <f ca="1">IF(OR(Tulokset!$P$9="",INDIRECT("'"&amp;$A15&amp;"'!$S$11")=""),"",IF(TRIM(INDIRECT("'"&amp;$A15&amp;"'!$S$11"))=TRIM(Tulokset!$P$9),2,0))</f>
        <v/>
      </c>
      <c r="CT15" t="str">
        <f ca="1">IF(OR(Tulokset!$Q$6="",INDIRECT("'"&amp;$A15&amp;"'!$T$8")=""),"",IF(TRIM(INDIRECT("'"&amp;$A15&amp;"'!$T$8"))=TRIM(Tulokset!$Q$6),2,0))</f>
        <v/>
      </c>
      <c r="CU15" t="str">
        <f ca="1">IF(OR(Tulokset!$Q$7="",INDIRECT("'"&amp;$A15&amp;"'!$T$9")=""),"",IF(TRIM(INDIRECT("'"&amp;$A15&amp;"'!$T$9"))=TRIM(Tulokset!$Q$7),2,0))</f>
        <v/>
      </c>
      <c r="CV15" t="str">
        <f ca="1">IF(OR(Tulokset!$Q$8="",INDIRECT("'"&amp;$A15&amp;"'!$T$10")=""),"",IF(TRIM(INDIRECT("'"&amp;$A15&amp;"'!$T$10"))=TRIM(Tulokset!$Q$8),2,0))</f>
        <v/>
      </c>
      <c r="CW15" t="str">
        <f ca="1">IF(OR(Tulokset!$Q$9="",INDIRECT("'"&amp;$A15&amp;"'!$T$11")=""),"",IF(TRIM(INDIRECT("'"&amp;$A15&amp;"'!$T$11"))=TRIM(Tulokset!$Q$9),2,0))</f>
        <v/>
      </c>
      <c r="CX15" t="str">
        <f ca="1">IF(OR(Tulokset!$R$6="",INDIRECT("'"&amp;$A15&amp;"'!$U$8")=""),"",IF(TRIM(INDIRECT("'"&amp;$A15&amp;"'!$U$8"))=TRIM(Tulokset!$R$6),2,0))</f>
        <v/>
      </c>
      <c r="CY15" t="str">
        <f ca="1">IF(OR(Tulokset!$R$7="",INDIRECT("'"&amp;$A15&amp;"'!$U$9")=""),"",IF(TRIM(INDIRECT("'"&amp;$A15&amp;"'!$U$9"))=TRIM(Tulokset!$R$7),2,0))</f>
        <v/>
      </c>
      <c r="CZ15" t="str">
        <f ca="1">IF(OR(Tulokset!$R$8="",INDIRECT("'"&amp;$A15&amp;"'!$U$10")=""),"",IF(TRIM(INDIRECT("'"&amp;$A15&amp;"'!$U$10"))=TRIM(Tulokset!$R$8),2,0))</f>
        <v/>
      </c>
      <c r="DA15" t="str">
        <f ca="1">IF(OR(Tulokset!$R$9="",INDIRECT("'"&amp;$A15&amp;"'!$U$11")=""),"",IF(TRIM(INDIRECT("'"&amp;$A15&amp;"'!$U$11"))=TRIM(Tulokset!$R$9),2,0))</f>
        <v/>
      </c>
      <c r="DB15" t="str">
        <f ca="1">IF(OR(Tulokset!$M$12="",INDIRECT("'"&amp;$A15&amp;"'!$P$14")=""),"",IF(TRIM(INDIRECT("'"&amp;$A15&amp;"'!$P$14"))=TRIM(Tulokset!$M$12),2,0))</f>
        <v/>
      </c>
      <c r="DC15" t="str">
        <f ca="1">IF(OR(Tulokset!$M$13="",INDIRECT("'"&amp;$A15&amp;"'!$P$15")=""),"",IF(TRIM(INDIRECT("'"&amp;$A15&amp;"'!$P$15"))=TRIM(Tulokset!$M$13),2,0))</f>
        <v/>
      </c>
      <c r="DD15" t="str">
        <f ca="1">IF(OR(Tulokset!$M$14="",INDIRECT("'"&amp;$A15&amp;"'!$P$16")=""),"",IF(TRIM(INDIRECT("'"&amp;$A15&amp;"'!$P$16"))=TRIM(Tulokset!$M$14),2,0))</f>
        <v/>
      </c>
      <c r="DE15" t="str">
        <f ca="1">IF(OR(Tulokset!$M$15="",INDIRECT("'"&amp;$A15&amp;"'!$P$17")=""),"",IF(TRIM(INDIRECT("'"&amp;$A15&amp;"'!$P$17"))=TRIM(Tulokset!$M$15),2,0))</f>
        <v/>
      </c>
      <c r="DF15" t="str">
        <f ca="1">IF(OR(Tulokset!$N$12="",INDIRECT("'"&amp;$A15&amp;"'!$Q$14")=""),"",IF(TRIM(INDIRECT("'"&amp;$A15&amp;"'!$Q$14"))=TRIM(Tulokset!$N$12),2,0))</f>
        <v/>
      </c>
      <c r="DG15" t="str">
        <f ca="1">IF(OR(Tulokset!$N$13="",INDIRECT("'"&amp;$A15&amp;"'!$Q$15")=""),"",IF(TRIM(INDIRECT("'"&amp;$A15&amp;"'!$Q$15"))=TRIM(Tulokset!$N$13),2,0))</f>
        <v/>
      </c>
      <c r="DH15" t="str">
        <f ca="1">IF(OR(Tulokset!$N$14="",INDIRECT("'"&amp;$A15&amp;"'!$Q$16")=""),"",IF(TRIM(INDIRECT("'"&amp;$A15&amp;"'!$Q$16"))=TRIM(Tulokset!$N$14),2,0))</f>
        <v/>
      </c>
      <c r="DI15" t="str">
        <f ca="1">IF(OR(Tulokset!$N$15="",INDIRECT("'"&amp;$A15&amp;"'!$Q$17")=""),"",IF(TRIM(INDIRECT("'"&amp;$A15&amp;"'!$Q$17"))=TRIM(Tulokset!$N$15),2,0))</f>
        <v/>
      </c>
      <c r="DJ15" t="str">
        <f ca="1">IF(OR(Tulokset!$O$12="",INDIRECT("'"&amp;$A15&amp;"'!$R$14")=""),"",IF(TRIM(INDIRECT("'"&amp;$A15&amp;"'!$R$14"))=TRIM(Tulokset!$O$12),2,0))</f>
        <v/>
      </c>
      <c r="DK15" t="str">
        <f ca="1">IF(OR(Tulokset!$O$13="",INDIRECT("'"&amp;$A15&amp;"'!$R$15")=""),"",IF(TRIM(INDIRECT("'"&amp;$A15&amp;"'!$R$15"))=TRIM(Tulokset!$O$13),2,0))</f>
        <v/>
      </c>
      <c r="DL15" t="str">
        <f ca="1">IF(OR(Tulokset!$O$14="",INDIRECT("'"&amp;$A15&amp;"'!$R$16")=""),"",IF(TRIM(INDIRECT("'"&amp;$A15&amp;"'!$R$16"))=TRIM(Tulokset!$O$14),2,0))</f>
        <v/>
      </c>
      <c r="DM15" t="str">
        <f ca="1">IF(OR(Tulokset!$O$15="",INDIRECT("'"&amp;$A15&amp;"'!$R$17")=""),"",IF(TRIM(INDIRECT("'"&amp;$A15&amp;"'!$R$17"))=TRIM(Tulokset!$O$15),2,0))</f>
        <v/>
      </c>
      <c r="DN15" t="str">
        <f ca="1">IF(OR(Tulokset!$P$12="",INDIRECT("'"&amp;$A15&amp;"'!$S$14")=""),"",IF(TRIM(INDIRECT("'"&amp;$A15&amp;"'!$S$14"))=TRIM(Tulokset!$P$12),2,0))</f>
        <v/>
      </c>
      <c r="DO15" t="str">
        <f ca="1">IF(OR(Tulokset!$P$13="",INDIRECT("'"&amp;$A15&amp;"'!$S$15")=""),"",IF(TRIM(INDIRECT("'"&amp;$A15&amp;"'!$S$15"))=TRIM(Tulokset!$P$13),2,0))</f>
        <v/>
      </c>
      <c r="DP15" t="str">
        <f ca="1">IF(OR(Tulokset!$P$14="",INDIRECT("'"&amp;$A15&amp;"'!$S$16")=""),"",IF(TRIM(INDIRECT("'"&amp;$A15&amp;"'!$S$16"))=TRIM(Tulokset!$P$14),2,0))</f>
        <v/>
      </c>
      <c r="DQ15" t="str">
        <f ca="1">IF(OR(Tulokset!$P$15="",INDIRECT("'"&amp;$A15&amp;"'!$S$17")=""),"",IF(TRIM(INDIRECT("'"&amp;$A15&amp;"'!$S$17"))=TRIM(Tulokset!$P$15),2,0))</f>
        <v/>
      </c>
      <c r="DR15" t="str">
        <f ca="1">IF(OR(Tulokset!$Q$12="",INDIRECT("'"&amp;$A15&amp;"'!$T$14")=""),"",IF(TRIM(INDIRECT("'"&amp;$A15&amp;"'!$T$14"))=TRIM(Tulokset!$Q$12),2,0))</f>
        <v/>
      </c>
      <c r="DS15" t="str">
        <f ca="1">IF(OR(Tulokset!$Q$13="",INDIRECT("'"&amp;$A15&amp;"'!$T$15")=""),"",IF(TRIM(INDIRECT("'"&amp;$A15&amp;"'!$T$15"))=TRIM(Tulokset!$Q$13),2,0))</f>
        <v/>
      </c>
      <c r="DT15" t="str">
        <f ca="1">IF(OR(Tulokset!$Q$14="",INDIRECT("'"&amp;$A15&amp;"'!$T$16")=""),"",IF(TRIM(INDIRECT("'"&amp;$A15&amp;"'!$T$16"))=TRIM(Tulokset!$Q$14),2,0))</f>
        <v/>
      </c>
      <c r="DU15" t="str">
        <f ca="1">IF(OR(Tulokset!$Q$15="",INDIRECT("'"&amp;$A15&amp;"'!$T$17")=""),"",IF(TRIM(INDIRECT("'"&amp;$A15&amp;"'!$T$17"))=TRIM(Tulokset!$Q$15),2,0))</f>
        <v/>
      </c>
      <c r="DV15" t="str">
        <f ca="1">IF(OR(Tulokset!$R$12="",INDIRECT("'"&amp;$A15&amp;"'!$U$14")=""),"",IF(TRIM(INDIRECT("'"&amp;$A15&amp;"'!$U$14"))=TRIM(Tulokset!$R$12),2,0))</f>
        <v/>
      </c>
      <c r="DW15" t="str">
        <f ca="1">IF(OR(Tulokset!$R$13="",INDIRECT("'"&amp;$A15&amp;"'!$U$15")=""),"",IF(TRIM(INDIRECT("'"&amp;$A15&amp;"'!$U$15"))=TRIM(Tulokset!$R$13),2,0))</f>
        <v/>
      </c>
      <c r="DX15" t="str">
        <f ca="1">IF(OR(Tulokset!$R$14="",INDIRECT("'"&amp;$A15&amp;"'!$U$16")=""),"",IF(TRIM(INDIRECT("'"&amp;$A15&amp;"'!$U$16"))=TRIM(Tulokset!$R$14),2,0))</f>
        <v/>
      </c>
      <c r="DY15" t="str">
        <f ca="1">IF(OR(Tulokset!$R$15="",INDIRECT("'"&amp;$A15&amp;"'!$U$17")=""),"",IF(TRIM(INDIRECT("'"&amp;$A15&amp;"'!$U$17"))=TRIM(Tulokset!$R$15),2,0))</f>
        <v/>
      </c>
      <c r="EA15" t="str">
        <f ca="1">IF(OR(INDIRECT("'"&amp;$A15&amp;"'!$E$79")="",COUNTA(Tulokset!$M$20:$M$21)=0),"",IF(COUNTIF(Tulokset!$M$20:$M$21,INDIRECT("'"&amp;$A15&amp;"'!$E$79"))&gt;0,2,0))</f>
        <v/>
      </c>
      <c r="EB15" t="str">
        <f ca="1">IF(OR(INDIRECT("'"&amp;$A15&amp;"'!$G$79")="",COUNTA(Tulokset!$M$20:$M$21)=0),"",IF(COUNTIF(Tulokset!$M$20:$M$21,INDIRECT("'"&amp;$A15&amp;"'!$G$79"))&gt;0,2,0))</f>
        <v/>
      </c>
      <c r="EC15" t="str">
        <f ca="1">IF(OR(INDIRECT("'"&amp;$A15&amp;"'!$E$80")="",COUNTA(Tulokset!$M$23:$M$24)=0),"",IF(COUNTIF(Tulokset!$M$23:$M$24,INDIRECT("'"&amp;$A15&amp;"'!$E$80"))&gt;0,2,0))</f>
        <v/>
      </c>
      <c r="ED15" t="str">
        <f ca="1">IF(OR(INDIRECT("'"&amp;$A15&amp;"'!$G$80")="",COUNTA(Tulokset!$M$23:$M$24)=0),"",IF(COUNTIF(Tulokset!$M$23:$M$24,INDIRECT("'"&amp;$A15&amp;"'!$G$80"))&gt;0,2,0))</f>
        <v/>
      </c>
    </row>
    <row r="16" spans="1:134">
      <c r="A16" t="s">
        <v>308</v>
      </c>
      <c r="B16" t="str">
        <f t="shared" ca="1" si="0"/>
        <v>Ice Cold</v>
      </c>
      <c r="C16" s="95">
        <f t="shared" si="1"/>
        <v>0</v>
      </c>
      <c r="D16" s="95">
        <f t="shared" ca="1" si="2"/>
        <v>0</v>
      </c>
      <c r="E16" s="95">
        <f t="shared" ca="1" si="3"/>
        <v>0</v>
      </c>
      <c r="F16" s="95">
        <f t="shared" ca="1" si="4"/>
        <v>0</v>
      </c>
      <c r="G16" s="95">
        <f t="shared" si="5"/>
        <v>0</v>
      </c>
      <c r="H16" t="str">
        <f>IF(OR(Tulokset!$G$6="",Tulokset!$I$6="",'13'!$I$7="",'13'!$K$7=""),"",IF(SIGN('13'!$I$7-'13'!$K$7)&lt;&gt;SIGN(Tulokset!$G$6-Tulokset!$I$6),0,IF(Tulokset!$G$6=Tulokset!$I$6,IF(AND('13'!$I$7=Tulokset!$G$6,'13'!$K$7=Tulokset!$I$6),6,3),MAX(0,6-(ABS('13'!$I$7-Tulokset!$G$6)+ABS('13'!$K$7-Tulokset!$I$6))))))</f>
        <v/>
      </c>
      <c r="I16" t="str">
        <f>IF(OR(Tulokset!$G$7="",Tulokset!$I$7="",'13'!$I$8="",'13'!$K$8=""),"",IF(SIGN('13'!$I$8-'13'!$K$8)&lt;&gt;SIGN(Tulokset!$G$7-Tulokset!$I$7),0,IF(Tulokset!$G$7=Tulokset!$I$7,IF(AND('13'!$I$8=Tulokset!$G$7,'13'!$K$8=Tulokset!$I$7),6,3),MAX(0,6-(ABS('13'!$I$8-Tulokset!$G$7)+ABS('13'!$K$8-Tulokset!$I$7))))))</f>
        <v/>
      </c>
      <c r="J16" t="str">
        <f>IF(OR(Tulokset!$G$8="",Tulokset!$I$8="",'13'!$I$9="",'13'!$K$9=""),"",IF(SIGN('13'!$I$9-'13'!$K$9)&lt;&gt;SIGN(Tulokset!$G$8-Tulokset!$I$8),0,IF(Tulokset!$G$8=Tulokset!$I$8,IF(AND('13'!$I$9=Tulokset!$G$8,'13'!$K$9=Tulokset!$I$8),6,3),MAX(0,6-(ABS('13'!$I$9-Tulokset!$G$8)+ABS('13'!$K$9-Tulokset!$I$8))))))</f>
        <v/>
      </c>
      <c r="K16" t="str">
        <f>IF(OR(Tulokset!$G$9="",Tulokset!$I$9="",'13'!$I$10="",'13'!$K$10=""),"",IF(SIGN('13'!$I$10-'13'!$K$10)&lt;&gt;SIGN(Tulokset!$G$9-Tulokset!$I$9),0,IF(Tulokset!$G$9=Tulokset!$I$9,IF(AND('13'!$I$10=Tulokset!$G$9,'13'!$K$10=Tulokset!$I$9),6,3),MAX(0,6-(ABS('13'!$I$10-Tulokset!$G$9)+ABS('13'!$K$10-Tulokset!$I$9))))))</f>
        <v/>
      </c>
      <c r="L16" t="str">
        <f>IF(OR(Tulokset!$G$10="",Tulokset!$I$10="",'13'!$I$11="",'13'!$K$11=""),"",IF(SIGN('13'!$I$11-'13'!$K$11)&lt;&gt;SIGN(Tulokset!$G$10-Tulokset!$I$10),0,IF(Tulokset!$G$10=Tulokset!$I$10,IF(AND('13'!$I$11=Tulokset!$G$10,'13'!$K$11=Tulokset!$I$10),6,3),MAX(0,6-(ABS('13'!$I$11-Tulokset!$G$10)+ABS('13'!$K$11-Tulokset!$I$10))))))</f>
        <v/>
      </c>
      <c r="M16" t="str">
        <f>IF(OR(Tulokset!$G$11="",Tulokset!$I$11="",'13'!$I$12="",'13'!$K$12=""),"",IF(SIGN('13'!$I$12-'13'!$K$12)&lt;&gt;SIGN(Tulokset!$G$11-Tulokset!$I$11),0,IF(Tulokset!$G$11=Tulokset!$I$11,IF(AND('13'!$I$12=Tulokset!$G$11,'13'!$K$12=Tulokset!$I$11),6,3),MAX(0,6-(ABS('13'!$I$12-Tulokset!$G$11)+ABS('13'!$K$12-Tulokset!$I$11))))))</f>
        <v/>
      </c>
      <c r="N16" t="str">
        <f>IF(OR(Tulokset!$G$12="",Tulokset!$I$12="",'13'!$I$13="",'13'!$K$13=""),"",IF(SIGN('13'!$I$13-'13'!$K$13)&lt;&gt;SIGN(Tulokset!$G$12-Tulokset!$I$12),0,IF(Tulokset!$G$12=Tulokset!$I$12,IF(AND('13'!$I$13=Tulokset!$G$12,'13'!$K$13=Tulokset!$I$12),6,3),MAX(0,6-(ABS('13'!$I$13-Tulokset!$G$12)+ABS('13'!$K$13-Tulokset!$I$12))))))</f>
        <v/>
      </c>
      <c r="O16" t="str">
        <f>IF(OR(Tulokset!$G$13="",Tulokset!$I$13="",'13'!$I$14="",'13'!$K$14=""),"",IF(SIGN('13'!$I$14-'13'!$K$14)&lt;&gt;SIGN(Tulokset!$G$13-Tulokset!$I$13),0,IF(Tulokset!$G$13=Tulokset!$I$13,IF(AND('13'!$I$14=Tulokset!$G$13,'13'!$K$14=Tulokset!$I$13),6,3),MAX(0,6-(ABS('13'!$I$14-Tulokset!$G$13)+ABS('13'!$K$14-Tulokset!$I$13))))))</f>
        <v/>
      </c>
      <c r="P16" t="str">
        <f>IF(OR(Tulokset!$G$14="",Tulokset!$I$14="",'13'!$I$15="",'13'!$K$15=""),"",IF(SIGN('13'!$I$15-'13'!$K$15)&lt;&gt;SIGN(Tulokset!$G$14-Tulokset!$I$14),0,IF(Tulokset!$G$14=Tulokset!$I$14,IF(AND('13'!$I$15=Tulokset!$G$14,'13'!$K$15=Tulokset!$I$14),6,3),MAX(0,6-(ABS('13'!$I$15-Tulokset!$G$14)+ABS('13'!$K$15-Tulokset!$I$14))))))</f>
        <v/>
      </c>
      <c r="Q16" t="str">
        <f>IF(OR(Tulokset!$G$15="",Tulokset!$I$15="",'13'!$I$16="",'13'!$K$16=""),"",IF(SIGN('13'!$I$16-'13'!$K$16)&lt;&gt;SIGN(Tulokset!$G$15-Tulokset!$I$15),0,IF(Tulokset!$G$15=Tulokset!$I$15,IF(AND('13'!$I$16=Tulokset!$G$15,'13'!$K$16=Tulokset!$I$15),6,3),MAX(0,6-(ABS('13'!$I$16-Tulokset!$G$15)+ABS('13'!$K$16-Tulokset!$I$15))))))</f>
        <v/>
      </c>
      <c r="R16" t="str">
        <f>IF(OR(Tulokset!$G$16="",Tulokset!$I$16="",'13'!$I$17="",'13'!$K$17=""),"",IF(SIGN('13'!$I$17-'13'!$K$17)&lt;&gt;SIGN(Tulokset!$G$16-Tulokset!$I$16),0,IF(Tulokset!$G$16=Tulokset!$I$16,IF(AND('13'!$I$17=Tulokset!$G$16,'13'!$K$17=Tulokset!$I$16),6,3),MAX(0,6-(ABS('13'!$I$17-Tulokset!$G$16)+ABS('13'!$K$17-Tulokset!$I$16))))))</f>
        <v/>
      </c>
      <c r="S16" t="str">
        <f>IF(OR(Tulokset!$G$17="",Tulokset!$I$17="",'13'!$I$18="",'13'!$K$18=""),"",IF(SIGN('13'!$I$18-'13'!$K$18)&lt;&gt;SIGN(Tulokset!$G$17-Tulokset!$I$17),0,IF(Tulokset!$G$17=Tulokset!$I$17,IF(AND('13'!$I$18=Tulokset!$G$17,'13'!$K$18=Tulokset!$I$17),6,3),MAX(0,6-(ABS('13'!$I$18-Tulokset!$G$17)+ABS('13'!$K$18-Tulokset!$I$17))))))</f>
        <v/>
      </c>
      <c r="T16" t="str">
        <f>IF(OR(Tulokset!$G$18="",Tulokset!$I$18="",'13'!$I$19="",'13'!$K$19=""),"",IF(SIGN('13'!$I$19-'13'!$K$19)&lt;&gt;SIGN(Tulokset!$G$18-Tulokset!$I$18),0,IF(Tulokset!$G$18=Tulokset!$I$18,IF(AND('13'!$I$19=Tulokset!$G$18,'13'!$K$19=Tulokset!$I$18),6,3),MAX(0,6-(ABS('13'!$I$19-Tulokset!$G$18)+ABS('13'!$K$19-Tulokset!$I$18))))))</f>
        <v/>
      </c>
      <c r="U16" t="str">
        <f>IF(OR(Tulokset!$G$19="",Tulokset!$I$19="",'13'!$I$20="",'13'!$K$20=""),"",IF(SIGN('13'!$I$20-'13'!$K$20)&lt;&gt;SIGN(Tulokset!$G$19-Tulokset!$I$19),0,IF(Tulokset!$G$19=Tulokset!$I$19,IF(AND('13'!$I$20=Tulokset!$G$19,'13'!$K$20=Tulokset!$I$19),6,3),MAX(0,6-(ABS('13'!$I$20-Tulokset!$G$19)+ABS('13'!$K$20-Tulokset!$I$19))))))</f>
        <v/>
      </c>
      <c r="V16" t="str">
        <f>IF(OR(Tulokset!$G$20="",Tulokset!$I$20="",'13'!$I$21="",'13'!$K$21=""),"",IF(SIGN('13'!$I$21-'13'!$K$21)&lt;&gt;SIGN(Tulokset!$G$20-Tulokset!$I$20),0,IF(Tulokset!$G$20=Tulokset!$I$20,IF(AND('13'!$I$21=Tulokset!$G$20,'13'!$K$21=Tulokset!$I$20),6,3),MAX(0,6-(ABS('13'!$I$21-Tulokset!$G$20)+ABS('13'!$K$21-Tulokset!$I$20))))))</f>
        <v/>
      </c>
      <c r="W16" t="str">
        <f>IF(OR(Tulokset!$G$21="",Tulokset!$I$21="",'13'!$I$22="",'13'!$K$22=""),"",IF(SIGN('13'!$I$22-'13'!$K$22)&lt;&gt;SIGN(Tulokset!$G$21-Tulokset!$I$21),0,IF(Tulokset!$G$21=Tulokset!$I$21,IF(AND('13'!$I$22=Tulokset!$G$21,'13'!$K$22=Tulokset!$I$21),6,3),MAX(0,6-(ABS('13'!$I$22-Tulokset!$G$21)+ABS('13'!$K$22-Tulokset!$I$21))))))</f>
        <v/>
      </c>
      <c r="X16" t="str">
        <f>IF(OR(Tulokset!$G$22="",Tulokset!$I$22="",'13'!$I$23="",'13'!$K$23=""),"",IF(SIGN('13'!$I$23-'13'!$K$23)&lt;&gt;SIGN(Tulokset!$G$22-Tulokset!$I$22),0,IF(Tulokset!$G$22=Tulokset!$I$22,IF(AND('13'!$I$23=Tulokset!$G$22,'13'!$K$23=Tulokset!$I$22),6,3),MAX(0,6-(ABS('13'!$I$23-Tulokset!$G$22)+ABS('13'!$K$23-Tulokset!$I$22))))))</f>
        <v/>
      </c>
      <c r="Y16" t="str">
        <f>IF(OR(Tulokset!$G$23="",Tulokset!$I$23="",'13'!$I$24="",'13'!$K$24=""),"",IF(SIGN('13'!$I$24-'13'!$K$24)&lt;&gt;SIGN(Tulokset!$G$23-Tulokset!$I$23),0,IF(Tulokset!$G$23=Tulokset!$I$23,IF(AND('13'!$I$24=Tulokset!$G$23,'13'!$K$24=Tulokset!$I$23),6,3),MAX(0,6-(ABS('13'!$I$24-Tulokset!$G$23)+ABS('13'!$K$24-Tulokset!$I$23))))))</f>
        <v/>
      </c>
      <c r="Z16" t="str">
        <f>IF(OR(Tulokset!$G$24="",Tulokset!$I$24="",'13'!$I$25="",'13'!$K$25=""),"",IF(SIGN('13'!$I$25-'13'!$K$25)&lt;&gt;SIGN(Tulokset!$G$24-Tulokset!$I$24),0,IF(Tulokset!$G$24=Tulokset!$I$24,IF(AND('13'!$I$25=Tulokset!$G$24,'13'!$K$25=Tulokset!$I$24),6,3),MAX(0,6-(ABS('13'!$I$25-Tulokset!$G$24)+ABS('13'!$K$25-Tulokset!$I$24))))))</f>
        <v/>
      </c>
      <c r="AA16" t="str">
        <f>IF(OR(Tulokset!$G$25="",Tulokset!$I$25="",'13'!$I$26="",'13'!$K$26=""),"",IF(SIGN('13'!$I$26-'13'!$K$26)&lt;&gt;SIGN(Tulokset!$G$25-Tulokset!$I$25),0,IF(Tulokset!$G$25=Tulokset!$I$25,IF(AND('13'!$I$26=Tulokset!$G$25,'13'!$K$26=Tulokset!$I$25),6,3),MAX(0,6-(ABS('13'!$I$26-Tulokset!$G$25)+ABS('13'!$K$26-Tulokset!$I$25))))))</f>
        <v/>
      </c>
      <c r="AB16" t="str">
        <f>IF(OR(Tulokset!$G$26="",Tulokset!$I$26="",'13'!$I$27="",'13'!$K$27=""),"",IF(SIGN('13'!$I$27-'13'!$K$27)&lt;&gt;SIGN(Tulokset!$G$26-Tulokset!$I$26),0,IF(Tulokset!$G$26=Tulokset!$I$26,IF(AND('13'!$I$27=Tulokset!$G$26,'13'!$K$27=Tulokset!$I$26),6,3),MAX(0,6-(ABS('13'!$I$27-Tulokset!$G$26)+ABS('13'!$K$27-Tulokset!$I$26))))))</f>
        <v/>
      </c>
      <c r="AC16" t="str">
        <f>IF(OR(Tulokset!$G$27="",Tulokset!$I$27="",'13'!$I$28="",'13'!$K$28=""),"",IF(SIGN('13'!$I$28-'13'!$K$28)&lt;&gt;SIGN(Tulokset!$G$27-Tulokset!$I$27),0,IF(Tulokset!$G$27=Tulokset!$I$27,IF(AND('13'!$I$28=Tulokset!$G$27,'13'!$K$28=Tulokset!$I$27),6,3),MAX(0,6-(ABS('13'!$I$28-Tulokset!$G$27)+ABS('13'!$K$28-Tulokset!$I$27))))))</f>
        <v/>
      </c>
      <c r="AD16" t="str">
        <f>IF(OR(Tulokset!$G$28="",Tulokset!$I$28="",'13'!$I$29="",'13'!$K$29=""),"",IF(SIGN('13'!$I$29-'13'!$K$29)&lt;&gt;SIGN(Tulokset!$G$28-Tulokset!$I$28),0,IF(Tulokset!$G$28=Tulokset!$I$28,IF(AND('13'!$I$29=Tulokset!$G$28,'13'!$K$29=Tulokset!$I$28),6,3),MAX(0,6-(ABS('13'!$I$29-Tulokset!$G$28)+ABS('13'!$K$29-Tulokset!$I$28))))))</f>
        <v/>
      </c>
      <c r="AE16" t="str">
        <f>IF(OR(Tulokset!$G$29="",Tulokset!$I$29="",'13'!$I$30="",'13'!$K$30=""),"",IF(SIGN('13'!$I$30-'13'!$K$30)&lt;&gt;SIGN(Tulokset!$G$29-Tulokset!$I$29),0,IF(Tulokset!$G$29=Tulokset!$I$29,IF(AND('13'!$I$30=Tulokset!$G$29,'13'!$K$30=Tulokset!$I$29),6,3),MAX(0,6-(ABS('13'!$I$30-Tulokset!$G$29)+ABS('13'!$K$30-Tulokset!$I$29))))))</f>
        <v/>
      </c>
      <c r="AF16" t="str">
        <f>IF(OR(Tulokset!$G$30="",Tulokset!$I$30="",'13'!$I$31="",'13'!$K$31=""),"",IF(SIGN('13'!$I$31-'13'!$K$31)&lt;&gt;SIGN(Tulokset!$G$30-Tulokset!$I$30),0,IF(Tulokset!$G$30=Tulokset!$I$30,IF(AND('13'!$I$31=Tulokset!$G$30,'13'!$K$31=Tulokset!$I$30),6,3),MAX(0,6-(ABS('13'!$I$31-Tulokset!$G$30)+ABS('13'!$K$31-Tulokset!$I$30))))))</f>
        <v/>
      </c>
      <c r="AG16" t="str">
        <f>IF(OR(Tulokset!$G$31="",Tulokset!$I$31="",'13'!$I$32="",'13'!$K$32=""),"",IF(SIGN('13'!$I$32-'13'!$K$32)&lt;&gt;SIGN(Tulokset!$G$31-Tulokset!$I$31),0,IF(Tulokset!$G$31=Tulokset!$I$31,IF(AND('13'!$I$32=Tulokset!$G$31,'13'!$K$32=Tulokset!$I$31),6,3),MAX(0,6-(ABS('13'!$I$32-Tulokset!$G$31)+ABS('13'!$K$32-Tulokset!$I$31))))))</f>
        <v/>
      </c>
      <c r="AH16" t="str">
        <f>IF(OR(Tulokset!$G$32="",Tulokset!$I$32="",'13'!$I$33="",'13'!$K$33=""),"",IF(SIGN('13'!$I$33-'13'!$K$33)&lt;&gt;SIGN(Tulokset!$G$32-Tulokset!$I$32),0,IF(Tulokset!$G$32=Tulokset!$I$32,IF(AND('13'!$I$33=Tulokset!$G$32,'13'!$K$33=Tulokset!$I$32),6,3),MAX(0,6-(ABS('13'!$I$33-Tulokset!$G$32)+ABS('13'!$K$33-Tulokset!$I$32))))))</f>
        <v/>
      </c>
      <c r="AI16" t="str">
        <f>IF(OR(Tulokset!$G$33="",Tulokset!$I$33="",'13'!$I$34="",'13'!$K$34=""),"",IF(SIGN('13'!$I$34-'13'!$K$34)&lt;&gt;SIGN(Tulokset!$G$33-Tulokset!$I$33),0,IF(Tulokset!$G$33=Tulokset!$I$33,IF(AND('13'!$I$34=Tulokset!$G$33,'13'!$K$34=Tulokset!$I$33),6,3),MAX(0,6-(ABS('13'!$I$34-Tulokset!$G$33)+ABS('13'!$K$34-Tulokset!$I$33))))))</f>
        <v/>
      </c>
      <c r="AJ16" t="str">
        <f>IF(OR(Tulokset!$G$34="",Tulokset!$I$34="",'13'!$I$35="",'13'!$K$35=""),"",IF(SIGN('13'!$I$35-'13'!$K$35)&lt;&gt;SIGN(Tulokset!$G$34-Tulokset!$I$34),0,IF(Tulokset!$G$34=Tulokset!$I$34,IF(AND('13'!$I$35=Tulokset!$G$34,'13'!$K$35=Tulokset!$I$34),6,3),MAX(0,6-(ABS('13'!$I$35-Tulokset!$G$34)+ABS('13'!$K$35-Tulokset!$I$34))))))</f>
        <v/>
      </c>
      <c r="AK16" t="str">
        <f>IF(OR(Tulokset!$G$35="",Tulokset!$I$35="",'13'!$I$36="",'13'!$K$36=""),"",IF(SIGN('13'!$I$36-'13'!$K$36)&lt;&gt;SIGN(Tulokset!$G$35-Tulokset!$I$35),0,IF(Tulokset!$G$35=Tulokset!$I$35,IF(AND('13'!$I$36=Tulokset!$G$35,'13'!$K$36=Tulokset!$I$35),6,3),MAX(0,6-(ABS('13'!$I$36-Tulokset!$G$35)+ABS('13'!$K$36-Tulokset!$I$35))))))</f>
        <v/>
      </c>
      <c r="AL16" t="str">
        <f>IF(OR(Tulokset!$G$36="",Tulokset!$I$36="",'13'!$I$37="",'13'!$K$37=""),"",IF(SIGN('13'!$I$37-'13'!$K$37)&lt;&gt;SIGN(Tulokset!$G$36-Tulokset!$I$36),0,IF(Tulokset!$G$36=Tulokset!$I$36,IF(AND('13'!$I$37=Tulokset!$G$36,'13'!$K$37=Tulokset!$I$36),6,3),MAX(0,6-(ABS('13'!$I$37-Tulokset!$G$36)+ABS('13'!$K$37-Tulokset!$I$36))))))</f>
        <v/>
      </c>
      <c r="AM16" t="str">
        <f>IF(OR(Tulokset!$G$37="",Tulokset!$I$37="",'13'!$I$38="",'13'!$K$38=""),"",IF(SIGN('13'!$I$38-'13'!$K$38)&lt;&gt;SIGN(Tulokset!$G$37-Tulokset!$I$37),0,IF(Tulokset!$G$37=Tulokset!$I$37,IF(AND('13'!$I$38=Tulokset!$G$37,'13'!$K$38=Tulokset!$I$37),6,3),MAX(0,6-(ABS('13'!$I$38-Tulokset!$G$37)+ABS('13'!$K$38-Tulokset!$I$37))))))</f>
        <v/>
      </c>
      <c r="AN16" t="str">
        <f>IF(OR(Tulokset!$G$38="",Tulokset!$I$38="",'13'!$I$39="",'13'!$K$39=""),"",IF(SIGN('13'!$I$39-'13'!$K$39)&lt;&gt;SIGN(Tulokset!$G$38-Tulokset!$I$38),0,IF(Tulokset!$G$38=Tulokset!$I$38,IF(AND('13'!$I$39=Tulokset!$G$38,'13'!$K$39=Tulokset!$I$38),6,3),MAX(0,6-(ABS('13'!$I$39-Tulokset!$G$38)+ABS('13'!$K$39-Tulokset!$I$38))))))</f>
        <v/>
      </c>
      <c r="AO16" t="str">
        <f>IF(OR(Tulokset!$G$39="",Tulokset!$I$39="",'13'!$I$40="",'13'!$K$40=""),"",IF(SIGN('13'!$I$40-'13'!$K$40)&lt;&gt;SIGN(Tulokset!$G$39-Tulokset!$I$39),0,IF(Tulokset!$G$39=Tulokset!$I$39,IF(AND('13'!$I$40=Tulokset!$G$39,'13'!$K$40=Tulokset!$I$39),6,3),MAX(0,6-(ABS('13'!$I$40-Tulokset!$G$39)+ABS('13'!$K$40-Tulokset!$I$39))))))</f>
        <v/>
      </c>
      <c r="AP16" t="str">
        <f>IF(OR(Tulokset!$G$40="",Tulokset!$I$40="",'13'!$I$41="",'13'!$K$41=""),"",IF(SIGN('13'!$I$41-'13'!$K$41)&lt;&gt;SIGN(Tulokset!$G$40-Tulokset!$I$40),0,IF(Tulokset!$G$40=Tulokset!$I$40,IF(AND('13'!$I$41=Tulokset!$G$40,'13'!$K$41=Tulokset!$I$40),6,3),MAX(0,6-(ABS('13'!$I$41-Tulokset!$G$40)+ABS('13'!$K$41-Tulokset!$I$40))))))</f>
        <v/>
      </c>
      <c r="AQ16" t="str">
        <f>IF(OR(Tulokset!$G$41="",Tulokset!$I$41="",'13'!$I$42="",'13'!$K$42=""),"",IF(SIGN('13'!$I$42-'13'!$K$42)&lt;&gt;SIGN(Tulokset!$G$41-Tulokset!$I$41),0,IF(Tulokset!$G$41=Tulokset!$I$41,IF(AND('13'!$I$42=Tulokset!$G$41,'13'!$K$42=Tulokset!$I$41),6,3),MAX(0,6-(ABS('13'!$I$42-Tulokset!$G$41)+ABS('13'!$K$42-Tulokset!$I$41))))))</f>
        <v/>
      </c>
      <c r="AR16" t="str">
        <f>IF(OR(Tulokset!$G$42="",Tulokset!$I$42="",'13'!$I$43="",'13'!$K$43=""),"",IF(SIGN('13'!$I$43-'13'!$K$43)&lt;&gt;SIGN(Tulokset!$G$42-Tulokset!$I$42),0,IF(Tulokset!$G$42=Tulokset!$I$42,IF(AND('13'!$I$43=Tulokset!$G$42,'13'!$K$43=Tulokset!$I$42),6,3),MAX(0,6-(ABS('13'!$I$43-Tulokset!$G$42)+ABS('13'!$K$43-Tulokset!$I$42))))))</f>
        <v/>
      </c>
      <c r="AS16" t="str">
        <f>IF(OR(Tulokset!$G$43="",Tulokset!$I$43="",'13'!$I$44="",'13'!$K$44=""),"",IF(SIGN('13'!$I$44-'13'!$K$44)&lt;&gt;SIGN(Tulokset!$G$43-Tulokset!$I$43),0,IF(Tulokset!$G$43=Tulokset!$I$43,IF(AND('13'!$I$44=Tulokset!$G$43,'13'!$K$44=Tulokset!$I$43),6,3),MAX(0,6-(ABS('13'!$I$44-Tulokset!$G$43)+ABS('13'!$K$44-Tulokset!$I$43))))))</f>
        <v/>
      </c>
      <c r="AT16" t="str">
        <f>IF(OR(Tulokset!$G$44="",Tulokset!$I$44="",'13'!$I$45="",'13'!$K$45=""),"",IF(SIGN('13'!$I$45-'13'!$K$45)&lt;&gt;SIGN(Tulokset!$G$44-Tulokset!$I$44),0,IF(Tulokset!$G$44=Tulokset!$I$44,IF(AND('13'!$I$45=Tulokset!$G$44,'13'!$K$45=Tulokset!$I$44),6,3),MAX(0,6-(ABS('13'!$I$45-Tulokset!$G$44)+ABS('13'!$K$45-Tulokset!$I$44))))))</f>
        <v/>
      </c>
      <c r="AU16" t="str">
        <f>IF(OR(Tulokset!$G$45="",Tulokset!$I$45="",'13'!$I$46="",'13'!$K$46=""),"",IF(SIGN('13'!$I$46-'13'!$K$46)&lt;&gt;SIGN(Tulokset!$G$45-Tulokset!$I$45),0,IF(Tulokset!$G$45=Tulokset!$I$45,IF(AND('13'!$I$46=Tulokset!$G$45,'13'!$K$46=Tulokset!$I$45),6,3),MAX(0,6-(ABS('13'!$I$46-Tulokset!$G$45)+ABS('13'!$K$46-Tulokset!$I$45))))))</f>
        <v/>
      </c>
      <c r="AV16" t="str">
        <f>IF(OR(Tulokset!$G$46="",Tulokset!$I$46="",'13'!$I$47="",'13'!$K$47=""),"",IF(SIGN('13'!$I$47-'13'!$K$47)&lt;&gt;SIGN(Tulokset!$G$46-Tulokset!$I$46),0,IF(Tulokset!$G$46=Tulokset!$I$46,IF(AND('13'!$I$47=Tulokset!$G$46,'13'!$K$47=Tulokset!$I$46),6,3),MAX(0,6-(ABS('13'!$I$47-Tulokset!$G$46)+ABS('13'!$K$47-Tulokset!$I$46))))))</f>
        <v/>
      </c>
      <c r="AW16" t="str">
        <f>IF(OR(Tulokset!$G$47="",Tulokset!$I$47="",'13'!$I$48="",'13'!$K$48=""),"",IF(SIGN('13'!$I$48-'13'!$K$48)&lt;&gt;SIGN(Tulokset!$G$47-Tulokset!$I$47),0,IF(Tulokset!$G$47=Tulokset!$I$47,IF(AND('13'!$I$48=Tulokset!$G$47,'13'!$K$48=Tulokset!$I$47),6,3),MAX(0,6-(ABS('13'!$I$48-Tulokset!$G$47)+ABS('13'!$K$48-Tulokset!$I$47))))))</f>
        <v/>
      </c>
      <c r="AX16" t="str">
        <f>IF(OR(Tulokset!$G$48="",Tulokset!$I$48="",'13'!$I$49="",'13'!$K$49=""),"",IF(SIGN('13'!$I$49-'13'!$K$49)&lt;&gt;SIGN(Tulokset!$G$48-Tulokset!$I$48),0,IF(Tulokset!$G$48=Tulokset!$I$48,IF(AND('13'!$I$49=Tulokset!$G$48,'13'!$K$49=Tulokset!$I$48),6,3),MAX(0,6-(ABS('13'!$I$49-Tulokset!$G$48)+ABS('13'!$K$49-Tulokset!$I$48))))))</f>
        <v/>
      </c>
      <c r="AY16" t="str">
        <f>IF(OR(Tulokset!$G$49="",Tulokset!$I$49="",'13'!$I$50="",'13'!$K$50=""),"",IF(SIGN('13'!$I$50-'13'!$K$50)&lt;&gt;SIGN(Tulokset!$G$49-Tulokset!$I$49),0,IF(Tulokset!$G$49=Tulokset!$I$49,IF(AND('13'!$I$50=Tulokset!$G$49,'13'!$K$50=Tulokset!$I$49),6,3),MAX(0,6-(ABS('13'!$I$50-Tulokset!$G$49)+ABS('13'!$K$50-Tulokset!$I$49))))))</f>
        <v/>
      </c>
      <c r="AZ16" t="str">
        <f>IF(OR(Tulokset!$G$50="",Tulokset!$I$50="",'13'!$I$51="",'13'!$K$51=""),"",IF(SIGN('13'!$I$51-'13'!$K$51)&lt;&gt;SIGN(Tulokset!$G$50-Tulokset!$I$50),0,IF(Tulokset!$G$50=Tulokset!$I$50,IF(AND('13'!$I$51=Tulokset!$G$50,'13'!$K$51=Tulokset!$I$50),6,3),MAX(0,6-(ABS('13'!$I$51-Tulokset!$G$50)+ABS('13'!$K$51-Tulokset!$I$50))))))</f>
        <v/>
      </c>
      <c r="BA16" t="str">
        <f>IF(OR(Tulokset!$G$51="",Tulokset!$I$51="",'13'!$I$52="",'13'!$K$52=""),"",IF(SIGN('13'!$I$52-'13'!$K$52)&lt;&gt;SIGN(Tulokset!$G$51-Tulokset!$I$51),0,IF(Tulokset!$G$51=Tulokset!$I$51,IF(AND('13'!$I$52=Tulokset!$G$51,'13'!$K$52=Tulokset!$I$51),6,3),MAX(0,6-(ABS('13'!$I$52-Tulokset!$G$51)+ABS('13'!$K$52-Tulokset!$I$51))))))</f>
        <v/>
      </c>
      <c r="BB16" t="str">
        <f>IF(OR(Tulokset!$G$52="",Tulokset!$I$52="",'13'!$I$53="",'13'!$K$53=""),"",IF(SIGN('13'!$I$53-'13'!$K$53)&lt;&gt;SIGN(Tulokset!$G$52-Tulokset!$I$52),0,IF(Tulokset!$G$52=Tulokset!$I$52,IF(AND('13'!$I$53=Tulokset!$G$52,'13'!$K$53=Tulokset!$I$52),6,3),MAX(0,6-(ABS('13'!$I$53-Tulokset!$G$52)+ABS('13'!$K$53-Tulokset!$I$52))))))</f>
        <v/>
      </c>
      <c r="BC16" t="str">
        <f>IF(OR(Tulokset!$G$53="",Tulokset!$I$53="",'13'!$I$54="",'13'!$K$54=""),"",IF(SIGN('13'!$I$54-'13'!$K$54)&lt;&gt;SIGN(Tulokset!$G$53-Tulokset!$I$53),0,IF(Tulokset!$G$53=Tulokset!$I$53,IF(AND('13'!$I$54=Tulokset!$G$53,'13'!$K$54=Tulokset!$I$53),6,3),MAX(0,6-(ABS('13'!$I$54-Tulokset!$G$53)+ABS('13'!$K$54-Tulokset!$I$53))))))</f>
        <v/>
      </c>
      <c r="BD16" t="str">
        <f>IF(OR(Tulokset!$G$54="",Tulokset!$I$54="",'13'!$I$55="",'13'!$K$55=""),"",IF(SIGN('13'!$I$55-'13'!$K$55)&lt;&gt;SIGN(Tulokset!$G$54-Tulokset!$I$54),0,IF(Tulokset!$G$54=Tulokset!$I$54,IF(AND('13'!$I$55=Tulokset!$G$54,'13'!$K$55=Tulokset!$I$54),6,3),MAX(0,6-(ABS('13'!$I$55-Tulokset!$G$54)+ABS('13'!$K$55-Tulokset!$I$54))))))</f>
        <v/>
      </c>
      <c r="BE16" t="str">
        <f>IF(OR(Tulokset!$G$55="",Tulokset!$I$55="",'13'!$I$56="",'13'!$K$56=""),"",IF(SIGN('13'!$I$56-'13'!$K$56)&lt;&gt;SIGN(Tulokset!$G$55-Tulokset!$I$55),0,IF(Tulokset!$G$55=Tulokset!$I$55,IF(AND('13'!$I$56=Tulokset!$G$55,'13'!$K$56=Tulokset!$I$55),6,3),MAX(0,6-(ABS('13'!$I$56-Tulokset!$G$55)+ABS('13'!$K$56-Tulokset!$I$55))))))</f>
        <v/>
      </c>
      <c r="BF16" t="str">
        <f>IF(OR(Tulokset!$G$56="",Tulokset!$I$56="",'13'!$I$57="",'13'!$K$57=""),"",IF(SIGN('13'!$I$57-'13'!$K$57)&lt;&gt;SIGN(Tulokset!$G$56-Tulokset!$I$56),0,IF(Tulokset!$G$56=Tulokset!$I$56,IF(AND('13'!$I$57=Tulokset!$G$56,'13'!$K$57=Tulokset!$I$56),6,3),MAX(0,6-(ABS('13'!$I$57-Tulokset!$G$56)+ABS('13'!$K$57-Tulokset!$I$56))))))</f>
        <v/>
      </c>
      <c r="BG16" t="str">
        <f>IF(OR(Tulokset!$G$57="",Tulokset!$I$57="",'13'!$I$58="",'13'!$K$58=""),"",IF(SIGN('13'!$I$58-'13'!$K$58)&lt;&gt;SIGN(Tulokset!$G$57-Tulokset!$I$57),0,IF(Tulokset!$G$57=Tulokset!$I$57,IF(AND('13'!$I$58=Tulokset!$G$57,'13'!$K$58=Tulokset!$I$57),6,3),MAX(0,6-(ABS('13'!$I$58-Tulokset!$G$57)+ABS('13'!$K$58-Tulokset!$I$57))))))</f>
        <v/>
      </c>
      <c r="BH16" t="str">
        <f>IF(OR(Tulokset!$G$58="",Tulokset!$I$58="",'13'!$I$59="",'13'!$K$59=""),"",IF(SIGN('13'!$I$59-'13'!$K$59)&lt;&gt;SIGN(Tulokset!$G$58-Tulokset!$I$58),0,IF(Tulokset!$G$58=Tulokset!$I$58,IF(AND('13'!$I$59=Tulokset!$G$58,'13'!$K$59=Tulokset!$I$58),6,3),MAX(0,6-(ABS('13'!$I$59-Tulokset!$G$58)+ABS('13'!$K$59-Tulokset!$I$58))))))</f>
        <v/>
      </c>
      <c r="BI16" t="str">
        <f>IF(OR(Tulokset!$G$59="",Tulokset!$I$59="",'13'!$I$60="",'13'!$K$60=""),"",IF(SIGN('13'!$I$60-'13'!$K$60)&lt;&gt;SIGN(Tulokset!$G$59-Tulokset!$I$59),0,IF(Tulokset!$G$59=Tulokset!$I$59,IF(AND('13'!$I$60=Tulokset!$G$59,'13'!$K$60=Tulokset!$I$59),6,3),MAX(0,6-(ABS('13'!$I$60-Tulokset!$G$59)+ABS('13'!$K$60-Tulokset!$I$59))))))</f>
        <v/>
      </c>
      <c r="BJ16" t="str">
        <f>IF(OR(Tulokset!$G$60="",Tulokset!$I$60="",'13'!$I$61="",'13'!$K$61=""),"",IF(SIGN('13'!$I$61-'13'!$K$61)&lt;&gt;SIGN(Tulokset!$G$60-Tulokset!$I$60),0,IF(Tulokset!$G$60=Tulokset!$I$60,IF(AND('13'!$I$61=Tulokset!$G$60,'13'!$K$61=Tulokset!$I$60),6,3),MAX(0,6-(ABS('13'!$I$61-Tulokset!$G$60)+ABS('13'!$K$61-Tulokset!$I$60))))))</f>
        <v/>
      </c>
      <c r="BK16" t="str">
        <f>IF(OR(Tulokset!$G$61="",Tulokset!$I$61="",'13'!$I$62="",'13'!$K$62=""),"",IF(SIGN('13'!$I$62-'13'!$K$62)&lt;&gt;SIGN(Tulokset!$G$61-Tulokset!$I$61),0,IF(Tulokset!$G$61=Tulokset!$I$61,IF(AND('13'!$I$62=Tulokset!$G$61,'13'!$K$62=Tulokset!$I$61),6,3),MAX(0,6-(ABS('13'!$I$62-Tulokset!$G$61)+ABS('13'!$K$62-Tulokset!$I$61))))))</f>
        <v/>
      </c>
      <c r="BL16" t="str">
        <f>IF(OR(Tulokset!$G$62="",Tulokset!$I$62="",'13'!$I$63="",'13'!$K$63=""),"",IF(SIGN('13'!$I$63-'13'!$K$63)&lt;&gt;SIGN(Tulokset!$G$62-Tulokset!$I$62),0,IF(Tulokset!$G$62=Tulokset!$I$62,IF(AND('13'!$I$63=Tulokset!$G$62,'13'!$K$63=Tulokset!$I$62),6,3),MAX(0,6-(ABS('13'!$I$63-Tulokset!$G$62)+ABS('13'!$K$63-Tulokset!$I$62))))))</f>
        <v/>
      </c>
      <c r="BM16" t="str">
        <f>IF(OR(Tulokset!$G$63="",Tulokset!$I$63="",'13'!$I$64="",'13'!$K$64=""),"",IF(SIGN('13'!$I$64-'13'!$K$64)&lt;&gt;SIGN(Tulokset!$G$63-Tulokset!$I$63),0,IF(Tulokset!$G$63=Tulokset!$I$63,IF(AND('13'!$I$64=Tulokset!$G$63,'13'!$K$64=Tulokset!$I$63),6,3),MAX(0,6-(ABS('13'!$I$64-Tulokset!$G$63)+ABS('13'!$K$64-Tulokset!$I$63))))))</f>
        <v/>
      </c>
      <c r="BN16" t="str">
        <f>IF(OR(Tulokset!$G$64="",Tulokset!$I$64="",'13'!$I$65="",'13'!$K$65=""),"",IF(SIGN('13'!$I$65-'13'!$K$65)&lt;&gt;SIGN(Tulokset!$G$64-Tulokset!$I$64),0,IF(Tulokset!$G$64=Tulokset!$I$64,IF(AND('13'!$I$65=Tulokset!$G$64,'13'!$K$65=Tulokset!$I$64),6,3),MAX(0,6-(ABS('13'!$I$65-Tulokset!$G$64)+ABS('13'!$K$65-Tulokset!$I$64))))))</f>
        <v/>
      </c>
      <c r="BO16" t="str">
        <f>IF(OR(Tulokset!$G$65="",Tulokset!$I$65="",'13'!$I$66="",'13'!$K$66=""),"",IF(SIGN('13'!$I$66-'13'!$K$66)&lt;&gt;SIGN(Tulokset!$G$65-Tulokset!$I$65),0,IF(Tulokset!$G$65=Tulokset!$I$65,IF(AND('13'!$I$66=Tulokset!$G$65,'13'!$K$66=Tulokset!$I$65),6,3),MAX(0,6-(ABS('13'!$I$66-Tulokset!$G$65)+ABS('13'!$K$66-Tulokset!$I$65))))))</f>
        <v/>
      </c>
      <c r="BP16" t="str">
        <f>IF(OR(Tulokset!$G$66="",Tulokset!$I$66="",'13'!$I$67="",'13'!$K$67=""),"",IF(SIGN('13'!$I$67-'13'!$K$67)&lt;&gt;SIGN(Tulokset!$G$66-Tulokset!$I$66),0,IF(Tulokset!$G$66=Tulokset!$I$66,IF(AND('13'!$I$67=Tulokset!$G$66,'13'!$K$67=Tulokset!$I$66),6,3),MAX(0,6-(ABS('13'!$I$67-Tulokset!$G$66)+ABS('13'!$K$67-Tulokset!$I$66))))))</f>
        <v/>
      </c>
      <c r="BQ16" t="str">
        <f>IF(OR(Tulokset!$G$67="",Tulokset!$I$67="",'13'!$I$68="",'13'!$K$68=""),"",IF(SIGN('13'!$I$68-'13'!$K$68)&lt;&gt;SIGN(Tulokset!$G$67-Tulokset!$I$67),0,IF(Tulokset!$G$67=Tulokset!$I$67,IF(AND('13'!$I$68=Tulokset!$G$67,'13'!$K$68=Tulokset!$I$67),6,3),MAX(0,6-(ABS('13'!$I$68-Tulokset!$G$67)+ABS('13'!$K$68-Tulokset!$I$67))))))</f>
        <v/>
      </c>
      <c r="BR16" t="str">
        <f>IF(OR(Tulokset!$G$68="",Tulokset!$I$68="",'13'!$I$69="",'13'!$K$69=""),"",IF(SIGN('13'!$I$69-'13'!$K$69)&lt;&gt;SIGN(Tulokset!$G$68-Tulokset!$I$68),0,IF(Tulokset!$G$68=Tulokset!$I$68,IF(AND('13'!$I$69=Tulokset!$G$68,'13'!$K$69=Tulokset!$I$68),6,3),MAX(0,6-(ABS('13'!$I$69-Tulokset!$G$68)+ABS('13'!$K$69-Tulokset!$I$68))))))</f>
        <v/>
      </c>
      <c r="BS16" t="str">
        <f>IF(OR(Tulokset!$G$69="",Tulokset!$I$69="",'13'!$I$70="",'13'!$K$70=""),"",IF(SIGN('13'!$I$70-'13'!$K$70)&lt;&gt;SIGN(Tulokset!$G$69-Tulokset!$I$69),0,IF(Tulokset!$G$69=Tulokset!$I$69,IF(AND('13'!$I$70=Tulokset!$G$69,'13'!$K$70=Tulokset!$I$69),6,3),MAX(0,6-(ABS('13'!$I$70-Tulokset!$G$69)+ABS('13'!$K$70-Tulokset!$I$69))))))</f>
        <v/>
      </c>
      <c r="BT16" t="str">
        <f>IF(OR(Tulokset!$G$70="",Tulokset!$I$70="",'13'!$I$71="",'13'!$K$71=""),"",IF(SIGN('13'!$I$71-'13'!$K$71)&lt;&gt;SIGN(Tulokset!$G$70-Tulokset!$I$70),0,IF(Tulokset!$G$70=Tulokset!$I$70,IF(AND('13'!$I$71=Tulokset!$G$70,'13'!$K$71=Tulokset!$I$70),6,3),MAX(0,6-(ABS('13'!$I$71-Tulokset!$G$70)+ABS('13'!$K$71-Tulokset!$I$70))))))</f>
        <v/>
      </c>
      <c r="BU16" t="str">
        <f>IF(OR(Tulokset!$G$71="",Tulokset!$I$71="",'13'!$I$72="",'13'!$K$72=""),"",IF(SIGN('13'!$I$72-'13'!$K$72)&lt;&gt;SIGN(Tulokset!$G$71-Tulokset!$I$71),0,IF(Tulokset!$G$71=Tulokset!$I$71,IF(AND('13'!$I$72=Tulokset!$G$71,'13'!$K$72=Tulokset!$I$71),6,3),MAX(0,6-(ABS('13'!$I$72-Tulokset!$G$71)+ABS('13'!$K$72-Tulokset!$I$71))))))</f>
        <v/>
      </c>
      <c r="BV16" t="str">
        <f>IF(OR(Tulokset!$G$72="",Tulokset!$I$72="",'13'!$I$73="",'13'!$K$73=""),"",IF(SIGN('13'!$I$73-'13'!$K$73)&lt;&gt;SIGN(Tulokset!$G$72-Tulokset!$I$72),0,IF(Tulokset!$G$72=Tulokset!$I$72,IF(AND('13'!$I$73=Tulokset!$G$72,'13'!$K$73=Tulokset!$I$72),6,3),MAX(0,6-(ABS('13'!$I$73-Tulokset!$G$72)+ABS('13'!$K$73-Tulokset!$I$72))))))</f>
        <v/>
      </c>
      <c r="BW16" t="str">
        <f>IF(OR(Tulokset!$G$73="",Tulokset!$I$73="",'13'!$I$74="",'13'!$K$74=""),"",IF(SIGN('13'!$I$74-'13'!$K$74)&lt;&gt;SIGN(Tulokset!$G$73-Tulokset!$I$73),0,IF(Tulokset!$G$73=Tulokset!$I$73,IF(AND('13'!$I$74=Tulokset!$G$73,'13'!$K$74=Tulokset!$I$73),6,3),MAX(0,6-(ABS('13'!$I$74-Tulokset!$G$73)+ABS('13'!$K$74-Tulokset!$I$73))))))</f>
        <v/>
      </c>
      <c r="BX16" t="str">
        <f>IF(OR(Tulokset!$G$74="",Tulokset!$I$74="",'13'!$I$75="",'13'!$K$75=""),"",IF(SIGN('13'!$I$75-'13'!$K$75)&lt;&gt;SIGN(Tulokset!$G$74-Tulokset!$I$74),0,IF(Tulokset!$G$74=Tulokset!$I$74,IF(AND('13'!$I$75=Tulokset!$G$74,'13'!$K$75=Tulokset!$I$74),6,3),MAX(0,6-(ABS('13'!$I$75-Tulokset!$G$74)+ABS('13'!$K$75-Tulokset!$I$74))))))</f>
        <v/>
      </c>
      <c r="BY16" t="str">
        <f>IF(OR(Tulokset!$G$75="",Tulokset!$I$75="",'13'!$I$76="",'13'!$K$76=""),"",IF(SIGN('13'!$I$76-'13'!$K$76)&lt;&gt;SIGN(Tulokset!$G$75-Tulokset!$I$75),0,IF(Tulokset!$G$75=Tulokset!$I$75,IF(AND('13'!$I$76=Tulokset!$G$75,'13'!$K$76=Tulokset!$I$75),6,3),MAX(0,6-(ABS('13'!$I$76-Tulokset!$G$75)+ABS('13'!$K$76-Tulokset!$I$75))))))</f>
        <v/>
      </c>
      <c r="BZ16" t="str">
        <f>IF(OR(Tulokset!$G$76="",Tulokset!$I$76="",'13'!$I$77="",'13'!$K$77=""),"",IF(SIGN('13'!$I$77-'13'!$K$77)&lt;&gt;SIGN(Tulokset!$G$76-Tulokset!$I$76),0,IF(Tulokset!$G$76=Tulokset!$I$76,IF(AND('13'!$I$77=Tulokset!$G$76,'13'!$K$77=Tulokset!$I$76),6,3),MAX(0,6-(ABS('13'!$I$77-Tulokset!$G$76)+ABS('13'!$K$77-Tulokset!$I$76))))))</f>
        <v/>
      </c>
      <c r="CA16" t="str">
        <f>IF(OR(Tulokset!$G$77="",Tulokset!$I$77="",'13'!$I$78="",'13'!$K$78=""),"",IF(SIGN('13'!$I$78-'13'!$K$78)&lt;&gt;SIGN(Tulokset!$G$77-Tulokset!$I$77),0,IF(Tulokset!$G$77=Tulokset!$I$77,IF(AND('13'!$I$78=Tulokset!$G$77,'13'!$K$78=Tulokset!$I$77),6,3),MAX(0,6-(ABS('13'!$I$78-Tulokset!$G$77)+ABS('13'!$K$78-Tulokset!$I$77))))))</f>
        <v/>
      </c>
      <c r="CD16" t="str">
        <f ca="1">IF(OR(Tulokset!$M$6="",INDIRECT("'"&amp;$A16&amp;"'!$P$8")=""),"",IF(TRIM(INDIRECT("'"&amp;$A16&amp;"'!$P$8"))=TRIM(Tulokset!$M$6),2,0))</f>
        <v/>
      </c>
      <c r="CE16" t="str">
        <f ca="1">IF(OR(Tulokset!$M$7="",INDIRECT("'"&amp;$A16&amp;"'!$P$9")=""),"",IF(TRIM(INDIRECT("'"&amp;$A16&amp;"'!$P$9"))=TRIM(Tulokset!$M$7),2,0))</f>
        <v/>
      </c>
      <c r="CF16" t="str">
        <f ca="1">IF(OR(Tulokset!$M$8="",INDIRECT("'"&amp;$A16&amp;"'!$P$10")=""),"",IF(TRIM(INDIRECT("'"&amp;$A16&amp;"'!$P$10"))=TRIM(Tulokset!$M$8),2,0))</f>
        <v/>
      </c>
      <c r="CG16" t="str">
        <f ca="1">IF(OR(Tulokset!$M$9="",INDIRECT("'"&amp;$A16&amp;"'!$P$11")=""),"",IF(TRIM(INDIRECT("'"&amp;$A16&amp;"'!$P$11"))=TRIM(Tulokset!$M$9),2,0))</f>
        <v/>
      </c>
      <c r="CH16" t="str">
        <f ca="1">IF(OR(Tulokset!$N$6="",INDIRECT("'"&amp;$A16&amp;"'!$Q$8")=""),"",IF(TRIM(INDIRECT("'"&amp;$A16&amp;"'!$Q$8"))=TRIM(Tulokset!$N$6),2,0))</f>
        <v/>
      </c>
      <c r="CI16" t="str">
        <f ca="1">IF(OR(Tulokset!$N$7="",INDIRECT("'"&amp;$A16&amp;"'!$Q$9")=""),"",IF(TRIM(INDIRECT("'"&amp;$A16&amp;"'!$Q$9"))=TRIM(Tulokset!$N$7),2,0))</f>
        <v/>
      </c>
      <c r="CJ16" t="str">
        <f ca="1">IF(OR(Tulokset!$N$8="",INDIRECT("'"&amp;$A16&amp;"'!$Q$10")=""),"",IF(TRIM(INDIRECT("'"&amp;$A16&amp;"'!$Q$10"))=TRIM(Tulokset!$N$8),2,0))</f>
        <v/>
      </c>
      <c r="CK16" t="str">
        <f ca="1">IF(OR(Tulokset!$N$9="",INDIRECT("'"&amp;$A16&amp;"'!$Q$11")=""),"",IF(TRIM(INDIRECT("'"&amp;$A16&amp;"'!$Q$11"))=TRIM(Tulokset!$N$9),2,0))</f>
        <v/>
      </c>
      <c r="CL16" t="str">
        <f ca="1">IF(OR(Tulokset!$O$6="",INDIRECT("'"&amp;$A16&amp;"'!$R$8")=""),"",IF(TRIM(INDIRECT("'"&amp;$A16&amp;"'!$R$8"))=TRIM(Tulokset!$O$6),2,0))</f>
        <v/>
      </c>
      <c r="CM16" t="str">
        <f ca="1">IF(OR(Tulokset!$O$7="",INDIRECT("'"&amp;$A16&amp;"'!$R$9")=""),"",IF(TRIM(INDIRECT("'"&amp;$A16&amp;"'!$R$9"))=TRIM(Tulokset!$O$7),2,0))</f>
        <v/>
      </c>
      <c r="CN16" t="str">
        <f ca="1">IF(OR(Tulokset!$O$8="",INDIRECT("'"&amp;$A16&amp;"'!$R$10")=""),"",IF(TRIM(INDIRECT("'"&amp;$A16&amp;"'!$R$10"))=TRIM(Tulokset!$O$8),2,0))</f>
        <v/>
      </c>
      <c r="CO16" t="str">
        <f ca="1">IF(OR(Tulokset!$O$9="",INDIRECT("'"&amp;$A16&amp;"'!$R$11")=""),"",IF(TRIM(INDIRECT("'"&amp;$A16&amp;"'!$R$11"))=TRIM(Tulokset!$O$9),2,0))</f>
        <v/>
      </c>
      <c r="CP16" t="str">
        <f ca="1">IF(OR(Tulokset!$P$6="",INDIRECT("'"&amp;$A16&amp;"'!$S$8")=""),"",IF(TRIM(INDIRECT("'"&amp;$A16&amp;"'!$S$8"))=TRIM(Tulokset!$P$6),2,0))</f>
        <v/>
      </c>
      <c r="CQ16" t="str">
        <f ca="1">IF(OR(Tulokset!$P$7="",INDIRECT("'"&amp;$A16&amp;"'!$S$9")=""),"",IF(TRIM(INDIRECT("'"&amp;$A16&amp;"'!$S$9"))=TRIM(Tulokset!$P$7),2,0))</f>
        <v/>
      </c>
      <c r="CR16" t="str">
        <f ca="1">IF(OR(Tulokset!$P$8="",INDIRECT("'"&amp;$A16&amp;"'!$S$10")=""),"",IF(TRIM(INDIRECT("'"&amp;$A16&amp;"'!$S$10"))=TRIM(Tulokset!$P$8),2,0))</f>
        <v/>
      </c>
      <c r="CS16" t="str">
        <f ca="1">IF(OR(Tulokset!$P$9="",INDIRECT("'"&amp;$A16&amp;"'!$S$11")=""),"",IF(TRIM(INDIRECT("'"&amp;$A16&amp;"'!$S$11"))=TRIM(Tulokset!$P$9),2,0))</f>
        <v/>
      </c>
      <c r="CT16" t="str">
        <f ca="1">IF(OR(Tulokset!$Q$6="",INDIRECT("'"&amp;$A16&amp;"'!$T$8")=""),"",IF(TRIM(INDIRECT("'"&amp;$A16&amp;"'!$T$8"))=TRIM(Tulokset!$Q$6),2,0))</f>
        <v/>
      </c>
      <c r="CU16" t="str">
        <f ca="1">IF(OR(Tulokset!$Q$7="",INDIRECT("'"&amp;$A16&amp;"'!$T$9")=""),"",IF(TRIM(INDIRECT("'"&amp;$A16&amp;"'!$T$9"))=TRIM(Tulokset!$Q$7),2,0))</f>
        <v/>
      </c>
      <c r="CV16" t="str">
        <f ca="1">IF(OR(Tulokset!$Q$8="",INDIRECT("'"&amp;$A16&amp;"'!$T$10")=""),"",IF(TRIM(INDIRECT("'"&amp;$A16&amp;"'!$T$10"))=TRIM(Tulokset!$Q$8),2,0))</f>
        <v/>
      </c>
      <c r="CW16" t="str">
        <f ca="1">IF(OR(Tulokset!$Q$9="",INDIRECT("'"&amp;$A16&amp;"'!$T$11")=""),"",IF(TRIM(INDIRECT("'"&amp;$A16&amp;"'!$T$11"))=TRIM(Tulokset!$Q$9),2,0))</f>
        <v/>
      </c>
      <c r="CX16" t="str">
        <f ca="1">IF(OR(Tulokset!$R$6="",INDIRECT("'"&amp;$A16&amp;"'!$U$8")=""),"",IF(TRIM(INDIRECT("'"&amp;$A16&amp;"'!$U$8"))=TRIM(Tulokset!$R$6),2,0))</f>
        <v/>
      </c>
      <c r="CY16" t="str">
        <f ca="1">IF(OR(Tulokset!$R$7="",INDIRECT("'"&amp;$A16&amp;"'!$U$9")=""),"",IF(TRIM(INDIRECT("'"&amp;$A16&amp;"'!$U$9"))=TRIM(Tulokset!$R$7),2,0))</f>
        <v/>
      </c>
      <c r="CZ16" t="str">
        <f ca="1">IF(OR(Tulokset!$R$8="",INDIRECT("'"&amp;$A16&amp;"'!$U$10")=""),"",IF(TRIM(INDIRECT("'"&amp;$A16&amp;"'!$U$10"))=TRIM(Tulokset!$R$8),2,0))</f>
        <v/>
      </c>
      <c r="DA16" t="str">
        <f ca="1">IF(OR(Tulokset!$R$9="",INDIRECT("'"&amp;$A16&amp;"'!$U$11")=""),"",IF(TRIM(INDIRECT("'"&amp;$A16&amp;"'!$U$11"))=TRIM(Tulokset!$R$9),2,0))</f>
        <v/>
      </c>
      <c r="DB16" t="str">
        <f ca="1">IF(OR(Tulokset!$M$12="",INDIRECT("'"&amp;$A16&amp;"'!$P$14")=""),"",IF(TRIM(INDIRECT("'"&amp;$A16&amp;"'!$P$14"))=TRIM(Tulokset!$M$12),2,0))</f>
        <v/>
      </c>
      <c r="DC16" t="str">
        <f ca="1">IF(OR(Tulokset!$M$13="",INDIRECT("'"&amp;$A16&amp;"'!$P$15")=""),"",IF(TRIM(INDIRECT("'"&amp;$A16&amp;"'!$P$15"))=TRIM(Tulokset!$M$13),2,0))</f>
        <v/>
      </c>
      <c r="DD16" t="str">
        <f ca="1">IF(OR(Tulokset!$M$14="",INDIRECT("'"&amp;$A16&amp;"'!$P$16")=""),"",IF(TRIM(INDIRECT("'"&amp;$A16&amp;"'!$P$16"))=TRIM(Tulokset!$M$14),2,0))</f>
        <v/>
      </c>
      <c r="DE16" t="str">
        <f ca="1">IF(OR(Tulokset!$M$15="",INDIRECT("'"&amp;$A16&amp;"'!$P$17")=""),"",IF(TRIM(INDIRECT("'"&amp;$A16&amp;"'!$P$17"))=TRIM(Tulokset!$M$15),2,0))</f>
        <v/>
      </c>
      <c r="DF16" t="str">
        <f ca="1">IF(OR(Tulokset!$N$12="",INDIRECT("'"&amp;$A16&amp;"'!$Q$14")=""),"",IF(TRIM(INDIRECT("'"&amp;$A16&amp;"'!$Q$14"))=TRIM(Tulokset!$N$12),2,0))</f>
        <v/>
      </c>
      <c r="DG16" t="str">
        <f ca="1">IF(OR(Tulokset!$N$13="",INDIRECT("'"&amp;$A16&amp;"'!$Q$15")=""),"",IF(TRIM(INDIRECT("'"&amp;$A16&amp;"'!$Q$15"))=TRIM(Tulokset!$N$13),2,0))</f>
        <v/>
      </c>
      <c r="DH16" t="str">
        <f ca="1">IF(OR(Tulokset!$N$14="",INDIRECT("'"&amp;$A16&amp;"'!$Q$16")=""),"",IF(TRIM(INDIRECT("'"&amp;$A16&amp;"'!$Q$16"))=TRIM(Tulokset!$N$14),2,0))</f>
        <v/>
      </c>
      <c r="DI16" t="str">
        <f ca="1">IF(OR(Tulokset!$N$15="",INDIRECT("'"&amp;$A16&amp;"'!$Q$17")=""),"",IF(TRIM(INDIRECT("'"&amp;$A16&amp;"'!$Q$17"))=TRIM(Tulokset!$N$15),2,0))</f>
        <v/>
      </c>
      <c r="DJ16" t="str">
        <f ca="1">IF(OR(Tulokset!$O$12="",INDIRECT("'"&amp;$A16&amp;"'!$R$14")=""),"",IF(TRIM(INDIRECT("'"&amp;$A16&amp;"'!$R$14"))=TRIM(Tulokset!$O$12),2,0))</f>
        <v/>
      </c>
      <c r="DK16" t="str">
        <f ca="1">IF(OR(Tulokset!$O$13="",INDIRECT("'"&amp;$A16&amp;"'!$R$15")=""),"",IF(TRIM(INDIRECT("'"&amp;$A16&amp;"'!$R$15"))=TRIM(Tulokset!$O$13),2,0))</f>
        <v/>
      </c>
      <c r="DL16" t="str">
        <f ca="1">IF(OR(Tulokset!$O$14="",INDIRECT("'"&amp;$A16&amp;"'!$R$16")=""),"",IF(TRIM(INDIRECT("'"&amp;$A16&amp;"'!$R$16"))=TRIM(Tulokset!$O$14),2,0))</f>
        <v/>
      </c>
      <c r="DM16" t="str">
        <f ca="1">IF(OR(Tulokset!$O$15="",INDIRECT("'"&amp;$A16&amp;"'!$R$17")=""),"",IF(TRIM(INDIRECT("'"&amp;$A16&amp;"'!$R$17"))=TRIM(Tulokset!$O$15),2,0))</f>
        <v/>
      </c>
      <c r="DN16" t="str">
        <f ca="1">IF(OR(Tulokset!$P$12="",INDIRECT("'"&amp;$A16&amp;"'!$S$14")=""),"",IF(TRIM(INDIRECT("'"&amp;$A16&amp;"'!$S$14"))=TRIM(Tulokset!$P$12),2,0))</f>
        <v/>
      </c>
      <c r="DO16" t="str">
        <f ca="1">IF(OR(Tulokset!$P$13="",INDIRECT("'"&amp;$A16&amp;"'!$S$15")=""),"",IF(TRIM(INDIRECT("'"&amp;$A16&amp;"'!$S$15"))=TRIM(Tulokset!$P$13),2,0))</f>
        <v/>
      </c>
      <c r="DP16" t="str">
        <f ca="1">IF(OR(Tulokset!$P$14="",INDIRECT("'"&amp;$A16&amp;"'!$S$16")=""),"",IF(TRIM(INDIRECT("'"&amp;$A16&amp;"'!$S$16"))=TRIM(Tulokset!$P$14),2,0))</f>
        <v/>
      </c>
      <c r="DQ16" t="str">
        <f ca="1">IF(OR(Tulokset!$P$15="",INDIRECT("'"&amp;$A16&amp;"'!$S$17")=""),"",IF(TRIM(INDIRECT("'"&amp;$A16&amp;"'!$S$17"))=TRIM(Tulokset!$P$15),2,0))</f>
        <v/>
      </c>
      <c r="DR16" t="str">
        <f ca="1">IF(OR(Tulokset!$Q$12="",INDIRECT("'"&amp;$A16&amp;"'!$T$14")=""),"",IF(TRIM(INDIRECT("'"&amp;$A16&amp;"'!$T$14"))=TRIM(Tulokset!$Q$12),2,0))</f>
        <v/>
      </c>
      <c r="DS16" t="str">
        <f ca="1">IF(OR(Tulokset!$Q$13="",INDIRECT("'"&amp;$A16&amp;"'!$T$15")=""),"",IF(TRIM(INDIRECT("'"&amp;$A16&amp;"'!$T$15"))=TRIM(Tulokset!$Q$13),2,0))</f>
        <v/>
      </c>
      <c r="DT16" t="str">
        <f ca="1">IF(OR(Tulokset!$Q$14="",INDIRECT("'"&amp;$A16&amp;"'!$T$16")=""),"",IF(TRIM(INDIRECT("'"&amp;$A16&amp;"'!$T$16"))=TRIM(Tulokset!$Q$14),2,0))</f>
        <v/>
      </c>
      <c r="DU16" t="str">
        <f ca="1">IF(OR(Tulokset!$Q$15="",INDIRECT("'"&amp;$A16&amp;"'!$T$17")=""),"",IF(TRIM(INDIRECT("'"&amp;$A16&amp;"'!$T$17"))=TRIM(Tulokset!$Q$15),2,0))</f>
        <v/>
      </c>
      <c r="DV16" t="str">
        <f ca="1">IF(OR(Tulokset!$R$12="",INDIRECT("'"&amp;$A16&amp;"'!$U$14")=""),"",IF(TRIM(INDIRECT("'"&amp;$A16&amp;"'!$U$14"))=TRIM(Tulokset!$R$12),2,0))</f>
        <v/>
      </c>
      <c r="DW16" t="str">
        <f ca="1">IF(OR(Tulokset!$R$13="",INDIRECT("'"&amp;$A16&amp;"'!$U$15")=""),"",IF(TRIM(INDIRECT("'"&amp;$A16&amp;"'!$U$15"))=TRIM(Tulokset!$R$13),2,0))</f>
        <v/>
      </c>
      <c r="DX16" t="str">
        <f ca="1">IF(OR(Tulokset!$R$14="",INDIRECT("'"&amp;$A16&amp;"'!$U$16")=""),"",IF(TRIM(INDIRECT("'"&amp;$A16&amp;"'!$U$16"))=TRIM(Tulokset!$R$14),2,0))</f>
        <v/>
      </c>
      <c r="DY16" t="str">
        <f ca="1">IF(OR(Tulokset!$R$15="",INDIRECT("'"&amp;$A16&amp;"'!$U$17")=""),"",IF(TRIM(INDIRECT("'"&amp;$A16&amp;"'!$U$17"))=TRIM(Tulokset!$R$15),2,0))</f>
        <v/>
      </c>
      <c r="EA16" t="str">
        <f ca="1">IF(OR(INDIRECT("'"&amp;$A16&amp;"'!$E$79")="",COUNTA(Tulokset!$M$20:$M$21)=0),"",IF(COUNTIF(Tulokset!$M$20:$M$21,INDIRECT("'"&amp;$A16&amp;"'!$E$79"))&gt;0,2,0))</f>
        <v/>
      </c>
      <c r="EB16" t="str">
        <f ca="1">IF(OR(INDIRECT("'"&amp;$A16&amp;"'!$G$79")="",COUNTA(Tulokset!$M$20:$M$21)=0),"",IF(COUNTIF(Tulokset!$M$20:$M$21,INDIRECT("'"&amp;$A16&amp;"'!$G$79"))&gt;0,2,0))</f>
        <v/>
      </c>
      <c r="EC16" t="str">
        <f ca="1">IF(OR(INDIRECT("'"&amp;$A16&amp;"'!$E$80")="",COUNTA(Tulokset!$M$23:$M$24)=0),"",IF(COUNTIF(Tulokset!$M$23:$M$24,INDIRECT("'"&amp;$A16&amp;"'!$E$80"))&gt;0,2,0))</f>
        <v/>
      </c>
      <c r="ED16" t="str">
        <f ca="1">IF(OR(INDIRECT("'"&amp;$A16&amp;"'!$G$80")="",COUNTA(Tulokset!$M$23:$M$24)=0),"",IF(COUNTIF(Tulokset!$M$23:$M$24,INDIRECT("'"&amp;$A16&amp;"'!$G$80"))&gt;0,2,0))</f>
        <v/>
      </c>
    </row>
    <row r="17" spans="1:134">
      <c r="A17" t="s">
        <v>309</v>
      </c>
      <c r="B17" t="str">
        <f t="shared" ca="1" si="0"/>
        <v>Eski66</v>
      </c>
      <c r="C17" s="95">
        <f t="shared" si="1"/>
        <v>0</v>
      </c>
      <c r="D17" s="95">
        <f t="shared" ca="1" si="2"/>
        <v>0</v>
      </c>
      <c r="E17" s="95">
        <f t="shared" ca="1" si="3"/>
        <v>0</v>
      </c>
      <c r="F17" s="95">
        <f t="shared" ca="1" si="4"/>
        <v>0</v>
      </c>
      <c r="G17" s="95">
        <f t="shared" si="5"/>
        <v>0</v>
      </c>
      <c r="H17" t="str">
        <f>IF(OR(Tulokset!$G$6="",Tulokset!$I$6="",'14'!$I$7="",'14'!$K$7=""),"",IF(SIGN('14'!$I$7-'14'!$K$7)&lt;&gt;SIGN(Tulokset!$G$6-Tulokset!$I$6),0,IF(Tulokset!$G$6=Tulokset!$I$6,IF(AND('14'!$I$7=Tulokset!$G$6,'14'!$K$7=Tulokset!$I$6),6,3),MAX(0,6-(ABS('14'!$I$7-Tulokset!$G$6)+ABS('14'!$K$7-Tulokset!$I$6))))))</f>
        <v/>
      </c>
      <c r="I17" t="str">
        <f>IF(OR(Tulokset!$G$7="",Tulokset!$I$7="",'14'!$I$8="",'14'!$K$8=""),"",IF(SIGN('14'!$I$8-'14'!$K$8)&lt;&gt;SIGN(Tulokset!$G$7-Tulokset!$I$7),0,IF(Tulokset!$G$7=Tulokset!$I$7,IF(AND('14'!$I$8=Tulokset!$G$7,'14'!$K$8=Tulokset!$I$7),6,3),MAX(0,6-(ABS('14'!$I$8-Tulokset!$G$7)+ABS('14'!$K$8-Tulokset!$I$7))))))</f>
        <v/>
      </c>
      <c r="J17" t="str">
        <f>IF(OR(Tulokset!$G$8="",Tulokset!$I$8="",'14'!$I$9="",'14'!$K$9=""),"",IF(SIGN('14'!$I$9-'14'!$K$9)&lt;&gt;SIGN(Tulokset!$G$8-Tulokset!$I$8),0,IF(Tulokset!$G$8=Tulokset!$I$8,IF(AND('14'!$I$9=Tulokset!$G$8,'14'!$K$9=Tulokset!$I$8),6,3),MAX(0,6-(ABS('14'!$I$9-Tulokset!$G$8)+ABS('14'!$K$9-Tulokset!$I$8))))))</f>
        <v/>
      </c>
      <c r="K17" t="str">
        <f>IF(OR(Tulokset!$G$9="",Tulokset!$I$9="",'14'!$I$10="",'14'!$K$10=""),"",IF(SIGN('14'!$I$10-'14'!$K$10)&lt;&gt;SIGN(Tulokset!$G$9-Tulokset!$I$9),0,IF(Tulokset!$G$9=Tulokset!$I$9,IF(AND('14'!$I$10=Tulokset!$G$9,'14'!$K$10=Tulokset!$I$9),6,3),MAX(0,6-(ABS('14'!$I$10-Tulokset!$G$9)+ABS('14'!$K$10-Tulokset!$I$9))))))</f>
        <v/>
      </c>
      <c r="L17" t="str">
        <f>IF(OR(Tulokset!$G$10="",Tulokset!$I$10="",'14'!$I$11="",'14'!$K$11=""),"",IF(SIGN('14'!$I$11-'14'!$K$11)&lt;&gt;SIGN(Tulokset!$G$10-Tulokset!$I$10),0,IF(Tulokset!$G$10=Tulokset!$I$10,IF(AND('14'!$I$11=Tulokset!$G$10,'14'!$K$11=Tulokset!$I$10),6,3),MAX(0,6-(ABS('14'!$I$11-Tulokset!$G$10)+ABS('14'!$K$11-Tulokset!$I$10))))))</f>
        <v/>
      </c>
      <c r="M17" t="str">
        <f>IF(OR(Tulokset!$G$11="",Tulokset!$I$11="",'14'!$I$12="",'14'!$K$12=""),"",IF(SIGN('14'!$I$12-'14'!$K$12)&lt;&gt;SIGN(Tulokset!$G$11-Tulokset!$I$11),0,IF(Tulokset!$G$11=Tulokset!$I$11,IF(AND('14'!$I$12=Tulokset!$G$11,'14'!$K$12=Tulokset!$I$11),6,3),MAX(0,6-(ABS('14'!$I$12-Tulokset!$G$11)+ABS('14'!$K$12-Tulokset!$I$11))))))</f>
        <v/>
      </c>
      <c r="N17" t="str">
        <f>IF(OR(Tulokset!$G$12="",Tulokset!$I$12="",'14'!$I$13="",'14'!$K$13=""),"",IF(SIGN('14'!$I$13-'14'!$K$13)&lt;&gt;SIGN(Tulokset!$G$12-Tulokset!$I$12),0,IF(Tulokset!$G$12=Tulokset!$I$12,IF(AND('14'!$I$13=Tulokset!$G$12,'14'!$K$13=Tulokset!$I$12),6,3),MAX(0,6-(ABS('14'!$I$13-Tulokset!$G$12)+ABS('14'!$K$13-Tulokset!$I$12))))))</f>
        <v/>
      </c>
      <c r="O17" t="str">
        <f>IF(OR(Tulokset!$G$13="",Tulokset!$I$13="",'14'!$I$14="",'14'!$K$14=""),"",IF(SIGN('14'!$I$14-'14'!$K$14)&lt;&gt;SIGN(Tulokset!$G$13-Tulokset!$I$13),0,IF(Tulokset!$G$13=Tulokset!$I$13,IF(AND('14'!$I$14=Tulokset!$G$13,'14'!$K$14=Tulokset!$I$13),6,3),MAX(0,6-(ABS('14'!$I$14-Tulokset!$G$13)+ABS('14'!$K$14-Tulokset!$I$13))))))</f>
        <v/>
      </c>
      <c r="P17" t="str">
        <f>IF(OR(Tulokset!$G$14="",Tulokset!$I$14="",'14'!$I$15="",'14'!$K$15=""),"",IF(SIGN('14'!$I$15-'14'!$K$15)&lt;&gt;SIGN(Tulokset!$G$14-Tulokset!$I$14),0,IF(Tulokset!$G$14=Tulokset!$I$14,IF(AND('14'!$I$15=Tulokset!$G$14,'14'!$K$15=Tulokset!$I$14),6,3),MAX(0,6-(ABS('14'!$I$15-Tulokset!$G$14)+ABS('14'!$K$15-Tulokset!$I$14))))))</f>
        <v/>
      </c>
      <c r="Q17" t="str">
        <f>IF(OR(Tulokset!$G$15="",Tulokset!$I$15="",'14'!$I$16="",'14'!$K$16=""),"",IF(SIGN('14'!$I$16-'14'!$K$16)&lt;&gt;SIGN(Tulokset!$G$15-Tulokset!$I$15),0,IF(Tulokset!$G$15=Tulokset!$I$15,IF(AND('14'!$I$16=Tulokset!$G$15,'14'!$K$16=Tulokset!$I$15),6,3),MAX(0,6-(ABS('14'!$I$16-Tulokset!$G$15)+ABS('14'!$K$16-Tulokset!$I$15))))))</f>
        <v/>
      </c>
      <c r="R17" t="str">
        <f>IF(OR(Tulokset!$G$16="",Tulokset!$I$16="",'14'!$I$17="",'14'!$K$17=""),"",IF(SIGN('14'!$I$17-'14'!$K$17)&lt;&gt;SIGN(Tulokset!$G$16-Tulokset!$I$16),0,IF(Tulokset!$G$16=Tulokset!$I$16,IF(AND('14'!$I$17=Tulokset!$G$16,'14'!$K$17=Tulokset!$I$16),6,3),MAX(0,6-(ABS('14'!$I$17-Tulokset!$G$16)+ABS('14'!$K$17-Tulokset!$I$16))))))</f>
        <v/>
      </c>
      <c r="S17" t="str">
        <f>IF(OR(Tulokset!$G$17="",Tulokset!$I$17="",'14'!$I$18="",'14'!$K$18=""),"",IF(SIGN('14'!$I$18-'14'!$K$18)&lt;&gt;SIGN(Tulokset!$G$17-Tulokset!$I$17),0,IF(Tulokset!$G$17=Tulokset!$I$17,IF(AND('14'!$I$18=Tulokset!$G$17,'14'!$K$18=Tulokset!$I$17),6,3),MAX(0,6-(ABS('14'!$I$18-Tulokset!$G$17)+ABS('14'!$K$18-Tulokset!$I$17))))))</f>
        <v/>
      </c>
      <c r="T17" t="str">
        <f>IF(OR(Tulokset!$G$18="",Tulokset!$I$18="",'14'!$I$19="",'14'!$K$19=""),"",IF(SIGN('14'!$I$19-'14'!$K$19)&lt;&gt;SIGN(Tulokset!$G$18-Tulokset!$I$18),0,IF(Tulokset!$G$18=Tulokset!$I$18,IF(AND('14'!$I$19=Tulokset!$G$18,'14'!$K$19=Tulokset!$I$18),6,3),MAX(0,6-(ABS('14'!$I$19-Tulokset!$G$18)+ABS('14'!$K$19-Tulokset!$I$18))))))</f>
        <v/>
      </c>
      <c r="U17" t="str">
        <f>IF(OR(Tulokset!$G$19="",Tulokset!$I$19="",'14'!$I$20="",'14'!$K$20=""),"",IF(SIGN('14'!$I$20-'14'!$K$20)&lt;&gt;SIGN(Tulokset!$G$19-Tulokset!$I$19),0,IF(Tulokset!$G$19=Tulokset!$I$19,IF(AND('14'!$I$20=Tulokset!$G$19,'14'!$K$20=Tulokset!$I$19),6,3),MAX(0,6-(ABS('14'!$I$20-Tulokset!$G$19)+ABS('14'!$K$20-Tulokset!$I$19))))))</f>
        <v/>
      </c>
      <c r="V17" t="str">
        <f>IF(OR(Tulokset!$G$20="",Tulokset!$I$20="",'14'!$I$21="",'14'!$K$21=""),"",IF(SIGN('14'!$I$21-'14'!$K$21)&lt;&gt;SIGN(Tulokset!$G$20-Tulokset!$I$20),0,IF(Tulokset!$G$20=Tulokset!$I$20,IF(AND('14'!$I$21=Tulokset!$G$20,'14'!$K$21=Tulokset!$I$20),6,3),MAX(0,6-(ABS('14'!$I$21-Tulokset!$G$20)+ABS('14'!$K$21-Tulokset!$I$20))))))</f>
        <v/>
      </c>
      <c r="W17" t="str">
        <f>IF(OR(Tulokset!$G$21="",Tulokset!$I$21="",'14'!$I$22="",'14'!$K$22=""),"",IF(SIGN('14'!$I$22-'14'!$K$22)&lt;&gt;SIGN(Tulokset!$G$21-Tulokset!$I$21),0,IF(Tulokset!$G$21=Tulokset!$I$21,IF(AND('14'!$I$22=Tulokset!$G$21,'14'!$K$22=Tulokset!$I$21),6,3),MAX(0,6-(ABS('14'!$I$22-Tulokset!$G$21)+ABS('14'!$K$22-Tulokset!$I$21))))))</f>
        <v/>
      </c>
      <c r="X17" t="str">
        <f>IF(OR(Tulokset!$G$22="",Tulokset!$I$22="",'14'!$I$23="",'14'!$K$23=""),"",IF(SIGN('14'!$I$23-'14'!$K$23)&lt;&gt;SIGN(Tulokset!$G$22-Tulokset!$I$22),0,IF(Tulokset!$G$22=Tulokset!$I$22,IF(AND('14'!$I$23=Tulokset!$G$22,'14'!$K$23=Tulokset!$I$22),6,3),MAX(0,6-(ABS('14'!$I$23-Tulokset!$G$22)+ABS('14'!$K$23-Tulokset!$I$22))))))</f>
        <v/>
      </c>
      <c r="Y17" t="str">
        <f>IF(OR(Tulokset!$G$23="",Tulokset!$I$23="",'14'!$I$24="",'14'!$K$24=""),"",IF(SIGN('14'!$I$24-'14'!$K$24)&lt;&gt;SIGN(Tulokset!$G$23-Tulokset!$I$23),0,IF(Tulokset!$G$23=Tulokset!$I$23,IF(AND('14'!$I$24=Tulokset!$G$23,'14'!$K$24=Tulokset!$I$23),6,3),MAX(0,6-(ABS('14'!$I$24-Tulokset!$G$23)+ABS('14'!$K$24-Tulokset!$I$23))))))</f>
        <v/>
      </c>
      <c r="Z17" t="str">
        <f>IF(OR(Tulokset!$G$24="",Tulokset!$I$24="",'14'!$I$25="",'14'!$K$25=""),"",IF(SIGN('14'!$I$25-'14'!$K$25)&lt;&gt;SIGN(Tulokset!$G$24-Tulokset!$I$24),0,IF(Tulokset!$G$24=Tulokset!$I$24,IF(AND('14'!$I$25=Tulokset!$G$24,'14'!$K$25=Tulokset!$I$24),6,3),MAX(0,6-(ABS('14'!$I$25-Tulokset!$G$24)+ABS('14'!$K$25-Tulokset!$I$24))))))</f>
        <v/>
      </c>
      <c r="AA17" t="str">
        <f>IF(OR(Tulokset!$G$25="",Tulokset!$I$25="",'14'!$I$26="",'14'!$K$26=""),"",IF(SIGN('14'!$I$26-'14'!$K$26)&lt;&gt;SIGN(Tulokset!$G$25-Tulokset!$I$25),0,IF(Tulokset!$G$25=Tulokset!$I$25,IF(AND('14'!$I$26=Tulokset!$G$25,'14'!$K$26=Tulokset!$I$25),6,3),MAX(0,6-(ABS('14'!$I$26-Tulokset!$G$25)+ABS('14'!$K$26-Tulokset!$I$25))))))</f>
        <v/>
      </c>
      <c r="AB17" t="str">
        <f>IF(OR(Tulokset!$G$26="",Tulokset!$I$26="",'14'!$I$27="",'14'!$K$27=""),"",IF(SIGN('14'!$I$27-'14'!$K$27)&lt;&gt;SIGN(Tulokset!$G$26-Tulokset!$I$26),0,IF(Tulokset!$G$26=Tulokset!$I$26,IF(AND('14'!$I$27=Tulokset!$G$26,'14'!$K$27=Tulokset!$I$26),6,3),MAX(0,6-(ABS('14'!$I$27-Tulokset!$G$26)+ABS('14'!$K$27-Tulokset!$I$26))))))</f>
        <v/>
      </c>
      <c r="AC17" t="str">
        <f>IF(OR(Tulokset!$G$27="",Tulokset!$I$27="",'14'!$I$28="",'14'!$K$28=""),"",IF(SIGN('14'!$I$28-'14'!$K$28)&lt;&gt;SIGN(Tulokset!$G$27-Tulokset!$I$27),0,IF(Tulokset!$G$27=Tulokset!$I$27,IF(AND('14'!$I$28=Tulokset!$G$27,'14'!$K$28=Tulokset!$I$27),6,3),MAX(0,6-(ABS('14'!$I$28-Tulokset!$G$27)+ABS('14'!$K$28-Tulokset!$I$27))))))</f>
        <v/>
      </c>
      <c r="AD17" t="str">
        <f>IF(OR(Tulokset!$G$28="",Tulokset!$I$28="",'14'!$I$29="",'14'!$K$29=""),"",IF(SIGN('14'!$I$29-'14'!$K$29)&lt;&gt;SIGN(Tulokset!$G$28-Tulokset!$I$28),0,IF(Tulokset!$G$28=Tulokset!$I$28,IF(AND('14'!$I$29=Tulokset!$G$28,'14'!$K$29=Tulokset!$I$28),6,3),MAX(0,6-(ABS('14'!$I$29-Tulokset!$G$28)+ABS('14'!$K$29-Tulokset!$I$28))))))</f>
        <v/>
      </c>
      <c r="AE17" t="str">
        <f>IF(OR(Tulokset!$G$29="",Tulokset!$I$29="",'14'!$I$30="",'14'!$K$30=""),"",IF(SIGN('14'!$I$30-'14'!$K$30)&lt;&gt;SIGN(Tulokset!$G$29-Tulokset!$I$29),0,IF(Tulokset!$G$29=Tulokset!$I$29,IF(AND('14'!$I$30=Tulokset!$G$29,'14'!$K$30=Tulokset!$I$29),6,3),MAX(0,6-(ABS('14'!$I$30-Tulokset!$G$29)+ABS('14'!$K$30-Tulokset!$I$29))))))</f>
        <v/>
      </c>
      <c r="AF17" t="str">
        <f>IF(OR(Tulokset!$G$30="",Tulokset!$I$30="",'14'!$I$31="",'14'!$K$31=""),"",IF(SIGN('14'!$I$31-'14'!$K$31)&lt;&gt;SIGN(Tulokset!$G$30-Tulokset!$I$30),0,IF(Tulokset!$G$30=Tulokset!$I$30,IF(AND('14'!$I$31=Tulokset!$G$30,'14'!$K$31=Tulokset!$I$30),6,3),MAX(0,6-(ABS('14'!$I$31-Tulokset!$G$30)+ABS('14'!$K$31-Tulokset!$I$30))))))</f>
        <v/>
      </c>
      <c r="AG17" t="str">
        <f>IF(OR(Tulokset!$G$31="",Tulokset!$I$31="",'14'!$I$32="",'14'!$K$32=""),"",IF(SIGN('14'!$I$32-'14'!$K$32)&lt;&gt;SIGN(Tulokset!$G$31-Tulokset!$I$31),0,IF(Tulokset!$G$31=Tulokset!$I$31,IF(AND('14'!$I$32=Tulokset!$G$31,'14'!$K$32=Tulokset!$I$31),6,3),MAX(0,6-(ABS('14'!$I$32-Tulokset!$G$31)+ABS('14'!$K$32-Tulokset!$I$31))))))</f>
        <v/>
      </c>
      <c r="AH17" t="str">
        <f>IF(OR(Tulokset!$G$32="",Tulokset!$I$32="",'14'!$I$33="",'14'!$K$33=""),"",IF(SIGN('14'!$I$33-'14'!$K$33)&lt;&gt;SIGN(Tulokset!$G$32-Tulokset!$I$32),0,IF(Tulokset!$G$32=Tulokset!$I$32,IF(AND('14'!$I$33=Tulokset!$G$32,'14'!$K$33=Tulokset!$I$32),6,3),MAX(0,6-(ABS('14'!$I$33-Tulokset!$G$32)+ABS('14'!$K$33-Tulokset!$I$32))))))</f>
        <v/>
      </c>
      <c r="AI17" t="str">
        <f>IF(OR(Tulokset!$G$33="",Tulokset!$I$33="",'14'!$I$34="",'14'!$K$34=""),"",IF(SIGN('14'!$I$34-'14'!$K$34)&lt;&gt;SIGN(Tulokset!$G$33-Tulokset!$I$33),0,IF(Tulokset!$G$33=Tulokset!$I$33,IF(AND('14'!$I$34=Tulokset!$G$33,'14'!$K$34=Tulokset!$I$33),6,3),MAX(0,6-(ABS('14'!$I$34-Tulokset!$G$33)+ABS('14'!$K$34-Tulokset!$I$33))))))</f>
        <v/>
      </c>
      <c r="AJ17" t="str">
        <f>IF(OR(Tulokset!$G$34="",Tulokset!$I$34="",'14'!$I$35="",'14'!$K$35=""),"",IF(SIGN('14'!$I$35-'14'!$K$35)&lt;&gt;SIGN(Tulokset!$G$34-Tulokset!$I$34),0,IF(Tulokset!$G$34=Tulokset!$I$34,IF(AND('14'!$I$35=Tulokset!$G$34,'14'!$K$35=Tulokset!$I$34),6,3),MAX(0,6-(ABS('14'!$I$35-Tulokset!$G$34)+ABS('14'!$K$35-Tulokset!$I$34))))))</f>
        <v/>
      </c>
      <c r="AK17" t="str">
        <f>IF(OR(Tulokset!$G$35="",Tulokset!$I$35="",'14'!$I$36="",'14'!$K$36=""),"",IF(SIGN('14'!$I$36-'14'!$K$36)&lt;&gt;SIGN(Tulokset!$G$35-Tulokset!$I$35),0,IF(Tulokset!$G$35=Tulokset!$I$35,IF(AND('14'!$I$36=Tulokset!$G$35,'14'!$K$36=Tulokset!$I$35),6,3),MAX(0,6-(ABS('14'!$I$36-Tulokset!$G$35)+ABS('14'!$K$36-Tulokset!$I$35))))))</f>
        <v/>
      </c>
      <c r="AL17" t="str">
        <f>IF(OR(Tulokset!$G$36="",Tulokset!$I$36="",'14'!$I$37="",'14'!$K$37=""),"",IF(SIGN('14'!$I$37-'14'!$K$37)&lt;&gt;SIGN(Tulokset!$G$36-Tulokset!$I$36),0,IF(Tulokset!$G$36=Tulokset!$I$36,IF(AND('14'!$I$37=Tulokset!$G$36,'14'!$K$37=Tulokset!$I$36),6,3),MAX(0,6-(ABS('14'!$I$37-Tulokset!$G$36)+ABS('14'!$K$37-Tulokset!$I$36))))))</f>
        <v/>
      </c>
      <c r="AM17" t="str">
        <f>IF(OR(Tulokset!$G$37="",Tulokset!$I$37="",'14'!$I$38="",'14'!$K$38=""),"",IF(SIGN('14'!$I$38-'14'!$K$38)&lt;&gt;SIGN(Tulokset!$G$37-Tulokset!$I$37),0,IF(Tulokset!$G$37=Tulokset!$I$37,IF(AND('14'!$I$38=Tulokset!$G$37,'14'!$K$38=Tulokset!$I$37),6,3),MAX(0,6-(ABS('14'!$I$38-Tulokset!$G$37)+ABS('14'!$K$38-Tulokset!$I$37))))))</f>
        <v/>
      </c>
      <c r="AN17" t="str">
        <f>IF(OR(Tulokset!$G$38="",Tulokset!$I$38="",'14'!$I$39="",'14'!$K$39=""),"",IF(SIGN('14'!$I$39-'14'!$K$39)&lt;&gt;SIGN(Tulokset!$G$38-Tulokset!$I$38),0,IF(Tulokset!$G$38=Tulokset!$I$38,IF(AND('14'!$I$39=Tulokset!$G$38,'14'!$K$39=Tulokset!$I$38),6,3),MAX(0,6-(ABS('14'!$I$39-Tulokset!$G$38)+ABS('14'!$K$39-Tulokset!$I$38))))))</f>
        <v/>
      </c>
      <c r="AO17" t="str">
        <f>IF(OR(Tulokset!$G$39="",Tulokset!$I$39="",'14'!$I$40="",'14'!$K$40=""),"",IF(SIGN('14'!$I$40-'14'!$K$40)&lt;&gt;SIGN(Tulokset!$G$39-Tulokset!$I$39),0,IF(Tulokset!$G$39=Tulokset!$I$39,IF(AND('14'!$I$40=Tulokset!$G$39,'14'!$K$40=Tulokset!$I$39),6,3),MAX(0,6-(ABS('14'!$I$40-Tulokset!$G$39)+ABS('14'!$K$40-Tulokset!$I$39))))))</f>
        <v/>
      </c>
      <c r="AP17" t="str">
        <f>IF(OR(Tulokset!$G$40="",Tulokset!$I$40="",'14'!$I$41="",'14'!$K$41=""),"",IF(SIGN('14'!$I$41-'14'!$K$41)&lt;&gt;SIGN(Tulokset!$G$40-Tulokset!$I$40),0,IF(Tulokset!$G$40=Tulokset!$I$40,IF(AND('14'!$I$41=Tulokset!$G$40,'14'!$K$41=Tulokset!$I$40),6,3),MAX(0,6-(ABS('14'!$I$41-Tulokset!$G$40)+ABS('14'!$K$41-Tulokset!$I$40))))))</f>
        <v/>
      </c>
      <c r="AQ17" t="str">
        <f>IF(OR(Tulokset!$G$41="",Tulokset!$I$41="",'14'!$I$42="",'14'!$K$42=""),"",IF(SIGN('14'!$I$42-'14'!$K$42)&lt;&gt;SIGN(Tulokset!$G$41-Tulokset!$I$41),0,IF(Tulokset!$G$41=Tulokset!$I$41,IF(AND('14'!$I$42=Tulokset!$G$41,'14'!$K$42=Tulokset!$I$41),6,3),MAX(0,6-(ABS('14'!$I$42-Tulokset!$G$41)+ABS('14'!$K$42-Tulokset!$I$41))))))</f>
        <v/>
      </c>
      <c r="AR17" t="str">
        <f>IF(OR(Tulokset!$G$42="",Tulokset!$I$42="",'14'!$I$43="",'14'!$K$43=""),"",IF(SIGN('14'!$I$43-'14'!$K$43)&lt;&gt;SIGN(Tulokset!$G$42-Tulokset!$I$42),0,IF(Tulokset!$G$42=Tulokset!$I$42,IF(AND('14'!$I$43=Tulokset!$G$42,'14'!$K$43=Tulokset!$I$42),6,3),MAX(0,6-(ABS('14'!$I$43-Tulokset!$G$42)+ABS('14'!$K$43-Tulokset!$I$42))))))</f>
        <v/>
      </c>
      <c r="AS17" t="str">
        <f>IF(OR(Tulokset!$G$43="",Tulokset!$I$43="",'14'!$I$44="",'14'!$K$44=""),"",IF(SIGN('14'!$I$44-'14'!$K$44)&lt;&gt;SIGN(Tulokset!$G$43-Tulokset!$I$43),0,IF(Tulokset!$G$43=Tulokset!$I$43,IF(AND('14'!$I$44=Tulokset!$G$43,'14'!$K$44=Tulokset!$I$43),6,3),MAX(0,6-(ABS('14'!$I$44-Tulokset!$G$43)+ABS('14'!$K$44-Tulokset!$I$43))))))</f>
        <v/>
      </c>
      <c r="AT17" t="str">
        <f>IF(OR(Tulokset!$G$44="",Tulokset!$I$44="",'14'!$I$45="",'14'!$K$45=""),"",IF(SIGN('14'!$I$45-'14'!$K$45)&lt;&gt;SIGN(Tulokset!$G$44-Tulokset!$I$44),0,IF(Tulokset!$G$44=Tulokset!$I$44,IF(AND('14'!$I$45=Tulokset!$G$44,'14'!$K$45=Tulokset!$I$44),6,3),MAX(0,6-(ABS('14'!$I$45-Tulokset!$G$44)+ABS('14'!$K$45-Tulokset!$I$44))))))</f>
        <v/>
      </c>
      <c r="AU17" t="str">
        <f>IF(OR(Tulokset!$G$45="",Tulokset!$I$45="",'14'!$I$46="",'14'!$K$46=""),"",IF(SIGN('14'!$I$46-'14'!$K$46)&lt;&gt;SIGN(Tulokset!$G$45-Tulokset!$I$45),0,IF(Tulokset!$G$45=Tulokset!$I$45,IF(AND('14'!$I$46=Tulokset!$G$45,'14'!$K$46=Tulokset!$I$45),6,3),MAX(0,6-(ABS('14'!$I$46-Tulokset!$G$45)+ABS('14'!$K$46-Tulokset!$I$45))))))</f>
        <v/>
      </c>
      <c r="AV17" t="str">
        <f>IF(OR(Tulokset!$G$46="",Tulokset!$I$46="",'14'!$I$47="",'14'!$K$47=""),"",IF(SIGN('14'!$I$47-'14'!$K$47)&lt;&gt;SIGN(Tulokset!$G$46-Tulokset!$I$46),0,IF(Tulokset!$G$46=Tulokset!$I$46,IF(AND('14'!$I$47=Tulokset!$G$46,'14'!$K$47=Tulokset!$I$46),6,3),MAX(0,6-(ABS('14'!$I$47-Tulokset!$G$46)+ABS('14'!$K$47-Tulokset!$I$46))))))</f>
        <v/>
      </c>
      <c r="AW17" t="str">
        <f>IF(OR(Tulokset!$G$47="",Tulokset!$I$47="",'14'!$I$48="",'14'!$K$48=""),"",IF(SIGN('14'!$I$48-'14'!$K$48)&lt;&gt;SIGN(Tulokset!$G$47-Tulokset!$I$47),0,IF(Tulokset!$G$47=Tulokset!$I$47,IF(AND('14'!$I$48=Tulokset!$G$47,'14'!$K$48=Tulokset!$I$47),6,3),MAX(0,6-(ABS('14'!$I$48-Tulokset!$G$47)+ABS('14'!$K$48-Tulokset!$I$47))))))</f>
        <v/>
      </c>
      <c r="AX17" t="str">
        <f>IF(OR(Tulokset!$G$48="",Tulokset!$I$48="",'14'!$I$49="",'14'!$K$49=""),"",IF(SIGN('14'!$I$49-'14'!$K$49)&lt;&gt;SIGN(Tulokset!$G$48-Tulokset!$I$48),0,IF(Tulokset!$G$48=Tulokset!$I$48,IF(AND('14'!$I$49=Tulokset!$G$48,'14'!$K$49=Tulokset!$I$48),6,3),MAX(0,6-(ABS('14'!$I$49-Tulokset!$G$48)+ABS('14'!$K$49-Tulokset!$I$48))))))</f>
        <v/>
      </c>
      <c r="AY17" t="str">
        <f>IF(OR(Tulokset!$G$49="",Tulokset!$I$49="",'14'!$I$50="",'14'!$K$50=""),"",IF(SIGN('14'!$I$50-'14'!$K$50)&lt;&gt;SIGN(Tulokset!$G$49-Tulokset!$I$49),0,IF(Tulokset!$G$49=Tulokset!$I$49,IF(AND('14'!$I$50=Tulokset!$G$49,'14'!$K$50=Tulokset!$I$49),6,3),MAX(0,6-(ABS('14'!$I$50-Tulokset!$G$49)+ABS('14'!$K$50-Tulokset!$I$49))))))</f>
        <v/>
      </c>
      <c r="AZ17" t="str">
        <f>IF(OR(Tulokset!$G$50="",Tulokset!$I$50="",'14'!$I$51="",'14'!$K$51=""),"",IF(SIGN('14'!$I$51-'14'!$K$51)&lt;&gt;SIGN(Tulokset!$G$50-Tulokset!$I$50),0,IF(Tulokset!$G$50=Tulokset!$I$50,IF(AND('14'!$I$51=Tulokset!$G$50,'14'!$K$51=Tulokset!$I$50),6,3),MAX(0,6-(ABS('14'!$I$51-Tulokset!$G$50)+ABS('14'!$K$51-Tulokset!$I$50))))))</f>
        <v/>
      </c>
      <c r="BA17" t="str">
        <f>IF(OR(Tulokset!$G$51="",Tulokset!$I$51="",'14'!$I$52="",'14'!$K$52=""),"",IF(SIGN('14'!$I$52-'14'!$K$52)&lt;&gt;SIGN(Tulokset!$G$51-Tulokset!$I$51),0,IF(Tulokset!$G$51=Tulokset!$I$51,IF(AND('14'!$I$52=Tulokset!$G$51,'14'!$K$52=Tulokset!$I$51),6,3),MAX(0,6-(ABS('14'!$I$52-Tulokset!$G$51)+ABS('14'!$K$52-Tulokset!$I$51))))))</f>
        <v/>
      </c>
      <c r="BB17" t="str">
        <f>IF(OR(Tulokset!$G$52="",Tulokset!$I$52="",'14'!$I$53="",'14'!$K$53=""),"",IF(SIGN('14'!$I$53-'14'!$K$53)&lt;&gt;SIGN(Tulokset!$G$52-Tulokset!$I$52),0,IF(Tulokset!$G$52=Tulokset!$I$52,IF(AND('14'!$I$53=Tulokset!$G$52,'14'!$K$53=Tulokset!$I$52),6,3),MAX(0,6-(ABS('14'!$I$53-Tulokset!$G$52)+ABS('14'!$K$53-Tulokset!$I$52))))))</f>
        <v/>
      </c>
      <c r="BC17" t="str">
        <f>IF(OR(Tulokset!$G$53="",Tulokset!$I$53="",'14'!$I$54="",'14'!$K$54=""),"",IF(SIGN('14'!$I$54-'14'!$K$54)&lt;&gt;SIGN(Tulokset!$G$53-Tulokset!$I$53),0,IF(Tulokset!$G$53=Tulokset!$I$53,IF(AND('14'!$I$54=Tulokset!$G$53,'14'!$K$54=Tulokset!$I$53),6,3),MAX(0,6-(ABS('14'!$I$54-Tulokset!$G$53)+ABS('14'!$K$54-Tulokset!$I$53))))))</f>
        <v/>
      </c>
      <c r="BD17" t="str">
        <f>IF(OR(Tulokset!$G$54="",Tulokset!$I$54="",'14'!$I$55="",'14'!$K$55=""),"",IF(SIGN('14'!$I$55-'14'!$K$55)&lt;&gt;SIGN(Tulokset!$G$54-Tulokset!$I$54),0,IF(Tulokset!$G$54=Tulokset!$I$54,IF(AND('14'!$I$55=Tulokset!$G$54,'14'!$K$55=Tulokset!$I$54),6,3),MAX(0,6-(ABS('14'!$I$55-Tulokset!$G$54)+ABS('14'!$K$55-Tulokset!$I$54))))))</f>
        <v/>
      </c>
      <c r="BE17" t="str">
        <f>IF(OR(Tulokset!$G$55="",Tulokset!$I$55="",'14'!$I$56="",'14'!$K$56=""),"",IF(SIGN('14'!$I$56-'14'!$K$56)&lt;&gt;SIGN(Tulokset!$G$55-Tulokset!$I$55),0,IF(Tulokset!$G$55=Tulokset!$I$55,IF(AND('14'!$I$56=Tulokset!$G$55,'14'!$K$56=Tulokset!$I$55),6,3),MAX(0,6-(ABS('14'!$I$56-Tulokset!$G$55)+ABS('14'!$K$56-Tulokset!$I$55))))))</f>
        <v/>
      </c>
      <c r="BF17" t="str">
        <f>IF(OR(Tulokset!$G$56="",Tulokset!$I$56="",'14'!$I$57="",'14'!$K$57=""),"",IF(SIGN('14'!$I$57-'14'!$K$57)&lt;&gt;SIGN(Tulokset!$G$56-Tulokset!$I$56),0,IF(Tulokset!$G$56=Tulokset!$I$56,IF(AND('14'!$I$57=Tulokset!$G$56,'14'!$K$57=Tulokset!$I$56),6,3),MAX(0,6-(ABS('14'!$I$57-Tulokset!$G$56)+ABS('14'!$K$57-Tulokset!$I$56))))))</f>
        <v/>
      </c>
      <c r="BG17" t="str">
        <f>IF(OR(Tulokset!$G$57="",Tulokset!$I$57="",'14'!$I$58="",'14'!$K$58=""),"",IF(SIGN('14'!$I$58-'14'!$K$58)&lt;&gt;SIGN(Tulokset!$G$57-Tulokset!$I$57),0,IF(Tulokset!$G$57=Tulokset!$I$57,IF(AND('14'!$I$58=Tulokset!$G$57,'14'!$K$58=Tulokset!$I$57),6,3),MAX(0,6-(ABS('14'!$I$58-Tulokset!$G$57)+ABS('14'!$K$58-Tulokset!$I$57))))))</f>
        <v/>
      </c>
      <c r="BH17" t="str">
        <f>IF(OR(Tulokset!$G$58="",Tulokset!$I$58="",'14'!$I$59="",'14'!$K$59=""),"",IF(SIGN('14'!$I$59-'14'!$K$59)&lt;&gt;SIGN(Tulokset!$G$58-Tulokset!$I$58),0,IF(Tulokset!$G$58=Tulokset!$I$58,IF(AND('14'!$I$59=Tulokset!$G$58,'14'!$K$59=Tulokset!$I$58),6,3),MAX(0,6-(ABS('14'!$I$59-Tulokset!$G$58)+ABS('14'!$K$59-Tulokset!$I$58))))))</f>
        <v/>
      </c>
      <c r="BI17" t="str">
        <f>IF(OR(Tulokset!$G$59="",Tulokset!$I$59="",'14'!$I$60="",'14'!$K$60=""),"",IF(SIGN('14'!$I$60-'14'!$K$60)&lt;&gt;SIGN(Tulokset!$G$59-Tulokset!$I$59),0,IF(Tulokset!$G$59=Tulokset!$I$59,IF(AND('14'!$I$60=Tulokset!$G$59,'14'!$K$60=Tulokset!$I$59),6,3),MAX(0,6-(ABS('14'!$I$60-Tulokset!$G$59)+ABS('14'!$K$60-Tulokset!$I$59))))))</f>
        <v/>
      </c>
      <c r="BJ17" t="str">
        <f>IF(OR(Tulokset!$G$60="",Tulokset!$I$60="",'14'!$I$61="",'14'!$K$61=""),"",IF(SIGN('14'!$I$61-'14'!$K$61)&lt;&gt;SIGN(Tulokset!$G$60-Tulokset!$I$60),0,IF(Tulokset!$G$60=Tulokset!$I$60,IF(AND('14'!$I$61=Tulokset!$G$60,'14'!$K$61=Tulokset!$I$60),6,3),MAX(0,6-(ABS('14'!$I$61-Tulokset!$G$60)+ABS('14'!$K$61-Tulokset!$I$60))))))</f>
        <v/>
      </c>
      <c r="BK17" t="str">
        <f>IF(OR(Tulokset!$G$61="",Tulokset!$I$61="",'14'!$I$62="",'14'!$K$62=""),"",IF(SIGN('14'!$I$62-'14'!$K$62)&lt;&gt;SIGN(Tulokset!$G$61-Tulokset!$I$61),0,IF(Tulokset!$G$61=Tulokset!$I$61,IF(AND('14'!$I$62=Tulokset!$G$61,'14'!$K$62=Tulokset!$I$61),6,3),MAX(0,6-(ABS('14'!$I$62-Tulokset!$G$61)+ABS('14'!$K$62-Tulokset!$I$61))))))</f>
        <v/>
      </c>
      <c r="BL17" t="str">
        <f>IF(OR(Tulokset!$G$62="",Tulokset!$I$62="",'14'!$I$63="",'14'!$K$63=""),"",IF(SIGN('14'!$I$63-'14'!$K$63)&lt;&gt;SIGN(Tulokset!$G$62-Tulokset!$I$62),0,IF(Tulokset!$G$62=Tulokset!$I$62,IF(AND('14'!$I$63=Tulokset!$G$62,'14'!$K$63=Tulokset!$I$62),6,3),MAX(0,6-(ABS('14'!$I$63-Tulokset!$G$62)+ABS('14'!$K$63-Tulokset!$I$62))))))</f>
        <v/>
      </c>
      <c r="BM17" t="str">
        <f>IF(OR(Tulokset!$G$63="",Tulokset!$I$63="",'14'!$I$64="",'14'!$K$64=""),"",IF(SIGN('14'!$I$64-'14'!$K$64)&lt;&gt;SIGN(Tulokset!$G$63-Tulokset!$I$63),0,IF(Tulokset!$G$63=Tulokset!$I$63,IF(AND('14'!$I$64=Tulokset!$G$63,'14'!$K$64=Tulokset!$I$63),6,3),MAX(0,6-(ABS('14'!$I$64-Tulokset!$G$63)+ABS('14'!$K$64-Tulokset!$I$63))))))</f>
        <v/>
      </c>
      <c r="BN17" t="str">
        <f>IF(OR(Tulokset!$G$64="",Tulokset!$I$64="",'14'!$I$65="",'14'!$K$65=""),"",IF(SIGN('14'!$I$65-'14'!$K$65)&lt;&gt;SIGN(Tulokset!$G$64-Tulokset!$I$64),0,IF(Tulokset!$G$64=Tulokset!$I$64,IF(AND('14'!$I$65=Tulokset!$G$64,'14'!$K$65=Tulokset!$I$64),6,3),MAX(0,6-(ABS('14'!$I$65-Tulokset!$G$64)+ABS('14'!$K$65-Tulokset!$I$64))))))</f>
        <v/>
      </c>
      <c r="BO17" t="str">
        <f>IF(OR(Tulokset!$G$65="",Tulokset!$I$65="",'14'!$I$66="",'14'!$K$66=""),"",IF(SIGN('14'!$I$66-'14'!$K$66)&lt;&gt;SIGN(Tulokset!$G$65-Tulokset!$I$65),0,IF(Tulokset!$G$65=Tulokset!$I$65,IF(AND('14'!$I$66=Tulokset!$G$65,'14'!$K$66=Tulokset!$I$65),6,3),MAX(0,6-(ABS('14'!$I$66-Tulokset!$G$65)+ABS('14'!$K$66-Tulokset!$I$65))))))</f>
        <v/>
      </c>
      <c r="BP17" t="str">
        <f>IF(OR(Tulokset!$G$66="",Tulokset!$I$66="",'14'!$I$67="",'14'!$K$67=""),"",IF(SIGN('14'!$I$67-'14'!$K$67)&lt;&gt;SIGN(Tulokset!$G$66-Tulokset!$I$66),0,IF(Tulokset!$G$66=Tulokset!$I$66,IF(AND('14'!$I$67=Tulokset!$G$66,'14'!$K$67=Tulokset!$I$66),6,3),MAX(0,6-(ABS('14'!$I$67-Tulokset!$G$66)+ABS('14'!$K$67-Tulokset!$I$66))))))</f>
        <v/>
      </c>
      <c r="BQ17" t="str">
        <f>IF(OR(Tulokset!$G$67="",Tulokset!$I$67="",'14'!$I$68="",'14'!$K$68=""),"",IF(SIGN('14'!$I$68-'14'!$K$68)&lt;&gt;SIGN(Tulokset!$G$67-Tulokset!$I$67),0,IF(Tulokset!$G$67=Tulokset!$I$67,IF(AND('14'!$I$68=Tulokset!$G$67,'14'!$K$68=Tulokset!$I$67),6,3),MAX(0,6-(ABS('14'!$I$68-Tulokset!$G$67)+ABS('14'!$K$68-Tulokset!$I$67))))))</f>
        <v/>
      </c>
      <c r="BR17" t="str">
        <f>IF(OR(Tulokset!$G$68="",Tulokset!$I$68="",'14'!$I$69="",'14'!$K$69=""),"",IF(SIGN('14'!$I$69-'14'!$K$69)&lt;&gt;SIGN(Tulokset!$G$68-Tulokset!$I$68),0,IF(Tulokset!$G$68=Tulokset!$I$68,IF(AND('14'!$I$69=Tulokset!$G$68,'14'!$K$69=Tulokset!$I$68),6,3),MAX(0,6-(ABS('14'!$I$69-Tulokset!$G$68)+ABS('14'!$K$69-Tulokset!$I$68))))))</f>
        <v/>
      </c>
      <c r="BS17" t="str">
        <f>IF(OR(Tulokset!$G$69="",Tulokset!$I$69="",'14'!$I$70="",'14'!$K$70=""),"",IF(SIGN('14'!$I$70-'14'!$K$70)&lt;&gt;SIGN(Tulokset!$G$69-Tulokset!$I$69),0,IF(Tulokset!$G$69=Tulokset!$I$69,IF(AND('14'!$I$70=Tulokset!$G$69,'14'!$K$70=Tulokset!$I$69),6,3),MAX(0,6-(ABS('14'!$I$70-Tulokset!$G$69)+ABS('14'!$K$70-Tulokset!$I$69))))))</f>
        <v/>
      </c>
      <c r="BT17" t="str">
        <f>IF(OR(Tulokset!$G$70="",Tulokset!$I$70="",'14'!$I$71="",'14'!$K$71=""),"",IF(SIGN('14'!$I$71-'14'!$K$71)&lt;&gt;SIGN(Tulokset!$G$70-Tulokset!$I$70),0,IF(Tulokset!$G$70=Tulokset!$I$70,IF(AND('14'!$I$71=Tulokset!$G$70,'14'!$K$71=Tulokset!$I$70),6,3),MAX(0,6-(ABS('14'!$I$71-Tulokset!$G$70)+ABS('14'!$K$71-Tulokset!$I$70))))))</f>
        <v/>
      </c>
      <c r="BU17" t="str">
        <f>IF(OR(Tulokset!$G$71="",Tulokset!$I$71="",'14'!$I$72="",'14'!$K$72=""),"",IF(SIGN('14'!$I$72-'14'!$K$72)&lt;&gt;SIGN(Tulokset!$G$71-Tulokset!$I$71),0,IF(Tulokset!$G$71=Tulokset!$I$71,IF(AND('14'!$I$72=Tulokset!$G$71,'14'!$K$72=Tulokset!$I$71),6,3),MAX(0,6-(ABS('14'!$I$72-Tulokset!$G$71)+ABS('14'!$K$72-Tulokset!$I$71))))))</f>
        <v/>
      </c>
      <c r="BV17" t="str">
        <f>IF(OR(Tulokset!$G$72="",Tulokset!$I$72="",'14'!$I$73="",'14'!$K$73=""),"",IF(SIGN('14'!$I$73-'14'!$K$73)&lt;&gt;SIGN(Tulokset!$G$72-Tulokset!$I$72),0,IF(Tulokset!$G$72=Tulokset!$I$72,IF(AND('14'!$I$73=Tulokset!$G$72,'14'!$K$73=Tulokset!$I$72),6,3),MAX(0,6-(ABS('14'!$I$73-Tulokset!$G$72)+ABS('14'!$K$73-Tulokset!$I$72))))))</f>
        <v/>
      </c>
      <c r="BW17" t="str">
        <f>IF(OR(Tulokset!$G$73="",Tulokset!$I$73="",'14'!$I$74="",'14'!$K$74=""),"",IF(SIGN('14'!$I$74-'14'!$K$74)&lt;&gt;SIGN(Tulokset!$G$73-Tulokset!$I$73),0,IF(Tulokset!$G$73=Tulokset!$I$73,IF(AND('14'!$I$74=Tulokset!$G$73,'14'!$K$74=Tulokset!$I$73),6,3),MAX(0,6-(ABS('14'!$I$74-Tulokset!$G$73)+ABS('14'!$K$74-Tulokset!$I$73))))))</f>
        <v/>
      </c>
      <c r="BX17" t="str">
        <f>IF(OR(Tulokset!$G$74="",Tulokset!$I$74="",'14'!$I$75="",'14'!$K$75=""),"",IF(SIGN('14'!$I$75-'14'!$K$75)&lt;&gt;SIGN(Tulokset!$G$74-Tulokset!$I$74),0,IF(Tulokset!$G$74=Tulokset!$I$74,IF(AND('14'!$I$75=Tulokset!$G$74,'14'!$K$75=Tulokset!$I$74),6,3),MAX(0,6-(ABS('14'!$I$75-Tulokset!$G$74)+ABS('14'!$K$75-Tulokset!$I$74))))))</f>
        <v/>
      </c>
      <c r="BY17" t="str">
        <f>IF(OR(Tulokset!$G$75="",Tulokset!$I$75="",'14'!$I$76="",'14'!$K$76=""),"",IF(SIGN('14'!$I$76-'14'!$K$76)&lt;&gt;SIGN(Tulokset!$G$75-Tulokset!$I$75),0,IF(Tulokset!$G$75=Tulokset!$I$75,IF(AND('14'!$I$76=Tulokset!$G$75,'14'!$K$76=Tulokset!$I$75),6,3),MAX(0,6-(ABS('14'!$I$76-Tulokset!$G$75)+ABS('14'!$K$76-Tulokset!$I$75))))))</f>
        <v/>
      </c>
      <c r="BZ17" t="str">
        <f>IF(OR(Tulokset!$G$76="",Tulokset!$I$76="",'14'!$I$77="",'14'!$K$77=""),"",IF(SIGN('14'!$I$77-'14'!$K$77)&lt;&gt;SIGN(Tulokset!$G$76-Tulokset!$I$76),0,IF(Tulokset!$G$76=Tulokset!$I$76,IF(AND('14'!$I$77=Tulokset!$G$76,'14'!$K$77=Tulokset!$I$76),6,3),MAX(0,6-(ABS('14'!$I$77-Tulokset!$G$76)+ABS('14'!$K$77-Tulokset!$I$76))))))</f>
        <v/>
      </c>
      <c r="CA17" t="str">
        <f>IF(OR(Tulokset!$G$77="",Tulokset!$I$77="",'14'!$I$78="",'14'!$K$78=""),"",IF(SIGN('14'!$I$78-'14'!$K$78)&lt;&gt;SIGN(Tulokset!$G$77-Tulokset!$I$77),0,IF(Tulokset!$G$77=Tulokset!$I$77,IF(AND('14'!$I$78=Tulokset!$G$77,'14'!$K$78=Tulokset!$I$77),6,3),MAX(0,6-(ABS('14'!$I$78-Tulokset!$G$77)+ABS('14'!$K$78-Tulokset!$I$77))))))</f>
        <v/>
      </c>
      <c r="CD17" t="str">
        <f ca="1">IF(OR(Tulokset!$M$6="",INDIRECT("'"&amp;$A17&amp;"'!$P$8")=""),"",IF(TRIM(INDIRECT("'"&amp;$A17&amp;"'!$P$8"))=TRIM(Tulokset!$M$6),2,0))</f>
        <v/>
      </c>
      <c r="CE17" t="str">
        <f ca="1">IF(OR(Tulokset!$M$7="",INDIRECT("'"&amp;$A17&amp;"'!$P$9")=""),"",IF(TRIM(INDIRECT("'"&amp;$A17&amp;"'!$P$9"))=TRIM(Tulokset!$M$7),2,0))</f>
        <v/>
      </c>
      <c r="CF17" t="str">
        <f ca="1">IF(OR(Tulokset!$M$8="",INDIRECT("'"&amp;$A17&amp;"'!$P$10")=""),"",IF(TRIM(INDIRECT("'"&amp;$A17&amp;"'!$P$10"))=TRIM(Tulokset!$M$8),2,0))</f>
        <v/>
      </c>
      <c r="CG17" t="str">
        <f ca="1">IF(OR(Tulokset!$M$9="",INDIRECT("'"&amp;$A17&amp;"'!$P$11")=""),"",IF(TRIM(INDIRECT("'"&amp;$A17&amp;"'!$P$11"))=TRIM(Tulokset!$M$9),2,0))</f>
        <v/>
      </c>
      <c r="CH17" t="str">
        <f ca="1">IF(OR(Tulokset!$N$6="",INDIRECT("'"&amp;$A17&amp;"'!$Q$8")=""),"",IF(TRIM(INDIRECT("'"&amp;$A17&amp;"'!$Q$8"))=TRIM(Tulokset!$N$6),2,0))</f>
        <v/>
      </c>
      <c r="CI17" t="str">
        <f ca="1">IF(OR(Tulokset!$N$7="",INDIRECT("'"&amp;$A17&amp;"'!$Q$9")=""),"",IF(TRIM(INDIRECT("'"&amp;$A17&amp;"'!$Q$9"))=TRIM(Tulokset!$N$7),2,0))</f>
        <v/>
      </c>
      <c r="CJ17" t="str">
        <f ca="1">IF(OR(Tulokset!$N$8="",INDIRECT("'"&amp;$A17&amp;"'!$Q$10")=""),"",IF(TRIM(INDIRECT("'"&amp;$A17&amp;"'!$Q$10"))=TRIM(Tulokset!$N$8),2,0))</f>
        <v/>
      </c>
      <c r="CK17" t="str">
        <f ca="1">IF(OR(Tulokset!$N$9="",INDIRECT("'"&amp;$A17&amp;"'!$Q$11")=""),"",IF(TRIM(INDIRECT("'"&amp;$A17&amp;"'!$Q$11"))=TRIM(Tulokset!$N$9),2,0))</f>
        <v/>
      </c>
      <c r="CL17" t="str">
        <f ca="1">IF(OR(Tulokset!$O$6="",INDIRECT("'"&amp;$A17&amp;"'!$R$8")=""),"",IF(TRIM(INDIRECT("'"&amp;$A17&amp;"'!$R$8"))=TRIM(Tulokset!$O$6),2,0))</f>
        <v/>
      </c>
      <c r="CM17" t="str">
        <f ca="1">IF(OR(Tulokset!$O$7="",INDIRECT("'"&amp;$A17&amp;"'!$R$9")=""),"",IF(TRIM(INDIRECT("'"&amp;$A17&amp;"'!$R$9"))=TRIM(Tulokset!$O$7),2,0))</f>
        <v/>
      </c>
      <c r="CN17" t="str">
        <f ca="1">IF(OR(Tulokset!$O$8="",INDIRECT("'"&amp;$A17&amp;"'!$R$10")=""),"",IF(TRIM(INDIRECT("'"&amp;$A17&amp;"'!$R$10"))=TRIM(Tulokset!$O$8),2,0))</f>
        <v/>
      </c>
      <c r="CO17" t="str">
        <f ca="1">IF(OR(Tulokset!$O$9="",INDIRECT("'"&amp;$A17&amp;"'!$R$11")=""),"",IF(TRIM(INDIRECT("'"&amp;$A17&amp;"'!$R$11"))=TRIM(Tulokset!$O$9),2,0))</f>
        <v/>
      </c>
      <c r="CP17" t="str">
        <f ca="1">IF(OR(Tulokset!$P$6="",INDIRECT("'"&amp;$A17&amp;"'!$S$8")=""),"",IF(TRIM(INDIRECT("'"&amp;$A17&amp;"'!$S$8"))=TRIM(Tulokset!$P$6),2,0))</f>
        <v/>
      </c>
      <c r="CQ17" t="str">
        <f ca="1">IF(OR(Tulokset!$P$7="",INDIRECT("'"&amp;$A17&amp;"'!$S$9")=""),"",IF(TRIM(INDIRECT("'"&amp;$A17&amp;"'!$S$9"))=TRIM(Tulokset!$P$7),2,0))</f>
        <v/>
      </c>
      <c r="CR17" t="str">
        <f ca="1">IF(OR(Tulokset!$P$8="",INDIRECT("'"&amp;$A17&amp;"'!$S$10")=""),"",IF(TRIM(INDIRECT("'"&amp;$A17&amp;"'!$S$10"))=TRIM(Tulokset!$P$8),2,0))</f>
        <v/>
      </c>
      <c r="CS17" t="str">
        <f ca="1">IF(OR(Tulokset!$P$9="",INDIRECT("'"&amp;$A17&amp;"'!$S$11")=""),"",IF(TRIM(INDIRECT("'"&amp;$A17&amp;"'!$S$11"))=TRIM(Tulokset!$P$9),2,0))</f>
        <v/>
      </c>
      <c r="CT17" t="str">
        <f ca="1">IF(OR(Tulokset!$Q$6="",INDIRECT("'"&amp;$A17&amp;"'!$T$8")=""),"",IF(TRIM(INDIRECT("'"&amp;$A17&amp;"'!$T$8"))=TRIM(Tulokset!$Q$6),2,0))</f>
        <v/>
      </c>
      <c r="CU17" t="str">
        <f ca="1">IF(OR(Tulokset!$Q$7="",INDIRECT("'"&amp;$A17&amp;"'!$T$9")=""),"",IF(TRIM(INDIRECT("'"&amp;$A17&amp;"'!$T$9"))=TRIM(Tulokset!$Q$7),2,0))</f>
        <v/>
      </c>
      <c r="CV17" t="str">
        <f ca="1">IF(OR(Tulokset!$Q$8="",INDIRECT("'"&amp;$A17&amp;"'!$T$10")=""),"",IF(TRIM(INDIRECT("'"&amp;$A17&amp;"'!$T$10"))=TRIM(Tulokset!$Q$8),2,0))</f>
        <v/>
      </c>
      <c r="CW17" t="str">
        <f ca="1">IF(OR(Tulokset!$Q$9="",INDIRECT("'"&amp;$A17&amp;"'!$T$11")=""),"",IF(TRIM(INDIRECT("'"&amp;$A17&amp;"'!$T$11"))=TRIM(Tulokset!$Q$9),2,0))</f>
        <v/>
      </c>
      <c r="CX17" t="str">
        <f ca="1">IF(OR(Tulokset!$R$6="",INDIRECT("'"&amp;$A17&amp;"'!$U$8")=""),"",IF(TRIM(INDIRECT("'"&amp;$A17&amp;"'!$U$8"))=TRIM(Tulokset!$R$6),2,0))</f>
        <v/>
      </c>
      <c r="CY17" t="str">
        <f ca="1">IF(OR(Tulokset!$R$7="",INDIRECT("'"&amp;$A17&amp;"'!$U$9")=""),"",IF(TRIM(INDIRECT("'"&amp;$A17&amp;"'!$U$9"))=TRIM(Tulokset!$R$7),2,0))</f>
        <v/>
      </c>
      <c r="CZ17" t="str">
        <f ca="1">IF(OR(Tulokset!$R$8="",INDIRECT("'"&amp;$A17&amp;"'!$U$10")=""),"",IF(TRIM(INDIRECT("'"&amp;$A17&amp;"'!$U$10"))=TRIM(Tulokset!$R$8),2,0))</f>
        <v/>
      </c>
      <c r="DA17" t="str">
        <f ca="1">IF(OR(Tulokset!$R$9="",INDIRECT("'"&amp;$A17&amp;"'!$U$11")=""),"",IF(TRIM(INDIRECT("'"&amp;$A17&amp;"'!$U$11"))=TRIM(Tulokset!$R$9),2,0))</f>
        <v/>
      </c>
      <c r="DB17" t="str">
        <f ca="1">IF(OR(Tulokset!$M$12="",INDIRECT("'"&amp;$A17&amp;"'!$P$14")=""),"",IF(TRIM(INDIRECT("'"&amp;$A17&amp;"'!$P$14"))=TRIM(Tulokset!$M$12),2,0))</f>
        <v/>
      </c>
      <c r="DC17" t="str">
        <f ca="1">IF(OR(Tulokset!$M$13="",INDIRECT("'"&amp;$A17&amp;"'!$P$15")=""),"",IF(TRIM(INDIRECT("'"&amp;$A17&amp;"'!$P$15"))=TRIM(Tulokset!$M$13),2,0))</f>
        <v/>
      </c>
      <c r="DD17" t="str">
        <f ca="1">IF(OR(Tulokset!$M$14="",INDIRECT("'"&amp;$A17&amp;"'!$P$16")=""),"",IF(TRIM(INDIRECT("'"&amp;$A17&amp;"'!$P$16"))=TRIM(Tulokset!$M$14),2,0))</f>
        <v/>
      </c>
      <c r="DE17" t="str">
        <f ca="1">IF(OR(Tulokset!$M$15="",INDIRECT("'"&amp;$A17&amp;"'!$P$17")=""),"",IF(TRIM(INDIRECT("'"&amp;$A17&amp;"'!$P$17"))=TRIM(Tulokset!$M$15),2,0))</f>
        <v/>
      </c>
      <c r="DF17" t="str">
        <f ca="1">IF(OR(Tulokset!$N$12="",INDIRECT("'"&amp;$A17&amp;"'!$Q$14")=""),"",IF(TRIM(INDIRECT("'"&amp;$A17&amp;"'!$Q$14"))=TRIM(Tulokset!$N$12),2,0))</f>
        <v/>
      </c>
      <c r="DG17" t="str">
        <f ca="1">IF(OR(Tulokset!$N$13="",INDIRECT("'"&amp;$A17&amp;"'!$Q$15")=""),"",IF(TRIM(INDIRECT("'"&amp;$A17&amp;"'!$Q$15"))=TRIM(Tulokset!$N$13),2,0))</f>
        <v/>
      </c>
      <c r="DH17" t="str">
        <f ca="1">IF(OR(Tulokset!$N$14="",INDIRECT("'"&amp;$A17&amp;"'!$Q$16")=""),"",IF(TRIM(INDIRECT("'"&amp;$A17&amp;"'!$Q$16"))=TRIM(Tulokset!$N$14),2,0))</f>
        <v/>
      </c>
      <c r="DI17" t="str">
        <f ca="1">IF(OR(Tulokset!$N$15="",INDIRECT("'"&amp;$A17&amp;"'!$Q$17")=""),"",IF(TRIM(INDIRECT("'"&amp;$A17&amp;"'!$Q$17"))=TRIM(Tulokset!$N$15),2,0))</f>
        <v/>
      </c>
      <c r="DJ17" t="str">
        <f ca="1">IF(OR(Tulokset!$O$12="",INDIRECT("'"&amp;$A17&amp;"'!$R$14")=""),"",IF(TRIM(INDIRECT("'"&amp;$A17&amp;"'!$R$14"))=TRIM(Tulokset!$O$12),2,0))</f>
        <v/>
      </c>
      <c r="DK17" t="str">
        <f ca="1">IF(OR(Tulokset!$O$13="",INDIRECT("'"&amp;$A17&amp;"'!$R$15")=""),"",IF(TRIM(INDIRECT("'"&amp;$A17&amp;"'!$R$15"))=TRIM(Tulokset!$O$13),2,0))</f>
        <v/>
      </c>
      <c r="DL17" t="str">
        <f ca="1">IF(OR(Tulokset!$O$14="",INDIRECT("'"&amp;$A17&amp;"'!$R$16")=""),"",IF(TRIM(INDIRECT("'"&amp;$A17&amp;"'!$R$16"))=TRIM(Tulokset!$O$14),2,0))</f>
        <v/>
      </c>
      <c r="DM17" t="str">
        <f ca="1">IF(OR(Tulokset!$O$15="",INDIRECT("'"&amp;$A17&amp;"'!$R$17")=""),"",IF(TRIM(INDIRECT("'"&amp;$A17&amp;"'!$R$17"))=TRIM(Tulokset!$O$15),2,0))</f>
        <v/>
      </c>
      <c r="DN17" t="str">
        <f ca="1">IF(OR(Tulokset!$P$12="",INDIRECT("'"&amp;$A17&amp;"'!$S$14")=""),"",IF(TRIM(INDIRECT("'"&amp;$A17&amp;"'!$S$14"))=TRIM(Tulokset!$P$12),2,0))</f>
        <v/>
      </c>
      <c r="DO17" t="str">
        <f ca="1">IF(OR(Tulokset!$P$13="",INDIRECT("'"&amp;$A17&amp;"'!$S$15")=""),"",IF(TRIM(INDIRECT("'"&amp;$A17&amp;"'!$S$15"))=TRIM(Tulokset!$P$13),2,0))</f>
        <v/>
      </c>
      <c r="DP17" t="str">
        <f ca="1">IF(OR(Tulokset!$P$14="",INDIRECT("'"&amp;$A17&amp;"'!$S$16")=""),"",IF(TRIM(INDIRECT("'"&amp;$A17&amp;"'!$S$16"))=TRIM(Tulokset!$P$14),2,0))</f>
        <v/>
      </c>
      <c r="DQ17" t="str">
        <f ca="1">IF(OR(Tulokset!$P$15="",INDIRECT("'"&amp;$A17&amp;"'!$S$17")=""),"",IF(TRIM(INDIRECT("'"&amp;$A17&amp;"'!$S$17"))=TRIM(Tulokset!$P$15),2,0))</f>
        <v/>
      </c>
      <c r="DR17" t="str">
        <f ca="1">IF(OR(Tulokset!$Q$12="",INDIRECT("'"&amp;$A17&amp;"'!$T$14")=""),"",IF(TRIM(INDIRECT("'"&amp;$A17&amp;"'!$T$14"))=TRIM(Tulokset!$Q$12),2,0))</f>
        <v/>
      </c>
      <c r="DS17" t="str">
        <f ca="1">IF(OR(Tulokset!$Q$13="",INDIRECT("'"&amp;$A17&amp;"'!$T$15")=""),"",IF(TRIM(INDIRECT("'"&amp;$A17&amp;"'!$T$15"))=TRIM(Tulokset!$Q$13),2,0))</f>
        <v/>
      </c>
      <c r="DT17" t="str">
        <f ca="1">IF(OR(Tulokset!$Q$14="",INDIRECT("'"&amp;$A17&amp;"'!$T$16")=""),"",IF(TRIM(INDIRECT("'"&amp;$A17&amp;"'!$T$16"))=TRIM(Tulokset!$Q$14),2,0))</f>
        <v/>
      </c>
      <c r="DU17" t="str">
        <f ca="1">IF(OR(Tulokset!$Q$15="",INDIRECT("'"&amp;$A17&amp;"'!$T$17")=""),"",IF(TRIM(INDIRECT("'"&amp;$A17&amp;"'!$T$17"))=TRIM(Tulokset!$Q$15),2,0))</f>
        <v/>
      </c>
      <c r="DV17" t="str">
        <f ca="1">IF(OR(Tulokset!$R$12="",INDIRECT("'"&amp;$A17&amp;"'!$U$14")=""),"",IF(TRIM(INDIRECT("'"&amp;$A17&amp;"'!$U$14"))=TRIM(Tulokset!$R$12),2,0))</f>
        <v/>
      </c>
      <c r="DW17" t="str">
        <f ca="1">IF(OR(Tulokset!$R$13="",INDIRECT("'"&amp;$A17&amp;"'!$U$15")=""),"",IF(TRIM(INDIRECT("'"&amp;$A17&amp;"'!$U$15"))=TRIM(Tulokset!$R$13),2,0))</f>
        <v/>
      </c>
      <c r="DX17" t="str">
        <f ca="1">IF(OR(Tulokset!$R$14="",INDIRECT("'"&amp;$A17&amp;"'!$U$16")=""),"",IF(TRIM(INDIRECT("'"&amp;$A17&amp;"'!$U$16"))=TRIM(Tulokset!$R$14),2,0))</f>
        <v/>
      </c>
      <c r="DY17" t="str">
        <f ca="1">IF(OR(Tulokset!$R$15="",INDIRECT("'"&amp;$A17&amp;"'!$U$17")=""),"",IF(TRIM(INDIRECT("'"&amp;$A17&amp;"'!$U$17"))=TRIM(Tulokset!$R$15),2,0))</f>
        <v/>
      </c>
      <c r="EA17" t="str">
        <f ca="1">IF(OR(INDIRECT("'"&amp;$A17&amp;"'!$E$79")="",COUNTA(Tulokset!$M$20:$M$21)=0),"",IF(COUNTIF(Tulokset!$M$20:$M$21,INDIRECT("'"&amp;$A17&amp;"'!$E$79"))&gt;0,2,0))</f>
        <v/>
      </c>
      <c r="EB17" t="str">
        <f ca="1">IF(OR(INDIRECT("'"&amp;$A17&amp;"'!$G$79")="",COUNTA(Tulokset!$M$20:$M$21)=0),"",IF(COUNTIF(Tulokset!$M$20:$M$21,INDIRECT("'"&amp;$A17&amp;"'!$G$79"))&gt;0,2,0))</f>
        <v/>
      </c>
      <c r="EC17" t="str">
        <f ca="1">IF(OR(INDIRECT("'"&amp;$A17&amp;"'!$E$80")="",COUNTA(Tulokset!$M$23:$M$24)=0),"",IF(COUNTIF(Tulokset!$M$23:$M$24,INDIRECT("'"&amp;$A17&amp;"'!$E$80"))&gt;0,2,0))</f>
        <v/>
      </c>
      <c r="ED17" t="str">
        <f ca="1">IF(OR(INDIRECT("'"&amp;$A17&amp;"'!$G$80")="",COUNTA(Tulokset!$M$23:$M$24)=0),"",IF(COUNTIF(Tulokset!$M$23:$M$24,INDIRECT("'"&amp;$A17&amp;"'!$G$80"))&gt;0,2,0))</f>
        <v/>
      </c>
    </row>
    <row r="18" spans="1:134">
      <c r="A18" t="s">
        <v>310</v>
      </c>
      <c r="B18" t="str">
        <f t="shared" ca="1" si="0"/>
        <v>Suomaldinho</v>
      </c>
      <c r="C18" s="95">
        <f t="shared" si="1"/>
        <v>0</v>
      </c>
      <c r="D18" s="95">
        <f t="shared" ca="1" si="2"/>
        <v>0</v>
      </c>
      <c r="E18" s="95">
        <f t="shared" ca="1" si="3"/>
        <v>0</v>
      </c>
      <c r="F18" s="95">
        <f t="shared" ca="1" si="4"/>
        <v>0</v>
      </c>
      <c r="G18" s="95">
        <f t="shared" si="5"/>
        <v>0</v>
      </c>
      <c r="H18" t="str">
        <f>IF(OR(Tulokset!$G$6="",Tulokset!$I$6="",'15'!$I$7="",'15'!$K$7=""),"",IF(SIGN('15'!$I$7-'15'!$K$7)&lt;&gt;SIGN(Tulokset!$G$6-Tulokset!$I$6),0,IF(Tulokset!$G$6=Tulokset!$I$6,IF(AND('15'!$I$7=Tulokset!$G$6,'15'!$K$7=Tulokset!$I$6),6,3),MAX(0,6-(ABS('15'!$I$7-Tulokset!$G$6)+ABS('15'!$K$7-Tulokset!$I$6))))))</f>
        <v/>
      </c>
      <c r="I18" t="str">
        <f>IF(OR(Tulokset!$G$7="",Tulokset!$I$7="",'15'!$I$8="",'15'!$K$8=""),"",IF(SIGN('15'!$I$8-'15'!$K$8)&lt;&gt;SIGN(Tulokset!$G$7-Tulokset!$I$7),0,IF(Tulokset!$G$7=Tulokset!$I$7,IF(AND('15'!$I$8=Tulokset!$G$7,'15'!$K$8=Tulokset!$I$7),6,3),MAX(0,6-(ABS('15'!$I$8-Tulokset!$G$7)+ABS('15'!$K$8-Tulokset!$I$7))))))</f>
        <v/>
      </c>
      <c r="J18" t="str">
        <f>IF(OR(Tulokset!$G$8="",Tulokset!$I$8="",'15'!$I$9="",'15'!$K$9=""),"",IF(SIGN('15'!$I$9-'15'!$K$9)&lt;&gt;SIGN(Tulokset!$G$8-Tulokset!$I$8),0,IF(Tulokset!$G$8=Tulokset!$I$8,IF(AND('15'!$I$9=Tulokset!$G$8,'15'!$K$9=Tulokset!$I$8),6,3),MAX(0,6-(ABS('15'!$I$9-Tulokset!$G$8)+ABS('15'!$K$9-Tulokset!$I$8))))))</f>
        <v/>
      </c>
      <c r="K18" t="str">
        <f>IF(OR(Tulokset!$G$9="",Tulokset!$I$9="",'15'!$I$10="",'15'!$K$10=""),"",IF(SIGN('15'!$I$10-'15'!$K$10)&lt;&gt;SIGN(Tulokset!$G$9-Tulokset!$I$9),0,IF(Tulokset!$G$9=Tulokset!$I$9,IF(AND('15'!$I$10=Tulokset!$G$9,'15'!$K$10=Tulokset!$I$9),6,3),MAX(0,6-(ABS('15'!$I$10-Tulokset!$G$9)+ABS('15'!$K$10-Tulokset!$I$9))))))</f>
        <v/>
      </c>
      <c r="L18" t="str">
        <f>IF(OR(Tulokset!$G$10="",Tulokset!$I$10="",'15'!$I$11="",'15'!$K$11=""),"",IF(SIGN('15'!$I$11-'15'!$K$11)&lt;&gt;SIGN(Tulokset!$G$10-Tulokset!$I$10),0,IF(Tulokset!$G$10=Tulokset!$I$10,IF(AND('15'!$I$11=Tulokset!$G$10,'15'!$K$11=Tulokset!$I$10),6,3),MAX(0,6-(ABS('15'!$I$11-Tulokset!$G$10)+ABS('15'!$K$11-Tulokset!$I$10))))))</f>
        <v/>
      </c>
      <c r="M18" t="str">
        <f>IF(OR(Tulokset!$G$11="",Tulokset!$I$11="",'15'!$I$12="",'15'!$K$12=""),"",IF(SIGN('15'!$I$12-'15'!$K$12)&lt;&gt;SIGN(Tulokset!$G$11-Tulokset!$I$11),0,IF(Tulokset!$G$11=Tulokset!$I$11,IF(AND('15'!$I$12=Tulokset!$G$11,'15'!$K$12=Tulokset!$I$11),6,3),MAX(0,6-(ABS('15'!$I$12-Tulokset!$G$11)+ABS('15'!$K$12-Tulokset!$I$11))))))</f>
        <v/>
      </c>
      <c r="N18" t="str">
        <f>IF(OR(Tulokset!$G$12="",Tulokset!$I$12="",'15'!$I$13="",'15'!$K$13=""),"",IF(SIGN('15'!$I$13-'15'!$K$13)&lt;&gt;SIGN(Tulokset!$G$12-Tulokset!$I$12),0,IF(Tulokset!$G$12=Tulokset!$I$12,IF(AND('15'!$I$13=Tulokset!$G$12,'15'!$K$13=Tulokset!$I$12),6,3),MAX(0,6-(ABS('15'!$I$13-Tulokset!$G$12)+ABS('15'!$K$13-Tulokset!$I$12))))))</f>
        <v/>
      </c>
      <c r="O18" t="str">
        <f>IF(OR(Tulokset!$G$13="",Tulokset!$I$13="",'15'!$I$14="",'15'!$K$14=""),"",IF(SIGN('15'!$I$14-'15'!$K$14)&lt;&gt;SIGN(Tulokset!$G$13-Tulokset!$I$13),0,IF(Tulokset!$G$13=Tulokset!$I$13,IF(AND('15'!$I$14=Tulokset!$G$13,'15'!$K$14=Tulokset!$I$13),6,3),MAX(0,6-(ABS('15'!$I$14-Tulokset!$G$13)+ABS('15'!$K$14-Tulokset!$I$13))))))</f>
        <v/>
      </c>
      <c r="P18" t="str">
        <f>IF(OR(Tulokset!$G$14="",Tulokset!$I$14="",'15'!$I$15="",'15'!$K$15=""),"",IF(SIGN('15'!$I$15-'15'!$K$15)&lt;&gt;SIGN(Tulokset!$G$14-Tulokset!$I$14),0,IF(Tulokset!$G$14=Tulokset!$I$14,IF(AND('15'!$I$15=Tulokset!$G$14,'15'!$K$15=Tulokset!$I$14),6,3),MAX(0,6-(ABS('15'!$I$15-Tulokset!$G$14)+ABS('15'!$K$15-Tulokset!$I$14))))))</f>
        <v/>
      </c>
      <c r="Q18" t="str">
        <f>IF(OR(Tulokset!$G$15="",Tulokset!$I$15="",'15'!$I$16="",'15'!$K$16=""),"",IF(SIGN('15'!$I$16-'15'!$K$16)&lt;&gt;SIGN(Tulokset!$G$15-Tulokset!$I$15),0,IF(Tulokset!$G$15=Tulokset!$I$15,IF(AND('15'!$I$16=Tulokset!$G$15,'15'!$K$16=Tulokset!$I$15),6,3),MAX(0,6-(ABS('15'!$I$16-Tulokset!$G$15)+ABS('15'!$K$16-Tulokset!$I$15))))))</f>
        <v/>
      </c>
      <c r="R18" t="str">
        <f>IF(OR(Tulokset!$G$16="",Tulokset!$I$16="",'15'!$I$17="",'15'!$K$17=""),"",IF(SIGN('15'!$I$17-'15'!$K$17)&lt;&gt;SIGN(Tulokset!$G$16-Tulokset!$I$16),0,IF(Tulokset!$G$16=Tulokset!$I$16,IF(AND('15'!$I$17=Tulokset!$G$16,'15'!$K$17=Tulokset!$I$16),6,3),MAX(0,6-(ABS('15'!$I$17-Tulokset!$G$16)+ABS('15'!$K$17-Tulokset!$I$16))))))</f>
        <v/>
      </c>
      <c r="S18" t="str">
        <f>IF(OR(Tulokset!$G$17="",Tulokset!$I$17="",'15'!$I$18="",'15'!$K$18=""),"",IF(SIGN('15'!$I$18-'15'!$K$18)&lt;&gt;SIGN(Tulokset!$G$17-Tulokset!$I$17),0,IF(Tulokset!$G$17=Tulokset!$I$17,IF(AND('15'!$I$18=Tulokset!$G$17,'15'!$K$18=Tulokset!$I$17),6,3),MAX(0,6-(ABS('15'!$I$18-Tulokset!$G$17)+ABS('15'!$K$18-Tulokset!$I$17))))))</f>
        <v/>
      </c>
      <c r="T18" t="str">
        <f>IF(OR(Tulokset!$G$18="",Tulokset!$I$18="",'15'!$I$19="",'15'!$K$19=""),"",IF(SIGN('15'!$I$19-'15'!$K$19)&lt;&gt;SIGN(Tulokset!$G$18-Tulokset!$I$18),0,IF(Tulokset!$G$18=Tulokset!$I$18,IF(AND('15'!$I$19=Tulokset!$G$18,'15'!$K$19=Tulokset!$I$18),6,3),MAX(0,6-(ABS('15'!$I$19-Tulokset!$G$18)+ABS('15'!$K$19-Tulokset!$I$18))))))</f>
        <v/>
      </c>
      <c r="U18" t="str">
        <f>IF(OR(Tulokset!$G$19="",Tulokset!$I$19="",'15'!$I$20="",'15'!$K$20=""),"",IF(SIGN('15'!$I$20-'15'!$K$20)&lt;&gt;SIGN(Tulokset!$G$19-Tulokset!$I$19),0,IF(Tulokset!$G$19=Tulokset!$I$19,IF(AND('15'!$I$20=Tulokset!$G$19,'15'!$K$20=Tulokset!$I$19),6,3),MAX(0,6-(ABS('15'!$I$20-Tulokset!$G$19)+ABS('15'!$K$20-Tulokset!$I$19))))))</f>
        <v/>
      </c>
      <c r="V18" t="str">
        <f>IF(OR(Tulokset!$G$20="",Tulokset!$I$20="",'15'!$I$21="",'15'!$K$21=""),"",IF(SIGN('15'!$I$21-'15'!$K$21)&lt;&gt;SIGN(Tulokset!$G$20-Tulokset!$I$20),0,IF(Tulokset!$G$20=Tulokset!$I$20,IF(AND('15'!$I$21=Tulokset!$G$20,'15'!$K$21=Tulokset!$I$20),6,3),MAX(0,6-(ABS('15'!$I$21-Tulokset!$G$20)+ABS('15'!$K$21-Tulokset!$I$20))))))</f>
        <v/>
      </c>
      <c r="W18" t="str">
        <f>IF(OR(Tulokset!$G$21="",Tulokset!$I$21="",'15'!$I$22="",'15'!$K$22=""),"",IF(SIGN('15'!$I$22-'15'!$K$22)&lt;&gt;SIGN(Tulokset!$G$21-Tulokset!$I$21),0,IF(Tulokset!$G$21=Tulokset!$I$21,IF(AND('15'!$I$22=Tulokset!$G$21,'15'!$K$22=Tulokset!$I$21),6,3),MAX(0,6-(ABS('15'!$I$22-Tulokset!$G$21)+ABS('15'!$K$22-Tulokset!$I$21))))))</f>
        <v/>
      </c>
      <c r="X18" t="str">
        <f>IF(OR(Tulokset!$G$22="",Tulokset!$I$22="",'15'!$I$23="",'15'!$K$23=""),"",IF(SIGN('15'!$I$23-'15'!$K$23)&lt;&gt;SIGN(Tulokset!$G$22-Tulokset!$I$22),0,IF(Tulokset!$G$22=Tulokset!$I$22,IF(AND('15'!$I$23=Tulokset!$G$22,'15'!$K$23=Tulokset!$I$22),6,3),MAX(0,6-(ABS('15'!$I$23-Tulokset!$G$22)+ABS('15'!$K$23-Tulokset!$I$22))))))</f>
        <v/>
      </c>
      <c r="Y18" t="str">
        <f>IF(OR(Tulokset!$G$23="",Tulokset!$I$23="",'15'!$I$24="",'15'!$K$24=""),"",IF(SIGN('15'!$I$24-'15'!$K$24)&lt;&gt;SIGN(Tulokset!$G$23-Tulokset!$I$23),0,IF(Tulokset!$G$23=Tulokset!$I$23,IF(AND('15'!$I$24=Tulokset!$G$23,'15'!$K$24=Tulokset!$I$23),6,3),MAX(0,6-(ABS('15'!$I$24-Tulokset!$G$23)+ABS('15'!$K$24-Tulokset!$I$23))))))</f>
        <v/>
      </c>
      <c r="Z18" t="str">
        <f>IF(OR(Tulokset!$G$24="",Tulokset!$I$24="",'15'!$I$25="",'15'!$K$25=""),"",IF(SIGN('15'!$I$25-'15'!$K$25)&lt;&gt;SIGN(Tulokset!$G$24-Tulokset!$I$24),0,IF(Tulokset!$G$24=Tulokset!$I$24,IF(AND('15'!$I$25=Tulokset!$G$24,'15'!$K$25=Tulokset!$I$24),6,3),MAX(0,6-(ABS('15'!$I$25-Tulokset!$G$24)+ABS('15'!$K$25-Tulokset!$I$24))))))</f>
        <v/>
      </c>
      <c r="AA18" t="str">
        <f>IF(OR(Tulokset!$G$25="",Tulokset!$I$25="",'15'!$I$26="",'15'!$K$26=""),"",IF(SIGN('15'!$I$26-'15'!$K$26)&lt;&gt;SIGN(Tulokset!$G$25-Tulokset!$I$25),0,IF(Tulokset!$G$25=Tulokset!$I$25,IF(AND('15'!$I$26=Tulokset!$G$25,'15'!$K$26=Tulokset!$I$25),6,3),MAX(0,6-(ABS('15'!$I$26-Tulokset!$G$25)+ABS('15'!$K$26-Tulokset!$I$25))))))</f>
        <v/>
      </c>
      <c r="AB18" t="str">
        <f>IF(OR(Tulokset!$G$26="",Tulokset!$I$26="",'15'!$I$27="",'15'!$K$27=""),"",IF(SIGN('15'!$I$27-'15'!$K$27)&lt;&gt;SIGN(Tulokset!$G$26-Tulokset!$I$26),0,IF(Tulokset!$G$26=Tulokset!$I$26,IF(AND('15'!$I$27=Tulokset!$G$26,'15'!$K$27=Tulokset!$I$26),6,3),MAX(0,6-(ABS('15'!$I$27-Tulokset!$G$26)+ABS('15'!$K$27-Tulokset!$I$26))))))</f>
        <v/>
      </c>
      <c r="AC18" t="str">
        <f>IF(OR(Tulokset!$G$27="",Tulokset!$I$27="",'15'!$I$28="",'15'!$K$28=""),"",IF(SIGN('15'!$I$28-'15'!$K$28)&lt;&gt;SIGN(Tulokset!$G$27-Tulokset!$I$27),0,IF(Tulokset!$G$27=Tulokset!$I$27,IF(AND('15'!$I$28=Tulokset!$G$27,'15'!$K$28=Tulokset!$I$27),6,3),MAX(0,6-(ABS('15'!$I$28-Tulokset!$G$27)+ABS('15'!$K$28-Tulokset!$I$27))))))</f>
        <v/>
      </c>
      <c r="AD18" t="str">
        <f>IF(OR(Tulokset!$G$28="",Tulokset!$I$28="",'15'!$I$29="",'15'!$K$29=""),"",IF(SIGN('15'!$I$29-'15'!$K$29)&lt;&gt;SIGN(Tulokset!$G$28-Tulokset!$I$28),0,IF(Tulokset!$G$28=Tulokset!$I$28,IF(AND('15'!$I$29=Tulokset!$G$28,'15'!$K$29=Tulokset!$I$28),6,3),MAX(0,6-(ABS('15'!$I$29-Tulokset!$G$28)+ABS('15'!$K$29-Tulokset!$I$28))))))</f>
        <v/>
      </c>
      <c r="AE18" t="str">
        <f>IF(OR(Tulokset!$G$29="",Tulokset!$I$29="",'15'!$I$30="",'15'!$K$30=""),"",IF(SIGN('15'!$I$30-'15'!$K$30)&lt;&gt;SIGN(Tulokset!$G$29-Tulokset!$I$29),0,IF(Tulokset!$G$29=Tulokset!$I$29,IF(AND('15'!$I$30=Tulokset!$G$29,'15'!$K$30=Tulokset!$I$29),6,3),MAX(0,6-(ABS('15'!$I$30-Tulokset!$G$29)+ABS('15'!$K$30-Tulokset!$I$29))))))</f>
        <v/>
      </c>
      <c r="AF18" t="str">
        <f>IF(OR(Tulokset!$G$30="",Tulokset!$I$30="",'15'!$I$31="",'15'!$K$31=""),"",IF(SIGN('15'!$I$31-'15'!$K$31)&lt;&gt;SIGN(Tulokset!$G$30-Tulokset!$I$30),0,IF(Tulokset!$G$30=Tulokset!$I$30,IF(AND('15'!$I$31=Tulokset!$G$30,'15'!$K$31=Tulokset!$I$30),6,3),MAX(0,6-(ABS('15'!$I$31-Tulokset!$G$30)+ABS('15'!$K$31-Tulokset!$I$30))))))</f>
        <v/>
      </c>
      <c r="AG18" t="str">
        <f>IF(OR(Tulokset!$G$31="",Tulokset!$I$31="",'15'!$I$32="",'15'!$K$32=""),"",IF(SIGN('15'!$I$32-'15'!$K$32)&lt;&gt;SIGN(Tulokset!$G$31-Tulokset!$I$31),0,IF(Tulokset!$G$31=Tulokset!$I$31,IF(AND('15'!$I$32=Tulokset!$G$31,'15'!$K$32=Tulokset!$I$31),6,3),MAX(0,6-(ABS('15'!$I$32-Tulokset!$G$31)+ABS('15'!$K$32-Tulokset!$I$31))))))</f>
        <v/>
      </c>
      <c r="AH18" t="str">
        <f>IF(OR(Tulokset!$G$32="",Tulokset!$I$32="",'15'!$I$33="",'15'!$K$33=""),"",IF(SIGN('15'!$I$33-'15'!$K$33)&lt;&gt;SIGN(Tulokset!$G$32-Tulokset!$I$32),0,IF(Tulokset!$G$32=Tulokset!$I$32,IF(AND('15'!$I$33=Tulokset!$G$32,'15'!$K$33=Tulokset!$I$32),6,3),MAX(0,6-(ABS('15'!$I$33-Tulokset!$G$32)+ABS('15'!$K$33-Tulokset!$I$32))))))</f>
        <v/>
      </c>
      <c r="AI18" t="str">
        <f>IF(OR(Tulokset!$G$33="",Tulokset!$I$33="",'15'!$I$34="",'15'!$K$34=""),"",IF(SIGN('15'!$I$34-'15'!$K$34)&lt;&gt;SIGN(Tulokset!$G$33-Tulokset!$I$33),0,IF(Tulokset!$G$33=Tulokset!$I$33,IF(AND('15'!$I$34=Tulokset!$G$33,'15'!$K$34=Tulokset!$I$33),6,3),MAX(0,6-(ABS('15'!$I$34-Tulokset!$G$33)+ABS('15'!$K$34-Tulokset!$I$33))))))</f>
        <v/>
      </c>
      <c r="AJ18" t="str">
        <f>IF(OR(Tulokset!$G$34="",Tulokset!$I$34="",'15'!$I$35="",'15'!$K$35=""),"",IF(SIGN('15'!$I$35-'15'!$K$35)&lt;&gt;SIGN(Tulokset!$G$34-Tulokset!$I$34),0,IF(Tulokset!$G$34=Tulokset!$I$34,IF(AND('15'!$I$35=Tulokset!$G$34,'15'!$K$35=Tulokset!$I$34),6,3),MAX(0,6-(ABS('15'!$I$35-Tulokset!$G$34)+ABS('15'!$K$35-Tulokset!$I$34))))))</f>
        <v/>
      </c>
      <c r="AK18" t="str">
        <f>IF(OR(Tulokset!$G$35="",Tulokset!$I$35="",'15'!$I$36="",'15'!$K$36=""),"",IF(SIGN('15'!$I$36-'15'!$K$36)&lt;&gt;SIGN(Tulokset!$G$35-Tulokset!$I$35),0,IF(Tulokset!$G$35=Tulokset!$I$35,IF(AND('15'!$I$36=Tulokset!$G$35,'15'!$K$36=Tulokset!$I$35),6,3),MAX(0,6-(ABS('15'!$I$36-Tulokset!$G$35)+ABS('15'!$K$36-Tulokset!$I$35))))))</f>
        <v/>
      </c>
      <c r="AL18" t="str">
        <f>IF(OR(Tulokset!$G$36="",Tulokset!$I$36="",'15'!$I$37="",'15'!$K$37=""),"",IF(SIGN('15'!$I$37-'15'!$K$37)&lt;&gt;SIGN(Tulokset!$G$36-Tulokset!$I$36),0,IF(Tulokset!$G$36=Tulokset!$I$36,IF(AND('15'!$I$37=Tulokset!$G$36,'15'!$K$37=Tulokset!$I$36),6,3),MAX(0,6-(ABS('15'!$I$37-Tulokset!$G$36)+ABS('15'!$K$37-Tulokset!$I$36))))))</f>
        <v/>
      </c>
      <c r="AM18" t="str">
        <f>IF(OR(Tulokset!$G$37="",Tulokset!$I$37="",'15'!$I$38="",'15'!$K$38=""),"",IF(SIGN('15'!$I$38-'15'!$K$38)&lt;&gt;SIGN(Tulokset!$G$37-Tulokset!$I$37),0,IF(Tulokset!$G$37=Tulokset!$I$37,IF(AND('15'!$I$38=Tulokset!$G$37,'15'!$K$38=Tulokset!$I$37),6,3),MAX(0,6-(ABS('15'!$I$38-Tulokset!$G$37)+ABS('15'!$K$38-Tulokset!$I$37))))))</f>
        <v/>
      </c>
      <c r="AN18" t="str">
        <f>IF(OR(Tulokset!$G$38="",Tulokset!$I$38="",'15'!$I$39="",'15'!$K$39=""),"",IF(SIGN('15'!$I$39-'15'!$K$39)&lt;&gt;SIGN(Tulokset!$G$38-Tulokset!$I$38),0,IF(Tulokset!$G$38=Tulokset!$I$38,IF(AND('15'!$I$39=Tulokset!$G$38,'15'!$K$39=Tulokset!$I$38),6,3),MAX(0,6-(ABS('15'!$I$39-Tulokset!$G$38)+ABS('15'!$K$39-Tulokset!$I$38))))))</f>
        <v/>
      </c>
      <c r="AO18" t="str">
        <f>IF(OR(Tulokset!$G$39="",Tulokset!$I$39="",'15'!$I$40="",'15'!$K$40=""),"",IF(SIGN('15'!$I$40-'15'!$K$40)&lt;&gt;SIGN(Tulokset!$G$39-Tulokset!$I$39),0,IF(Tulokset!$G$39=Tulokset!$I$39,IF(AND('15'!$I$40=Tulokset!$G$39,'15'!$K$40=Tulokset!$I$39),6,3),MAX(0,6-(ABS('15'!$I$40-Tulokset!$G$39)+ABS('15'!$K$40-Tulokset!$I$39))))))</f>
        <v/>
      </c>
      <c r="AP18" t="str">
        <f>IF(OR(Tulokset!$G$40="",Tulokset!$I$40="",'15'!$I$41="",'15'!$K$41=""),"",IF(SIGN('15'!$I$41-'15'!$K$41)&lt;&gt;SIGN(Tulokset!$G$40-Tulokset!$I$40),0,IF(Tulokset!$G$40=Tulokset!$I$40,IF(AND('15'!$I$41=Tulokset!$G$40,'15'!$K$41=Tulokset!$I$40),6,3),MAX(0,6-(ABS('15'!$I$41-Tulokset!$G$40)+ABS('15'!$K$41-Tulokset!$I$40))))))</f>
        <v/>
      </c>
      <c r="AQ18" t="str">
        <f>IF(OR(Tulokset!$G$41="",Tulokset!$I$41="",'15'!$I$42="",'15'!$K$42=""),"",IF(SIGN('15'!$I$42-'15'!$K$42)&lt;&gt;SIGN(Tulokset!$G$41-Tulokset!$I$41),0,IF(Tulokset!$G$41=Tulokset!$I$41,IF(AND('15'!$I$42=Tulokset!$G$41,'15'!$K$42=Tulokset!$I$41),6,3),MAX(0,6-(ABS('15'!$I$42-Tulokset!$G$41)+ABS('15'!$K$42-Tulokset!$I$41))))))</f>
        <v/>
      </c>
      <c r="AR18" t="str">
        <f>IF(OR(Tulokset!$G$42="",Tulokset!$I$42="",'15'!$I$43="",'15'!$K$43=""),"",IF(SIGN('15'!$I$43-'15'!$K$43)&lt;&gt;SIGN(Tulokset!$G$42-Tulokset!$I$42),0,IF(Tulokset!$G$42=Tulokset!$I$42,IF(AND('15'!$I$43=Tulokset!$G$42,'15'!$K$43=Tulokset!$I$42),6,3),MAX(0,6-(ABS('15'!$I$43-Tulokset!$G$42)+ABS('15'!$K$43-Tulokset!$I$42))))))</f>
        <v/>
      </c>
      <c r="AS18" t="str">
        <f>IF(OR(Tulokset!$G$43="",Tulokset!$I$43="",'15'!$I$44="",'15'!$K$44=""),"",IF(SIGN('15'!$I$44-'15'!$K$44)&lt;&gt;SIGN(Tulokset!$G$43-Tulokset!$I$43),0,IF(Tulokset!$G$43=Tulokset!$I$43,IF(AND('15'!$I$44=Tulokset!$G$43,'15'!$K$44=Tulokset!$I$43),6,3),MAX(0,6-(ABS('15'!$I$44-Tulokset!$G$43)+ABS('15'!$K$44-Tulokset!$I$43))))))</f>
        <v/>
      </c>
      <c r="AT18" t="str">
        <f>IF(OR(Tulokset!$G$44="",Tulokset!$I$44="",'15'!$I$45="",'15'!$K$45=""),"",IF(SIGN('15'!$I$45-'15'!$K$45)&lt;&gt;SIGN(Tulokset!$G$44-Tulokset!$I$44),0,IF(Tulokset!$G$44=Tulokset!$I$44,IF(AND('15'!$I$45=Tulokset!$G$44,'15'!$K$45=Tulokset!$I$44),6,3),MAX(0,6-(ABS('15'!$I$45-Tulokset!$G$44)+ABS('15'!$K$45-Tulokset!$I$44))))))</f>
        <v/>
      </c>
      <c r="AU18" t="str">
        <f>IF(OR(Tulokset!$G$45="",Tulokset!$I$45="",'15'!$I$46="",'15'!$K$46=""),"",IF(SIGN('15'!$I$46-'15'!$K$46)&lt;&gt;SIGN(Tulokset!$G$45-Tulokset!$I$45),0,IF(Tulokset!$G$45=Tulokset!$I$45,IF(AND('15'!$I$46=Tulokset!$G$45,'15'!$K$46=Tulokset!$I$45),6,3),MAX(0,6-(ABS('15'!$I$46-Tulokset!$G$45)+ABS('15'!$K$46-Tulokset!$I$45))))))</f>
        <v/>
      </c>
      <c r="AV18" t="str">
        <f>IF(OR(Tulokset!$G$46="",Tulokset!$I$46="",'15'!$I$47="",'15'!$K$47=""),"",IF(SIGN('15'!$I$47-'15'!$K$47)&lt;&gt;SIGN(Tulokset!$G$46-Tulokset!$I$46),0,IF(Tulokset!$G$46=Tulokset!$I$46,IF(AND('15'!$I$47=Tulokset!$G$46,'15'!$K$47=Tulokset!$I$46),6,3),MAX(0,6-(ABS('15'!$I$47-Tulokset!$G$46)+ABS('15'!$K$47-Tulokset!$I$46))))))</f>
        <v/>
      </c>
      <c r="AW18" t="str">
        <f>IF(OR(Tulokset!$G$47="",Tulokset!$I$47="",'15'!$I$48="",'15'!$K$48=""),"",IF(SIGN('15'!$I$48-'15'!$K$48)&lt;&gt;SIGN(Tulokset!$G$47-Tulokset!$I$47),0,IF(Tulokset!$G$47=Tulokset!$I$47,IF(AND('15'!$I$48=Tulokset!$G$47,'15'!$K$48=Tulokset!$I$47),6,3),MAX(0,6-(ABS('15'!$I$48-Tulokset!$G$47)+ABS('15'!$K$48-Tulokset!$I$47))))))</f>
        <v/>
      </c>
      <c r="AX18" t="str">
        <f>IF(OR(Tulokset!$G$48="",Tulokset!$I$48="",'15'!$I$49="",'15'!$K$49=""),"",IF(SIGN('15'!$I$49-'15'!$K$49)&lt;&gt;SIGN(Tulokset!$G$48-Tulokset!$I$48),0,IF(Tulokset!$G$48=Tulokset!$I$48,IF(AND('15'!$I$49=Tulokset!$G$48,'15'!$K$49=Tulokset!$I$48),6,3),MAX(0,6-(ABS('15'!$I$49-Tulokset!$G$48)+ABS('15'!$K$49-Tulokset!$I$48))))))</f>
        <v/>
      </c>
      <c r="AY18" t="str">
        <f>IF(OR(Tulokset!$G$49="",Tulokset!$I$49="",'15'!$I$50="",'15'!$K$50=""),"",IF(SIGN('15'!$I$50-'15'!$K$50)&lt;&gt;SIGN(Tulokset!$G$49-Tulokset!$I$49),0,IF(Tulokset!$G$49=Tulokset!$I$49,IF(AND('15'!$I$50=Tulokset!$G$49,'15'!$K$50=Tulokset!$I$49),6,3),MAX(0,6-(ABS('15'!$I$50-Tulokset!$G$49)+ABS('15'!$K$50-Tulokset!$I$49))))))</f>
        <v/>
      </c>
      <c r="AZ18" t="str">
        <f>IF(OR(Tulokset!$G$50="",Tulokset!$I$50="",'15'!$I$51="",'15'!$K$51=""),"",IF(SIGN('15'!$I$51-'15'!$K$51)&lt;&gt;SIGN(Tulokset!$G$50-Tulokset!$I$50),0,IF(Tulokset!$G$50=Tulokset!$I$50,IF(AND('15'!$I$51=Tulokset!$G$50,'15'!$K$51=Tulokset!$I$50),6,3),MAX(0,6-(ABS('15'!$I$51-Tulokset!$G$50)+ABS('15'!$K$51-Tulokset!$I$50))))))</f>
        <v/>
      </c>
      <c r="BA18" t="str">
        <f>IF(OR(Tulokset!$G$51="",Tulokset!$I$51="",'15'!$I$52="",'15'!$K$52=""),"",IF(SIGN('15'!$I$52-'15'!$K$52)&lt;&gt;SIGN(Tulokset!$G$51-Tulokset!$I$51),0,IF(Tulokset!$G$51=Tulokset!$I$51,IF(AND('15'!$I$52=Tulokset!$G$51,'15'!$K$52=Tulokset!$I$51),6,3),MAX(0,6-(ABS('15'!$I$52-Tulokset!$G$51)+ABS('15'!$K$52-Tulokset!$I$51))))))</f>
        <v/>
      </c>
      <c r="BB18" t="str">
        <f>IF(OR(Tulokset!$G$52="",Tulokset!$I$52="",'15'!$I$53="",'15'!$K$53=""),"",IF(SIGN('15'!$I$53-'15'!$K$53)&lt;&gt;SIGN(Tulokset!$G$52-Tulokset!$I$52),0,IF(Tulokset!$G$52=Tulokset!$I$52,IF(AND('15'!$I$53=Tulokset!$G$52,'15'!$K$53=Tulokset!$I$52),6,3),MAX(0,6-(ABS('15'!$I$53-Tulokset!$G$52)+ABS('15'!$K$53-Tulokset!$I$52))))))</f>
        <v/>
      </c>
      <c r="BC18" t="str">
        <f>IF(OR(Tulokset!$G$53="",Tulokset!$I$53="",'15'!$I$54="",'15'!$K$54=""),"",IF(SIGN('15'!$I$54-'15'!$K$54)&lt;&gt;SIGN(Tulokset!$G$53-Tulokset!$I$53),0,IF(Tulokset!$G$53=Tulokset!$I$53,IF(AND('15'!$I$54=Tulokset!$G$53,'15'!$K$54=Tulokset!$I$53),6,3),MAX(0,6-(ABS('15'!$I$54-Tulokset!$G$53)+ABS('15'!$K$54-Tulokset!$I$53))))))</f>
        <v/>
      </c>
      <c r="BD18" t="str">
        <f>IF(OR(Tulokset!$G$54="",Tulokset!$I$54="",'15'!$I$55="",'15'!$K$55=""),"",IF(SIGN('15'!$I$55-'15'!$K$55)&lt;&gt;SIGN(Tulokset!$G$54-Tulokset!$I$54),0,IF(Tulokset!$G$54=Tulokset!$I$54,IF(AND('15'!$I$55=Tulokset!$G$54,'15'!$K$55=Tulokset!$I$54),6,3),MAX(0,6-(ABS('15'!$I$55-Tulokset!$G$54)+ABS('15'!$K$55-Tulokset!$I$54))))))</f>
        <v/>
      </c>
      <c r="BE18" t="str">
        <f>IF(OR(Tulokset!$G$55="",Tulokset!$I$55="",'15'!$I$56="",'15'!$K$56=""),"",IF(SIGN('15'!$I$56-'15'!$K$56)&lt;&gt;SIGN(Tulokset!$G$55-Tulokset!$I$55),0,IF(Tulokset!$G$55=Tulokset!$I$55,IF(AND('15'!$I$56=Tulokset!$G$55,'15'!$K$56=Tulokset!$I$55),6,3),MAX(0,6-(ABS('15'!$I$56-Tulokset!$G$55)+ABS('15'!$K$56-Tulokset!$I$55))))))</f>
        <v/>
      </c>
      <c r="BF18" t="str">
        <f>IF(OR(Tulokset!$G$56="",Tulokset!$I$56="",'15'!$I$57="",'15'!$K$57=""),"",IF(SIGN('15'!$I$57-'15'!$K$57)&lt;&gt;SIGN(Tulokset!$G$56-Tulokset!$I$56),0,IF(Tulokset!$G$56=Tulokset!$I$56,IF(AND('15'!$I$57=Tulokset!$G$56,'15'!$K$57=Tulokset!$I$56),6,3),MAX(0,6-(ABS('15'!$I$57-Tulokset!$G$56)+ABS('15'!$K$57-Tulokset!$I$56))))))</f>
        <v/>
      </c>
      <c r="BG18" t="str">
        <f>IF(OR(Tulokset!$G$57="",Tulokset!$I$57="",'15'!$I$58="",'15'!$K$58=""),"",IF(SIGN('15'!$I$58-'15'!$K$58)&lt;&gt;SIGN(Tulokset!$G$57-Tulokset!$I$57),0,IF(Tulokset!$G$57=Tulokset!$I$57,IF(AND('15'!$I$58=Tulokset!$G$57,'15'!$K$58=Tulokset!$I$57),6,3),MAX(0,6-(ABS('15'!$I$58-Tulokset!$G$57)+ABS('15'!$K$58-Tulokset!$I$57))))))</f>
        <v/>
      </c>
      <c r="BH18" t="str">
        <f>IF(OR(Tulokset!$G$58="",Tulokset!$I$58="",'15'!$I$59="",'15'!$K$59=""),"",IF(SIGN('15'!$I$59-'15'!$K$59)&lt;&gt;SIGN(Tulokset!$G$58-Tulokset!$I$58),0,IF(Tulokset!$G$58=Tulokset!$I$58,IF(AND('15'!$I$59=Tulokset!$G$58,'15'!$K$59=Tulokset!$I$58),6,3),MAX(0,6-(ABS('15'!$I$59-Tulokset!$G$58)+ABS('15'!$K$59-Tulokset!$I$58))))))</f>
        <v/>
      </c>
      <c r="BI18" t="str">
        <f>IF(OR(Tulokset!$G$59="",Tulokset!$I$59="",'15'!$I$60="",'15'!$K$60=""),"",IF(SIGN('15'!$I$60-'15'!$K$60)&lt;&gt;SIGN(Tulokset!$G$59-Tulokset!$I$59),0,IF(Tulokset!$G$59=Tulokset!$I$59,IF(AND('15'!$I$60=Tulokset!$G$59,'15'!$K$60=Tulokset!$I$59),6,3),MAX(0,6-(ABS('15'!$I$60-Tulokset!$G$59)+ABS('15'!$K$60-Tulokset!$I$59))))))</f>
        <v/>
      </c>
      <c r="BJ18" t="str">
        <f>IF(OR(Tulokset!$G$60="",Tulokset!$I$60="",'15'!$I$61="",'15'!$K$61=""),"",IF(SIGN('15'!$I$61-'15'!$K$61)&lt;&gt;SIGN(Tulokset!$G$60-Tulokset!$I$60),0,IF(Tulokset!$G$60=Tulokset!$I$60,IF(AND('15'!$I$61=Tulokset!$G$60,'15'!$K$61=Tulokset!$I$60),6,3),MAX(0,6-(ABS('15'!$I$61-Tulokset!$G$60)+ABS('15'!$K$61-Tulokset!$I$60))))))</f>
        <v/>
      </c>
      <c r="BK18" t="str">
        <f>IF(OR(Tulokset!$G$61="",Tulokset!$I$61="",'15'!$I$62="",'15'!$K$62=""),"",IF(SIGN('15'!$I$62-'15'!$K$62)&lt;&gt;SIGN(Tulokset!$G$61-Tulokset!$I$61),0,IF(Tulokset!$G$61=Tulokset!$I$61,IF(AND('15'!$I$62=Tulokset!$G$61,'15'!$K$62=Tulokset!$I$61),6,3),MAX(0,6-(ABS('15'!$I$62-Tulokset!$G$61)+ABS('15'!$K$62-Tulokset!$I$61))))))</f>
        <v/>
      </c>
      <c r="BL18" t="str">
        <f>IF(OR(Tulokset!$G$62="",Tulokset!$I$62="",'15'!$I$63="",'15'!$K$63=""),"",IF(SIGN('15'!$I$63-'15'!$K$63)&lt;&gt;SIGN(Tulokset!$G$62-Tulokset!$I$62),0,IF(Tulokset!$G$62=Tulokset!$I$62,IF(AND('15'!$I$63=Tulokset!$G$62,'15'!$K$63=Tulokset!$I$62),6,3),MAX(0,6-(ABS('15'!$I$63-Tulokset!$G$62)+ABS('15'!$K$63-Tulokset!$I$62))))))</f>
        <v/>
      </c>
      <c r="BM18" t="str">
        <f>IF(OR(Tulokset!$G$63="",Tulokset!$I$63="",'15'!$I$64="",'15'!$K$64=""),"",IF(SIGN('15'!$I$64-'15'!$K$64)&lt;&gt;SIGN(Tulokset!$G$63-Tulokset!$I$63),0,IF(Tulokset!$G$63=Tulokset!$I$63,IF(AND('15'!$I$64=Tulokset!$G$63,'15'!$K$64=Tulokset!$I$63),6,3),MAX(0,6-(ABS('15'!$I$64-Tulokset!$G$63)+ABS('15'!$K$64-Tulokset!$I$63))))))</f>
        <v/>
      </c>
      <c r="BN18" t="str">
        <f>IF(OR(Tulokset!$G$64="",Tulokset!$I$64="",'15'!$I$65="",'15'!$K$65=""),"",IF(SIGN('15'!$I$65-'15'!$K$65)&lt;&gt;SIGN(Tulokset!$G$64-Tulokset!$I$64),0,IF(Tulokset!$G$64=Tulokset!$I$64,IF(AND('15'!$I$65=Tulokset!$G$64,'15'!$K$65=Tulokset!$I$64),6,3),MAX(0,6-(ABS('15'!$I$65-Tulokset!$G$64)+ABS('15'!$K$65-Tulokset!$I$64))))))</f>
        <v/>
      </c>
      <c r="BO18" t="str">
        <f>IF(OR(Tulokset!$G$65="",Tulokset!$I$65="",'15'!$I$66="",'15'!$K$66=""),"",IF(SIGN('15'!$I$66-'15'!$K$66)&lt;&gt;SIGN(Tulokset!$G$65-Tulokset!$I$65),0,IF(Tulokset!$G$65=Tulokset!$I$65,IF(AND('15'!$I$66=Tulokset!$G$65,'15'!$K$66=Tulokset!$I$65),6,3),MAX(0,6-(ABS('15'!$I$66-Tulokset!$G$65)+ABS('15'!$K$66-Tulokset!$I$65))))))</f>
        <v/>
      </c>
      <c r="BP18" t="str">
        <f>IF(OR(Tulokset!$G$66="",Tulokset!$I$66="",'15'!$I$67="",'15'!$K$67=""),"",IF(SIGN('15'!$I$67-'15'!$K$67)&lt;&gt;SIGN(Tulokset!$G$66-Tulokset!$I$66),0,IF(Tulokset!$G$66=Tulokset!$I$66,IF(AND('15'!$I$67=Tulokset!$G$66,'15'!$K$67=Tulokset!$I$66),6,3),MAX(0,6-(ABS('15'!$I$67-Tulokset!$G$66)+ABS('15'!$K$67-Tulokset!$I$66))))))</f>
        <v/>
      </c>
      <c r="BQ18" t="str">
        <f>IF(OR(Tulokset!$G$67="",Tulokset!$I$67="",'15'!$I$68="",'15'!$K$68=""),"",IF(SIGN('15'!$I$68-'15'!$K$68)&lt;&gt;SIGN(Tulokset!$G$67-Tulokset!$I$67),0,IF(Tulokset!$G$67=Tulokset!$I$67,IF(AND('15'!$I$68=Tulokset!$G$67,'15'!$K$68=Tulokset!$I$67),6,3),MAX(0,6-(ABS('15'!$I$68-Tulokset!$G$67)+ABS('15'!$K$68-Tulokset!$I$67))))))</f>
        <v/>
      </c>
      <c r="BR18" t="str">
        <f>IF(OR(Tulokset!$G$68="",Tulokset!$I$68="",'15'!$I$69="",'15'!$K$69=""),"",IF(SIGN('15'!$I$69-'15'!$K$69)&lt;&gt;SIGN(Tulokset!$G$68-Tulokset!$I$68),0,IF(Tulokset!$G$68=Tulokset!$I$68,IF(AND('15'!$I$69=Tulokset!$G$68,'15'!$K$69=Tulokset!$I$68),6,3),MAX(0,6-(ABS('15'!$I$69-Tulokset!$G$68)+ABS('15'!$K$69-Tulokset!$I$68))))))</f>
        <v/>
      </c>
      <c r="BS18" t="str">
        <f>IF(OR(Tulokset!$G$69="",Tulokset!$I$69="",'15'!$I$70="",'15'!$K$70=""),"",IF(SIGN('15'!$I$70-'15'!$K$70)&lt;&gt;SIGN(Tulokset!$G$69-Tulokset!$I$69),0,IF(Tulokset!$G$69=Tulokset!$I$69,IF(AND('15'!$I$70=Tulokset!$G$69,'15'!$K$70=Tulokset!$I$69),6,3),MAX(0,6-(ABS('15'!$I$70-Tulokset!$G$69)+ABS('15'!$K$70-Tulokset!$I$69))))))</f>
        <v/>
      </c>
      <c r="BT18" t="str">
        <f>IF(OR(Tulokset!$G$70="",Tulokset!$I$70="",'15'!$I$71="",'15'!$K$71=""),"",IF(SIGN('15'!$I$71-'15'!$K$71)&lt;&gt;SIGN(Tulokset!$G$70-Tulokset!$I$70),0,IF(Tulokset!$G$70=Tulokset!$I$70,IF(AND('15'!$I$71=Tulokset!$G$70,'15'!$K$71=Tulokset!$I$70),6,3),MAX(0,6-(ABS('15'!$I$71-Tulokset!$G$70)+ABS('15'!$K$71-Tulokset!$I$70))))))</f>
        <v/>
      </c>
      <c r="BU18" t="str">
        <f>IF(OR(Tulokset!$G$71="",Tulokset!$I$71="",'15'!$I$72="",'15'!$K$72=""),"",IF(SIGN('15'!$I$72-'15'!$K$72)&lt;&gt;SIGN(Tulokset!$G$71-Tulokset!$I$71),0,IF(Tulokset!$G$71=Tulokset!$I$71,IF(AND('15'!$I$72=Tulokset!$G$71,'15'!$K$72=Tulokset!$I$71),6,3),MAX(0,6-(ABS('15'!$I$72-Tulokset!$G$71)+ABS('15'!$K$72-Tulokset!$I$71))))))</f>
        <v/>
      </c>
      <c r="BV18" t="str">
        <f>IF(OR(Tulokset!$G$72="",Tulokset!$I$72="",'15'!$I$73="",'15'!$K$73=""),"",IF(SIGN('15'!$I$73-'15'!$K$73)&lt;&gt;SIGN(Tulokset!$G$72-Tulokset!$I$72),0,IF(Tulokset!$G$72=Tulokset!$I$72,IF(AND('15'!$I$73=Tulokset!$G$72,'15'!$K$73=Tulokset!$I$72),6,3),MAX(0,6-(ABS('15'!$I$73-Tulokset!$G$72)+ABS('15'!$K$73-Tulokset!$I$72))))))</f>
        <v/>
      </c>
      <c r="BW18" t="str">
        <f>IF(OR(Tulokset!$G$73="",Tulokset!$I$73="",'15'!$I$74="",'15'!$K$74=""),"",IF(SIGN('15'!$I$74-'15'!$K$74)&lt;&gt;SIGN(Tulokset!$G$73-Tulokset!$I$73),0,IF(Tulokset!$G$73=Tulokset!$I$73,IF(AND('15'!$I$74=Tulokset!$G$73,'15'!$K$74=Tulokset!$I$73),6,3),MAX(0,6-(ABS('15'!$I$74-Tulokset!$G$73)+ABS('15'!$K$74-Tulokset!$I$73))))))</f>
        <v/>
      </c>
      <c r="BX18" t="str">
        <f>IF(OR(Tulokset!$G$74="",Tulokset!$I$74="",'15'!$I$75="",'15'!$K$75=""),"",IF(SIGN('15'!$I$75-'15'!$K$75)&lt;&gt;SIGN(Tulokset!$G$74-Tulokset!$I$74),0,IF(Tulokset!$G$74=Tulokset!$I$74,IF(AND('15'!$I$75=Tulokset!$G$74,'15'!$K$75=Tulokset!$I$74),6,3),MAX(0,6-(ABS('15'!$I$75-Tulokset!$G$74)+ABS('15'!$K$75-Tulokset!$I$74))))))</f>
        <v/>
      </c>
      <c r="BY18" t="str">
        <f>IF(OR(Tulokset!$G$75="",Tulokset!$I$75="",'15'!$I$76="",'15'!$K$76=""),"",IF(SIGN('15'!$I$76-'15'!$K$76)&lt;&gt;SIGN(Tulokset!$G$75-Tulokset!$I$75),0,IF(Tulokset!$G$75=Tulokset!$I$75,IF(AND('15'!$I$76=Tulokset!$G$75,'15'!$K$76=Tulokset!$I$75),6,3),MAX(0,6-(ABS('15'!$I$76-Tulokset!$G$75)+ABS('15'!$K$76-Tulokset!$I$75))))))</f>
        <v/>
      </c>
      <c r="BZ18" t="str">
        <f>IF(OR(Tulokset!$G$76="",Tulokset!$I$76="",'15'!$I$77="",'15'!$K$77=""),"",IF(SIGN('15'!$I$77-'15'!$K$77)&lt;&gt;SIGN(Tulokset!$G$76-Tulokset!$I$76),0,IF(Tulokset!$G$76=Tulokset!$I$76,IF(AND('15'!$I$77=Tulokset!$G$76,'15'!$K$77=Tulokset!$I$76),6,3),MAX(0,6-(ABS('15'!$I$77-Tulokset!$G$76)+ABS('15'!$K$77-Tulokset!$I$76))))))</f>
        <v/>
      </c>
      <c r="CA18" t="str">
        <f>IF(OR(Tulokset!$G$77="",Tulokset!$I$77="",'15'!$I$78="",'15'!$K$78=""),"",IF(SIGN('15'!$I$78-'15'!$K$78)&lt;&gt;SIGN(Tulokset!$G$77-Tulokset!$I$77),0,IF(Tulokset!$G$77=Tulokset!$I$77,IF(AND('15'!$I$78=Tulokset!$G$77,'15'!$K$78=Tulokset!$I$77),6,3),MAX(0,6-(ABS('15'!$I$78-Tulokset!$G$77)+ABS('15'!$K$78-Tulokset!$I$77))))))</f>
        <v/>
      </c>
      <c r="CD18" t="str">
        <f ca="1">IF(OR(Tulokset!$M$6="",INDIRECT("'"&amp;$A18&amp;"'!$P$8")=""),"",IF(TRIM(INDIRECT("'"&amp;$A18&amp;"'!$P$8"))=TRIM(Tulokset!$M$6),2,0))</f>
        <v/>
      </c>
      <c r="CE18" t="str">
        <f ca="1">IF(OR(Tulokset!$M$7="",INDIRECT("'"&amp;$A18&amp;"'!$P$9")=""),"",IF(TRIM(INDIRECT("'"&amp;$A18&amp;"'!$P$9"))=TRIM(Tulokset!$M$7),2,0))</f>
        <v/>
      </c>
      <c r="CF18" t="str">
        <f ca="1">IF(OR(Tulokset!$M$8="",INDIRECT("'"&amp;$A18&amp;"'!$P$10")=""),"",IF(TRIM(INDIRECT("'"&amp;$A18&amp;"'!$P$10"))=TRIM(Tulokset!$M$8),2,0))</f>
        <v/>
      </c>
      <c r="CG18" t="str">
        <f ca="1">IF(OR(Tulokset!$M$9="",INDIRECT("'"&amp;$A18&amp;"'!$P$11")=""),"",IF(TRIM(INDIRECT("'"&amp;$A18&amp;"'!$P$11"))=TRIM(Tulokset!$M$9),2,0))</f>
        <v/>
      </c>
      <c r="CH18" t="str">
        <f ca="1">IF(OR(Tulokset!$N$6="",INDIRECT("'"&amp;$A18&amp;"'!$Q$8")=""),"",IF(TRIM(INDIRECT("'"&amp;$A18&amp;"'!$Q$8"))=TRIM(Tulokset!$N$6),2,0))</f>
        <v/>
      </c>
      <c r="CI18" t="str">
        <f ca="1">IF(OR(Tulokset!$N$7="",INDIRECT("'"&amp;$A18&amp;"'!$Q$9")=""),"",IF(TRIM(INDIRECT("'"&amp;$A18&amp;"'!$Q$9"))=TRIM(Tulokset!$N$7),2,0))</f>
        <v/>
      </c>
      <c r="CJ18" t="str">
        <f ca="1">IF(OR(Tulokset!$N$8="",INDIRECT("'"&amp;$A18&amp;"'!$Q$10")=""),"",IF(TRIM(INDIRECT("'"&amp;$A18&amp;"'!$Q$10"))=TRIM(Tulokset!$N$8),2,0))</f>
        <v/>
      </c>
      <c r="CK18" t="str">
        <f ca="1">IF(OR(Tulokset!$N$9="",INDIRECT("'"&amp;$A18&amp;"'!$Q$11")=""),"",IF(TRIM(INDIRECT("'"&amp;$A18&amp;"'!$Q$11"))=TRIM(Tulokset!$N$9),2,0))</f>
        <v/>
      </c>
      <c r="CL18" t="str">
        <f ca="1">IF(OR(Tulokset!$O$6="",INDIRECT("'"&amp;$A18&amp;"'!$R$8")=""),"",IF(TRIM(INDIRECT("'"&amp;$A18&amp;"'!$R$8"))=TRIM(Tulokset!$O$6),2,0))</f>
        <v/>
      </c>
      <c r="CM18" t="str">
        <f ca="1">IF(OR(Tulokset!$O$7="",INDIRECT("'"&amp;$A18&amp;"'!$R$9")=""),"",IF(TRIM(INDIRECT("'"&amp;$A18&amp;"'!$R$9"))=TRIM(Tulokset!$O$7),2,0))</f>
        <v/>
      </c>
      <c r="CN18" t="str">
        <f ca="1">IF(OR(Tulokset!$O$8="",INDIRECT("'"&amp;$A18&amp;"'!$R$10")=""),"",IF(TRIM(INDIRECT("'"&amp;$A18&amp;"'!$R$10"))=TRIM(Tulokset!$O$8),2,0))</f>
        <v/>
      </c>
      <c r="CO18" t="str">
        <f ca="1">IF(OR(Tulokset!$O$9="",INDIRECT("'"&amp;$A18&amp;"'!$R$11")=""),"",IF(TRIM(INDIRECT("'"&amp;$A18&amp;"'!$R$11"))=TRIM(Tulokset!$O$9),2,0))</f>
        <v/>
      </c>
      <c r="CP18" t="str">
        <f ca="1">IF(OR(Tulokset!$P$6="",INDIRECT("'"&amp;$A18&amp;"'!$S$8")=""),"",IF(TRIM(INDIRECT("'"&amp;$A18&amp;"'!$S$8"))=TRIM(Tulokset!$P$6),2,0))</f>
        <v/>
      </c>
      <c r="CQ18" t="str">
        <f ca="1">IF(OR(Tulokset!$P$7="",INDIRECT("'"&amp;$A18&amp;"'!$S$9")=""),"",IF(TRIM(INDIRECT("'"&amp;$A18&amp;"'!$S$9"))=TRIM(Tulokset!$P$7),2,0))</f>
        <v/>
      </c>
      <c r="CR18" t="str">
        <f ca="1">IF(OR(Tulokset!$P$8="",INDIRECT("'"&amp;$A18&amp;"'!$S$10")=""),"",IF(TRIM(INDIRECT("'"&amp;$A18&amp;"'!$S$10"))=TRIM(Tulokset!$P$8),2,0))</f>
        <v/>
      </c>
      <c r="CS18" t="str">
        <f ca="1">IF(OR(Tulokset!$P$9="",INDIRECT("'"&amp;$A18&amp;"'!$S$11")=""),"",IF(TRIM(INDIRECT("'"&amp;$A18&amp;"'!$S$11"))=TRIM(Tulokset!$P$9),2,0))</f>
        <v/>
      </c>
      <c r="CT18" t="str">
        <f ca="1">IF(OR(Tulokset!$Q$6="",INDIRECT("'"&amp;$A18&amp;"'!$T$8")=""),"",IF(TRIM(INDIRECT("'"&amp;$A18&amp;"'!$T$8"))=TRIM(Tulokset!$Q$6),2,0))</f>
        <v/>
      </c>
      <c r="CU18" t="str">
        <f ca="1">IF(OR(Tulokset!$Q$7="",INDIRECT("'"&amp;$A18&amp;"'!$T$9")=""),"",IF(TRIM(INDIRECT("'"&amp;$A18&amp;"'!$T$9"))=TRIM(Tulokset!$Q$7),2,0))</f>
        <v/>
      </c>
      <c r="CV18" t="str">
        <f ca="1">IF(OR(Tulokset!$Q$8="",INDIRECT("'"&amp;$A18&amp;"'!$T$10")=""),"",IF(TRIM(INDIRECT("'"&amp;$A18&amp;"'!$T$10"))=TRIM(Tulokset!$Q$8),2,0))</f>
        <v/>
      </c>
      <c r="CW18" t="str">
        <f ca="1">IF(OR(Tulokset!$Q$9="",INDIRECT("'"&amp;$A18&amp;"'!$T$11")=""),"",IF(TRIM(INDIRECT("'"&amp;$A18&amp;"'!$T$11"))=TRIM(Tulokset!$Q$9),2,0))</f>
        <v/>
      </c>
      <c r="CX18" t="str">
        <f ca="1">IF(OR(Tulokset!$R$6="",INDIRECT("'"&amp;$A18&amp;"'!$U$8")=""),"",IF(TRIM(INDIRECT("'"&amp;$A18&amp;"'!$U$8"))=TRIM(Tulokset!$R$6),2,0))</f>
        <v/>
      </c>
      <c r="CY18" t="str">
        <f ca="1">IF(OR(Tulokset!$R$7="",INDIRECT("'"&amp;$A18&amp;"'!$U$9")=""),"",IF(TRIM(INDIRECT("'"&amp;$A18&amp;"'!$U$9"))=TRIM(Tulokset!$R$7),2,0))</f>
        <v/>
      </c>
      <c r="CZ18" t="str">
        <f ca="1">IF(OR(Tulokset!$R$8="",INDIRECT("'"&amp;$A18&amp;"'!$U$10")=""),"",IF(TRIM(INDIRECT("'"&amp;$A18&amp;"'!$U$10"))=TRIM(Tulokset!$R$8),2,0))</f>
        <v/>
      </c>
      <c r="DA18" t="str">
        <f ca="1">IF(OR(Tulokset!$R$9="",INDIRECT("'"&amp;$A18&amp;"'!$U$11")=""),"",IF(TRIM(INDIRECT("'"&amp;$A18&amp;"'!$U$11"))=TRIM(Tulokset!$R$9),2,0))</f>
        <v/>
      </c>
      <c r="DB18" t="str">
        <f ca="1">IF(OR(Tulokset!$M$12="",INDIRECT("'"&amp;$A18&amp;"'!$P$14")=""),"",IF(TRIM(INDIRECT("'"&amp;$A18&amp;"'!$P$14"))=TRIM(Tulokset!$M$12),2,0))</f>
        <v/>
      </c>
      <c r="DC18" t="str">
        <f ca="1">IF(OR(Tulokset!$M$13="",INDIRECT("'"&amp;$A18&amp;"'!$P$15")=""),"",IF(TRIM(INDIRECT("'"&amp;$A18&amp;"'!$P$15"))=TRIM(Tulokset!$M$13),2,0))</f>
        <v/>
      </c>
      <c r="DD18" t="str">
        <f ca="1">IF(OR(Tulokset!$M$14="",INDIRECT("'"&amp;$A18&amp;"'!$P$16")=""),"",IF(TRIM(INDIRECT("'"&amp;$A18&amp;"'!$P$16"))=TRIM(Tulokset!$M$14),2,0))</f>
        <v/>
      </c>
      <c r="DE18" t="str">
        <f ca="1">IF(OR(Tulokset!$M$15="",INDIRECT("'"&amp;$A18&amp;"'!$P$17")=""),"",IF(TRIM(INDIRECT("'"&amp;$A18&amp;"'!$P$17"))=TRIM(Tulokset!$M$15),2,0))</f>
        <v/>
      </c>
      <c r="DF18" t="str">
        <f ca="1">IF(OR(Tulokset!$N$12="",INDIRECT("'"&amp;$A18&amp;"'!$Q$14")=""),"",IF(TRIM(INDIRECT("'"&amp;$A18&amp;"'!$Q$14"))=TRIM(Tulokset!$N$12),2,0))</f>
        <v/>
      </c>
      <c r="DG18" t="str">
        <f ca="1">IF(OR(Tulokset!$N$13="",INDIRECT("'"&amp;$A18&amp;"'!$Q$15")=""),"",IF(TRIM(INDIRECT("'"&amp;$A18&amp;"'!$Q$15"))=TRIM(Tulokset!$N$13),2,0))</f>
        <v/>
      </c>
      <c r="DH18" t="str">
        <f ca="1">IF(OR(Tulokset!$N$14="",INDIRECT("'"&amp;$A18&amp;"'!$Q$16")=""),"",IF(TRIM(INDIRECT("'"&amp;$A18&amp;"'!$Q$16"))=TRIM(Tulokset!$N$14),2,0))</f>
        <v/>
      </c>
      <c r="DI18" t="str">
        <f ca="1">IF(OR(Tulokset!$N$15="",INDIRECT("'"&amp;$A18&amp;"'!$Q$17")=""),"",IF(TRIM(INDIRECT("'"&amp;$A18&amp;"'!$Q$17"))=TRIM(Tulokset!$N$15),2,0))</f>
        <v/>
      </c>
      <c r="DJ18" t="str">
        <f ca="1">IF(OR(Tulokset!$O$12="",INDIRECT("'"&amp;$A18&amp;"'!$R$14")=""),"",IF(TRIM(INDIRECT("'"&amp;$A18&amp;"'!$R$14"))=TRIM(Tulokset!$O$12),2,0))</f>
        <v/>
      </c>
      <c r="DK18" t="str">
        <f ca="1">IF(OR(Tulokset!$O$13="",INDIRECT("'"&amp;$A18&amp;"'!$R$15")=""),"",IF(TRIM(INDIRECT("'"&amp;$A18&amp;"'!$R$15"))=TRIM(Tulokset!$O$13),2,0))</f>
        <v/>
      </c>
      <c r="DL18" t="str">
        <f ca="1">IF(OR(Tulokset!$O$14="",INDIRECT("'"&amp;$A18&amp;"'!$R$16")=""),"",IF(TRIM(INDIRECT("'"&amp;$A18&amp;"'!$R$16"))=TRIM(Tulokset!$O$14),2,0))</f>
        <v/>
      </c>
      <c r="DM18" t="str">
        <f ca="1">IF(OR(Tulokset!$O$15="",INDIRECT("'"&amp;$A18&amp;"'!$R$17")=""),"",IF(TRIM(INDIRECT("'"&amp;$A18&amp;"'!$R$17"))=TRIM(Tulokset!$O$15),2,0))</f>
        <v/>
      </c>
      <c r="DN18" t="str">
        <f ca="1">IF(OR(Tulokset!$P$12="",INDIRECT("'"&amp;$A18&amp;"'!$S$14")=""),"",IF(TRIM(INDIRECT("'"&amp;$A18&amp;"'!$S$14"))=TRIM(Tulokset!$P$12),2,0))</f>
        <v/>
      </c>
      <c r="DO18" t="str">
        <f ca="1">IF(OR(Tulokset!$P$13="",INDIRECT("'"&amp;$A18&amp;"'!$S$15")=""),"",IF(TRIM(INDIRECT("'"&amp;$A18&amp;"'!$S$15"))=TRIM(Tulokset!$P$13),2,0))</f>
        <v/>
      </c>
      <c r="DP18" t="str">
        <f ca="1">IF(OR(Tulokset!$P$14="",INDIRECT("'"&amp;$A18&amp;"'!$S$16")=""),"",IF(TRIM(INDIRECT("'"&amp;$A18&amp;"'!$S$16"))=TRIM(Tulokset!$P$14),2,0))</f>
        <v/>
      </c>
      <c r="DQ18" t="str">
        <f ca="1">IF(OR(Tulokset!$P$15="",INDIRECT("'"&amp;$A18&amp;"'!$S$17")=""),"",IF(TRIM(INDIRECT("'"&amp;$A18&amp;"'!$S$17"))=TRIM(Tulokset!$P$15),2,0))</f>
        <v/>
      </c>
      <c r="DR18" t="str">
        <f ca="1">IF(OR(Tulokset!$Q$12="",INDIRECT("'"&amp;$A18&amp;"'!$T$14")=""),"",IF(TRIM(INDIRECT("'"&amp;$A18&amp;"'!$T$14"))=TRIM(Tulokset!$Q$12),2,0))</f>
        <v/>
      </c>
      <c r="DS18" t="str">
        <f ca="1">IF(OR(Tulokset!$Q$13="",INDIRECT("'"&amp;$A18&amp;"'!$T$15")=""),"",IF(TRIM(INDIRECT("'"&amp;$A18&amp;"'!$T$15"))=TRIM(Tulokset!$Q$13),2,0))</f>
        <v/>
      </c>
      <c r="DT18" t="str">
        <f ca="1">IF(OR(Tulokset!$Q$14="",INDIRECT("'"&amp;$A18&amp;"'!$T$16")=""),"",IF(TRIM(INDIRECT("'"&amp;$A18&amp;"'!$T$16"))=TRIM(Tulokset!$Q$14),2,0))</f>
        <v/>
      </c>
      <c r="DU18" t="str">
        <f ca="1">IF(OR(Tulokset!$Q$15="",INDIRECT("'"&amp;$A18&amp;"'!$T$17")=""),"",IF(TRIM(INDIRECT("'"&amp;$A18&amp;"'!$T$17"))=TRIM(Tulokset!$Q$15),2,0))</f>
        <v/>
      </c>
      <c r="DV18" t="str">
        <f ca="1">IF(OR(Tulokset!$R$12="",INDIRECT("'"&amp;$A18&amp;"'!$U$14")=""),"",IF(TRIM(INDIRECT("'"&amp;$A18&amp;"'!$U$14"))=TRIM(Tulokset!$R$12),2,0))</f>
        <v/>
      </c>
      <c r="DW18" t="str">
        <f ca="1">IF(OR(Tulokset!$R$13="",INDIRECT("'"&amp;$A18&amp;"'!$U$15")=""),"",IF(TRIM(INDIRECT("'"&amp;$A18&amp;"'!$U$15"))=TRIM(Tulokset!$R$13),2,0))</f>
        <v/>
      </c>
      <c r="DX18" t="str">
        <f ca="1">IF(OR(Tulokset!$R$14="",INDIRECT("'"&amp;$A18&amp;"'!$U$16")=""),"",IF(TRIM(INDIRECT("'"&amp;$A18&amp;"'!$U$16"))=TRIM(Tulokset!$R$14),2,0))</f>
        <v/>
      </c>
      <c r="DY18" t="str">
        <f ca="1">IF(OR(Tulokset!$R$15="",INDIRECT("'"&amp;$A18&amp;"'!$U$17")=""),"",IF(TRIM(INDIRECT("'"&amp;$A18&amp;"'!$U$17"))=TRIM(Tulokset!$R$15),2,0))</f>
        <v/>
      </c>
      <c r="EA18" t="str">
        <f ca="1">IF(OR(INDIRECT("'"&amp;$A18&amp;"'!$E$79")="",COUNTA(Tulokset!$M$20:$M$21)=0),"",IF(COUNTIF(Tulokset!$M$20:$M$21,INDIRECT("'"&amp;$A18&amp;"'!$E$79"))&gt;0,2,0))</f>
        <v/>
      </c>
      <c r="EB18" t="str">
        <f ca="1">IF(OR(INDIRECT("'"&amp;$A18&amp;"'!$G$79")="",COUNTA(Tulokset!$M$20:$M$21)=0),"",IF(COUNTIF(Tulokset!$M$20:$M$21,INDIRECT("'"&amp;$A18&amp;"'!$G$79"))&gt;0,2,0))</f>
        <v/>
      </c>
      <c r="EC18" t="str">
        <f ca="1">IF(OR(INDIRECT("'"&amp;$A18&amp;"'!$E$80")="",COUNTA(Tulokset!$M$23:$M$24)=0),"",IF(COUNTIF(Tulokset!$M$23:$M$24,INDIRECT("'"&amp;$A18&amp;"'!$E$80"))&gt;0,2,0))</f>
        <v/>
      </c>
      <c r="ED18" t="str">
        <f ca="1">IF(OR(INDIRECT("'"&amp;$A18&amp;"'!$G$80")="",COUNTA(Tulokset!$M$23:$M$24)=0),"",IF(COUNTIF(Tulokset!$M$23:$M$24,INDIRECT("'"&amp;$A18&amp;"'!$G$80"))&gt;0,2,0))</f>
        <v/>
      </c>
    </row>
    <row r="19" spans="1:134">
      <c r="A19" t="s">
        <v>311</v>
      </c>
      <c r="B19" t="str">
        <f t="shared" ca="1" si="0"/>
        <v>Sipolovic</v>
      </c>
      <c r="C19" s="95">
        <f t="shared" si="1"/>
        <v>0</v>
      </c>
      <c r="D19" s="95">
        <f t="shared" ca="1" si="2"/>
        <v>0</v>
      </c>
      <c r="E19" s="95">
        <f t="shared" ca="1" si="3"/>
        <v>0</v>
      </c>
      <c r="F19" s="95">
        <f t="shared" ca="1" si="4"/>
        <v>0</v>
      </c>
      <c r="G19" s="95">
        <f t="shared" si="5"/>
        <v>0</v>
      </c>
      <c r="H19" t="str">
        <f>IF(OR(Tulokset!$G$6="",Tulokset!$I$6="",'16'!$I$7="",'16'!$K$7=""),"",IF(SIGN('16'!$I$7-'16'!$K$7)&lt;&gt;SIGN(Tulokset!$G$6-Tulokset!$I$6),0,IF(Tulokset!$G$6=Tulokset!$I$6,IF(AND('16'!$I$7=Tulokset!$G$6,'16'!$K$7=Tulokset!$I$6),6,3),MAX(0,6-(ABS('16'!$I$7-Tulokset!$G$6)+ABS('16'!$K$7-Tulokset!$I$6))))))</f>
        <v/>
      </c>
      <c r="I19" t="str">
        <f>IF(OR(Tulokset!$G$7="",Tulokset!$I$7="",'16'!$I$8="",'16'!$K$8=""),"",IF(SIGN('16'!$I$8-'16'!$K$8)&lt;&gt;SIGN(Tulokset!$G$7-Tulokset!$I$7),0,IF(Tulokset!$G$7=Tulokset!$I$7,IF(AND('16'!$I$8=Tulokset!$G$7,'16'!$K$8=Tulokset!$I$7),6,3),MAX(0,6-(ABS('16'!$I$8-Tulokset!$G$7)+ABS('16'!$K$8-Tulokset!$I$7))))))</f>
        <v/>
      </c>
      <c r="J19" t="str">
        <f>IF(OR(Tulokset!$G$8="",Tulokset!$I$8="",'16'!$I$9="",'16'!$K$9=""),"",IF(SIGN('16'!$I$9-'16'!$K$9)&lt;&gt;SIGN(Tulokset!$G$8-Tulokset!$I$8),0,IF(Tulokset!$G$8=Tulokset!$I$8,IF(AND('16'!$I$9=Tulokset!$G$8,'16'!$K$9=Tulokset!$I$8),6,3),MAX(0,6-(ABS('16'!$I$9-Tulokset!$G$8)+ABS('16'!$K$9-Tulokset!$I$8))))))</f>
        <v/>
      </c>
      <c r="K19" t="str">
        <f>IF(OR(Tulokset!$G$9="",Tulokset!$I$9="",'16'!$I$10="",'16'!$K$10=""),"",IF(SIGN('16'!$I$10-'16'!$K$10)&lt;&gt;SIGN(Tulokset!$G$9-Tulokset!$I$9),0,IF(Tulokset!$G$9=Tulokset!$I$9,IF(AND('16'!$I$10=Tulokset!$G$9,'16'!$K$10=Tulokset!$I$9),6,3),MAX(0,6-(ABS('16'!$I$10-Tulokset!$G$9)+ABS('16'!$K$10-Tulokset!$I$9))))))</f>
        <v/>
      </c>
      <c r="L19" t="str">
        <f>IF(OR(Tulokset!$G$10="",Tulokset!$I$10="",'16'!$I$11="",'16'!$K$11=""),"",IF(SIGN('16'!$I$11-'16'!$K$11)&lt;&gt;SIGN(Tulokset!$G$10-Tulokset!$I$10),0,IF(Tulokset!$G$10=Tulokset!$I$10,IF(AND('16'!$I$11=Tulokset!$G$10,'16'!$K$11=Tulokset!$I$10),6,3),MAX(0,6-(ABS('16'!$I$11-Tulokset!$G$10)+ABS('16'!$K$11-Tulokset!$I$10))))))</f>
        <v/>
      </c>
      <c r="M19" t="str">
        <f>IF(OR(Tulokset!$G$11="",Tulokset!$I$11="",'16'!$I$12="",'16'!$K$12=""),"",IF(SIGN('16'!$I$12-'16'!$K$12)&lt;&gt;SIGN(Tulokset!$G$11-Tulokset!$I$11),0,IF(Tulokset!$G$11=Tulokset!$I$11,IF(AND('16'!$I$12=Tulokset!$G$11,'16'!$K$12=Tulokset!$I$11),6,3),MAX(0,6-(ABS('16'!$I$12-Tulokset!$G$11)+ABS('16'!$K$12-Tulokset!$I$11))))))</f>
        <v/>
      </c>
      <c r="N19" t="str">
        <f>IF(OR(Tulokset!$G$12="",Tulokset!$I$12="",'16'!$I$13="",'16'!$K$13=""),"",IF(SIGN('16'!$I$13-'16'!$K$13)&lt;&gt;SIGN(Tulokset!$G$12-Tulokset!$I$12),0,IF(Tulokset!$G$12=Tulokset!$I$12,IF(AND('16'!$I$13=Tulokset!$G$12,'16'!$K$13=Tulokset!$I$12),6,3),MAX(0,6-(ABS('16'!$I$13-Tulokset!$G$12)+ABS('16'!$K$13-Tulokset!$I$12))))))</f>
        <v/>
      </c>
      <c r="O19" t="str">
        <f>IF(OR(Tulokset!$G$13="",Tulokset!$I$13="",'16'!$I$14="",'16'!$K$14=""),"",IF(SIGN('16'!$I$14-'16'!$K$14)&lt;&gt;SIGN(Tulokset!$G$13-Tulokset!$I$13),0,IF(Tulokset!$G$13=Tulokset!$I$13,IF(AND('16'!$I$14=Tulokset!$G$13,'16'!$K$14=Tulokset!$I$13),6,3),MAX(0,6-(ABS('16'!$I$14-Tulokset!$G$13)+ABS('16'!$K$14-Tulokset!$I$13))))))</f>
        <v/>
      </c>
      <c r="P19" t="str">
        <f>IF(OR(Tulokset!$G$14="",Tulokset!$I$14="",'16'!$I$15="",'16'!$K$15=""),"",IF(SIGN('16'!$I$15-'16'!$K$15)&lt;&gt;SIGN(Tulokset!$G$14-Tulokset!$I$14),0,IF(Tulokset!$G$14=Tulokset!$I$14,IF(AND('16'!$I$15=Tulokset!$G$14,'16'!$K$15=Tulokset!$I$14),6,3),MAX(0,6-(ABS('16'!$I$15-Tulokset!$G$14)+ABS('16'!$K$15-Tulokset!$I$14))))))</f>
        <v/>
      </c>
      <c r="Q19" t="str">
        <f>IF(OR(Tulokset!$G$15="",Tulokset!$I$15="",'16'!$I$16="",'16'!$K$16=""),"",IF(SIGN('16'!$I$16-'16'!$K$16)&lt;&gt;SIGN(Tulokset!$G$15-Tulokset!$I$15),0,IF(Tulokset!$G$15=Tulokset!$I$15,IF(AND('16'!$I$16=Tulokset!$G$15,'16'!$K$16=Tulokset!$I$15),6,3),MAX(0,6-(ABS('16'!$I$16-Tulokset!$G$15)+ABS('16'!$K$16-Tulokset!$I$15))))))</f>
        <v/>
      </c>
      <c r="R19" t="str">
        <f>IF(OR(Tulokset!$G$16="",Tulokset!$I$16="",'16'!$I$17="",'16'!$K$17=""),"",IF(SIGN('16'!$I$17-'16'!$K$17)&lt;&gt;SIGN(Tulokset!$G$16-Tulokset!$I$16),0,IF(Tulokset!$G$16=Tulokset!$I$16,IF(AND('16'!$I$17=Tulokset!$G$16,'16'!$K$17=Tulokset!$I$16),6,3),MAX(0,6-(ABS('16'!$I$17-Tulokset!$G$16)+ABS('16'!$K$17-Tulokset!$I$16))))))</f>
        <v/>
      </c>
      <c r="S19" t="str">
        <f>IF(OR(Tulokset!$G$17="",Tulokset!$I$17="",'16'!$I$18="",'16'!$K$18=""),"",IF(SIGN('16'!$I$18-'16'!$K$18)&lt;&gt;SIGN(Tulokset!$G$17-Tulokset!$I$17),0,IF(Tulokset!$G$17=Tulokset!$I$17,IF(AND('16'!$I$18=Tulokset!$G$17,'16'!$K$18=Tulokset!$I$17),6,3),MAX(0,6-(ABS('16'!$I$18-Tulokset!$G$17)+ABS('16'!$K$18-Tulokset!$I$17))))))</f>
        <v/>
      </c>
      <c r="T19" t="str">
        <f>IF(OR(Tulokset!$G$18="",Tulokset!$I$18="",'16'!$I$19="",'16'!$K$19=""),"",IF(SIGN('16'!$I$19-'16'!$K$19)&lt;&gt;SIGN(Tulokset!$G$18-Tulokset!$I$18),0,IF(Tulokset!$G$18=Tulokset!$I$18,IF(AND('16'!$I$19=Tulokset!$G$18,'16'!$K$19=Tulokset!$I$18),6,3),MAX(0,6-(ABS('16'!$I$19-Tulokset!$G$18)+ABS('16'!$K$19-Tulokset!$I$18))))))</f>
        <v/>
      </c>
      <c r="U19" t="str">
        <f>IF(OR(Tulokset!$G$19="",Tulokset!$I$19="",'16'!$I$20="",'16'!$K$20=""),"",IF(SIGN('16'!$I$20-'16'!$K$20)&lt;&gt;SIGN(Tulokset!$G$19-Tulokset!$I$19),0,IF(Tulokset!$G$19=Tulokset!$I$19,IF(AND('16'!$I$20=Tulokset!$G$19,'16'!$K$20=Tulokset!$I$19),6,3),MAX(0,6-(ABS('16'!$I$20-Tulokset!$G$19)+ABS('16'!$K$20-Tulokset!$I$19))))))</f>
        <v/>
      </c>
      <c r="V19" t="str">
        <f>IF(OR(Tulokset!$G$20="",Tulokset!$I$20="",'16'!$I$21="",'16'!$K$21=""),"",IF(SIGN('16'!$I$21-'16'!$K$21)&lt;&gt;SIGN(Tulokset!$G$20-Tulokset!$I$20),0,IF(Tulokset!$G$20=Tulokset!$I$20,IF(AND('16'!$I$21=Tulokset!$G$20,'16'!$K$21=Tulokset!$I$20),6,3),MAX(0,6-(ABS('16'!$I$21-Tulokset!$G$20)+ABS('16'!$K$21-Tulokset!$I$20))))))</f>
        <v/>
      </c>
      <c r="W19" t="str">
        <f>IF(OR(Tulokset!$G$21="",Tulokset!$I$21="",'16'!$I$22="",'16'!$K$22=""),"",IF(SIGN('16'!$I$22-'16'!$K$22)&lt;&gt;SIGN(Tulokset!$G$21-Tulokset!$I$21),0,IF(Tulokset!$G$21=Tulokset!$I$21,IF(AND('16'!$I$22=Tulokset!$G$21,'16'!$K$22=Tulokset!$I$21),6,3),MAX(0,6-(ABS('16'!$I$22-Tulokset!$G$21)+ABS('16'!$K$22-Tulokset!$I$21))))))</f>
        <v/>
      </c>
      <c r="X19" t="str">
        <f>IF(OR(Tulokset!$G$22="",Tulokset!$I$22="",'16'!$I$23="",'16'!$K$23=""),"",IF(SIGN('16'!$I$23-'16'!$K$23)&lt;&gt;SIGN(Tulokset!$G$22-Tulokset!$I$22),0,IF(Tulokset!$G$22=Tulokset!$I$22,IF(AND('16'!$I$23=Tulokset!$G$22,'16'!$K$23=Tulokset!$I$22),6,3),MAX(0,6-(ABS('16'!$I$23-Tulokset!$G$22)+ABS('16'!$K$23-Tulokset!$I$22))))))</f>
        <v/>
      </c>
      <c r="Y19" t="str">
        <f>IF(OR(Tulokset!$G$23="",Tulokset!$I$23="",'16'!$I$24="",'16'!$K$24=""),"",IF(SIGN('16'!$I$24-'16'!$K$24)&lt;&gt;SIGN(Tulokset!$G$23-Tulokset!$I$23),0,IF(Tulokset!$G$23=Tulokset!$I$23,IF(AND('16'!$I$24=Tulokset!$G$23,'16'!$K$24=Tulokset!$I$23),6,3),MAX(0,6-(ABS('16'!$I$24-Tulokset!$G$23)+ABS('16'!$K$24-Tulokset!$I$23))))))</f>
        <v/>
      </c>
      <c r="Z19" t="str">
        <f>IF(OR(Tulokset!$G$24="",Tulokset!$I$24="",'16'!$I$25="",'16'!$K$25=""),"",IF(SIGN('16'!$I$25-'16'!$K$25)&lt;&gt;SIGN(Tulokset!$G$24-Tulokset!$I$24),0,IF(Tulokset!$G$24=Tulokset!$I$24,IF(AND('16'!$I$25=Tulokset!$G$24,'16'!$K$25=Tulokset!$I$24),6,3),MAX(0,6-(ABS('16'!$I$25-Tulokset!$G$24)+ABS('16'!$K$25-Tulokset!$I$24))))))</f>
        <v/>
      </c>
      <c r="AA19" t="str">
        <f>IF(OR(Tulokset!$G$25="",Tulokset!$I$25="",'16'!$I$26="",'16'!$K$26=""),"",IF(SIGN('16'!$I$26-'16'!$K$26)&lt;&gt;SIGN(Tulokset!$G$25-Tulokset!$I$25),0,IF(Tulokset!$G$25=Tulokset!$I$25,IF(AND('16'!$I$26=Tulokset!$G$25,'16'!$K$26=Tulokset!$I$25),6,3),MAX(0,6-(ABS('16'!$I$26-Tulokset!$G$25)+ABS('16'!$K$26-Tulokset!$I$25))))))</f>
        <v/>
      </c>
      <c r="AB19" t="str">
        <f>IF(OR(Tulokset!$G$26="",Tulokset!$I$26="",'16'!$I$27="",'16'!$K$27=""),"",IF(SIGN('16'!$I$27-'16'!$K$27)&lt;&gt;SIGN(Tulokset!$G$26-Tulokset!$I$26),0,IF(Tulokset!$G$26=Tulokset!$I$26,IF(AND('16'!$I$27=Tulokset!$G$26,'16'!$K$27=Tulokset!$I$26),6,3),MAX(0,6-(ABS('16'!$I$27-Tulokset!$G$26)+ABS('16'!$K$27-Tulokset!$I$26))))))</f>
        <v/>
      </c>
      <c r="AC19" t="str">
        <f>IF(OR(Tulokset!$G$27="",Tulokset!$I$27="",'16'!$I$28="",'16'!$K$28=""),"",IF(SIGN('16'!$I$28-'16'!$K$28)&lt;&gt;SIGN(Tulokset!$G$27-Tulokset!$I$27),0,IF(Tulokset!$G$27=Tulokset!$I$27,IF(AND('16'!$I$28=Tulokset!$G$27,'16'!$K$28=Tulokset!$I$27),6,3),MAX(0,6-(ABS('16'!$I$28-Tulokset!$G$27)+ABS('16'!$K$28-Tulokset!$I$27))))))</f>
        <v/>
      </c>
      <c r="AD19" t="str">
        <f>IF(OR(Tulokset!$G$28="",Tulokset!$I$28="",'16'!$I$29="",'16'!$K$29=""),"",IF(SIGN('16'!$I$29-'16'!$K$29)&lt;&gt;SIGN(Tulokset!$G$28-Tulokset!$I$28),0,IF(Tulokset!$G$28=Tulokset!$I$28,IF(AND('16'!$I$29=Tulokset!$G$28,'16'!$K$29=Tulokset!$I$28),6,3),MAX(0,6-(ABS('16'!$I$29-Tulokset!$G$28)+ABS('16'!$K$29-Tulokset!$I$28))))))</f>
        <v/>
      </c>
      <c r="AE19" t="str">
        <f>IF(OR(Tulokset!$G$29="",Tulokset!$I$29="",'16'!$I$30="",'16'!$K$30=""),"",IF(SIGN('16'!$I$30-'16'!$K$30)&lt;&gt;SIGN(Tulokset!$G$29-Tulokset!$I$29),0,IF(Tulokset!$G$29=Tulokset!$I$29,IF(AND('16'!$I$30=Tulokset!$G$29,'16'!$K$30=Tulokset!$I$29),6,3),MAX(0,6-(ABS('16'!$I$30-Tulokset!$G$29)+ABS('16'!$K$30-Tulokset!$I$29))))))</f>
        <v/>
      </c>
      <c r="AF19" t="str">
        <f>IF(OR(Tulokset!$G$30="",Tulokset!$I$30="",'16'!$I$31="",'16'!$K$31=""),"",IF(SIGN('16'!$I$31-'16'!$K$31)&lt;&gt;SIGN(Tulokset!$G$30-Tulokset!$I$30),0,IF(Tulokset!$G$30=Tulokset!$I$30,IF(AND('16'!$I$31=Tulokset!$G$30,'16'!$K$31=Tulokset!$I$30),6,3),MAX(0,6-(ABS('16'!$I$31-Tulokset!$G$30)+ABS('16'!$K$31-Tulokset!$I$30))))))</f>
        <v/>
      </c>
      <c r="AG19" t="str">
        <f>IF(OR(Tulokset!$G$31="",Tulokset!$I$31="",'16'!$I$32="",'16'!$K$32=""),"",IF(SIGN('16'!$I$32-'16'!$K$32)&lt;&gt;SIGN(Tulokset!$G$31-Tulokset!$I$31),0,IF(Tulokset!$G$31=Tulokset!$I$31,IF(AND('16'!$I$32=Tulokset!$G$31,'16'!$K$32=Tulokset!$I$31),6,3),MAX(0,6-(ABS('16'!$I$32-Tulokset!$G$31)+ABS('16'!$K$32-Tulokset!$I$31))))))</f>
        <v/>
      </c>
      <c r="AH19" t="str">
        <f>IF(OR(Tulokset!$G$32="",Tulokset!$I$32="",'16'!$I$33="",'16'!$K$33=""),"",IF(SIGN('16'!$I$33-'16'!$K$33)&lt;&gt;SIGN(Tulokset!$G$32-Tulokset!$I$32),0,IF(Tulokset!$G$32=Tulokset!$I$32,IF(AND('16'!$I$33=Tulokset!$G$32,'16'!$K$33=Tulokset!$I$32),6,3),MAX(0,6-(ABS('16'!$I$33-Tulokset!$G$32)+ABS('16'!$K$33-Tulokset!$I$32))))))</f>
        <v/>
      </c>
      <c r="AI19" t="str">
        <f>IF(OR(Tulokset!$G$33="",Tulokset!$I$33="",'16'!$I$34="",'16'!$K$34=""),"",IF(SIGN('16'!$I$34-'16'!$K$34)&lt;&gt;SIGN(Tulokset!$G$33-Tulokset!$I$33),0,IF(Tulokset!$G$33=Tulokset!$I$33,IF(AND('16'!$I$34=Tulokset!$G$33,'16'!$K$34=Tulokset!$I$33),6,3),MAX(0,6-(ABS('16'!$I$34-Tulokset!$G$33)+ABS('16'!$K$34-Tulokset!$I$33))))))</f>
        <v/>
      </c>
      <c r="AJ19" t="str">
        <f>IF(OR(Tulokset!$G$34="",Tulokset!$I$34="",'16'!$I$35="",'16'!$K$35=""),"",IF(SIGN('16'!$I$35-'16'!$K$35)&lt;&gt;SIGN(Tulokset!$G$34-Tulokset!$I$34),0,IF(Tulokset!$G$34=Tulokset!$I$34,IF(AND('16'!$I$35=Tulokset!$G$34,'16'!$K$35=Tulokset!$I$34),6,3),MAX(0,6-(ABS('16'!$I$35-Tulokset!$G$34)+ABS('16'!$K$35-Tulokset!$I$34))))))</f>
        <v/>
      </c>
      <c r="AK19" t="str">
        <f>IF(OR(Tulokset!$G$35="",Tulokset!$I$35="",'16'!$I$36="",'16'!$K$36=""),"",IF(SIGN('16'!$I$36-'16'!$K$36)&lt;&gt;SIGN(Tulokset!$G$35-Tulokset!$I$35),0,IF(Tulokset!$G$35=Tulokset!$I$35,IF(AND('16'!$I$36=Tulokset!$G$35,'16'!$K$36=Tulokset!$I$35),6,3),MAX(0,6-(ABS('16'!$I$36-Tulokset!$G$35)+ABS('16'!$K$36-Tulokset!$I$35))))))</f>
        <v/>
      </c>
      <c r="AL19" t="str">
        <f>IF(OR(Tulokset!$G$36="",Tulokset!$I$36="",'16'!$I$37="",'16'!$K$37=""),"",IF(SIGN('16'!$I$37-'16'!$K$37)&lt;&gt;SIGN(Tulokset!$G$36-Tulokset!$I$36),0,IF(Tulokset!$G$36=Tulokset!$I$36,IF(AND('16'!$I$37=Tulokset!$G$36,'16'!$K$37=Tulokset!$I$36),6,3),MAX(0,6-(ABS('16'!$I$37-Tulokset!$G$36)+ABS('16'!$K$37-Tulokset!$I$36))))))</f>
        <v/>
      </c>
      <c r="AM19" t="str">
        <f>IF(OR(Tulokset!$G$37="",Tulokset!$I$37="",'16'!$I$38="",'16'!$K$38=""),"",IF(SIGN('16'!$I$38-'16'!$K$38)&lt;&gt;SIGN(Tulokset!$G$37-Tulokset!$I$37),0,IF(Tulokset!$G$37=Tulokset!$I$37,IF(AND('16'!$I$38=Tulokset!$G$37,'16'!$K$38=Tulokset!$I$37),6,3),MAX(0,6-(ABS('16'!$I$38-Tulokset!$G$37)+ABS('16'!$K$38-Tulokset!$I$37))))))</f>
        <v/>
      </c>
      <c r="AN19" t="str">
        <f>IF(OR(Tulokset!$G$38="",Tulokset!$I$38="",'16'!$I$39="",'16'!$K$39=""),"",IF(SIGN('16'!$I$39-'16'!$K$39)&lt;&gt;SIGN(Tulokset!$G$38-Tulokset!$I$38),0,IF(Tulokset!$G$38=Tulokset!$I$38,IF(AND('16'!$I$39=Tulokset!$G$38,'16'!$K$39=Tulokset!$I$38),6,3),MAX(0,6-(ABS('16'!$I$39-Tulokset!$G$38)+ABS('16'!$K$39-Tulokset!$I$38))))))</f>
        <v/>
      </c>
      <c r="AO19" t="str">
        <f>IF(OR(Tulokset!$G$39="",Tulokset!$I$39="",'16'!$I$40="",'16'!$K$40=""),"",IF(SIGN('16'!$I$40-'16'!$K$40)&lt;&gt;SIGN(Tulokset!$G$39-Tulokset!$I$39),0,IF(Tulokset!$G$39=Tulokset!$I$39,IF(AND('16'!$I$40=Tulokset!$G$39,'16'!$K$40=Tulokset!$I$39),6,3),MAX(0,6-(ABS('16'!$I$40-Tulokset!$G$39)+ABS('16'!$K$40-Tulokset!$I$39))))))</f>
        <v/>
      </c>
      <c r="AP19" t="str">
        <f>IF(OR(Tulokset!$G$40="",Tulokset!$I$40="",'16'!$I$41="",'16'!$K$41=""),"",IF(SIGN('16'!$I$41-'16'!$K$41)&lt;&gt;SIGN(Tulokset!$G$40-Tulokset!$I$40),0,IF(Tulokset!$G$40=Tulokset!$I$40,IF(AND('16'!$I$41=Tulokset!$G$40,'16'!$K$41=Tulokset!$I$40),6,3),MAX(0,6-(ABS('16'!$I$41-Tulokset!$G$40)+ABS('16'!$K$41-Tulokset!$I$40))))))</f>
        <v/>
      </c>
      <c r="AQ19" t="str">
        <f>IF(OR(Tulokset!$G$41="",Tulokset!$I$41="",'16'!$I$42="",'16'!$K$42=""),"",IF(SIGN('16'!$I$42-'16'!$K$42)&lt;&gt;SIGN(Tulokset!$G$41-Tulokset!$I$41),0,IF(Tulokset!$G$41=Tulokset!$I$41,IF(AND('16'!$I$42=Tulokset!$G$41,'16'!$K$42=Tulokset!$I$41),6,3),MAX(0,6-(ABS('16'!$I$42-Tulokset!$G$41)+ABS('16'!$K$42-Tulokset!$I$41))))))</f>
        <v/>
      </c>
      <c r="AR19" t="str">
        <f>IF(OR(Tulokset!$G$42="",Tulokset!$I$42="",'16'!$I$43="",'16'!$K$43=""),"",IF(SIGN('16'!$I$43-'16'!$K$43)&lt;&gt;SIGN(Tulokset!$G$42-Tulokset!$I$42),0,IF(Tulokset!$G$42=Tulokset!$I$42,IF(AND('16'!$I$43=Tulokset!$G$42,'16'!$K$43=Tulokset!$I$42),6,3),MAX(0,6-(ABS('16'!$I$43-Tulokset!$G$42)+ABS('16'!$K$43-Tulokset!$I$42))))))</f>
        <v/>
      </c>
      <c r="AS19" t="str">
        <f>IF(OR(Tulokset!$G$43="",Tulokset!$I$43="",'16'!$I$44="",'16'!$K$44=""),"",IF(SIGN('16'!$I$44-'16'!$K$44)&lt;&gt;SIGN(Tulokset!$G$43-Tulokset!$I$43),0,IF(Tulokset!$G$43=Tulokset!$I$43,IF(AND('16'!$I$44=Tulokset!$G$43,'16'!$K$44=Tulokset!$I$43),6,3),MAX(0,6-(ABS('16'!$I$44-Tulokset!$G$43)+ABS('16'!$K$44-Tulokset!$I$43))))))</f>
        <v/>
      </c>
      <c r="AT19" t="str">
        <f>IF(OR(Tulokset!$G$44="",Tulokset!$I$44="",'16'!$I$45="",'16'!$K$45=""),"",IF(SIGN('16'!$I$45-'16'!$K$45)&lt;&gt;SIGN(Tulokset!$G$44-Tulokset!$I$44),0,IF(Tulokset!$G$44=Tulokset!$I$44,IF(AND('16'!$I$45=Tulokset!$G$44,'16'!$K$45=Tulokset!$I$44),6,3),MAX(0,6-(ABS('16'!$I$45-Tulokset!$G$44)+ABS('16'!$K$45-Tulokset!$I$44))))))</f>
        <v/>
      </c>
      <c r="AU19" t="str">
        <f>IF(OR(Tulokset!$G$45="",Tulokset!$I$45="",'16'!$I$46="",'16'!$K$46=""),"",IF(SIGN('16'!$I$46-'16'!$K$46)&lt;&gt;SIGN(Tulokset!$G$45-Tulokset!$I$45),0,IF(Tulokset!$G$45=Tulokset!$I$45,IF(AND('16'!$I$46=Tulokset!$G$45,'16'!$K$46=Tulokset!$I$45),6,3),MAX(0,6-(ABS('16'!$I$46-Tulokset!$G$45)+ABS('16'!$K$46-Tulokset!$I$45))))))</f>
        <v/>
      </c>
      <c r="AV19" t="str">
        <f>IF(OR(Tulokset!$G$46="",Tulokset!$I$46="",'16'!$I$47="",'16'!$K$47=""),"",IF(SIGN('16'!$I$47-'16'!$K$47)&lt;&gt;SIGN(Tulokset!$G$46-Tulokset!$I$46),0,IF(Tulokset!$G$46=Tulokset!$I$46,IF(AND('16'!$I$47=Tulokset!$G$46,'16'!$K$47=Tulokset!$I$46),6,3),MAX(0,6-(ABS('16'!$I$47-Tulokset!$G$46)+ABS('16'!$K$47-Tulokset!$I$46))))))</f>
        <v/>
      </c>
      <c r="AW19" t="str">
        <f>IF(OR(Tulokset!$G$47="",Tulokset!$I$47="",'16'!$I$48="",'16'!$K$48=""),"",IF(SIGN('16'!$I$48-'16'!$K$48)&lt;&gt;SIGN(Tulokset!$G$47-Tulokset!$I$47),0,IF(Tulokset!$G$47=Tulokset!$I$47,IF(AND('16'!$I$48=Tulokset!$G$47,'16'!$K$48=Tulokset!$I$47),6,3),MAX(0,6-(ABS('16'!$I$48-Tulokset!$G$47)+ABS('16'!$K$48-Tulokset!$I$47))))))</f>
        <v/>
      </c>
      <c r="AX19" t="str">
        <f>IF(OR(Tulokset!$G$48="",Tulokset!$I$48="",'16'!$I$49="",'16'!$K$49=""),"",IF(SIGN('16'!$I$49-'16'!$K$49)&lt;&gt;SIGN(Tulokset!$G$48-Tulokset!$I$48),0,IF(Tulokset!$G$48=Tulokset!$I$48,IF(AND('16'!$I$49=Tulokset!$G$48,'16'!$K$49=Tulokset!$I$48),6,3),MAX(0,6-(ABS('16'!$I$49-Tulokset!$G$48)+ABS('16'!$K$49-Tulokset!$I$48))))))</f>
        <v/>
      </c>
      <c r="AY19" t="str">
        <f>IF(OR(Tulokset!$G$49="",Tulokset!$I$49="",'16'!$I$50="",'16'!$K$50=""),"",IF(SIGN('16'!$I$50-'16'!$K$50)&lt;&gt;SIGN(Tulokset!$G$49-Tulokset!$I$49),0,IF(Tulokset!$G$49=Tulokset!$I$49,IF(AND('16'!$I$50=Tulokset!$G$49,'16'!$K$50=Tulokset!$I$49),6,3),MAX(0,6-(ABS('16'!$I$50-Tulokset!$G$49)+ABS('16'!$K$50-Tulokset!$I$49))))))</f>
        <v/>
      </c>
      <c r="AZ19" t="str">
        <f>IF(OR(Tulokset!$G$50="",Tulokset!$I$50="",'16'!$I$51="",'16'!$K$51=""),"",IF(SIGN('16'!$I$51-'16'!$K$51)&lt;&gt;SIGN(Tulokset!$G$50-Tulokset!$I$50),0,IF(Tulokset!$G$50=Tulokset!$I$50,IF(AND('16'!$I$51=Tulokset!$G$50,'16'!$K$51=Tulokset!$I$50),6,3),MAX(0,6-(ABS('16'!$I$51-Tulokset!$G$50)+ABS('16'!$K$51-Tulokset!$I$50))))))</f>
        <v/>
      </c>
      <c r="BA19" t="str">
        <f>IF(OR(Tulokset!$G$51="",Tulokset!$I$51="",'16'!$I$52="",'16'!$K$52=""),"",IF(SIGN('16'!$I$52-'16'!$K$52)&lt;&gt;SIGN(Tulokset!$G$51-Tulokset!$I$51),0,IF(Tulokset!$G$51=Tulokset!$I$51,IF(AND('16'!$I$52=Tulokset!$G$51,'16'!$K$52=Tulokset!$I$51),6,3),MAX(0,6-(ABS('16'!$I$52-Tulokset!$G$51)+ABS('16'!$K$52-Tulokset!$I$51))))))</f>
        <v/>
      </c>
      <c r="BB19" t="str">
        <f>IF(OR(Tulokset!$G$52="",Tulokset!$I$52="",'16'!$I$53="",'16'!$K$53=""),"",IF(SIGN('16'!$I$53-'16'!$K$53)&lt;&gt;SIGN(Tulokset!$G$52-Tulokset!$I$52),0,IF(Tulokset!$G$52=Tulokset!$I$52,IF(AND('16'!$I$53=Tulokset!$G$52,'16'!$K$53=Tulokset!$I$52),6,3),MAX(0,6-(ABS('16'!$I$53-Tulokset!$G$52)+ABS('16'!$K$53-Tulokset!$I$52))))))</f>
        <v/>
      </c>
      <c r="BC19" t="str">
        <f>IF(OR(Tulokset!$G$53="",Tulokset!$I$53="",'16'!$I$54="",'16'!$K$54=""),"",IF(SIGN('16'!$I$54-'16'!$K$54)&lt;&gt;SIGN(Tulokset!$G$53-Tulokset!$I$53),0,IF(Tulokset!$G$53=Tulokset!$I$53,IF(AND('16'!$I$54=Tulokset!$G$53,'16'!$K$54=Tulokset!$I$53),6,3),MAX(0,6-(ABS('16'!$I$54-Tulokset!$G$53)+ABS('16'!$K$54-Tulokset!$I$53))))))</f>
        <v/>
      </c>
      <c r="BD19" t="str">
        <f>IF(OR(Tulokset!$G$54="",Tulokset!$I$54="",'16'!$I$55="",'16'!$K$55=""),"",IF(SIGN('16'!$I$55-'16'!$K$55)&lt;&gt;SIGN(Tulokset!$G$54-Tulokset!$I$54),0,IF(Tulokset!$G$54=Tulokset!$I$54,IF(AND('16'!$I$55=Tulokset!$G$54,'16'!$K$55=Tulokset!$I$54),6,3),MAX(0,6-(ABS('16'!$I$55-Tulokset!$G$54)+ABS('16'!$K$55-Tulokset!$I$54))))))</f>
        <v/>
      </c>
      <c r="BE19" t="str">
        <f>IF(OR(Tulokset!$G$55="",Tulokset!$I$55="",'16'!$I$56="",'16'!$K$56=""),"",IF(SIGN('16'!$I$56-'16'!$K$56)&lt;&gt;SIGN(Tulokset!$G$55-Tulokset!$I$55),0,IF(Tulokset!$G$55=Tulokset!$I$55,IF(AND('16'!$I$56=Tulokset!$G$55,'16'!$K$56=Tulokset!$I$55),6,3),MAX(0,6-(ABS('16'!$I$56-Tulokset!$G$55)+ABS('16'!$K$56-Tulokset!$I$55))))))</f>
        <v/>
      </c>
      <c r="BF19" t="str">
        <f>IF(OR(Tulokset!$G$56="",Tulokset!$I$56="",'16'!$I$57="",'16'!$K$57=""),"",IF(SIGN('16'!$I$57-'16'!$K$57)&lt;&gt;SIGN(Tulokset!$G$56-Tulokset!$I$56),0,IF(Tulokset!$G$56=Tulokset!$I$56,IF(AND('16'!$I$57=Tulokset!$G$56,'16'!$K$57=Tulokset!$I$56),6,3),MAX(0,6-(ABS('16'!$I$57-Tulokset!$G$56)+ABS('16'!$K$57-Tulokset!$I$56))))))</f>
        <v/>
      </c>
      <c r="BG19" t="str">
        <f>IF(OR(Tulokset!$G$57="",Tulokset!$I$57="",'16'!$I$58="",'16'!$K$58=""),"",IF(SIGN('16'!$I$58-'16'!$K$58)&lt;&gt;SIGN(Tulokset!$G$57-Tulokset!$I$57),0,IF(Tulokset!$G$57=Tulokset!$I$57,IF(AND('16'!$I$58=Tulokset!$G$57,'16'!$K$58=Tulokset!$I$57),6,3),MAX(0,6-(ABS('16'!$I$58-Tulokset!$G$57)+ABS('16'!$K$58-Tulokset!$I$57))))))</f>
        <v/>
      </c>
      <c r="BH19" t="str">
        <f>IF(OR(Tulokset!$G$58="",Tulokset!$I$58="",'16'!$I$59="",'16'!$K$59=""),"",IF(SIGN('16'!$I$59-'16'!$K$59)&lt;&gt;SIGN(Tulokset!$G$58-Tulokset!$I$58),0,IF(Tulokset!$G$58=Tulokset!$I$58,IF(AND('16'!$I$59=Tulokset!$G$58,'16'!$K$59=Tulokset!$I$58),6,3),MAX(0,6-(ABS('16'!$I$59-Tulokset!$G$58)+ABS('16'!$K$59-Tulokset!$I$58))))))</f>
        <v/>
      </c>
      <c r="BI19" t="str">
        <f>IF(OR(Tulokset!$G$59="",Tulokset!$I$59="",'16'!$I$60="",'16'!$K$60=""),"",IF(SIGN('16'!$I$60-'16'!$K$60)&lt;&gt;SIGN(Tulokset!$G$59-Tulokset!$I$59),0,IF(Tulokset!$G$59=Tulokset!$I$59,IF(AND('16'!$I$60=Tulokset!$G$59,'16'!$K$60=Tulokset!$I$59),6,3),MAX(0,6-(ABS('16'!$I$60-Tulokset!$G$59)+ABS('16'!$K$60-Tulokset!$I$59))))))</f>
        <v/>
      </c>
      <c r="BJ19" t="str">
        <f>IF(OR(Tulokset!$G$60="",Tulokset!$I$60="",'16'!$I$61="",'16'!$K$61=""),"",IF(SIGN('16'!$I$61-'16'!$K$61)&lt;&gt;SIGN(Tulokset!$G$60-Tulokset!$I$60),0,IF(Tulokset!$G$60=Tulokset!$I$60,IF(AND('16'!$I$61=Tulokset!$G$60,'16'!$K$61=Tulokset!$I$60),6,3),MAX(0,6-(ABS('16'!$I$61-Tulokset!$G$60)+ABS('16'!$K$61-Tulokset!$I$60))))))</f>
        <v/>
      </c>
      <c r="BK19" t="str">
        <f>IF(OR(Tulokset!$G$61="",Tulokset!$I$61="",'16'!$I$62="",'16'!$K$62=""),"",IF(SIGN('16'!$I$62-'16'!$K$62)&lt;&gt;SIGN(Tulokset!$G$61-Tulokset!$I$61),0,IF(Tulokset!$G$61=Tulokset!$I$61,IF(AND('16'!$I$62=Tulokset!$G$61,'16'!$K$62=Tulokset!$I$61),6,3),MAX(0,6-(ABS('16'!$I$62-Tulokset!$G$61)+ABS('16'!$K$62-Tulokset!$I$61))))))</f>
        <v/>
      </c>
      <c r="BL19" t="str">
        <f>IF(OR(Tulokset!$G$62="",Tulokset!$I$62="",'16'!$I$63="",'16'!$K$63=""),"",IF(SIGN('16'!$I$63-'16'!$K$63)&lt;&gt;SIGN(Tulokset!$G$62-Tulokset!$I$62),0,IF(Tulokset!$G$62=Tulokset!$I$62,IF(AND('16'!$I$63=Tulokset!$G$62,'16'!$K$63=Tulokset!$I$62),6,3),MAX(0,6-(ABS('16'!$I$63-Tulokset!$G$62)+ABS('16'!$K$63-Tulokset!$I$62))))))</f>
        <v/>
      </c>
      <c r="BM19" t="str">
        <f>IF(OR(Tulokset!$G$63="",Tulokset!$I$63="",'16'!$I$64="",'16'!$K$64=""),"",IF(SIGN('16'!$I$64-'16'!$K$64)&lt;&gt;SIGN(Tulokset!$G$63-Tulokset!$I$63),0,IF(Tulokset!$G$63=Tulokset!$I$63,IF(AND('16'!$I$64=Tulokset!$G$63,'16'!$K$64=Tulokset!$I$63),6,3),MAX(0,6-(ABS('16'!$I$64-Tulokset!$G$63)+ABS('16'!$K$64-Tulokset!$I$63))))))</f>
        <v/>
      </c>
      <c r="BN19" t="str">
        <f>IF(OR(Tulokset!$G$64="",Tulokset!$I$64="",'16'!$I$65="",'16'!$K$65=""),"",IF(SIGN('16'!$I$65-'16'!$K$65)&lt;&gt;SIGN(Tulokset!$G$64-Tulokset!$I$64),0,IF(Tulokset!$G$64=Tulokset!$I$64,IF(AND('16'!$I$65=Tulokset!$G$64,'16'!$K$65=Tulokset!$I$64),6,3),MAX(0,6-(ABS('16'!$I$65-Tulokset!$G$64)+ABS('16'!$K$65-Tulokset!$I$64))))))</f>
        <v/>
      </c>
      <c r="BO19" t="str">
        <f>IF(OR(Tulokset!$G$65="",Tulokset!$I$65="",'16'!$I$66="",'16'!$K$66=""),"",IF(SIGN('16'!$I$66-'16'!$K$66)&lt;&gt;SIGN(Tulokset!$G$65-Tulokset!$I$65),0,IF(Tulokset!$G$65=Tulokset!$I$65,IF(AND('16'!$I$66=Tulokset!$G$65,'16'!$K$66=Tulokset!$I$65),6,3),MAX(0,6-(ABS('16'!$I$66-Tulokset!$G$65)+ABS('16'!$K$66-Tulokset!$I$65))))))</f>
        <v/>
      </c>
      <c r="BP19" t="str">
        <f>IF(OR(Tulokset!$G$66="",Tulokset!$I$66="",'16'!$I$67="",'16'!$K$67=""),"",IF(SIGN('16'!$I$67-'16'!$K$67)&lt;&gt;SIGN(Tulokset!$G$66-Tulokset!$I$66),0,IF(Tulokset!$G$66=Tulokset!$I$66,IF(AND('16'!$I$67=Tulokset!$G$66,'16'!$K$67=Tulokset!$I$66),6,3),MAX(0,6-(ABS('16'!$I$67-Tulokset!$G$66)+ABS('16'!$K$67-Tulokset!$I$66))))))</f>
        <v/>
      </c>
      <c r="BQ19" t="str">
        <f>IF(OR(Tulokset!$G$67="",Tulokset!$I$67="",'16'!$I$68="",'16'!$K$68=""),"",IF(SIGN('16'!$I$68-'16'!$K$68)&lt;&gt;SIGN(Tulokset!$G$67-Tulokset!$I$67),0,IF(Tulokset!$G$67=Tulokset!$I$67,IF(AND('16'!$I$68=Tulokset!$G$67,'16'!$K$68=Tulokset!$I$67),6,3),MAX(0,6-(ABS('16'!$I$68-Tulokset!$G$67)+ABS('16'!$K$68-Tulokset!$I$67))))))</f>
        <v/>
      </c>
      <c r="BR19" t="str">
        <f>IF(OR(Tulokset!$G$68="",Tulokset!$I$68="",'16'!$I$69="",'16'!$K$69=""),"",IF(SIGN('16'!$I$69-'16'!$K$69)&lt;&gt;SIGN(Tulokset!$G$68-Tulokset!$I$68),0,IF(Tulokset!$G$68=Tulokset!$I$68,IF(AND('16'!$I$69=Tulokset!$G$68,'16'!$K$69=Tulokset!$I$68),6,3),MAX(0,6-(ABS('16'!$I$69-Tulokset!$G$68)+ABS('16'!$K$69-Tulokset!$I$68))))))</f>
        <v/>
      </c>
      <c r="BS19" t="str">
        <f>IF(OR(Tulokset!$G$69="",Tulokset!$I$69="",'16'!$I$70="",'16'!$K$70=""),"",IF(SIGN('16'!$I$70-'16'!$K$70)&lt;&gt;SIGN(Tulokset!$G$69-Tulokset!$I$69),0,IF(Tulokset!$G$69=Tulokset!$I$69,IF(AND('16'!$I$70=Tulokset!$G$69,'16'!$K$70=Tulokset!$I$69),6,3),MAX(0,6-(ABS('16'!$I$70-Tulokset!$G$69)+ABS('16'!$K$70-Tulokset!$I$69))))))</f>
        <v/>
      </c>
      <c r="BT19" t="str">
        <f>IF(OR(Tulokset!$G$70="",Tulokset!$I$70="",'16'!$I$71="",'16'!$K$71=""),"",IF(SIGN('16'!$I$71-'16'!$K$71)&lt;&gt;SIGN(Tulokset!$G$70-Tulokset!$I$70),0,IF(Tulokset!$G$70=Tulokset!$I$70,IF(AND('16'!$I$71=Tulokset!$G$70,'16'!$K$71=Tulokset!$I$70),6,3),MAX(0,6-(ABS('16'!$I$71-Tulokset!$G$70)+ABS('16'!$K$71-Tulokset!$I$70))))))</f>
        <v/>
      </c>
      <c r="BU19" t="str">
        <f>IF(OR(Tulokset!$G$71="",Tulokset!$I$71="",'16'!$I$72="",'16'!$K$72=""),"",IF(SIGN('16'!$I$72-'16'!$K$72)&lt;&gt;SIGN(Tulokset!$G$71-Tulokset!$I$71),0,IF(Tulokset!$G$71=Tulokset!$I$71,IF(AND('16'!$I$72=Tulokset!$G$71,'16'!$K$72=Tulokset!$I$71),6,3),MAX(0,6-(ABS('16'!$I$72-Tulokset!$G$71)+ABS('16'!$K$72-Tulokset!$I$71))))))</f>
        <v/>
      </c>
      <c r="BV19" t="str">
        <f>IF(OR(Tulokset!$G$72="",Tulokset!$I$72="",'16'!$I$73="",'16'!$K$73=""),"",IF(SIGN('16'!$I$73-'16'!$K$73)&lt;&gt;SIGN(Tulokset!$G$72-Tulokset!$I$72),0,IF(Tulokset!$G$72=Tulokset!$I$72,IF(AND('16'!$I$73=Tulokset!$G$72,'16'!$K$73=Tulokset!$I$72),6,3),MAX(0,6-(ABS('16'!$I$73-Tulokset!$G$72)+ABS('16'!$K$73-Tulokset!$I$72))))))</f>
        <v/>
      </c>
      <c r="BW19" t="str">
        <f>IF(OR(Tulokset!$G$73="",Tulokset!$I$73="",'16'!$I$74="",'16'!$K$74=""),"",IF(SIGN('16'!$I$74-'16'!$K$74)&lt;&gt;SIGN(Tulokset!$G$73-Tulokset!$I$73),0,IF(Tulokset!$G$73=Tulokset!$I$73,IF(AND('16'!$I$74=Tulokset!$G$73,'16'!$K$74=Tulokset!$I$73),6,3),MAX(0,6-(ABS('16'!$I$74-Tulokset!$G$73)+ABS('16'!$K$74-Tulokset!$I$73))))))</f>
        <v/>
      </c>
      <c r="BX19" t="str">
        <f>IF(OR(Tulokset!$G$74="",Tulokset!$I$74="",'16'!$I$75="",'16'!$K$75=""),"",IF(SIGN('16'!$I$75-'16'!$K$75)&lt;&gt;SIGN(Tulokset!$G$74-Tulokset!$I$74),0,IF(Tulokset!$G$74=Tulokset!$I$74,IF(AND('16'!$I$75=Tulokset!$G$74,'16'!$K$75=Tulokset!$I$74),6,3),MAX(0,6-(ABS('16'!$I$75-Tulokset!$G$74)+ABS('16'!$K$75-Tulokset!$I$74))))))</f>
        <v/>
      </c>
      <c r="BY19" t="str">
        <f>IF(OR(Tulokset!$G$75="",Tulokset!$I$75="",'16'!$I$76="",'16'!$K$76=""),"",IF(SIGN('16'!$I$76-'16'!$K$76)&lt;&gt;SIGN(Tulokset!$G$75-Tulokset!$I$75),0,IF(Tulokset!$G$75=Tulokset!$I$75,IF(AND('16'!$I$76=Tulokset!$G$75,'16'!$K$76=Tulokset!$I$75),6,3),MAX(0,6-(ABS('16'!$I$76-Tulokset!$G$75)+ABS('16'!$K$76-Tulokset!$I$75))))))</f>
        <v/>
      </c>
      <c r="BZ19" t="str">
        <f>IF(OR(Tulokset!$G$76="",Tulokset!$I$76="",'16'!$I$77="",'16'!$K$77=""),"",IF(SIGN('16'!$I$77-'16'!$K$77)&lt;&gt;SIGN(Tulokset!$G$76-Tulokset!$I$76),0,IF(Tulokset!$G$76=Tulokset!$I$76,IF(AND('16'!$I$77=Tulokset!$G$76,'16'!$K$77=Tulokset!$I$76),6,3),MAX(0,6-(ABS('16'!$I$77-Tulokset!$G$76)+ABS('16'!$K$77-Tulokset!$I$76))))))</f>
        <v/>
      </c>
      <c r="CA19" t="str">
        <f>IF(OR(Tulokset!$G$77="",Tulokset!$I$77="",'16'!$I$78="",'16'!$K$78=""),"",IF(SIGN('16'!$I$78-'16'!$K$78)&lt;&gt;SIGN(Tulokset!$G$77-Tulokset!$I$77),0,IF(Tulokset!$G$77=Tulokset!$I$77,IF(AND('16'!$I$78=Tulokset!$G$77,'16'!$K$78=Tulokset!$I$77),6,3),MAX(0,6-(ABS('16'!$I$78-Tulokset!$G$77)+ABS('16'!$K$78-Tulokset!$I$77))))))</f>
        <v/>
      </c>
      <c r="CD19" t="str">
        <f ca="1">IF(OR(Tulokset!$M$6="",INDIRECT("'"&amp;$A19&amp;"'!$P$8")=""),"",IF(TRIM(INDIRECT("'"&amp;$A19&amp;"'!$P$8"))=TRIM(Tulokset!$M$6),2,0))</f>
        <v/>
      </c>
      <c r="CE19" t="str">
        <f ca="1">IF(OR(Tulokset!$M$7="",INDIRECT("'"&amp;$A19&amp;"'!$P$9")=""),"",IF(TRIM(INDIRECT("'"&amp;$A19&amp;"'!$P$9"))=TRIM(Tulokset!$M$7),2,0))</f>
        <v/>
      </c>
      <c r="CF19" t="str">
        <f ca="1">IF(OR(Tulokset!$M$8="",INDIRECT("'"&amp;$A19&amp;"'!$P$10")=""),"",IF(TRIM(INDIRECT("'"&amp;$A19&amp;"'!$P$10"))=TRIM(Tulokset!$M$8),2,0))</f>
        <v/>
      </c>
      <c r="CG19" t="str">
        <f ca="1">IF(OR(Tulokset!$M$9="",INDIRECT("'"&amp;$A19&amp;"'!$P$11")=""),"",IF(TRIM(INDIRECT("'"&amp;$A19&amp;"'!$P$11"))=TRIM(Tulokset!$M$9),2,0))</f>
        <v/>
      </c>
      <c r="CH19" t="str">
        <f ca="1">IF(OR(Tulokset!$N$6="",INDIRECT("'"&amp;$A19&amp;"'!$Q$8")=""),"",IF(TRIM(INDIRECT("'"&amp;$A19&amp;"'!$Q$8"))=TRIM(Tulokset!$N$6),2,0))</f>
        <v/>
      </c>
      <c r="CI19" t="str">
        <f ca="1">IF(OR(Tulokset!$N$7="",INDIRECT("'"&amp;$A19&amp;"'!$Q$9")=""),"",IF(TRIM(INDIRECT("'"&amp;$A19&amp;"'!$Q$9"))=TRIM(Tulokset!$N$7),2,0))</f>
        <v/>
      </c>
      <c r="CJ19" t="str">
        <f ca="1">IF(OR(Tulokset!$N$8="",INDIRECT("'"&amp;$A19&amp;"'!$Q$10")=""),"",IF(TRIM(INDIRECT("'"&amp;$A19&amp;"'!$Q$10"))=TRIM(Tulokset!$N$8),2,0))</f>
        <v/>
      </c>
      <c r="CK19" t="str">
        <f ca="1">IF(OR(Tulokset!$N$9="",INDIRECT("'"&amp;$A19&amp;"'!$Q$11")=""),"",IF(TRIM(INDIRECT("'"&amp;$A19&amp;"'!$Q$11"))=TRIM(Tulokset!$N$9),2,0))</f>
        <v/>
      </c>
      <c r="CL19" t="str">
        <f ca="1">IF(OR(Tulokset!$O$6="",INDIRECT("'"&amp;$A19&amp;"'!$R$8")=""),"",IF(TRIM(INDIRECT("'"&amp;$A19&amp;"'!$R$8"))=TRIM(Tulokset!$O$6),2,0))</f>
        <v/>
      </c>
      <c r="CM19" t="str">
        <f ca="1">IF(OR(Tulokset!$O$7="",INDIRECT("'"&amp;$A19&amp;"'!$R$9")=""),"",IF(TRIM(INDIRECT("'"&amp;$A19&amp;"'!$R$9"))=TRIM(Tulokset!$O$7),2,0))</f>
        <v/>
      </c>
      <c r="CN19" t="str">
        <f ca="1">IF(OR(Tulokset!$O$8="",INDIRECT("'"&amp;$A19&amp;"'!$R$10")=""),"",IF(TRIM(INDIRECT("'"&amp;$A19&amp;"'!$R$10"))=TRIM(Tulokset!$O$8),2,0))</f>
        <v/>
      </c>
      <c r="CO19" t="str">
        <f ca="1">IF(OR(Tulokset!$O$9="",INDIRECT("'"&amp;$A19&amp;"'!$R$11")=""),"",IF(TRIM(INDIRECT("'"&amp;$A19&amp;"'!$R$11"))=TRIM(Tulokset!$O$9),2,0))</f>
        <v/>
      </c>
      <c r="CP19" t="str">
        <f ca="1">IF(OR(Tulokset!$P$6="",INDIRECT("'"&amp;$A19&amp;"'!$S$8")=""),"",IF(TRIM(INDIRECT("'"&amp;$A19&amp;"'!$S$8"))=TRIM(Tulokset!$P$6),2,0))</f>
        <v/>
      </c>
      <c r="CQ19" t="str">
        <f ca="1">IF(OR(Tulokset!$P$7="",INDIRECT("'"&amp;$A19&amp;"'!$S$9")=""),"",IF(TRIM(INDIRECT("'"&amp;$A19&amp;"'!$S$9"))=TRIM(Tulokset!$P$7),2,0))</f>
        <v/>
      </c>
      <c r="CR19" t="str">
        <f ca="1">IF(OR(Tulokset!$P$8="",INDIRECT("'"&amp;$A19&amp;"'!$S$10")=""),"",IF(TRIM(INDIRECT("'"&amp;$A19&amp;"'!$S$10"))=TRIM(Tulokset!$P$8),2,0))</f>
        <v/>
      </c>
      <c r="CS19" t="str">
        <f ca="1">IF(OR(Tulokset!$P$9="",INDIRECT("'"&amp;$A19&amp;"'!$S$11")=""),"",IF(TRIM(INDIRECT("'"&amp;$A19&amp;"'!$S$11"))=TRIM(Tulokset!$P$9),2,0))</f>
        <v/>
      </c>
      <c r="CT19" t="str">
        <f ca="1">IF(OR(Tulokset!$Q$6="",INDIRECT("'"&amp;$A19&amp;"'!$T$8")=""),"",IF(TRIM(INDIRECT("'"&amp;$A19&amp;"'!$T$8"))=TRIM(Tulokset!$Q$6),2,0))</f>
        <v/>
      </c>
      <c r="CU19" t="str">
        <f ca="1">IF(OR(Tulokset!$Q$7="",INDIRECT("'"&amp;$A19&amp;"'!$T$9")=""),"",IF(TRIM(INDIRECT("'"&amp;$A19&amp;"'!$T$9"))=TRIM(Tulokset!$Q$7),2,0))</f>
        <v/>
      </c>
      <c r="CV19" t="str">
        <f ca="1">IF(OR(Tulokset!$Q$8="",INDIRECT("'"&amp;$A19&amp;"'!$T$10")=""),"",IF(TRIM(INDIRECT("'"&amp;$A19&amp;"'!$T$10"))=TRIM(Tulokset!$Q$8),2,0))</f>
        <v/>
      </c>
      <c r="CW19" t="str">
        <f ca="1">IF(OR(Tulokset!$Q$9="",INDIRECT("'"&amp;$A19&amp;"'!$T$11")=""),"",IF(TRIM(INDIRECT("'"&amp;$A19&amp;"'!$T$11"))=TRIM(Tulokset!$Q$9),2,0))</f>
        <v/>
      </c>
      <c r="CX19" t="str">
        <f ca="1">IF(OR(Tulokset!$R$6="",INDIRECT("'"&amp;$A19&amp;"'!$U$8")=""),"",IF(TRIM(INDIRECT("'"&amp;$A19&amp;"'!$U$8"))=TRIM(Tulokset!$R$6),2,0))</f>
        <v/>
      </c>
      <c r="CY19" t="str">
        <f ca="1">IF(OR(Tulokset!$R$7="",INDIRECT("'"&amp;$A19&amp;"'!$U$9")=""),"",IF(TRIM(INDIRECT("'"&amp;$A19&amp;"'!$U$9"))=TRIM(Tulokset!$R$7),2,0))</f>
        <v/>
      </c>
      <c r="CZ19" t="str">
        <f ca="1">IF(OR(Tulokset!$R$8="",INDIRECT("'"&amp;$A19&amp;"'!$U$10")=""),"",IF(TRIM(INDIRECT("'"&amp;$A19&amp;"'!$U$10"))=TRIM(Tulokset!$R$8),2,0))</f>
        <v/>
      </c>
      <c r="DA19" t="str">
        <f ca="1">IF(OR(Tulokset!$R$9="",INDIRECT("'"&amp;$A19&amp;"'!$U$11")=""),"",IF(TRIM(INDIRECT("'"&amp;$A19&amp;"'!$U$11"))=TRIM(Tulokset!$R$9),2,0))</f>
        <v/>
      </c>
      <c r="DB19" t="str">
        <f ca="1">IF(OR(Tulokset!$M$12="",INDIRECT("'"&amp;$A19&amp;"'!$P$14")=""),"",IF(TRIM(INDIRECT("'"&amp;$A19&amp;"'!$P$14"))=TRIM(Tulokset!$M$12),2,0))</f>
        <v/>
      </c>
      <c r="DC19" t="str">
        <f ca="1">IF(OR(Tulokset!$M$13="",INDIRECT("'"&amp;$A19&amp;"'!$P$15")=""),"",IF(TRIM(INDIRECT("'"&amp;$A19&amp;"'!$P$15"))=TRIM(Tulokset!$M$13),2,0))</f>
        <v/>
      </c>
      <c r="DD19" t="str">
        <f ca="1">IF(OR(Tulokset!$M$14="",INDIRECT("'"&amp;$A19&amp;"'!$P$16")=""),"",IF(TRIM(INDIRECT("'"&amp;$A19&amp;"'!$P$16"))=TRIM(Tulokset!$M$14),2,0))</f>
        <v/>
      </c>
      <c r="DE19" t="str">
        <f ca="1">IF(OR(Tulokset!$M$15="",INDIRECT("'"&amp;$A19&amp;"'!$P$17")=""),"",IF(TRIM(INDIRECT("'"&amp;$A19&amp;"'!$P$17"))=TRIM(Tulokset!$M$15),2,0))</f>
        <v/>
      </c>
      <c r="DF19" t="str">
        <f ca="1">IF(OR(Tulokset!$N$12="",INDIRECT("'"&amp;$A19&amp;"'!$Q$14")=""),"",IF(TRIM(INDIRECT("'"&amp;$A19&amp;"'!$Q$14"))=TRIM(Tulokset!$N$12),2,0))</f>
        <v/>
      </c>
      <c r="DG19" t="str">
        <f ca="1">IF(OR(Tulokset!$N$13="",INDIRECT("'"&amp;$A19&amp;"'!$Q$15")=""),"",IF(TRIM(INDIRECT("'"&amp;$A19&amp;"'!$Q$15"))=TRIM(Tulokset!$N$13),2,0))</f>
        <v/>
      </c>
      <c r="DH19" t="str">
        <f ca="1">IF(OR(Tulokset!$N$14="",INDIRECT("'"&amp;$A19&amp;"'!$Q$16")=""),"",IF(TRIM(INDIRECT("'"&amp;$A19&amp;"'!$Q$16"))=TRIM(Tulokset!$N$14),2,0))</f>
        <v/>
      </c>
      <c r="DI19" t="str">
        <f ca="1">IF(OR(Tulokset!$N$15="",INDIRECT("'"&amp;$A19&amp;"'!$Q$17")=""),"",IF(TRIM(INDIRECT("'"&amp;$A19&amp;"'!$Q$17"))=TRIM(Tulokset!$N$15),2,0))</f>
        <v/>
      </c>
      <c r="DJ19" t="str">
        <f ca="1">IF(OR(Tulokset!$O$12="",INDIRECT("'"&amp;$A19&amp;"'!$R$14")=""),"",IF(TRIM(INDIRECT("'"&amp;$A19&amp;"'!$R$14"))=TRIM(Tulokset!$O$12),2,0))</f>
        <v/>
      </c>
      <c r="DK19" t="str">
        <f ca="1">IF(OR(Tulokset!$O$13="",INDIRECT("'"&amp;$A19&amp;"'!$R$15")=""),"",IF(TRIM(INDIRECT("'"&amp;$A19&amp;"'!$R$15"))=TRIM(Tulokset!$O$13),2,0))</f>
        <v/>
      </c>
      <c r="DL19" t="str">
        <f ca="1">IF(OR(Tulokset!$O$14="",INDIRECT("'"&amp;$A19&amp;"'!$R$16")=""),"",IF(TRIM(INDIRECT("'"&amp;$A19&amp;"'!$R$16"))=TRIM(Tulokset!$O$14),2,0))</f>
        <v/>
      </c>
      <c r="DM19" t="str">
        <f ca="1">IF(OR(Tulokset!$O$15="",INDIRECT("'"&amp;$A19&amp;"'!$R$17")=""),"",IF(TRIM(INDIRECT("'"&amp;$A19&amp;"'!$R$17"))=TRIM(Tulokset!$O$15),2,0))</f>
        <v/>
      </c>
      <c r="DN19" t="str">
        <f ca="1">IF(OR(Tulokset!$P$12="",INDIRECT("'"&amp;$A19&amp;"'!$S$14")=""),"",IF(TRIM(INDIRECT("'"&amp;$A19&amp;"'!$S$14"))=TRIM(Tulokset!$P$12),2,0))</f>
        <v/>
      </c>
      <c r="DO19" t="str">
        <f ca="1">IF(OR(Tulokset!$P$13="",INDIRECT("'"&amp;$A19&amp;"'!$S$15")=""),"",IF(TRIM(INDIRECT("'"&amp;$A19&amp;"'!$S$15"))=TRIM(Tulokset!$P$13),2,0))</f>
        <v/>
      </c>
      <c r="DP19" t="str">
        <f ca="1">IF(OR(Tulokset!$P$14="",INDIRECT("'"&amp;$A19&amp;"'!$S$16")=""),"",IF(TRIM(INDIRECT("'"&amp;$A19&amp;"'!$S$16"))=TRIM(Tulokset!$P$14),2,0))</f>
        <v/>
      </c>
      <c r="DQ19" t="str">
        <f ca="1">IF(OR(Tulokset!$P$15="",INDIRECT("'"&amp;$A19&amp;"'!$S$17")=""),"",IF(TRIM(INDIRECT("'"&amp;$A19&amp;"'!$S$17"))=TRIM(Tulokset!$P$15),2,0))</f>
        <v/>
      </c>
      <c r="DR19" t="str">
        <f ca="1">IF(OR(Tulokset!$Q$12="",INDIRECT("'"&amp;$A19&amp;"'!$T$14")=""),"",IF(TRIM(INDIRECT("'"&amp;$A19&amp;"'!$T$14"))=TRIM(Tulokset!$Q$12),2,0))</f>
        <v/>
      </c>
      <c r="DS19" t="str">
        <f ca="1">IF(OR(Tulokset!$Q$13="",INDIRECT("'"&amp;$A19&amp;"'!$T$15")=""),"",IF(TRIM(INDIRECT("'"&amp;$A19&amp;"'!$T$15"))=TRIM(Tulokset!$Q$13),2,0))</f>
        <v/>
      </c>
      <c r="DT19" t="str">
        <f ca="1">IF(OR(Tulokset!$Q$14="",INDIRECT("'"&amp;$A19&amp;"'!$T$16")=""),"",IF(TRIM(INDIRECT("'"&amp;$A19&amp;"'!$T$16"))=TRIM(Tulokset!$Q$14),2,0))</f>
        <v/>
      </c>
      <c r="DU19" t="str">
        <f ca="1">IF(OR(Tulokset!$Q$15="",INDIRECT("'"&amp;$A19&amp;"'!$T$17")=""),"",IF(TRIM(INDIRECT("'"&amp;$A19&amp;"'!$T$17"))=TRIM(Tulokset!$Q$15),2,0))</f>
        <v/>
      </c>
      <c r="DV19" t="str">
        <f ca="1">IF(OR(Tulokset!$R$12="",INDIRECT("'"&amp;$A19&amp;"'!$U$14")=""),"",IF(TRIM(INDIRECT("'"&amp;$A19&amp;"'!$U$14"))=TRIM(Tulokset!$R$12),2,0))</f>
        <v/>
      </c>
      <c r="DW19" t="str">
        <f ca="1">IF(OR(Tulokset!$R$13="",INDIRECT("'"&amp;$A19&amp;"'!$U$15")=""),"",IF(TRIM(INDIRECT("'"&amp;$A19&amp;"'!$U$15"))=TRIM(Tulokset!$R$13),2,0))</f>
        <v/>
      </c>
      <c r="DX19" t="str">
        <f ca="1">IF(OR(Tulokset!$R$14="",INDIRECT("'"&amp;$A19&amp;"'!$U$16")=""),"",IF(TRIM(INDIRECT("'"&amp;$A19&amp;"'!$U$16"))=TRIM(Tulokset!$R$14),2,0))</f>
        <v/>
      </c>
      <c r="DY19" t="str">
        <f ca="1">IF(OR(Tulokset!$R$15="",INDIRECT("'"&amp;$A19&amp;"'!$U$17")=""),"",IF(TRIM(INDIRECT("'"&amp;$A19&amp;"'!$U$17"))=TRIM(Tulokset!$R$15),2,0))</f>
        <v/>
      </c>
      <c r="EA19" t="str">
        <f ca="1">IF(OR(INDIRECT("'"&amp;$A19&amp;"'!$E$79")="",COUNTA(Tulokset!$M$20:$M$21)=0),"",IF(COUNTIF(Tulokset!$M$20:$M$21,INDIRECT("'"&amp;$A19&amp;"'!$E$79"))&gt;0,2,0))</f>
        <v/>
      </c>
      <c r="EB19" t="str">
        <f ca="1">IF(OR(INDIRECT("'"&amp;$A19&amp;"'!$G$79")="",COUNTA(Tulokset!$M$20:$M$21)=0),"",IF(COUNTIF(Tulokset!$M$20:$M$21,INDIRECT("'"&amp;$A19&amp;"'!$G$79"))&gt;0,2,0))</f>
        <v/>
      </c>
      <c r="EC19" t="str">
        <f ca="1">IF(OR(INDIRECT("'"&amp;$A19&amp;"'!$E$80")="",COUNTA(Tulokset!$M$23:$M$24)=0),"",IF(COUNTIF(Tulokset!$M$23:$M$24,INDIRECT("'"&amp;$A19&amp;"'!$E$80"))&gt;0,2,0))</f>
        <v/>
      </c>
      <c r="ED19" t="str">
        <f ca="1">IF(OR(INDIRECT("'"&amp;$A19&amp;"'!$G$80")="",COUNTA(Tulokset!$M$23:$M$24)=0),"",IF(COUNTIF(Tulokset!$M$23:$M$24,INDIRECT("'"&amp;$A19&amp;"'!$G$80"))&gt;0,2,0))</f>
        <v/>
      </c>
    </row>
    <row r="20" spans="1:134">
      <c r="A20" t="s">
        <v>312</v>
      </c>
      <c r="B20" t="str">
        <f t="shared" ca="1" si="0"/>
        <v>Ibaldo de Lima</v>
      </c>
      <c r="C20" s="95">
        <f t="shared" si="1"/>
        <v>0</v>
      </c>
      <c r="D20" s="95">
        <f t="shared" ca="1" si="2"/>
        <v>0</v>
      </c>
      <c r="E20" s="95">
        <f t="shared" ca="1" si="3"/>
        <v>0</v>
      </c>
      <c r="F20" s="95">
        <f t="shared" ca="1" si="4"/>
        <v>0</v>
      </c>
      <c r="G20" s="95">
        <f t="shared" si="5"/>
        <v>0</v>
      </c>
      <c r="H20" t="str">
        <f>IF(OR(Tulokset!$G$6="",Tulokset!$I$6="",'17'!$I$7="",'17'!$K$7=""),"",IF(SIGN('17'!$I$7-'17'!$K$7)&lt;&gt;SIGN(Tulokset!$G$6-Tulokset!$I$6),0,IF(Tulokset!$G$6=Tulokset!$I$6,IF(AND('17'!$I$7=Tulokset!$G$6,'17'!$K$7=Tulokset!$I$6),6,3),MAX(0,6-(ABS('17'!$I$7-Tulokset!$G$6)+ABS('17'!$K$7-Tulokset!$I$6))))))</f>
        <v/>
      </c>
      <c r="I20" t="str">
        <f>IF(OR(Tulokset!$G$7="",Tulokset!$I$7="",'17'!$I$8="",'17'!$K$8=""),"",IF(SIGN('17'!$I$8-'17'!$K$8)&lt;&gt;SIGN(Tulokset!$G$7-Tulokset!$I$7),0,IF(Tulokset!$G$7=Tulokset!$I$7,IF(AND('17'!$I$8=Tulokset!$G$7,'17'!$K$8=Tulokset!$I$7),6,3),MAX(0,6-(ABS('17'!$I$8-Tulokset!$G$7)+ABS('17'!$K$8-Tulokset!$I$7))))))</f>
        <v/>
      </c>
      <c r="J20" t="str">
        <f>IF(OR(Tulokset!$G$8="",Tulokset!$I$8="",'17'!$I$9="",'17'!$K$9=""),"",IF(SIGN('17'!$I$9-'17'!$K$9)&lt;&gt;SIGN(Tulokset!$G$8-Tulokset!$I$8),0,IF(Tulokset!$G$8=Tulokset!$I$8,IF(AND('17'!$I$9=Tulokset!$G$8,'17'!$K$9=Tulokset!$I$8),6,3),MAX(0,6-(ABS('17'!$I$9-Tulokset!$G$8)+ABS('17'!$K$9-Tulokset!$I$8))))))</f>
        <v/>
      </c>
      <c r="K20" t="str">
        <f>IF(OR(Tulokset!$G$9="",Tulokset!$I$9="",'17'!$I$10="",'17'!$K$10=""),"",IF(SIGN('17'!$I$10-'17'!$K$10)&lt;&gt;SIGN(Tulokset!$G$9-Tulokset!$I$9),0,IF(Tulokset!$G$9=Tulokset!$I$9,IF(AND('17'!$I$10=Tulokset!$G$9,'17'!$K$10=Tulokset!$I$9),6,3),MAX(0,6-(ABS('17'!$I$10-Tulokset!$G$9)+ABS('17'!$K$10-Tulokset!$I$9))))))</f>
        <v/>
      </c>
      <c r="L20" t="str">
        <f>IF(OR(Tulokset!$G$10="",Tulokset!$I$10="",'17'!$I$11="",'17'!$K$11=""),"",IF(SIGN('17'!$I$11-'17'!$K$11)&lt;&gt;SIGN(Tulokset!$G$10-Tulokset!$I$10),0,IF(Tulokset!$G$10=Tulokset!$I$10,IF(AND('17'!$I$11=Tulokset!$G$10,'17'!$K$11=Tulokset!$I$10),6,3),MAX(0,6-(ABS('17'!$I$11-Tulokset!$G$10)+ABS('17'!$K$11-Tulokset!$I$10))))))</f>
        <v/>
      </c>
      <c r="M20" t="str">
        <f>IF(OR(Tulokset!$G$11="",Tulokset!$I$11="",'17'!$I$12="",'17'!$K$12=""),"",IF(SIGN('17'!$I$12-'17'!$K$12)&lt;&gt;SIGN(Tulokset!$G$11-Tulokset!$I$11),0,IF(Tulokset!$G$11=Tulokset!$I$11,IF(AND('17'!$I$12=Tulokset!$G$11,'17'!$K$12=Tulokset!$I$11),6,3),MAX(0,6-(ABS('17'!$I$12-Tulokset!$G$11)+ABS('17'!$K$12-Tulokset!$I$11))))))</f>
        <v/>
      </c>
      <c r="N20" t="str">
        <f>IF(OR(Tulokset!$G$12="",Tulokset!$I$12="",'17'!$I$13="",'17'!$K$13=""),"",IF(SIGN('17'!$I$13-'17'!$K$13)&lt;&gt;SIGN(Tulokset!$G$12-Tulokset!$I$12),0,IF(Tulokset!$G$12=Tulokset!$I$12,IF(AND('17'!$I$13=Tulokset!$G$12,'17'!$K$13=Tulokset!$I$12),6,3),MAX(0,6-(ABS('17'!$I$13-Tulokset!$G$12)+ABS('17'!$K$13-Tulokset!$I$12))))))</f>
        <v/>
      </c>
      <c r="O20" t="str">
        <f>IF(OR(Tulokset!$G$13="",Tulokset!$I$13="",'17'!$I$14="",'17'!$K$14=""),"",IF(SIGN('17'!$I$14-'17'!$K$14)&lt;&gt;SIGN(Tulokset!$G$13-Tulokset!$I$13),0,IF(Tulokset!$G$13=Tulokset!$I$13,IF(AND('17'!$I$14=Tulokset!$G$13,'17'!$K$14=Tulokset!$I$13),6,3),MAX(0,6-(ABS('17'!$I$14-Tulokset!$G$13)+ABS('17'!$K$14-Tulokset!$I$13))))))</f>
        <v/>
      </c>
      <c r="P20" t="str">
        <f>IF(OR(Tulokset!$G$14="",Tulokset!$I$14="",'17'!$I$15="",'17'!$K$15=""),"",IF(SIGN('17'!$I$15-'17'!$K$15)&lt;&gt;SIGN(Tulokset!$G$14-Tulokset!$I$14),0,IF(Tulokset!$G$14=Tulokset!$I$14,IF(AND('17'!$I$15=Tulokset!$G$14,'17'!$K$15=Tulokset!$I$14),6,3),MAX(0,6-(ABS('17'!$I$15-Tulokset!$G$14)+ABS('17'!$K$15-Tulokset!$I$14))))))</f>
        <v/>
      </c>
      <c r="Q20" t="str">
        <f>IF(OR(Tulokset!$G$15="",Tulokset!$I$15="",'17'!$I$16="",'17'!$K$16=""),"",IF(SIGN('17'!$I$16-'17'!$K$16)&lt;&gt;SIGN(Tulokset!$G$15-Tulokset!$I$15),0,IF(Tulokset!$G$15=Tulokset!$I$15,IF(AND('17'!$I$16=Tulokset!$G$15,'17'!$K$16=Tulokset!$I$15),6,3),MAX(0,6-(ABS('17'!$I$16-Tulokset!$G$15)+ABS('17'!$K$16-Tulokset!$I$15))))))</f>
        <v/>
      </c>
      <c r="R20" t="str">
        <f>IF(OR(Tulokset!$G$16="",Tulokset!$I$16="",'17'!$I$17="",'17'!$K$17=""),"",IF(SIGN('17'!$I$17-'17'!$K$17)&lt;&gt;SIGN(Tulokset!$G$16-Tulokset!$I$16),0,IF(Tulokset!$G$16=Tulokset!$I$16,IF(AND('17'!$I$17=Tulokset!$G$16,'17'!$K$17=Tulokset!$I$16),6,3),MAX(0,6-(ABS('17'!$I$17-Tulokset!$G$16)+ABS('17'!$K$17-Tulokset!$I$16))))))</f>
        <v/>
      </c>
      <c r="S20" t="str">
        <f>IF(OR(Tulokset!$G$17="",Tulokset!$I$17="",'17'!$I$18="",'17'!$K$18=""),"",IF(SIGN('17'!$I$18-'17'!$K$18)&lt;&gt;SIGN(Tulokset!$G$17-Tulokset!$I$17),0,IF(Tulokset!$G$17=Tulokset!$I$17,IF(AND('17'!$I$18=Tulokset!$G$17,'17'!$K$18=Tulokset!$I$17),6,3),MAX(0,6-(ABS('17'!$I$18-Tulokset!$G$17)+ABS('17'!$K$18-Tulokset!$I$17))))))</f>
        <v/>
      </c>
      <c r="T20" t="str">
        <f>IF(OR(Tulokset!$G$18="",Tulokset!$I$18="",'17'!$I$19="",'17'!$K$19=""),"",IF(SIGN('17'!$I$19-'17'!$K$19)&lt;&gt;SIGN(Tulokset!$G$18-Tulokset!$I$18),0,IF(Tulokset!$G$18=Tulokset!$I$18,IF(AND('17'!$I$19=Tulokset!$G$18,'17'!$K$19=Tulokset!$I$18),6,3),MAX(0,6-(ABS('17'!$I$19-Tulokset!$G$18)+ABS('17'!$K$19-Tulokset!$I$18))))))</f>
        <v/>
      </c>
      <c r="U20" t="str">
        <f>IF(OR(Tulokset!$G$19="",Tulokset!$I$19="",'17'!$I$20="",'17'!$K$20=""),"",IF(SIGN('17'!$I$20-'17'!$K$20)&lt;&gt;SIGN(Tulokset!$G$19-Tulokset!$I$19),0,IF(Tulokset!$G$19=Tulokset!$I$19,IF(AND('17'!$I$20=Tulokset!$G$19,'17'!$K$20=Tulokset!$I$19),6,3),MAX(0,6-(ABS('17'!$I$20-Tulokset!$G$19)+ABS('17'!$K$20-Tulokset!$I$19))))))</f>
        <v/>
      </c>
      <c r="V20" t="str">
        <f>IF(OR(Tulokset!$G$20="",Tulokset!$I$20="",'17'!$I$21="",'17'!$K$21=""),"",IF(SIGN('17'!$I$21-'17'!$K$21)&lt;&gt;SIGN(Tulokset!$G$20-Tulokset!$I$20),0,IF(Tulokset!$G$20=Tulokset!$I$20,IF(AND('17'!$I$21=Tulokset!$G$20,'17'!$K$21=Tulokset!$I$20),6,3),MAX(0,6-(ABS('17'!$I$21-Tulokset!$G$20)+ABS('17'!$K$21-Tulokset!$I$20))))))</f>
        <v/>
      </c>
      <c r="W20" t="str">
        <f>IF(OR(Tulokset!$G$21="",Tulokset!$I$21="",'17'!$I$22="",'17'!$K$22=""),"",IF(SIGN('17'!$I$22-'17'!$K$22)&lt;&gt;SIGN(Tulokset!$G$21-Tulokset!$I$21),0,IF(Tulokset!$G$21=Tulokset!$I$21,IF(AND('17'!$I$22=Tulokset!$G$21,'17'!$K$22=Tulokset!$I$21),6,3),MAX(0,6-(ABS('17'!$I$22-Tulokset!$G$21)+ABS('17'!$K$22-Tulokset!$I$21))))))</f>
        <v/>
      </c>
      <c r="X20" t="str">
        <f>IF(OR(Tulokset!$G$22="",Tulokset!$I$22="",'17'!$I$23="",'17'!$K$23=""),"",IF(SIGN('17'!$I$23-'17'!$K$23)&lt;&gt;SIGN(Tulokset!$G$22-Tulokset!$I$22),0,IF(Tulokset!$G$22=Tulokset!$I$22,IF(AND('17'!$I$23=Tulokset!$G$22,'17'!$K$23=Tulokset!$I$22),6,3),MAX(0,6-(ABS('17'!$I$23-Tulokset!$G$22)+ABS('17'!$K$23-Tulokset!$I$22))))))</f>
        <v/>
      </c>
      <c r="Y20" t="str">
        <f>IF(OR(Tulokset!$G$23="",Tulokset!$I$23="",'17'!$I$24="",'17'!$K$24=""),"",IF(SIGN('17'!$I$24-'17'!$K$24)&lt;&gt;SIGN(Tulokset!$G$23-Tulokset!$I$23),0,IF(Tulokset!$G$23=Tulokset!$I$23,IF(AND('17'!$I$24=Tulokset!$G$23,'17'!$K$24=Tulokset!$I$23),6,3),MAX(0,6-(ABS('17'!$I$24-Tulokset!$G$23)+ABS('17'!$K$24-Tulokset!$I$23))))))</f>
        <v/>
      </c>
      <c r="Z20" t="str">
        <f>IF(OR(Tulokset!$G$24="",Tulokset!$I$24="",'17'!$I$25="",'17'!$K$25=""),"",IF(SIGN('17'!$I$25-'17'!$K$25)&lt;&gt;SIGN(Tulokset!$G$24-Tulokset!$I$24),0,IF(Tulokset!$G$24=Tulokset!$I$24,IF(AND('17'!$I$25=Tulokset!$G$24,'17'!$K$25=Tulokset!$I$24),6,3),MAX(0,6-(ABS('17'!$I$25-Tulokset!$G$24)+ABS('17'!$K$25-Tulokset!$I$24))))))</f>
        <v/>
      </c>
      <c r="AA20" t="str">
        <f>IF(OR(Tulokset!$G$25="",Tulokset!$I$25="",'17'!$I$26="",'17'!$K$26=""),"",IF(SIGN('17'!$I$26-'17'!$K$26)&lt;&gt;SIGN(Tulokset!$G$25-Tulokset!$I$25),0,IF(Tulokset!$G$25=Tulokset!$I$25,IF(AND('17'!$I$26=Tulokset!$G$25,'17'!$K$26=Tulokset!$I$25),6,3),MAX(0,6-(ABS('17'!$I$26-Tulokset!$G$25)+ABS('17'!$K$26-Tulokset!$I$25))))))</f>
        <v/>
      </c>
      <c r="AB20" t="str">
        <f>IF(OR(Tulokset!$G$26="",Tulokset!$I$26="",'17'!$I$27="",'17'!$K$27=""),"",IF(SIGN('17'!$I$27-'17'!$K$27)&lt;&gt;SIGN(Tulokset!$G$26-Tulokset!$I$26),0,IF(Tulokset!$G$26=Tulokset!$I$26,IF(AND('17'!$I$27=Tulokset!$G$26,'17'!$K$27=Tulokset!$I$26),6,3),MAX(0,6-(ABS('17'!$I$27-Tulokset!$G$26)+ABS('17'!$K$27-Tulokset!$I$26))))))</f>
        <v/>
      </c>
      <c r="AC20" t="str">
        <f>IF(OR(Tulokset!$G$27="",Tulokset!$I$27="",'17'!$I$28="",'17'!$K$28=""),"",IF(SIGN('17'!$I$28-'17'!$K$28)&lt;&gt;SIGN(Tulokset!$G$27-Tulokset!$I$27),0,IF(Tulokset!$G$27=Tulokset!$I$27,IF(AND('17'!$I$28=Tulokset!$G$27,'17'!$K$28=Tulokset!$I$27),6,3),MAX(0,6-(ABS('17'!$I$28-Tulokset!$G$27)+ABS('17'!$K$28-Tulokset!$I$27))))))</f>
        <v/>
      </c>
      <c r="AD20" t="str">
        <f>IF(OR(Tulokset!$G$28="",Tulokset!$I$28="",'17'!$I$29="",'17'!$K$29=""),"",IF(SIGN('17'!$I$29-'17'!$K$29)&lt;&gt;SIGN(Tulokset!$G$28-Tulokset!$I$28),0,IF(Tulokset!$G$28=Tulokset!$I$28,IF(AND('17'!$I$29=Tulokset!$G$28,'17'!$K$29=Tulokset!$I$28),6,3),MAX(0,6-(ABS('17'!$I$29-Tulokset!$G$28)+ABS('17'!$K$29-Tulokset!$I$28))))))</f>
        <v/>
      </c>
      <c r="AE20" t="str">
        <f>IF(OR(Tulokset!$G$29="",Tulokset!$I$29="",'17'!$I$30="",'17'!$K$30=""),"",IF(SIGN('17'!$I$30-'17'!$K$30)&lt;&gt;SIGN(Tulokset!$G$29-Tulokset!$I$29),0,IF(Tulokset!$G$29=Tulokset!$I$29,IF(AND('17'!$I$30=Tulokset!$G$29,'17'!$K$30=Tulokset!$I$29),6,3),MAX(0,6-(ABS('17'!$I$30-Tulokset!$G$29)+ABS('17'!$K$30-Tulokset!$I$29))))))</f>
        <v/>
      </c>
      <c r="AF20" t="str">
        <f>IF(OR(Tulokset!$G$30="",Tulokset!$I$30="",'17'!$I$31="",'17'!$K$31=""),"",IF(SIGN('17'!$I$31-'17'!$K$31)&lt;&gt;SIGN(Tulokset!$G$30-Tulokset!$I$30),0,IF(Tulokset!$G$30=Tulokset!$I$30,IF(AND('17'!$I$31=Tulokset!$G$30,'17'!$K$31=Tulokset!$I$30),6,3),MAX(0,6-(ABS('17'!$I$31-Tulokset!$G$30)+ABS('17'!$K$31-Tulokset!$I$30))))))</f>
        <v/>
      </c>
      <c r="AG20" t="str">
        <f>IF(OR(Tulokset!$G$31="",Tulokset!$I$31="",'17'!$I$32="",'17'!$K$32=""),"",IF(SIGN('17'!$I$32-'17'!$K$32)&lt;&gt;SIGN(Tulokset!$G$31-Tulokset!$I$31),0,IF(Tulokset!$G$31=Tulokset!$I$31,IF(AND('17'!$I$32=Tulokset!$G$31,'17'!$K$32=Tulokset!$I$31),6,3),MAX(0,6-(ABS('17'!$I$32-Tulokset!$G$31)+ABS('17'!$K$32-Tulokset!$I$31))))))</f>
        <v/>
      </c>
      <c r="AH20" t="str">
        <f>IF(OR(Tulokset!$G$32="",Tulokset!$I$32="",'17'!$I$33="",'17'!$K$33=""),"",IF(SIGN('17'!$I$33-'17'!$K$33)&lt;&gt;SIGN(Tulokset!$G$32-Tulokset!$I$32),0,IF(Tulokset!$G$32=Tulokset!$I$32,IF(AND('17'!$I$33=Tulokset!$G$32,'17'!$K$33=Tulokset!$I$32),6,3),MAX(0,6-(ABS('17'!$I$33-Tulokset!$G$32)+ABS('17'!$K$33-Tulokset!$I$32))))))</f>
        <v/>
      </c>
      <c r="AI20" t="str">
        <f>IF(OR(Tulokset!$G$33="",Tulokset!$I$33="",'17'!$I$34="",'17'!$K$34=""),"",IF(SIGN('17'!$I$34-'17'!$K$34)&lt;&gt;SIGN(Tulokset!$G$33-Tulokset!$I$33),0,IF(Tulokset!$G$33=Tulokset!$I$33,IF(AND('17'!$I$34=Tulokset!$G$33,'17'!$K$34=Tulokset!$I$33),6,3),MAX(0,6-(ABS('17'!$I$34-Tulokset!$G$33)+ABS('17'!$K$34-Tulokset!$I$33))))))</f>
        <v/>
      </c>
      <c r="AJ20" t="str">
        <f>IF(OR(Tulokset!$G$34="",Tulokset!$I$34="",'17'!$I$35="",'17'!$K$35=""),"",IF(SIGN('17'!$I$35-'17'!$K$35)&lt;&gt;SIGN(Tulokset!$G$34-Tulokset!$I$34),0,IF(Tulokset!$G$34=Tulokset!$I$34,IF(AND('17'!$I$35=Tulokset!$G$34,'17'!$K$35=Tulokset!$I$34),6,3),MAX(0,6-(ABS('17'!$I$35-Tulokset!$G$34)+ABS('17'!$K$35-Tulokset!$I$34))))))</f>
        <v/>
      </c>
      <c r="AK20" t="str">
        <f>IF(OR(Tulokset!$G$35="",Tulokset!$I$35="",'17'!$I$36="",'17'!$K$36=""),"",IF(SIGN('17'!$I$36-'17'!$K$36)&lt;&gt;SIGN(Tulokset!$G$35-Tulokset!$I$35),0,IF(Tulokset!$G$35=Tulokset!$I$35,IF(AND('17'!$I$36=Tulokset!$G$35,'17'!$K$36=Tulokset!$I$35),6,3),MAX(0,6-(ABS('17'!$I$36-Tulokset!$G$35)+ABS('17'!$K$36-Tulokset!$I$35))))))</f>
        <v/>
      </c>
      <c r="AL20" t="str">
        <f>IF(OR(Tulokset!$G$36="",Tulokset!$I$36="",'17'!$I$37="",'17'!$K$37=""),"",IF(SIGN('17'!$I$37-'17'!$K$37)&lt;&gt;SIGN(Tulokset!$G$36-Tulokset!$I$36),0,IF(Tulokset!$G$36=Tulokset!$I$36,IF(AND('17'!$I$37=Tulokset!$G$36,'17'!$K$37=Tulokset!$I$36),6,3),MAX(0,6-(ABS('17'!$I$37-Tulokset!$G$36)+ABS('17'!$K$37-Tulokset!$I$36))))))</f>
        <v/>
      </c>
      <c r="AM20" t="str">
        <f>IF(OR(Tulokset!$G$37="",Tulokset!$I$37="",'17'!$I$38="",'17'!$K$38=""),"",IF(SIGN('17'!$I$38-'17'!$K$38)&lt;&gt;SIGN(Tulokset!$G$37-Tulokset!$I$37),0,IF(Tulokset!$G$37=Tulokset!$I$37,IF(AND('17'!$I$38=Tulokset!$G$37,'17'!$K$38=Tulokset!$I$37),6,3),MAX(0,6-(ABS('17'!$I$38-Tulokset!$G$37)+ABS('17'!$K$38-Tulokset!$I$37))))))</f>
        <v/>
      </c>
      <c r="AN20" t="str">
        <f>IF(OR(Tulokset!$G$38="",Tulokset!$I$38="",'17'!$I$39="",'17'!$K$39=""),"",IF(SIGN('17'!$I$39-'17'!$K$39)&lt;&gt;SIGN(Tulokset!$G$38-Tulokset!$I$38),0,IF(Tulokset!$G$38=Tulokset!$I$38,IF(AND('17'!$I$39=Tulokset!$G$38,'17'!$K$39=Tulokset!$I$38),6,3),MAX(0,6-(ABS('17'!$I$39-Tulokset!$G$38)+ABS('17'!$K$39-Tulokset!$I$38))))))</f>
        <v/>
      </c>
      <c r="AO20" t="str">
        <f>IF(OR(Tulokset!$G$39="",Tulokset!$I$39="",'17'!$I$40="",'17'!$K$40=""),"",IF(SIGN('17'!$I$40-'17'!$K$40)&lt;&gt;SIGN(Tulokset!$G$39-Tulokset!$I$39),0,IF(Tulokset!$G$39=Tulokset!$I$39,IF(AND('17'!$I$40=Tulokset!$G$39,'17'!$K$40=Tulokset!$I$39),6,3),MAX(0,6-(ABS('17'!$I$40-Tulokset!$G$39)+ABS('17'!$K$40-Tulokset!$I$39))))))</f>
        <v/>
      </c>
      <c r="AP20" t="str">
        <f>IF(OR(Tulokset!$G$40="",Tulokset!$I$40="",'17'!$I$41="",'17'!$K$41=""),"",IF(SIGN('17'!$I$41-'17'!$K$41)&lt;&gt;SIGN(Tulokset!$G$40-Tulokset!$I$40),0,IF(Tulokset!$G$40=Tulokset!$I$40,IF(AND('17'!$I$41=Tulokset!$G$40,'17'!$K$41=Tulokset!$I$40),6,3),MAX(0,6-(ABS('17'!$I$41-Tulokset!$G$40)+ABS('17'!$K$41-Tulokset!$I$40))))))</f>
        <v/>
      </c>
      <c r="AQ20" t="str">
        <f>IF(OR(Tulokset!$G$41="",Tulokset!$I$41="",'17'!$I$42="",'17'!$K$42=""),"",IF(SIGN('17'!$I$42-'17'!$K$42)&lt;&gt;SIGN(Tulokset!$G$41-Tulokset!$I$41),0,IF(Tulokset!$G$41=Tulokset!$I$41,IF(AND('17'!$I$42=Tulokset!$G$41,'17'!$K$42=Tulokset!$I$41),6,3),MAX(0,6-(ABS('17'!$I$42-Tulokset!$G$41)+ABS('17'!$K$42-Tulokset!$I$41))))))</f>
        <v/>
      </c>
      <c r="AR20" t="str">
        <f>IF(OR(Tulokset!$G$42="",Tulokset!$I$42="",'17'!$I$43="",'17'!$K$43=""),"",IF(SIGN('17'!$I$43-'17'!$K$43)&lt;&gt;SIGN(Tulokset!$G$42-Tulokset!$I$42),0,IF(Tulokset!$G$42=Tulokset!$I$42,IF(AND('17'!$I$43=Tulokset!$G$42,'17'!$K$43=Tulokset!$I$42),6,3),MAX(0,6-(ABS('17'!$I$43-Tulokset!$G$42)+ABS('17'!$K$43-Tulokset!$I$42))))))</f>
        <v/>
      </c>
      <c r="AS20" t="str">
        <f>IF(OR(Tulokset!$G$43="",Tulokset!$I$43="",'17'!$I$44="",'17'!$K$44=""),"",IF(SIGN('17'!$I$44-'17'!$K$44)&lt;&gt;SIGN(Tulokset!$G$43-Tulokset!$I$43),0,IF(Tulokset!$G$43=Tulokset!$I$43,IF(AND('17'!$I$44=Tulokset!$G$43,'17'!$K$44=Tulokset!$I$43),6,3),MAX(0,6-(ABS('17'!$I$44-Tulokset!$G$43)+ABS('17'!$K$44-Tulokset!$I$43))))))</f>
        <v/>
      </c>
      <c r="AT20" t="str">
        <f>IF(OR(Tulokset!$G$44="",Tulokset!$I$44="",'17'!$I$45="",'17'!$K$45=""),"",IF(SIGN('17'!$I$45-'17'!$K$45)&lt;&gt;SIGN(Tulokset!$G$44-Tulokset!$I$44),0,IF(Tulokset!$G$44=Tulokset!$I$44,IF(AND('17'!$I$45=Tulokset!$G$44,'17'!$K$45=Tulokset!$I$44),6,3),MAX(0,6-(ABS('17'!$I$45-Tulokset!$G$44)+ABS('17'!$K$45-Tulokset!$I$44))))))</f>
        <v/>
      </c>
      <c r="AU20" t="str">
        <f>IF(OR(Tulokset!$G$45="",Tulokset!$I$45="",'17'!$I$46="",'17'!$K$46=""),"",IF(SIGN('17'!$I$46-'17'!$K$46)&lt;&gt;SIGN(Tulokset!$G$45-Tulokset!$I$45),0,IF(Tulokset!$G$45=Tulokset!$I$45,IF(AND('17'!$I$46=Tulokset!$G$45,'17'!$K$46=Tulokset!$I$45),6,3),MAX(0,6-(ABS('17'!$I$46-Tulokset!$G$45)+ABS('17'!$K$46-Tulokset!$I$45))))))</f>
        <v/>
      </c>
      <c r="AV20" t="str">
        <f>IF(OR(Tulokset!$G$46="",Tulokset!$I$46="",'17'!$I$47="",'17'!$K$47=""),"",IF(SIGN('17'!$I$47-'17'!$K$47)&lt;&gt;SIGN(Tulokset!$G$46-Tulokset!$I$46),0,IF(Tulokset!$G$46=Tulokset!$I$46,IF(AND('17'!$I$47=Tulokset!$G$46,'17'!$K$47=Tulokset!$I$46),6,3),MAX(0,6-(ABS('17'!$I$47-Tulokset!$G$46)+ABS('17'!$K$47-Tulokset!$I$46))))))</f>
        <v/>
      </c>
      <c r="AW20" t="str">
        <f>IF(OR(Tulokset!$G$47="",Tulokset!$I$47="",'17'!$I$48="",'17'!$K$48=""),"",IF(SIGN('17'!$I$48-'17'!$K$48)&lt;&gt;SIGN(Tulokset!$G$47-Tulokset!$I$47),0,IF(Tulokset!$G$47=Tulokset!$I$47,IF(AND('17'!$I$48=Tulokset!$G$47,'17'!$K$48=Tulokset!$I$47),6,3),MAX(0,6-(ABS('17'!$I$48-Tulokset!$G$47)+ABS('17'!$K$48-Tulokset!$I$47))))))</f>
        <v/>
      </c>
      <c r="AX20" t="str">
        <f>IF(OR(Tulokset!$G$48="",Tulokset!$I$48="",'17'!$I$49="",'17'!$K$49=""),"",IF(SIGN('17'!$I$49-'17'!$K$49)&lt;&gt;SIGN(Tulokset!$G$48-Tulokset!$I$48),0,IF(Tulokset!$G$48=Tulokset!$I$48,IF(AND('17'!$I$49=Tulokset!$G$48,'17'!$K$49=Tulokset!$I$48),6,3),MAX(0,6-(ABS('17'!$I$49-Tulokset!$G$48)+ABS('17'!$K$49-Tulokset!$I$48))))))</f>
        <v/>
      </c>
      <c r="AY20" t="str">
        <f>IF(OR(Tulokset!$G$49="",Tulokset!$I$49="",'17'!$I$50="",'17'!$K$50=""),"",IF(SIGN('17'!$I$50-'17'!$K$50)&lt;&gt;SIGN(Tulokset!$G$49-Tulokset!$I$49),0,IF(Tulokset!$G$49=Tulokset!$I$49,IF(AND('17'!$I$50=Tulokset!$G$49,'17'!$K$50=Tulokset!$I$49),6,3),MAX(0,6-(ABS('17'!$I$50-Tulokset!$G$49)+ABS('17'!$K$50-Tulokset!$I$49))))))</f>
        <v/>
      </c>
      <c r="AZ20" t="str">
        <f>IF(OR(Tulokset!$G$50="",Tulokset!$I$50="",'17'!$I$51="",'17'!$K$51=""),"",IF(SIGN('17'!$I$51-'17'!$K$51)&lt;&gt;SIGN(Tulokset!$G$50-Tulokset!$I$50),0,IF(Tulokset!$G$50=Tulokset!$I$50,IF(AND('17'!$I$51=Tulokset!$G$50,'17'!$K$51=Tulokset!$I$50),6,3),MAX(0,6-(ABS('17'!$I$51-Tulokset!$G$50)+ABS('17'!$K$51-Tulokset!$I$50))))))</f>
        <v/>
      </c>
      <c r="BA20" t="str">
        <f>IF(OR(Tulokset!$G$51="",Tulokset!$I$51="",'17'!$I$52="",'17'!$K$52=""),"",IF(SIGN('17'!$I$52-'17'!$K$52)&lt;&gt;SIGN(Tulokset!$G$51-Tulokset!$I$51),0,IF(Tulokset!$G$51=Tulokset!$I$51,IF(AND('17'!$I$52=Tulokset!$G$51,'17'!$K$52=Tulokset!$I$51),6,3),MAX(0,6-(ABS('17'!$I$52-Tulokset!$G$51)+ABS('17'!$K$52-Tulokset!$I$51))))))</f>
        <v/>
      </c>
      <c r="BB20" t="str">
        <f>IF(OR(Tulokset!$G$52="",Tulokset!$I$52="",'17'!$I$53="",'17'!$K$53=""),"",IF(SIGN('17'!$I$53-'17'!$K$53)&lt;&gt;SIGN(Tulokset!$G$52-Tulokset!$I$52),0,IF(Tulokset!$G$52=Tulokset!$I$52,IF(AND('17'!$I$53=Tulokset!$G$52,'17'!$K$53=Tulokset!$I$52),6,3),MAX(0,6-(ABS('17'!$I$53-Tulokset!$G$52)+ABS('17'!$K$53-Tulokset!$I$52))))))</f>
        <v/>
      </c>
      <c r="BC20" t="str">
        <f>IF(OR(Tulokset!$G$53="",Tulokset!$I$53="",'17'!$I$54="",'17'!$K$54=""),"",IF(SIGN('17'!$I$54-'17'!$K$54)&lt;&gt;SIGN(Tulokset!$G$53-Tulokset!$I$53),0,IF(Tulokset!$G$53=Tulokset!$I$53,IF(AND('17'!$I$54=Tulokset!$G$53,'17'!$K$54=Tulokset!$I$53),6,3),MAX(0,6-(ABS('17'!$I$54-Tulokset!$G$53)+ABS('17'!$K$54-Tulokset!$I$53))))))</f>
        <v/>
      </c>
      <c r="BD20" t="str">
        <f>IF(OR(Tulokset!$G$54="",Tulokset!$I$54="",'17'!$I$55="",'17'!$K$55=""),"",IF(SIGN('17'!$I$55-'17'!$K$55)&lt;&gt;SIGN(Tulokset!$G$54-Tulokset!$I$54),0,IF(Tulokset!$G$54=Tulokset!$I$54,IF(AND('17'!$I$55=Tulokset!$G$54,'17'!$K$55=Tulokset!$I$54),6,3),MAX(0,6-(ABS('17'!$I$55-Tulokset!$G$54)+ABS('17'!$K$55-Tulokset!$I$54))))))</f>
        <v/>
      </c>
      <c r="BE20" t="str">
        <f>IF(OR(Tulokset!$G$55="",Tulokset!$I$55="",'17'!$I$56="",'17'!$K$56=""),"",IF(SIGN('17'!$I$56-'17'!$K$56)&lt;&gt;SIGN(Tulokset!$G$55-Tulokset!$I$55),0,IF(Tulokset!$G$55=Tulokset!$I$55,IF(AND('17'!$I$56=Tulokset!$G$55,'17'!$K$56=Tulokset!$I$55),6,3),MAX(0,6-(ABS('17'!$I$56-Tulokset!$G$55)+ABS('17'!$K$56-Tulokset!$I$55))))))</f>
        <v/>
      </c>
      <c r="BF20" t="str">
        <f>IF(OR(Tulokset!$G$56="",Tulokset!$I$56="",'17'!$I$57="",'17'!$K$57=""),"",IF(SIGN('17'!$I$57-'17'!$K$57)&lt;&gt;SIGN(Tulokset!$G$56-Tulokset!$I$56),0,IF(Tulokset!$G$56=Tulokset!$I$56,IF(AND('17'!$I$57=Tulokset!$G$56,'17'!$K$57=Tulokset!$I$56),6,3),MAX(0,6-(ABS('17'!$I$57-Tulokset!$G$56)+ABS('17'!$K$57-Tulokset!$I$56))))))</f>
        <v/>
      </c>
      <c r="BG20" t="str">
        <f>IF(OR(Tulokset!$G$57="",Tulokset!$I$57="",'17'!$I$58="",'17'!$K$58=""),"",IF(SIGN('17'!$I$58-'17'!$K$58)&lt;&gt;SIGN(Tulokset!$G$57-Tulokset!$I$57),0,IF(Tulokset!$G$57=Tulokset!$I$57,IF(AND('17'!$I$58=Tulokset!$G$57,'17'!$K$58=Tulokset!$I$57),6,3),MAX(0,6-(ABS('17'!$I$58-Tulokset!$G$57)+ABS('17'!$K$58-Tulokset!$I$57))))))</f>
        <v/>
      </c>
      <c r="BH20" t="str">
        <f>IF(OR(Tulokset!$G$58="",Tulokset!$I$58="",'17'!$I$59="",'17'!$K$59=""),"",IF(SIGN('17'!$I$59-'17'!$K$59)&lt;&gt;SIGN(Tulokset!$G$58-Tulokset!$I$58),0,IF(Tulokset!$G$58=Tulokset!$I$58,IF(AND('17'!$I$59=Tulokset!$G$58,'17'!$K$59=Tulokset!$I$58),6,3),MAX(0,6-(ABS('17'!$I$59-Tulokset!$G$58)+ABS('17'!$K$59-Tulokset!$I$58))))))</f>
        <v/>
      </c>
      <c r="BI20" t="str">
        <f>IF(OR(Tulokset!$G$59="",Tulokset!$I$59="",'17'!$I$60="",'17'!$K$60=""),"",IF(SIGN('17'!$I$60-'17'!$K$60)&lt;&gt;SIGN(Tulokset!$G$59-Tulokset!$I$59),0,IF(Tulokset!$G$59=Tulokset!$I$59,IF(AND('17'!$I$60=Tulokset!$G$59,'17'!$K$60=Tulokset!$I$59),6,3),MAX(0,6-(ABS('17'!$I$60-Tulokset!$G$59)+ABS('17'!$K$60-Tulokset!$I$59))))))</f>
        <v/>
      </c>
      <c r="BJ20" t="str">
        <f>IF(OR(Tulokset!$G$60="",Tulokset!$I$60="",'17'!$I$61="",'17'!$K$61=""),"",IF(SIGN('17'!$I$61-'17'!$K$61)&lt;&gt;SIGN(Tulokset!$G$60-Tulokset!$I$60),0,IF(Tulokset!$G$60=Tulokset!$I$60,IF(AND('17'!$I$61=Tulokset!$G$60,'17'!$K$61=Tulokset!$I$60),6,3),MAX(0,6-(ABS('17'!$I$61-Tulokset!$G$60)+ABS('17'!$K$61-Tulokset!$I$60))))))</f>
        <v/>
      </c>
      <c r="BK20" t="str">
        <f>IF(OR(Tulokset!$G$61="",Tulokset!$I$61="",'17'!$I$62="",'17'!$K$62=""),"",IF(SIGN('17'!$I$62-'17'!$K$62)&lt;&gt;SIGN(Tulokset!$G$61-Tulokset!$I$61),0,IF(Tulokset!$G$61=Tulokset!$I$61,IF(AND('17'!$I$62=Tulokset!$G$61,'17'!$K$62=Tulokset!$I$61),6,3),MAX(0,6-(ABS('17'!$I$62-Tulokset!$G$61)+ABS('17'!$K$62-Tulokset!$I$61))))))</f>
        <v/>
      </c>
      <c r="BL20" t="str">
        <f>IF(OR(Tulokset!$G$62="",Tulokset!$I$62="",'17'!$I$63="",'17'!$K$63=""),"",IF(SIGN('17'!$I$63-'17'!$K$63)&lt;&gt;SIGN(Tulokset!$G$62-Tulokset!$I$62),0,IF(Tulokset!$G$62=Tulokset!$I$62,IF(AND('17'!$I$63=Tulokset!$G$62,'17'!$K$63=Tulokset!$I$62),6,3),MAX(0,6-(ABS('17'!$I$63-Tulokset!$G$62)+ABS('17'!$K$63-Tulokset!$I$62))))))</f>
        <v/>
      </c>
      <c r="BM20" t="str">
        <f>IF(OR(Tulokset!$G$63="",Tulokset!$I$63="",'17'!$I$64="",'17'!$K$64=""),"",IF(SIGN('17'!$I$64-'17'!$K$64)&lt;&gt;SIGN(Tulokset!$G$63-Tulokset!$I$63),0,IF(Tulokset!$G$63=Tulokset!$I$63,IF(AND('17'!$I$64=Tulokset!$G$63,'17'!$K$64=Tulokset!$I$63),6,3),MAX(0,6-(ABS('17'!$I$64-Tulokset!$G$63)+ABS('17'!$K$64-Tulokset!$I$63))))))</f>
        <v/>
      </c>
      <c r="BN20" t="str">
        <f>IF(OR(Tulokset!$G$64="",Tulokset!$I$64="",'17'!$I$65="",'17'!$K$65=""),"",IF(SIGN('17'!$I$65-'17'!$K$65)&lt;&gt;SIGN(Tulokset!$G$64-Tulokset!$I$64),0,IF(Tulokset!$G$64=Tulokset!$I$64,IF(AND('17'!$I$65=Tulokset!$G$64,'17'!$K$65=Tulokset!$I$64),6,3),MAX(0,6-(ABS('17'!$I$65-Tulokset!$G$64)+ABS('17'!$K$65-Tulokset!$I$64))))))</f>
        <v/>
      </c>
      <c r="BO20" t="str">
        <f>IF(OR(Tulokset!$G$65="",Tulokset!$I$65="",'17'!$I$66="",'17'!$K$66=""),"",IF(SIGN('17'!$I$66-'17'!$K$66)&lt;&gt;SIGN(Tulokset!$G$65-Tulokset!$I$65),0,IF(Tulokset!$G$65=Tulokset!$I$65,IF(AND('17'!$I$66=Tulokset!$G$65,'17'!$K$66=Tulokset!$I$65),6,3),MAX(0,6-(ABS('17'!$I$66-Tulokset!$G$65)+ABS('17'!$K$66-Tulokset!$I$65))))))</f>
        <v/>
      </c>
      <c r="BP20" t="str">
        <f>IF(OR(Tulokset!$G$66="",Tulokset!$I$66="",'17'!$I$67="",'17'!$K$67=""),"",IF(SIGN('17'!$I$67-'17'!$K$67)&lt;&gt;SIGN(Tulokset!$G$66-Tulokset!$I$66),0,IF(Tulokset!$G$66=Tulokset!$I$66,IF(AND('17'!$I$67=Tulokset!$G$66,'17'!$K$67=Tulokset!$I$66),6,3),MAX(0,6-(ABS('17'!$I$67-Tulokset!$G$66)+ABS('17'!$K$67-Tulokset!$I$66))))))</f>
        <v/>
      </c>
      <c r="BQ20" t="str">
        <f>IF(OR(Tulokset!$G$67="",Tulokset!$I$67="",'17'!$I$68="",'17'!$K$68=""),"",IF(SIGN('17'!$I$68-'17'!$K$68)&lt;&gt;SIGN(Tulokset!$G$67-Tulokset!$I$67),0,IF(Tulokset!$G$67=Tulokset!$I$67,IF(AND('17'!$I$68=Tulokset!$G$67,'17'!$K$68=Tulokset!$I$67),6,3),MAX(0,6-(ABS('17'!$I$68-Tulokset!$G$67)+ABS('17'!$K$68-Tulokset!$I$67))))))</f>
        <v/>
      </c>
      <c r="BR20" t="str">
        <f>IF(OR(Tulokset!$G$68="",Tulokset!$I$68="",'17'!$I$69="",'17'!$K$69=""),"",IF(SIGN('17'!$I$69-'17'!$K$69)&lt;&gt;SIGN(Tulokset!$G$68-Tulokset!$I$68),0,IF(Tulokset!$G$68=Tulokset!$I$68,IF(AND('17'!$I$69=Tulokset!$G$68,'17'!$K$69=Tulokset!$I$68),6,3),MAX(0,6-(ABS('17'!$I$69-Tulokset!$G$68)+ABS('17'!$K$69-Tulokset!$I$68))))))</f>
        <v/>
      </c>
      <c r="BS20" t="str">
        <f>IF(OR(Tulokset!$G$69="",Tulokset!$I$69="",'17'!$I$70="",'17'!$K$70=""),"",IF(SIGN('17'!$I$70-'17'!$K$70)&lt;&gt;SIGN(Tulokset!$G$69-Tulokset!$I$69),0,IF(Tulokset!$G$69=Tulokset!$I$69,IF(AND('17'!$I$70=Tulokset!$G$69,'17'!$K$70=Tulokset!$I$69),6,3),MAX(0,6-(ABS('17'!$I$70-Tulokset!$G$69)+ABS('17'!$K$70-Tulokset!$I$69))))))</f>
        <v/>
      </c>
      <c r="BT20" t="str">
        <f>IF(OR(Tulokset!$G$70="",Tulokset!$I$70="",'17'!$I$71="",'17'!$K$71=""),"",IF(SIGN('17'!$I$71-'17'!$K$71)&lt;&gt;SIGN(Tulokset!$G$70-Tulokset!$I$70),0,IF(Tulokset!$G$70=Tulokset!$I$70,IF(AND('17'!$I$71=Tulokset!$G$70,'17'!$K$71=Tulokset!$I$70),6,3),MAX(0,6-(ABS('17'!$I$71-Tulokset!$G$70)+ABS('17'!$K$71-Tulokset!$I$70))))))</f>
        <v/>
      </c>
      <c r="BU20" t="str">
        <f>IF(OR(Tulokset!$G$71="",Tulokset!$I$71="",'17'!$I$72="",'17'!$K$72=""),"",IF(SIGN('17'!$I$72-'17'!$K$72)&lt;&gt;SIGN(Tulokset!$G$71-Tulokset!$I$71),0,IF(Tulokset!$G$71=Tulokset!$I$71,IF(AND('17'!$I$72=Tulokset!$G$71,'17'!$K$72=Tulokset!$I$71),6,3),MAX(0,6-(ABS('17'!$I$72-Tulokset!$G$71)+ABS('17'!$K$72-Tulokset!$I$71))))))</f>
        <v/>
      </c>
      <c r="BV20" t="str">
        <f>IF(OR(Tulokset!$G$72="",Tulokset!$I$72="",'17'!$I$73="",'17'!$K$73=""),"",IF(SIGN('17'!$I$73-'17'!$K$73)&lt;&gt;SIGN(Tulokset!$G$72-Tulokset!$I$72),0,IF(Tulokset!$G$72=Tulokset!$I$72,IF(AND('17'!$I$73=Tulokset!$G$72,'17'!$K$73=Tulokset!$I$72),6,3),MAX(0,6-(ABS('17'!$I$73-Tulokset!$G$72)+ABS('17'!$K$73-Tulokset!$I$72))))))</f>
        <v/>
      </c>
      <c r="BW20" t="str">
        <f>IF(OR(Tulokset!$G$73="",Tulokset!$I$73="",'17'!$I$74="",'17'!$K$74=""),"",IF(SIGN('17'!$I$74-'17'!$K$74)&lt;&gt;SIGN(Tulokset!$G$73-Tulokset!$I$73),0,IF(Tulokset!$G$73=Tulokset!$I$73,IF(AND('17'!$I$74=Tulokset!$G$73,'17'!$K$74=Tulokset!$I$73),6,3),MAX(0,6-(ABS('17'!$I$74-Tulokset!$G$73)+ABS('17'!$K$74-Tulokset!$I$73))))))</f>
        <v/>
      </c>
      <c r="BX20" t="str">
        <f>IF(OR(Tulokset!$G$74="",Tulokset!$I$74="",'17'!$I$75="",'17'!$K$75=""),"",IF(SIGN('17'!$I$75-'17'!$K$75)&lt;&gt;SIGN(Tulokset!$G$74-Tulokset!$I$74),0,IF(Tulokset!$G$74=Tulokset!$I$74,IF(AND('17'!$I$75=Tulokset!$G$74,'17'!$K$75=Tulokset!$I$74),6,3),MAX(0,6-(ABS('17'!$I$75-Tulokset!$G$74)+ABS('17'!$K$75-Tulokset!$I$74))))))</f>
        <v/>
      </c>
      <c r="BY20" t="str">
        <f>IF(OR(Tulokset!$G$75="",Tulokset!$I$75="",'17'!$I$76="",'17'!$K$76=""),"",IF(SIGN('17'!$I$76-'17'!$K$76)&lt;&gt;SIGN(Tulokset!$G$75-Tulokset!$I$75),0,IF(Tulokset!$G$75=Tulokset!$I$75,IF(AND('17'!$I$76=Tulokset!$G$75,'17'!$K$76=Tulokset!$I$75),6,3),MAX(0,6-(ABS('17'!$I$76-Tulokset!$G$75)+ABS('17'!$K$76-Tulokset!$I$75))))))</f>
        <v/>
      </c>
      <c r="BZ20" t="str">
        <f>IF(OR(Tulokset!$G$76="",Tulokset!$I$76="",'17'!$I$77="",'17'!$K$77=""),"",IF(SIGN('17'!$I$77-'17'!$K$77)&lt;&gt;SIGN(Tulokset!$G$76-Tulokset!$I$76),0,IF(Tulokset!$G$76=Tulokset!$I$76,IF(AND('17'!$I$77=Tulokset!$G$76,'17'!$K$77=Tulokset!$I$76),6,3),MAX(0,6-(ABS('17'!$I$77-Tulokset!$G$76)+ABS('17'!$K$77-Tulokset!$I$76))))))</f>
        <v/>
      </c>
      <c r="CA20" t="str">
        <f>IF(OR(Tulokset!$G$77="",Tulokset!$I$77="",'17'!$I$78="",'17'!$K$78=""),"",IF(SIGN('17'!$I$78-'17'!$K$78)&lt;&gt;SIGN(Tulokset!$G$77-Tulokset!$I$77),0,IF(Tulokset!$G$77=Tulokset!$I$77,IF(AND('17'!$I$78=Tulokset!$G$77,'17'!$K$78=Tulokset!$I$77),6,3),MAX(0,6-(ABS('17'!$I$78-Tulokset!$G$77)+ABS('17'!$K$78-Tulokset!$I$77))))))</f>
        <v/>
      </c>
      <c r="CD20" t="str">
        <f ca="1">IF(OR(Tulokset!$M$6="",INDIRECT("'"&amp;$A20&amp;"'!$P$8")=""),"",IF(TRIM(INDIRECT("'"&amp;$A20&amp;"'!$P$8"))=TRIM(Tulokset!$M$6),2,0))</f>
        <v/>
      </c>
      <c r="CE20" t="str">
        <f ca="1">IF(OR(Tulokset!$M$7="",INDIRECT("'"&amp;$A20&amp;"'!$P$9")=""),"",IF(TRIM(INDIRECT("'"&amp;$A20&amp;"'!$P$9"))=TRIM(Tulokset!$M$7),2,0))</f>
        <v/>
      </c>
      <c r="CF20" t="str">
        <f ca="1">IF(OR(Tulokset!$M$8="",INDIRECT("'"&amp;$A20&amp;"'!$P$10")=""),"",IF(TRIM(INDIRECT("'"&amp;$A20&amp;"'!$P$10"))=TRIM(Tulokset!$M$8),2,0))</f>
        <v/>
      </c>
      <c r="CG20" t="str">
        <f ca="1">IF(OR(Tulokset!$M$9="",INDIRECT("'"&amp;$A20&amp;"'!$P$11")=""),"",IF(TRIM(INDIRECT("'"&amp;$A20&amp;"'!$P$11"))=TRIM(Tulokset!$M$9),2,0))</f>
        <v/>
      </c>
      <c r="CH20" t="str">
        <f ca="1">IF(OR(Tulokset!$N$6="",INDIRECT("'"&amp;$A20&amp;"'!$Q$8")=""),"",IF(TRIM(INDIRECT("'"&amp;$A20&amp;"'!$Q$8"))=TRIM(Tulokset!$N$6),2,0))</f>
        <v/>
      </c>
      <c r="CI20" t="str">
        <f ca="1">IF(OR(Tulokset!$N$7="",INDIRECT("'"&amp;$A20&amp;"'!$Q$9")=""),"",IF(TRIM(INDIRECT("'"&amp;$A20&amp;"'!$Q$9"))=TRIM(Tulokset!$N$7),2,0))</f>
        <v/>
      </c>
      <c r="CJ20" t="str">
        <f ca="1">IF(OR(Tulokset!$N$8="",INDIRECT("'"&amp;$A20&amp;"'!$Q$10")=""),"",IF(TRIM(INDIRECT("'"&amp;$A20&amp;"'!$Q$10"))=TRIM(Tulokset!$N$8),2,0))</f>
        <v/>
      </c>
      <c r="CK20" t="str">
        <f ca="1">IF(OR(Tulokset!$N$9="",INDIRECT("'"&amp;$A20&amp;"'!$Q$11")=""),"",IF(TRIM(INDIRECT("'"&amp;$A20&amp;"'!$Q$11"))=TRIM(Tulokset!$N$9),2,0))</f>
        <v/>
      </c>
      <c r="CL20" t="str">
        <f ca="1">IF(OR(Tulokset!$O$6="",INDIRECT("'"&amp;$A20&amp;"'!$R$8")=""),"",IF(TRIM(INDIRECT("'"&amp;$A20&amp;"'!$R$8"))=TRIM(Tulokset!$O$6),2,0))</f>
        <v/>
      </c>
      <c r="CM20" t="str">
        <f ca="1">IF(OR(Tulokset!$O$7="",INDIRECT("'"&amp;$A20&amp;"'!$R$9")=""),"",IF(TRIM(INDIRECT("'"&amp;$A20&amp;"'!$R$9"))=TRIM(Tulokset!$O$7),2,0))</f>
        <v/>
      </c>
      <c r="CN20" t="str">
        <f ca="1">IF(OR(Tulokset!$O$8="",INDIRECT("'"&amp;$A20&amp;"'!$R$10")=""),"",IF(TRIM(INDIRECT("'"&amp;$A20&amp;"'!$R$10"))=TRIM(Tulokset!$O$8),2,0))</f>
        <v/>
      </c>
      <c r="CO20" t="str">
        <f ca="1">IF(OR(Tulokset!$O$9="",INDIRECT("'"&amp;$A20&amp;"'!$R$11")=""),"",IF(TRIM(INDIRECT("'"&amp;$A20&amp;"'!$R$11"))=TRIM(Tulokset!$O$9),2,0))</f>
        <v/>
      </c>
      <c r="CP20" t="str">
        <f ca="1">IF(OR(Tulokset!$P$6="",INDIRECT("'"&amp;$A20&amp;"'!$S$8")=""),"",IF(TRIM(INDIRECT("'"&amp;$A20&amp;"'!$S$8"))=TRIM(Tulokset!$P$6),2,0))</f>
        <v/>
      </c>
      <c r="CQ20" t="str">
        <f ca="1">IF(OR(Tulokset!$P$7="",INDIRECT("'"&amp;$A20&amp;"'!$S$9")=""),"",IF(TRIM(INDIRECT("'"&amp;$A20&amp;"'!$S$9"))=TRIM(Tulokset!$P$7),2,0))</f>
        <v/>
      </c>
      <c r="CR20" t="str">
        <f ca="1">IF(OR(Tulokset!$P$8="",INDIRECT("'"&amp;$A20&amp;"'!$S$10")=""),"",IF(TRIM(INDIRECT("'"&amp;$A20&amp;"'!$S$10"))=TRIM(Tulokset!$P$8),2,0))</f>
        <v/>
      </c>
      <c r="CS20" t="str">
        <f ca="1">IF(OR(Tulokset!$P$9="",INDIRECT("'"&amp;$A20&amp;"'!$S$11")=""),"",IF(TRIM(INDIRECT("'"&amp;$A20&amp;"'!$S$11"))=TRIM(Tulokset!$P$9),2,0))</f>
        <v/>
      </c>
      <c r="CT20" t="str">
        <f ca="1">IF(OR(Tulokset!$Q$6="",INDIRECT("'"&amp;$A20&amp;"'!$T$8")=""),"",IF(TRIM(INDIRECT("'"&amp;$A20&amp;"'!$T$8"))=TRIM(Tulokset!$Q$6),2,0))</f>
        <v/>
      </c>
      <c r="CU20" t="str">
        <f ca="1">IF(OR(Tulokset!$Q$7="",INDIRECT("'"&amp;$A20&amp;"'!$T$9")=""),"",IF(TRIM(INDIRECT("'"&amp;$A20&amp;"'!$T$9"))=TRIM(Tulokset!$Q$7),2,0))</f>
        <v/>
      </c>
      <c r="CV20" t="str">
        <f ca="1">IF(OR(Tulokset!$Q$8="",INDIRECT("'"&amp;$A20&amp;"'!$T$10")=""),"",IF(TRIM(INDIRECT("'"&amp;$A20&amp;"'!$T$10"))=TRIM(Tulokset!$Q$8),2,0))</f>
        <v/>
      </c>
      <c r="CW20" t="str">
        <f ca="1">IF(OR(Tulokset!$Q$9="",INDIRECT("'"&amp;$A20&amp;"'!$T$11")=""),"",IF(TRIM(INDIRECT("'"&amp;$A20&amp;"'!$T$11"))=TRIM(Tulokset!$Q$9),2,0))</f>
        <v/>
      </c>
      <c r="CX20" t="str">
        <f ca="1">IF(OR(Tulokset!$R$6="",INDIRECT("'"&amp;$A20&amp;"'!$U$8")=""),"",IF(TRIM(INDIRECT("'"&amp;$A20&amp;"'!$U$8"))=TRIM(Tulokset!$R$6),2,0))</f>
        <v/>
      </c>
      <c r="CY20" t="str">
        <f ca="1">IF(OR(Tulokset!$R$7="",INDIRECT("'"&amp;$A20&amp;"'!$U$9")=""),"",IF(TRIM(INDIRECT("'"&amp;$A20&amp;"'!$U$9"))=TRIM(Tulokset!$R$7),2,0))</f>
        <v/>
      </c>
      <c r="CZ20" t="str">
        <f ca="1">IF(OR(Tulokset!$R$8="",INDIRECT("'"&amp;$A20&amp;"'!$U$10")=""),"",IF(TRIM(INDIRECT("'"&amp;$A20&amp;"'!$U$10"))=TRIM(Tulokset!$R$8),2,0))</f>
        <v/>
      </c>
      <c r="DA20" t="str">
        <f ca="1">IF(OR(Tulokset!$R$9="",INDIRECT("'"&amp;$A20&amp;"'!$U$11")=""),"",IF(TRIM(INDIRECT("'"&amp;$A20&amp;"'!$U$11"))=TRIM(Tulokset!$R$9),2,0))</f>
        <v/>
      </c>
      <c r="DB20" t="str">
        <f ca="1">IF(OR(Tulokset!$M$12="",INDIRECT("'"&amp;$A20&amp;"'!$P$14")=""),"",IF(TRIM(INDIRECT("'"&amp;$A20&amp;"'!$P$14"))=TRIM(Tulokset!$M$12),2,0))</f>
        <v/>
      </c>
      <c r="DC20" t="str">
        <f ca="1">IF(OR(Tulokset!$M$13="",INDIRECT("'"&amp;$A20&amp;"'!$P$15")=""),"",IF(TRIM(INDIRECT("'"&amp;$A20&amp;"'!$P$15"))=TRIM(Tulokset!$M$13),2,0))</f>
        <v/>
      </c>
      <c r="DD20" t="str">
        <f ca="1">IF(OR(Tulokset!$M$14="",INDIRECT("'"&amp;$A20&amp;"'!$P$16")=""),"",IF(TRIM(INDIRECT("'"&amp;$A20&amp;"'!$P$16"))=TRIM(Tulokset!$M$14),2,0))</f>
        <v/>
      </c>
      <c r="DE20" t="str">
        <f ca="1">IF(OR(Tulokset!$M$15="",INDIRECT("'"&amp;$A20&amp;"'!$P$17")=""),"",IF(TRIM(INDIRECT("'"&amp;$A20&amp;"'!$P$17"))=TRIM(Tulokset!$M$15),2,0))</f>
        <v/>
      </c>
      <c r="DF20" t="str">
        <f ca="1">IF(OR(Tulokset!$N$12="",INDIRECT("'"&amp;$A20&amp;"'!$Q$14")=""),"",IF(TRIM(INDIRECT("'"&amp;$A20&amp;"'!$Q$14"))=TRIM(Tulokset!$N$12),2,0))</f>
        <v/>
      </c>
      <c r="DG20" t="str">
        <f ca="1">IF(OR(Tulokset!$N$13="",INDIRECT("'"&amp;$A20&amp;"'!$Q$15")=""),"",IF(TRIM(INDIRECT("'"&amp;$A20&amp;"'!$Q$15"))=TRIM(Tulokset!$N$13),2,0))</f>
        <v/>
      </c>
      <c r="DH20" t="str">
        <f ca="1">IF(OR(Tulokset!$N$14="",INDIRECT("'"&amp;$A20&amp;"'!$Q$16")=""),"",IF(TRIM(INDIRECT("'"&amp;$A20&amp;"'!$Q$16"))=TRIM(Tulokset!$N$14),2,0))</f>
        <v/>
      </c>
      <c r="DI20" t="str">
        <f ca="1">IF(OR(Tulokset!$N$15="",INDIRECT("'"&amp;$A20&amp;"'!$Q$17")=""),"",IF(TRIM(INDIRECT("'"&amp;$A20&amp;"'!$Q$17"))=TRIM(Tulokset!$N$15),2,0))</f>
        <v/>
      </c>
      <c r="DJ20" t="str">
        <f ca="1">IF(OR(Tulokset!$O$12="",INDIRECT("'"&amp;$A20&amp;"'!$R$14")=""),"",IF(TRIM(INDIRECT("'"&amp;$A20&amp;"'!$R$14"))=TRIM(Tulokset!$O$12),2,0))</f>
        <v/>
      </c>
      <c r="DK20" t="str">
        <f ca="1">IF(OR(Tulokset!$O$13="",INDIRECT("'"&amp;$A20&amp;"'!$R$15")=""),"",IF(TRIM(INDIRECT("'"&amp;$A20&amp;"'!$R$15"))=TRIM(Tulokset!$O$13),2,0))</f>
        <v/>
      </c>
      <c r="DL20" t="str">
        <f ca="1">IF(OR(Tulokset!$O$14="",INDIRECT("'"&amp;$A20&amp;"'!$R$16")=""),"",IF(TRIM(INDIRECT("'"&amp;$A20&amp;"'!$R$16"))=TRIM(Tulokset!$O$14),2,0))</f>
        <v/>
      </c>
      <c r="DM20" t="str">
        <f ca="1">IF(OR(Tulokset!$O$15="",INDIRECT("'"&amp;$A20&amp;"'!$R$17")=""),"",IF(TRIM(INDIRECT("'"&amp;$A20&amp;"'!$R$17"))=TRIM(Tulokset!$O$15),2,0))</f>
        <v/>
      </c>
      <c r="DN20" t="str">
        <f ca="1">IF(OR(Tulokset!$P$12="",INDIRECT("'"&amp;$A20&amp;"'!$S$14")=""),"",IF(TRIM(INDIRECT("'"&amp;$A20&amp;"'!$S$14"))=TRIM(Tulokset!$P$12),2,0))</f>
        <v/>
      </c>
      <c r="DO20" t="str">
        <f ca="1">IF(OR(Tulokset!$P$13="",INDIRECT("'"&amp;$A20&amp;"'!$S$15")=""),"",IF(TRIM(INDIRECT("'"&amp;$A20&amp;"'!$S$15"))=TRIM(Tulokset!$P$13),2,0))</f>
        <v/>
      </c>
      <c r="DP20" t="str">
        <f ca="1">IF(OR(Tulokset!$P$14="",INDIRECT("'"&amp;$A20&amp;"'!$S$16")=""),"",IF(TRIM(INDIRECT("'"&amp;$A20&amp;"'!$S$16"))=TRIM(Tulokset!$P$14),2,0))</f>
        <v/>
      </c>
      <c r="DQ20" t="str">
        <f ca="1">IF(OR(Tulokset!$P$15="",INDIRECT("'"&amp;$A20&amp;"'!$S$17")=""),"",IF(TRIM(INDIRECT("'"&amp;$A20&amp;"'!$S$17"))=TRIM(Tulokset!$P$15),2,0))</f>
        <v/>
      </c>
      <c r="DR20" t="str">
        <f ca="1">IF(OR(Tulokset!$Q$12="",INDIRECT("'"&amp;$A20&amp;"'!$T$14")=""),"",IF(TRIM(INDIRECT("'"&amp;$A20&amp;"'!$T$14"))=TRIM(Tulokset!$Q$12),2,0))</f>
        <v/>
      </c>
      <c r="DS20" t="str">
        <f ca="1">IF(OR(Tulokset!$Q$13="",INDIRECT("'"&amp;$A20&amp;"'!$T$15")=""),"",IF(TRIM(INDIRECT("'"&amp;$A20&amp;"'!$T$15"))=TRIM(Tulokset!$Q$13),2,0))</f>
        <v/>
      </c>
      <c r="DT20" t="str">
        <f ca="1">IF(OR(Tulokset!$Q$14="",INDIRECT("'"&amp;$A20&amp;"'!$T$16")=""),"",IF(TRIM(INDIRECT("'"&amp;$A20&amp;"'!$T$16"))=TRIM(Tulokset!$Q$14),2,0))</f>
        <v/>
      </c>
      <c r="DU20" t="str">
        <f ca="1">IF(OR(Tulokset!$Q$15="",INDIRECT("'"&amp;$A20&amp;"'!$T$17")=""),"",IF(TRIM(INDIRECT("'"&amp;$A20&amp;"'!$T$17"))=TRIM(Tulokset!$Q$15),2,0))</f>
        <v/>
      </c>
      <c r="DV20" t="str">
        <f ca="1">IF(OR(Tulokset!$R$12="",INDIRECT("'"&amp;$A20&amp;"'!$U$14")=""),"",IF(TRIM(INDIRECT("'"&amp;$A20&amp;"'!$U$14"))=TRIM(Tulokset!$R$12),2,0))</f>
        <v/>
      </c>
      <c r="DW20" t="str">
        <f ca="1">IF(OR(Tulokset!$R$13="",INDIRECT("'"&amp;$A20&amp;"'!$U$15")=""),"",IF(TRIM(INDIRECT("'"&amp;$A20&amp;"'!$U$15"))=TRIM(Tulokset!$R$13),2,0))</f>
        <v/>
      </c>
      <c r="DX20" t="str">
        <f ca="1">IF(OR(Tulokset!$R$14="",INDIRECT("'"&amp;$A20&amp;"'!$U$16")=""),"",IF(TRIM(INDIRECT("'"&amp;$A20&amp;"'!$U$16"))=TRIM(Tulokset!$R$14),2,0))</f>
        <v/>
      </c>
      <c r="DY20" t="str">
        <f ca="1">IF(OR(Tulokset!$R$15="",INDIRECT("'"&amp;$A20&amp;"'!$U$17")=""),"",IF(TRIM(INDIRECT("'"&amp;$A20&amp;"'!$U$17"))=TRIM(Tulokset!$R$15),2,0))</f>
        <v/>
      </c>
      <c r="EA20" t="str">
        <f ca="1">IF(OR(INDIRECT("'"&amp;$A20&amp;"'!$E$79")="",COUNTA(Tulokset!$M$20:$M$21)=0),"",IF(COUNTIF(Tulokset!$M$20:$M$21,INDIRECT("'"&amp;$A20&amp;"'!$E$79"))&gt;0,2,0))</f>
        <v/>
      </c>
      <c r="EB20" t="str">
        <f ca="1">IF(OR(INDIRECT("'"&amp;$A20&amp;"'!$G$79")="",COUNTA(Tulokset!$M$20:$M$21)=0),"",IF(COUNTIF(Tulokset!$M$20:$M$21,INDIRECT("'"&amp;$A20&amp;"'!$G$79"))&gt;0,2,0))</f>
        <v/>
      </c>
      <c r="EC20" t="str">
        <f ca="1">IF(OR(INDIRECT("'"&amp;$A20&amp;"'!$E$80")="",COUNTA(Tulokset!$M$23:$M$24)=0),"",IF(COUNTIF(Tulokset!$M$23:$M$24,INDIRECT("'"&amp;$A20&amp;"'!$E$80"))&gt;0,2,0))</f>
        <v/>
      </c>
      <c r="ED20" t="str">
        <f ca="1">IF(OR(INDIRECT("'"&amp;$A20&amp;"'!$G$80")="",COUNTA(Tulokset!$M$23:$M$24)=0),"",IF(COUNTIF(Tulokset!$M$23:$M$24,INDIRECT("'"&amp;$A20&amp;"'!$G$80"))&gt;0,2,0))</f>
        <v/>
      </c>
    </row>
    <row r="21" spans="1:134">
      <c r="A21" t="s">
        <v>313</v>
      </c>
      <c r="B21" t="str">
        <f t="shared" ca="1" si="0"/>
        <v>Teo ja Noel</v>
      </c>
      <c r="C21" s="95">
        <f t="shared" si="1"/>
        <v>0</v>
      </c>
      <c r="D21" s="95">
        <f t="shared" ca="1" si="2"/>
        <v>0</v>
      </c>
      <c r="E21" s="95">
        <f t="shared" ca="1" si="3"/>
        <v>0</v>
      </c>
      <c r="F21" s="95">
        <f t="shared" ca="1" si="4"/>
        <v>0</v>
      </c>
      <c r="G21" s="95">
        <f t="shared" si="5"/>
        <v>0</v>
      </c>
      <c r="H21" t="str">
        <f>IF(OR(Tulokset!$G$6="",Tulokset!$I$6="",'18'!$I$7="",'18'!$K$7=""),"",IF(SIGN('18'!$I$7-'18'!$K$7)&lt;&gt;SIGN(Tulokset!$G$6-Tulokset!$I$6),0,IF(Tulokset!$G$6=Tulokset!$I$6,IF(AND('18'!$I$7=Tulokset!$G$6,'18'!$K$7=Tulokset!$I$6),6,3),MAX(0,6-(ABS('18'!$I$7-Tulokset!$G$6)+ABS('18'!$K$7-Tulokset!$I$6))))))</f>
        <v/>
      </c>
      <c r="I21" t="str">
        <f>IF(OR(Tulokset!$G$7="",Tulokset!$I$7="",'18'!$I$8="",'18'!$K$8=""),"",IF(SIGN('18'!$I$8-'18'!$K$8)&lt;&gt;SIGN(Tulokset!$G$7-Tulokset!$I$7),0,IF(Tulokset!$G$7=Tulokset!$I$7,IF(AND('18'!$I$8=Tulokset!$G$7,'18'!$K$8=Tulokset!$I$7),6,3),MAX(0,6-(ABS('18'!$I$8-Tulokset!$G$7)+ABS('18'!$K$8-Tulokset!$I$7))))))</f>
        <v/>
      </c>
      <c r="J21" t="str">
        <f>IF(OR(Tulokset!$G$8="",Tulokset!$I$8="",'18'!$I$9="",'18'!$K$9=""),"",IF(SIGN('18'!$I$9-'18'!$K$9)&lt;&gt;SIGN(Tulokset!$G$8-Tulokset!$I$8),0,IF(Tulokset!$G$8=Tulokset!$I$8,IF(AND('18'!$I$9=Tulokset!$G$8,'18'!$K$9=Tulokset!$I$8),6,3),MAX(0,6-(ABS('18'!$I$9-Tulokset!$G$8)+ABS('18'!$K$9-Tulokset!$I$8))))))</f>
        <v/>
      </c>
      <c r="K21" t="str">
        <f>IF(OR(Tulokset!$G$9="",Tulokset!$I$9="",'18'!$I$10="",'18'!$K$10=""),"",IF(SIGN('18'!$I$10-'18'!$K$10)&lt;&gt;SIGN(Tulokset!$G$9-Tulokset!$I$9),0,IF(Tulokset!$G$9=Tulokset!$I$9,IF(AND('18'!$I$10=Tulokset!$G$9,'18'!$K$10=Tulokset!$I$9),6,3),MAX(0,6-(ABS('18'!$I$10-Tulokset!$G$9)+ABS('18'!$K$10-Tulokset!$I$9))))))</f>
        <v/>
      </c>
      <c r="L21" t="str">
        <f>IF(OR(Tulokset!$G$10="",Tulokset!$I$10="",'18'!$I$11="",'18'!$K$11=""),"",IF(SIGN('18'!$I$11-'18'!$K$11)&lt;&gt;SIGN(Tulokset!$G$10-Tulokset!$I$10),0,IF(Tulokset!$G$10=Tulokset!$I$10,IF(AND('18'!$I$11=Tulokset!$G$10,'18'!$K$11=Tulokset!$I$10),6,3),MAX(0,6-(ABS('18'!$I$11-Tulokset!$G$10)+ABS('18'!$K$11-Tulokset!$I$10))))))</f>
        <v/>
      </c>
      <c r="M21" t="str">
        <f>IF(OR(Tulokset!$G$11="",Tulokset!$I$11="",'18'!$I$12="",'18'!$K$12=""),"",IF(SIGN('18'!$I$12-'18'!$K$12)&lt;&gt;SIGN(Tulokset!$G$11-Tulokset!$I$11),0,IF(Tulokset!$G$11=Tulokset!$I$11,IF(AND('18'!$I$12=Tulokset!$G$11,'18'!$K$12=Tulokset!$I$11),6,3),MAX(0,6-(ABS('18'!$I$12-Tulokset!$G$11)+ABS('18'!$K$12-Tulokset!$I$11))))))</f>
        <v/>
      </c>
      <c r="N21" t="str">
        <f>IF(OR(Tulokset!$G$12="",Tulokset!$I$12="",'18'!$I$13="",'18'!$K$13=""),"",IF(SIGN('18'!$I$13-'18'!$K$13)&lt;&gt;SIGN(Tulokset!$G$12-Tulokset!$I$12),0,IF(Tulokset!$G$12=Tulokset!$I$12,IF(AND('18'!$I$13=Tulokset!$G$12,'18'!$K$13=Tulokset!$I$12),6,3),MAX(0,6-(ABS('18'!$I$13-Tulokset!$G$12)+ABS('18'!$K$13-Tulokset!$I$12))))))</f>
        <v/>
      </c>
      <c r="O21" t="str">
        <f>IF(OR(Tulokset!$G$13="",Tulokset!$I$13="",'18'!$I$14="",'18'!$K$14=""),"",IF(SIGN('18'!$I$14-'18'!$K$14)&lt;&gt;SIGN(Tulokset!$G$13-Tulokset!$I$13),0,IF(Tulokset!$G$13=Tulokset!$I$13,IF(AND('18'!$I$14=Tulokset!$G$13,'18'!$K$14=Tulokset!$I$13),6,3),MAX(0,6-(ABS('18'!$I$14-Tulokset!$G$13)+ABS('18'!$K$14-Tulokset!$I$13))))))</f>
        <v/>
      </c>
      <c r="P21" t="str">
        <f>IF(OR(Tulokset!$G$14="",Tulokset!$I$14="",'18'!$I$15="",'18'!$K$15=""),"",IF(SIGN('18'!$I$15-'18'!$K$15)&lt;&gt;SIGN(Tulokset!$G$14-Tulokset!$I$14),0,IF(Tulokset!$G$14=Tulokset!$I$14,IF(AND('18'!$I$15=Tulokset!$G$14,'18'!$K$15=Tulokset!$I$14),6,3),MAX(0,6-(ABS('18'!$I$15-Tulokset!$G$14)+ABS('18'!$K$15-Tulokset!$I$14))))))</f>
        <v/>
      </c>
      <c r="Q21" t="str">
        <f>IF(OR(Tulokset!$G$15="",Tulokset!$I$15="",'18'!$I$16="",'18'!$K$16=""),"",IF(SIGN('18'!$I$16-'18'!$K$16)&lt;&gt;SIGN(Tulokset!$G$15-Tulokset!$I$15),0,IF(Tulokset!$G$15=Tulokset!$I$15,IF(AND('18'!$I$16=Tulokset!$G$15,'18'!$K$16=Tulokset!$I$15),6,3),MAX(0,6-(ABS('18'!$I$16-Tulokset!$G$15)+ABS('18'!$K$16-Tulokset!$I$15))))))</f>
        <v/>
      </c>
      <c r="R21" t="str">
        <f>IF(OR(Tulokset!$G$16="",Tulokset!$I$16="",'18'!$I$17="",'18'!$K$17=""),"",IF(SIGN('18'!$I$17-'18'!$K$17)&lt;&gt;SIGN(Tulokset!$G$16-Tulokset!$I$16),0,IF(Tulokset!$G$16=Tulokset!$I$16,IF(AND('18'!$I$17=Tulokset!$G$16,'18'!$K$17=Tulokset!$I$16),6,3),MAX(0,6-(ABS('18'!$I$17-Tulokset!$G$16)+ABS('18'!$K$17-Tulokset!$I$16))))))</f>
        <v/>
      </c>
      <c r="S21" t="str">
        <f>IF(OR(Tulokset!$G$17="",Tulokset!$I$17="",'18'!$I$18="",'18'!$K$18=""),"",IF(SIGN('18'!$I$18-'18'!$K$18)&lt;&gt;SIGN(Tulokset!$G$17-Tulokset!$I$17),0,IF(Tulokset!$G$17=Tulokset!$I$17,IF(AND('18'!$I$18=Tulokset!$G$17,'18'!$K$18=Tulokset!$I$17),6,3),MAX(0,6-(ABS('18'!$I$18-Tulokset!$G$17)+ABS('18'!$K$18-Tulokset!$I$17))))))</f>
        <v/>
      </c>
      <c r="T21" t="str">
        <f>IF(OR(Tulokset!$G$18="",Tulokset!$I$18="",'18'!$I$19="",'18'!$K$19=""),"",IF(SIGN('18'!$I$19-'18'!$K$19)&lt;&gt;SIGN(Tulokset!$G$18-Tulokset!$I$18),0,IF(Tulokset!$G$18=Tulokset!$I$18,IF(AND('18'!$I$19=Tulokset!$G$18,'18'!$K$19=Tulokset!$I$18),6,3),MAX(0,6-(ABS('18'!$I$19-Tulokset!$G$18)+ABS('18'!$K$19-Tulokset!$I$18))))))</f>
        <v/>
      </c>
      <c r="U21" t="str">
        <f>IF(OR(Tulokset!$G$19="",Tulokset!$I$19="",'18'!$I$20="",'18'!$K$20=""),"",IF(SIGN('18'!$I$20-'18'!$K$20)&lt;&gt;SIGN(Tulokset!$G$19-Tulokset!$I$19),0,IF(Tulokset!$G$19=Tulokset!$I$19,IF(AND('18'!$I$20=Tulokset!$G$19,'18'!$K$20=Tulokset!$I$19),6,3),MAX(0,6-(ABS('18'!$I$20-Tulokset!$G$19)+ABS('18'!$K$20-Tulokset!$I$19))))))</f>
        <v/>
      </c>
      <c r="V21" t="str">
        <f>IF(OR(Tulokset!$G$20="",Tulokset!$I$20="",'18'!$I$21="",'18'!$K$21=""),"",IF(SIGN('18'!$I$21-'18'!$K$21)&lt;&gt;SIGN(Tulokset!$G$20-Tulokset!$I$20),0,IF(Tulokset!$G$20=Tulokset!$I$20,IF(AND('18'!$I$21=Tulokset!$G$20,'18'!$K$21=Tulokset!$I$20),6,3),MAX(0,6-(ABS('18'!$I$21-Tulokset!$G$20)+ABS('18'!$K$21-Tulokset!$I$20))))))</f>
        <v/>
      </c>
      <c r="W21" t="str">
        <f>IF(OR(Tulokset!$G$21="",Tulokset!$I$21="",'18'!$I$22="",'18'!$K$22=""),"",IF(SIGN('18'!$I$22-'18'!$K$22)&lt;&gt;SIGN(Tulokset!$G$21-Tulokset!$I$21),0,IF(Tulokset!$G$21=Tulokset!$I$21,IF(AND('18'!$I$22=Tulokset!$G$21,'18'!$K$22=Tulokset!$I$21),6,3),MAX(0,6-(ABS('18'!$I$22-Tulokset!$G$21)+ABS('18'!$K$22-Tulokset!$I$21))))))</f>
        <v/>
      </c>
      <c r="X21" t="str">
        <f>IF(OR(Tulokset!$G$22="",Tulokset!$I$22="",'18'!$I$23="",'18'!$K$23=""),"",IF(SIGN('18'!$I$23-'18'!$K$23)&lt;&gt;SIGN(Tulokset!$G$22-Tulokset!$I$22),0,IF(Tulokset!$G$22=Tulokset!$I$22,IF(AND('18'!$I$23=Tulokset!$G$22,'18'!$K$23=Tulokset!$I$22),6,3),MAX(0,6-(ABS('18'!$I$23-Tulokset!$G$22)+ABS('18'!$K$23-Tulokset!$I$22))))))</f>
        <v/>
      </c>
      <c r="Y21" t="str">
        <f>IF(OR(Tulokset!$G$23="",Tulokset!$I$23="",'18'!$I$24="",'18'!$K$24=""),"",IF(SIGN('18'!$I$24-'18'!$K$24)&lt;&gt;SIGN(Tulokset!$G$23-Tulokset!$I$23),0,IF(Tulokset!$G$23=Tulokset!$I$23,IF(AND('18'!$I$24=Tulokset!$G$23,'18'!$K$24=Tulokset!$I$23),6,3),MAX(0,6-(ABS('18'!$I$24-Tulokset!$G$23)+ABS('18'!$K$24-Tulokset!$I$23))))))</f>
        <v/>
      </c>
      <c r="Z21" t="str">
        <f>IF(OR(Tulokset!$G$24="",Tulokset!$I$24="",'18'!$I$25="",'18'!$K$25=""),"",IF(SIGN('18'!$I$25-'18'!$K$25)&lt;&gt;SIGN(Tulokset!$G$24-Tulokset!$I$24),0,IF(Tulokset!$G$24=Tulokset!$I$24,IF(AND('18'!$I$25=Tulokset!$G$24,'18'!$K$25=Tulokset!$I$24),6,3),MAX(0,6-(ABS('18'!$I$25-Tulokset!$G$24)+ABS('18'!$K$25-Tulokset!$I$24))))))</f>
        <v/>
      </c>
      <c r="AA21" t="str">
        <f>IF(OR(Tulokset!$G$25="",Tulokset!$I$25="",'18'!$I$26="",'18'!$K$26=""),"",IF(SIGN('18'!$I$26-'18'!$K$26)&lt;&gt;SIGN(Tulokset!$G$25-Tulokset!$I$25),0,IF(Tulokset!$G$25=Tulokset!$I$25,IF(AND('18'!$I$26=Tulokset!$G$25,'18'!$K$26=Tulokset!$I$25),6,3),MAX(0,6-(ABS('18'!$I$26-Tulokset!$G$25)+ABS('18'!$K$26-Tulokset!$I$25))))))</f>
        <v/>
      </c>
      <c r="AB21" t="str">
        <f>IF(OR(Tulokset!$G$26="",Tulokset!$I$26="",'18'!$I$27="",'18'!$K$27=""),"",IF(SIGN('18'!$I$27-'18'!$K$27)&lt;&gt;SIGN(Tulokset!$G$26-Tulokset!$I$26),0,IF(Tulokset!$G$26=Tulokset!$I$26,IF(AND('18'!$I$27=Tulokset!$G$26,'18'!$K$27=Tulokset!$I$26),6,3),MAX(0,6-(ABS('18'!$I$27-Tulokset!$G$26)+ABS('18'!$K$27-Tulokset!$I$26))))))</f>
        <v/>
      </c>
      <c r="AC21" t="str">
        <f>IF(OR(Tulokset!$G$27="",Tulokset!$I$27="",'18'!$I$28="",'18'!$K$28=""),"",IF(SIGN('18'!$I$28-'18'!$K$28)&lt;&gt;SIGN(Tulokset!$G$27-Tulokset!$I$27),0,IF(Tulokset!$G$27=Tulokset!$I$27,IF(AND('18'!$I$28=Tulokset!$G$27,'18'!$K$28=Tulokset!$I$27),6,3),MAX(0,6-(ABS('18'!$I$28-Tulokset!$G$27)+ABS('18'!$K$28-Tulokset!$I$27))))))</f>
        <v/>
      </c>
      <c r="AD21" t="str">
        <f>IF(OR(Tulokset!$G$28="",Tulokset!$I$28="",'18'!$I$29="",'18'!$K$29=""),"",IF(SIGN('18'!$I$29-'18'!$K$29)&lt;&gt;SIGN(Tulokset!$G$28-Tulokset!$I$28),0,IF(Tulokset!$G$28=Tulokset!$I$28,IF(AND('18'!$I$29=Tulokset!$G$28,'18'!$K$29=Tulokset!$I$28),6,3),MAX(0,6-(ABS('18'!$I$29-Tulokset!$G$28)+ABS('18'!$K$29-Tulokset!$I$28))))))</f>
        <v/>
      </c>
      <c r="AE21" t="str">
        <f>IF(OR(Tulokset!$G$29="",Tulokset!$I$29="",'18'!$I$30="",'18'!$K$30=""),"",IF(SIGN('18'!$I$30-'18'!$K$30)&lt;&gt;SIGN(Tulokset!$G$29-Tulokset!$I$29),0,IF(Tulokset!$G$29=Tulokset!$I$29,IF(AND('18'!$I$30=Tulokset!$G$29,'18'!$K$30=Tulokset!$I$29),6,3),MAX(0,6-(ABS('18'!$I$30-Tulokset!$G$29)+ABS('18'!$K$30-Tulokset!$I$29))))))</f>
        <v/>
      </c>
      <c r="AF21" t="str">
        <f>IF(OR(Tulokset!$G$30="",Tulokset!$I$30="",'18'!$I$31="",'18'!$K$31=""),"",IF(SIGN('18'!$I$31-'18'!$K$31)&lt;&gt;SIGN(Tulokset!$G$30-Tulokset!$I$30),0,IF(Tulokset!$G$30=Tulokset!$I$30,IF(AND('18'!$I$31=Tulokset!$G$30,'18'!$K$31=Tulokset!$I$30),6,3),MAX(0,6-(ABS('18'!$I$31-Tulokset!$G$30)+ABS('18'!$K$31-Tulokset!$I$30))))))</f>
        <v/>
      </c>
      <c r="AG21" t="str">
        <f>IF(OR(Tulokset!$G$31="",Tulokset!$I$31="",'18'!$I$32="",'18'!$K$32=""),"",IF(SIGN('18'!$I$32-'18'!$K$32)&lt;&gt;SIGN(Tulokset!$G$31-Tulokset!$I$31),0,IF(Tulokset!$G$31=Tulokset!$I$31,IF(AND('18'!$I$32=Tulokset!$G$31,'18'!$K$32=Tulokset!$I$31),6,3),MAX(0,6-(ABS('18'!$I$32-Tulokset!$G$31)+ABS('18'!$K$32-Tulokset!$I$31))))))</f>
        <v/>
      </c>
      <c r="AH21" t="str">
        <f>IF(OR(Tulokset!$G$32="",Tulokset!$I$32="",'18'!$I$33="",'18'!$K$33=""),"",IF(SIGN('18'!$I$33-'18'!$K$33)&lt;&gt;SIGN(Tulokset!$G$32-Tulokset!$I$32),0,IF(Tulokset!$G$32=Tulokset!$I$32,IF(AND('18'!$I$33=Tulokset!$G$32,'18'!$K$33=Tulokset!$I$32),6,3),MAX(0,6-(ABS('18'!$I$33-Tulokset!$G$32)+ABS('18'!$K$33-Tulokset!$I$32))))))</f>
        <v/>
      </c>
      <c r="AI21" t="str">
        <f>IF(OR(Tulokset!$G$33="",Tulokset!$I$33="",'18'!$I$34="",'18'!$K$34=""),"",IF(SIGN('18'!$I$34-'18'!$K$34)&lt;&gt;SIGN(Tulokset!$G$33-Tulokset!$I$33),0,IF(Tulokset!$G$33=Tulokset!$I$33,IF(AND('18'!$I$34=Tulokset!$G$33,'18'!$K$34=Tulokset!$I$33),6,3),MAX(0,6-(ABS('18'!$I$34-Tulokset!$G$33)+ABS('18'!$K$34-Tulokset!$I$33))))))</f>
        <v/>
      </c>
      <c r="AJ21" t="str">
        <f>IF(OR(Tulokset!$G$34="",Tulokset!$I$34="",'18'!$I$35="",'18'!$K$35=""),"",IF(SIGN('18'!$I$35-'18'!$K$35)&lt;&gt;SIGN(Tulokset!$G$34-Tulokset!$I$34),0,IF(Tulokset!$G$34=Tulokset!$I$34,IF(AND('18'!$I$35=Tulokset!$G$34,'18'!$K$35=Tulokset!$I$34),6,3),MAX(0,6-(ABS('18'!$I$35-Tulokset!$G$34)+ABS('18'!$K$35-Tulokset!$I$34))))))</f>
        <v/>
      </c>
      <c r="AK21" t="str">
        <f>IF(OR(Tulokset!$G$35="",Tulokset!$I$35="",'18'!$I$36="",'18'!$K$36=""),"",IF(SIGN('18'!$I$36-'18'!$K$36)&lt;&gt;SIGN(Tulokset!$G$35-Tulokset!$I$35),0,IF(Tulokset!$G$35=Tulokset!$I$35,IF(AND('18'!$I$36=Tulokset!$G$35,'18'!$K$36=Tulokset!$I$35),6,3),MAX(0,6-(ABS('18'!$I$36-Tulokset!$G$35)+ABS('18'!$K$36-Tulokset!$I$35))))))</f>
        <v/>
      </c>
      <c r="AL21" t="str">
        <f>IF(OR(Tulokset!$G$36="",Tulokset!$I$36="",'18'!$I$37="",'18'!$K$37=""),"",IF(SIGN('18'!$I$37-'18'!$K$37)&lt;&gt;SIGN(Tulokset!$G$36-Tulokset!$I$36),0,IF(Tulokset!$G$36=Tulokset!$I$36,IF(AND('18'!$I$37=Tulokset!$G$36,'18'!$K$37=Tulokset!$I$36),6,3),MAX(0,6-(ABS('18'!$I$37-Tulokset!$G$36)+ABS('18'!$K$37-Tulokset!$I$36))))))</f>
        <v/>
      </c>
      <c r="AM21" t="str">
        <f>IF(OR(Tulokset!$G$37="",Tulokset!$I$37="",'18'!$I$38="",'18'!$K$38=""),"",IF(SIGN('18'!$I$38-'18'!$K$38)&lt;&gt;SIGN(Tulokset!$G$37-Tulokset!$I$37),0,IF(Tulokset!$G$37=Tulokset!$I$37,IF(AND('18'!$I$38=Tulokset!$G$37,'18'!$K$38=Tulokset!$I$37),6,3),MAX(0,6-(ABS('18'!$I$38-Tulokset!$G$37)+ABS('18'!$K$38-Tulokset!$I$37))))))</f>
        <v/>
      </c>
      <c r="AN21" t="str">
        <f>IF(OR(Tulokset!$G$38="",Tulokset!$I$38="",'18'!$I$39="",'18'!$K$39=""),"",IF(SIGN('18'!$I$39-'18'!$K$39)&lt;&gt;SIGN(Tulokset!$G$38-Tulokset!$I$38),0,IF(Tulokset!$G$38=Tulokset!$I$38,IF(AND('18'!$I$39=Tulokset!$G$38,'18'!$K$39=Tulokset!$I$38),6,3),MAX(0,6-(ABS('18'!$I$39-Tulokset!$G$38)+ABS('18'!$K$39-Tulokset!$I$38))))))</f>
        <v/>
      </c>
      <c r="AO21" t="str">
        <f>IF(OR(Tulokset!$G$39="",Tulokset!$I$39="",'18'!$I$40="",'18'!$K$40=""),"",IF(SIGN('18'!$I$40-'18'!$K$40)&lt;&gt;SIGN(Tulokset!$G$39-Tulokset!$I$39),0,IF(Tulokset!$G$39=Tulokset!$I$39,IF(AND('18'!$I$40=Tulokset!$G$39,'18'!$K$40=Tulokset!$I$39),6,3),MAX(0,6-(ABS('18'!$I$40-Tulokset!$G$39)+ABS('18'!$K$40-Tulokset!$I$39))))))</f>
        <v/>
      </c>
      <c r="AP21" t="str">
        <f>IF(OR(Tulokset!$G$40="",Tulokset!$I$40="",'18'!$I$41="",'18'!$K$41=""),"",IF(SIGN('18'!$I$41-'18'!$K$41)&lt;&gt;SIGN(Tulokset!$G$40-Tulokset!$I$40),0,IF(Tulokset!$G$40=Tulokset!$I$40,IF(AND('18'!$I$41=Tulokset!$G$40,'18'!$K$41=Tulokset!$I$40),6,3),MAX(0,6-(ABS('18'!$I$41-Tulokset!$G$40)+ABS('18'!$K$41-Tulokset!$I$40))))))</f>
        <v/>
      </c>
      <c r="AQ21" t="str">
        <f>IF(OR(Tulokset!$G$41="",Tulokset!$I$41="",'18'!$I$42="",'18'!$K$42=""),"",IF(SIGN('18'!$I$42-'18'!$K$42)&lt;&gt;SIGN(Tulokset!$G$41-Tulokset!$I$41),0,IF(Tulokset!$G$41=Tulokset!$I$41,IF(AND('18'!$I$42=Tulokset!$G$41,'18'!$K$42=Tulokset!$I$41),6,3),MAX(0,6-(ABS('18'!$I$42-Tulokset!$G$41)+ABS('18'!$K$42-Tulokset!$I$41))))))</f>
        <v/>
      </c>
      <c r="AR21" t="str">
        <f>IF(OR(Tulokset!$G$42="",Tulokset!$I$42="",'18'!$I$43="",'18'!$K$43=""),"",IF(SIGN('18'!$I$43-'18'!$K$43)&lt;&gt;SIGN(Tulokset!$G$42-Tulokset!$I$42),0,IF(Tulokset!$G$42=Tulokset!$I$42,IF(AND('18'!$I$43=Tulokset!$G$42,'18'!$K$43=Tulokset!$I$42),6,3),MAX(0,6-(ABS('18'!$I$43-Tulokset!$G$42)+ABS('18'!$K$43-Tulokset!$I$42))))))</f>
        <v/>
      </c>
      <c r="AS21" t="str">
        <f>IF(OR(Tulokset!$G$43="",Tulokset!$I$43="",'18'!$I$44="",'18'!$K$44=""),"",IF(SIGN('18'!$I$44-'18'!$K$44)&lt;&gt;SIGN(Tulokset!$G$43-Tulokset!$I$43),0,IF(Tulokset!$G$43=Tulokset!$I$43,IF(AND('18'!$I$44=Tulokset!$G$43,'18'!$K$44=Tulokset!$I$43),6,3),MAX(0,6-(ABS('18'!$I$44-Tulokset!$G$43)+ABS('18'!$K$44-Tulokset!$I$43))))))</f>
        <v/>
      </c>
      <c r="AT21" t="str">
        <f>IF(OR(Tulokset!$G$44="",Tulokset!$I$44="",'18'!$I$45="",'18'!$K$45=""),"",IF(SIGN('18'!$I$45-'18'!$K$45)&lt;&gt;SIGN(Tulokset!$G$44-Tulokset!$I$44),0,IF(Tulokset!$G$44=Tulokset!$I$44,IF(AND('18'!$I$45=Tulokset!$G$44,'18'!$K$45=Tulokset!$I$44),6,3),MAX(0,6-(ABS('18'!$I$45-Tulokset!$G$44)+ABS('18'!$K$45-Tulokset!$I$44))))))</f>
        <v/>
      </c>
      <c r="AU21" t="str">
        <f>IF(OR(Tulokset!$G$45="",Tulokset!$I$45="",'18'!$I$46="",'18'!$K$46=""),"",IF(SIGN('18'!$I$46-'18'!$K$46)&lt;&gt;SIGN(Tulokset!$G$45-Tulokset!$I$45),0,IF(Tulokset!$G$45=Tulokset!$I$45,IF(AND('18'!$I$46=Tulokset!$G$45,'18'!$K$46=Tulokset!$I$45),6,3),MAX(0,6-(ABS('18'!$I$46-Tulokset!$G$45)+ABS('18'!$K$46-Tulokset!$I$45))))))</f>
        <v/>
      </c>
      <c r="AV21" t="str">
        <f>IF(OR(Tulokset!$G$46="",Tulokset!$I$46="",'18'!$I$47="",'18'!$K$47=""),"",IF(SIGN('18'!$I$47-'18'!$K$47)&lt;&gt;SIGN(Tulokset!$G$46-Tulokset!$I$46),0,IF(Tulokset!$G$46=Tulokset!$I$46,IF(AND('18'!$I$47=Tulokset!$G$46,'18'!$K$47=Tulokset!$I$46),6,3),MAX(0,6-(ABS('18'!$I$47-Tulokset!$G$46)+ABS('18'!$K$47-Tulokset!$I$46))))))</f>
        <v/>
      </c>
      <c r="AW21" t="str">
        <f>IF(OR(Tulokset!$G$47="",Tulokset!$I$47="",'18'!$I$48="",'18'!$K$48=""),"",IF(SIGN('18'!$I$48-'18'!$K$48)&lt;&gt;SIGN(Tulokset!$G$47-Tulokset!$I$47),0,IF(Tulokset!$G$47=Tulokset!$I$47,IF(AND('18'!$I$48=Tulokset!$G$47,'18'!$K$48=Tulokset!$I$47),6,3),MAX(0,6-(ABS('18'!$I$48-Tulokset!$G$47)+ABS('18'!$K$48-Tulokset!$I$47))))))</f>
        <v/>
      </c>
      <c r="AX21" t="str">
        <f>IF(OR(Tulokset!$G$48="",Tulokset!$I$48="",'18'!$I$49="",'18'!$K$49=""),"",IF(SIGN('18'!$I$49-'18'!$K$49)&lt;&gt;SIGN(Tulokset!$G$48-Tulokset!$I$48),0,IF(Tulokset!$G$48=Tulokset!$I$48,IF(AND('18'!$I$49=Tulokset!$G$48,'18'!$K$49=Tulokset!$I$48),6,3),MAX(0,6-(ABS('18'!$I$49-Tulokset!$G$48)+ABS('18'!$K$49-Tulokset!$I$48))))))</f>
        <v/>
      </c>
      <c r="AY21" t="str">
        <f>IF(OR(Tulokset!$G$49="",Tulokset!$I$49="",'18'!$I$50="",'18'!$K$50=""),"",IF(SIGN('18'!$I$50-'18'!$K$50)&lt;&gt;SIGN(Tulokset!$G$49-Tulokset!$I$49),0,IF(Tulokset!$G$49=Tulokset!$I$49,IF(AND('18'!$I$50=Tulokset!$G$49,'18'!$K$50=Tulokset!$I$49),6,3),MAX(0,6-(ABS('18'!$I$50-Tulokset!$G$49)+ABS('18'!$K$50-Tulokset!$I$49))))))</f>
        <v/>
      </c>
      <c r="AZ21" t="str">
        <f>IF(OR(Tulokset!$G$50="",Tulokset!$I$50="",'18'!$I$51="",'18'!$K$51=""),"",IF(SIGN('18'!$I$51-'18'!$K$51)&lt;&gt;SIGN(Tulokset!$G$50-Tulokset!$I$50),0,IF(Tulokset!$G$50=Tulokset!$I$50,IF(AND('18'!$I$51=Tulokset!$G$50,'18'!$K$51=Tulokset!$I$50),6,3),MAX(0,6-(ABS('18'!$I$51-Tulokset!$G$50)+ABS('18'!$K$51-Tulokset!$I$50))))))</f>
        <v/>
      </c>
      <c r="BA21" t="str">
        <f>IF(OR(Tulokset!$G$51="",Tulokset!$I$51="",'18'!$I$52="",'18'!$K$52=""),"",IF(SIGN('18'!$I$52-'18'!$K$52)&lt;&gt;SIGN(Tulokset!$G$51-Tulokset!$I$51),0,IF(Tulokset!$G$51=Tulokset!$I$51,IF(AND('18'!$I$52=Tulokset!$G$51,'18'!$K$52=Tulokset!$I$51),6,3),MAX(0,6-(ABS('18'!$I$52-Tulokset!$G$51)+ABS('18'!$K$52-Tulokset!$I$51))))))</f>
        <v/>
      </c>
      <c r="BB21" t="str">
        <f>IF(OR(Tulokset!$G$52="",Tulokset!$I$52="",'18'!$I$53="",'18'!$K$53=""),"",IF(SIGN('18'!$I$53-'18'!$K$53)&lt;&gt;SIGN(Tulokset!$G$52-Tulokset!$I$52),0,IF(Tulokset!$G$52=Tulokset!$I$52,IF(AND('18'!$I$53=Tulokset!$G$52,'18'!$K$53=Tulokset!$I$52),6,3),MAX(0,6-(ABS('18'!$I$53-Tulokset!$G$52)+ABS('18'!$K$53-Tulokset!$I$52))))))</f>
        <v/>
      </c>
      <c r="BC21" t="str">
        <f>IF(OR(Tulokset!$G$53="",Tulokset!$I$53="",'18'!$I$54="",'18'!$K$54=""),"",IF(SIGN('18'!$I$54-'18'!$K$54)&lt;&gt;SIGN(Tulokset!$G$53-Tulokset!$I$53),0,IF(Tulokset!$G$53=Tulokset!$I$53,IF(AND('18'!$I$54=Tulokset!$G$53,'18'!$K$54=Tulokset!$I$53),6,3),MAX(0,6-(ABS('18'!$I$54-Tulokset!$G$53)+ABS('18'!$K$54-Tulokset!$I$53))))))</f>
        <v/>
      </c>
      <c r="BD21" t="str">
        <f>IF(OR(Tulokset!$G$54="",Tulokset!$I$54="",'18'!$I$55="",'18'!$K$55=""),"",IF(SIGN('18'!$I$55-'18'!$K$55)&lt;&gt;SIGN(Tulokset!$G$54-Tulokset!$I$54),0,IF(Tulokset!$G$54=Tulokset!$I$54,IF(AND('18'!$I$55=Tulokset!$G$54,'18'!$K$55=Tulokset!$I$54),6,3),MAX(0,6-(ABS('18'!$I$55-Tulokset!$G$54)+ABS('18'!$K$55-Tulokset!$I$54))))))</f>
        <v/>
      </c>
      <c r="BE21" t="str">
        <f>IF(OR(Tulokset!$G$55="",Tulokset!$I$55="",'18'!$I$56="",'18'!$K$56=""),"",IF(SIGN('18'!$I$56-'18'!$K$56)&lt;&gt;SIGN(Tulokset!$G$55-Tulokset!$I$55),0,IF(Tulokset!$G$55=Tulokset!$I$55,IF(AND('18'!$I$56=Tulokset!$G$55,'18'!$K$56=Tulokset!$I$55),6,3),MAX(0,6-(ABS('18'!$I$56-Tulokset!$G$55)+ABS('18'!$K$56-Tulokset!$I$55))))))</f>
        <v/>
      </c>
      <c r="BF21" t="str">
        <f>IF(OR(Tulokset!$G$56="",Tulokset!$I$56="",'18'!$I$57="",'18'!$K$57=""),"",IF(SIGN('18'!$I$57-'18'!$K$57)&lt;&gt;SIGN(Tulokset!$G$56-Tulokset!$I$56),0,IF(Tulokset!$G$56=Tulokset!$I$56,IF(AND('18'!$I$57=Tulokset!$G$56,'18'!$K$57=Tulokset!$I$56),6,3),MAX(0,6-(ABS('18'!$I$57-Tulokset!$G$56)+ABS('18'!$K$57-Tulokset!$I$56))))))</f>
        <v/>
      </c>
      <c r="BG21" t="str">
        <f>IF(OR(Tulokset!$G$57="",Tulokset!$I$57="",'18'!$I$58="",'18'!$K$58=""),"",IF(SIGN('18'!$I$58-'18'!$K$58)&lt;&gt;SIGN(Tulokset!$G$57-Tulokset!$I$57),0,IF(Tulokset!$G$57=Tulokset!$I$57,IF(AND('18'!$I$58=Tulokset!$G$57,'18'!$K$58=Tulokset!$I$57),6,3),MAX(0,6-(ABS('18'!$I$58-Tulokset!$G$57)+ABS('18'!$K$58-Tulokset!$I$57))))))</f>
        <v/>
      </c>
      <c r="BH21" t="str">
        <f>IF(OR(Tulokset!$G$58="",Tulokset!$I$58="",'18'!$I$59="",'18'!$K$59=""),"",IF(SIGN('18'!$I$59-'18'!$K$59)&lt;&gt;SIGN(Tulokset!$G$58-Tulokset!$I$58),0,IF(Tulokset!$G$58=Tulokset!$I$58,IF(AND('18'!$I$59=Tulokset!$G$58,'18'!$K$59=Tulokset!$I$58),6,3),MAX(0,6-(ABS('18'!$I$59-Tulokset!$G$58)+ABS('18'!$K$59-Tulokset!$I$58))))))</f>
        <v/>
      </c>
      <c r="BI21" t="str">
        <f>IF(OR(Tulokset!$G$59="",Tulokset!$I$59="",'18'!$I$60="",'18'!$K$60=""),"",IF(SIGN('18'!$I$60-'18'!$K$60)&lt;&gt;SIGN(Tulokset!$G$59-Tulokset!$I$59),0,IF(Tulokset!$G$59=Tulokset!$I$59,IF(AND('18'!$I$60=Tulokset!$G$59,'18'!$K$60=Tulokset!$I$59),6,3),MAX(0,6-(ABS('18'!$I$60-Tulokset!$G$59)+ABS('18'!$K$60-Tulokset!$I$59))))))</f>
        <v/>
      </c>
      <c r="BJ21" t="str">
        <f>IF(OR(Tulokset!$G$60="",Tulokset!$I$60="",'18'!$I$61="",'18'!$K$61=""),"",IF(SIGN('18'!$I$61-'18'!$K$61)&lt;&gt;SIGN(Tulokset!$G$60-Tulokset!$I$60),0,IF(Tulokset!$G$60=Tulokset!$I$60,IF(AND('18'!$I$61=Tulokset!$G$60,'18'!$K$61=Tulokset!$I$60),6,3),MAX(0,6-(ABS('18'!$I$61-Tulokset!$G$60)+ABS('18'!$K$61-Tulokset!$I$60))))))</f>
        <v/>
      </c>
      <c r="BK21" t="str">
        <f>IF(OR(Tulokset!$G$61="",Tulokset!$I$61="",'18'!$I$62="",'18'!$K$62=""),"",IF(SIGN('18'!$I$62-'18'!$K$62)&lt;&gt;SIGN(Tulokset!$G$61-Tulokset!$I$61),0,IF(Tulokset!$G$61=Tulokset!$I$61,IF(AND('18'!$I$62=Tulokset!$G$61,'18'!$K$62=Tulokset!$I$61),6,3),MAX(0,6-(ABS('18'!$I$62-Tulokset!$G$61)+ABS('18'!$K$62-Tulokset!$I$61))))))</f>
        <v/>
      </c>
      <c r="BL21" t="str">
        <f>IF(OR(Tulokset!$G$62="",Tulokset!$I$62="",'18'!$I$63="",'18'!$K$63=""),"",IF(SIGN('18'!$I$63-'18'!$K$63)&lt;&gt;SIGN(Tulokset!$G$62-Tulokset!$I$62),0,IF(Tulokset!$G$62=Tulokset!$I$62,IF(AND('18'!$I$63=Tulokset!$G$62,'18'!$K$63=Tulokset!$I$62),6,3),MAX(0,6-(ABS('18'!$I$63-Tulokset!$G$62)+ABS('18'!$K$63-Tulokset!$I$62))))))</f>
        <v/>
      </c>
      <c r="BM21" t="str">
        <f>IF(OR(Tulokset!$G$63="",Tulokset!$I$63="",'18'!$I$64="",'18'!$K$64=""),"",IF(SIGN('18'!$I$64-'18'!$K$64)&lt;&gt;SIGN(Tulokset!$G$63-Tulokset!$I$63),0,IF(Tulokset!$G$63=Tulokset!$I$63,IF(AND('18'!$I$64=Tulokset!$G$63,'18'!$K$64=Tulokset!$I$63),6,3),MAX(0,6-(ABS('18'!$I$64-Tulokset!$G$63)+ABS('18'!$K$64-Tulokset!$I$63))))))</f>
        <v/>
      </c>
      <c r="BN21" t="str">
        <f>IF(OR(Tulokset!$G$64="",Tulokset!$I$64="",'18'!$I$65="",'18'!$K$65=""),"",IF(SIGN('18'!$I$65-'18'!$K$65)&lt;&gt;SIGN(Tulokset!$G$64-Tulokset!$I$64),0,IF(Tulokset!$G$64=Tulokset!$I$64,IF(AND('18'!$I$65=Tulokset!$G$64,'18'!$K$65=Tulokset!$I$64),6,3),MAX(0,6-(ABS('18'!$I$65-Tulokset!$G$64)+ABS('18'!$K$65-Tulokset!$I$64))))))</f>
        <v/>
      </c>
      <c r="BO21" t="str">
        <f>IF(OR(Tulokset!$G$65="",Tulokset!$I$65="",'18'!$I$66="",'18'!$K$66=""),"",IF(SIGN('18'!$I$66-'18'!$K$66)&lt;&gt;SIGN(Tulokset!$G$65-Tulokset!$I$65),0,IF(Tulokset!$G$65=Tulokset!$I$65,IF(AND('18'!$I$66=Tulokset!$G$65,'18'!$K$66=Tulokset!$I$65),6,3),MAX(0,6-(ABS('18'!$I$66-Tulokset!$G$65)+ABS('18'!$K$66-Tulokset!$I$65))))))</f>
        <v/>
      </c>
      <c r="BP21" t="str">
        <f>IF(OR(Tulokset!$G$66="",Tulokset!$I$66="",'18'!$I$67="",'18'!$K$67=""),"",IF(SIGN('18'!$I$67-'18'!$K$67)&lt;&gt;SIGN(Tulokset!$G$66-Tulokset!$I$66),0,IF(Tulokset!$G$66=Tulokset!$I$66,IF(AND('18'!$I$67=Tulokset!$G$66,'18'!$K$67=Tulokset!$I$66),6,3),MAX(0,6-(ABS('18'!$I$67-Tulokset!$G$66)+ABS('18'!$K$67-Tulokset!$I$66))))))</f>
        <v/>
      </c>
      <c r="BQ21" t="str">
        <f>IF(OR(Tulokset!$G$67="",Tulokset!$I$67="",'18'!$I$68="",'18'!$K$68=""),"",IF(SIGN('18'!$I$68-'18'!$K$68)&lt;&gt;SIGN(Tulokset!$G$67-Tulokset!$I$67),0,IF(Tulokset!$G$67=Tulokset!$I$67,IF(AND('18'!$I$68=Tulokset!$G$67,'18'!$K$68=Tulokset!$I$67),6,3),MAX(0,6-(ABS('18'!$I$68-Tulokset!$G$67)+ABS('18'!$K$68-Tulokset!$I$67))))))</f>
        <v/>
      </c>
      <c r="BR21" t="str">
        <f>IF(OR(Tulokset!$G$68="",Tulokset!$I$68="",'18'!$I$69="",'18'!$K$69=""),"",IF(SIGN('18'!$I$69-'18'!$K$69)&lt;&gt;SIGN(Tulokset!$G$68-Tulokset!$I$68),0,IF(Tulokset!$G$68=Tulokset!$I$68,IF(AND('18'!$I$69=Tulokset!$G$68,'18'!$K$69=Tulokset!$I$68),6,3),MAX(0,6-(ABS('18'!$I$69-Tulokset!$G$68)+ABS('18'!$K$69-Tulokset!$I$68))))))</f>
        <v/>
      </c>
      <c r="BS21" t="str">
        <f>IF(OR(Tulokset!$G$69="",Tulokset!$I$69="",'18'!$I$70="",'18'!$K$70=""),"",IF(SIGN('18'!$I$70-'18'!$K$70)&lt;&gt;SIGN(Tulokset!$G$69-Tulokset!$I$69),0,IF(Tulokset!$G$69=Tulokset!$I$69,IF(AND('18'!$I$70=Tulokset!$G$69,'18'!$K$70=Tulokset!$I$69),6,3),MAX(0,6-(ABS('18'!$I$70-Tulokset!$G$69)+ABS('18'!$K$70-Tulokset!$I$69))))))</f>
        <v/>
      </c>
      <c r="BT21" t="str">
        <f>IF(OR(Tulokset!$G$70="",Tulokset!$I$70="",'18'!$I$71="",'18'!$K$71=""),"",IF(SIGN('18'!$I$71-'18'!$K$71)&lt;&gt;SIGN(Tulokset!$G$70-Tulokset!$I$70),0,IF(Tulokset!$G$70=Tulokset!$I$70,IF(AND('18'!$I$71=Tulokset!$G$70,'18'!$K$71=Tulokset!$I$70),6,3),MAX(0,6-(ABS('18'!$I$71-Tulokset!$G$70)+ABS('18'!$K$71-Tulokset!$I$70))))))</f>
        <v/>
      </c>
      <c r="BU21" t="str">
        <f>IF(OR(Tulokset!$G$71="",Tulokset!$I$71="",'18'!$I$72="",'18'!$K$72=""),"",IF(SIGN('18'!$I$72-'18'!$K$72)&lt;&gt;SIGN(Tulokset!$G$71-Tulokset!$I$71),0,IF(Tulokset!$G$71=Tulokset!$I$71,IF(AND('18'!$I$72=Tulokset!$G$71,'18'!$K$72=Tulokset!$I$71),6,3),MAX(0,6-(ABS('18'!$I$72-Tulokset!$G$71)+ABS('18'!$K$72-Tulokset!$I$71))))))</f>
        <v/>
      </c>
      <c r="BV21" t="str">
        <f>IF(OR(Tulokset!$G$72="",Tulokset!$I$72="",'18'!$I$73="",'18'!$K$73=""),"",IF(SIGN('18'!$I$73-'18'!$K$73)&lt;&gt;SIGN(Tulokset!$G$72-Tulokset!$I$72),0,IF(Tulokset!$G$72=Tulokset!$I$72,IF(AND('18'!$I$73=Tulokset!$G$72,'18'!$K$73=Tulokset!$I$72),6,3),MAX(0,6-(ABS('18'!$I$73-Tulokset!$G$72)+ABS('18'!$K$73-Tulokset!$I$72))))))</f>
        <v/>
      </c>
      <c r="BW21" t="str">
        <f>IF(OR(Tulokset!$G$73="",Tulokset!$I$73="",'18'!$I$74="",'18'!$K$74=""),"",IF(SIGN('18'!$I$74-'18'!$K$74)&lt;&gt;SIGN(Tulokset!$G$73-Tulokset!$I$73),0,IF(Tulokset!$G$73=Tulokset!$I$73,IF(AND('18'!$I$74=Tulokset!$G$73,'18'!$K$74=Tulokset!$I$73),6,3),MAX(0,6-(ABS('18'!$I$74-Tulokset!$G$73)+ABS('18'!$K$74-Tulokset!$I$73))))))</f>
        <v/>
      </c>
      <c r="BX21" t="str">
        <f>IF(OR(Tulokset!$G$74="",Tulokset!$I$74="",'18'!$I$75="",'18'!$K$75=""),"",IF(SIGN('18'!$I$75-'18'!$K$75)&lt;&gt;SIGN(Tulokset!$G$74-Tulokset!$I$74),0,IF(Tulokset!$G$74=Tulokset!$I$74,IF(AND('18'!$I$75=Tulokset!$G$74,'18'!$K$75=Tulokset!$I$74),6,3),MAX(0,6-(ABS('18'!$I$75-Tulokset!$G$74)+ABS('18'!$K$75-Tulokset!$I$74))))))</f>
        <v/>
      </c>
      <c r="BY21" t="str">
        <f>IF(OR(Tulokset!$G$75="",Tulokset!$I$75="",'18'!$I$76="",'18'!$K$76=""),"",IF(SIGN('18'!$I$76-'18'!$K$76)&lt;&gt;SIGN(Tulokset!$G$75-Tulokset!$I$75),0,IF(Tulokset!$G$75=Tulokset!$I$75,IF(AND('18'!$I$76=Tulokset!$G$75,'18'!$K$76=Tulokset!$I$75),6,3),MAX(0,6-(ABS('18'!$I$76-Tulokset!$G$75)+ABS('18'!$K$76-Tulokset!$I$75))))))</f>
        <v/>
      </c>
      <c r="BZ21" t="str">
        <f>IF(OR(Tulokset!$G$76="",Tulokset!$I$76="",'18'!$I$77="",'18'!$K$77=""),"",IF(SIGN('18'!$I$77-'18'!$K$77)&lt;&gt;SIGN(Tulokset!$G$76-Tulokset!$I$76),0,IF(Tulokset!$G$76=Tulokset!$I$76,IF(AND('18'!$I$77=Tulokset!$G$76,'18'!$K$77=Tulokset!$I$76),6,3),MAX(0,6-(ABS('18'!$I$77-Tulokset!$G$76)+ABS('18'!$K$77-Tulokset!$I$76))))))</f>
        <v/>
      </c>
      <c r="CA21" t="str">
        <f>IF(OR(Tulokset!$G$77="",Tulokset!$I$77="",'18'!$I$78="",'18'!$K$78=""),"",IF(SIGN('18'!$I$78-'18'!$K$78)&lt;&gt;SIGN(Tulokset!$G$77-Tulokset!$I$77),0,IF(Tulokset!$G$77=Tulokset!$I$77,IF(AND('18'!$I$78=Tulokset!$G$77,'18'!$K$78=Tulokset!$I$77),6,3),MAX(0,6-(ABS('18'!$I$78-Tulokset!$G$77)+ABS('18'!$K$78-Tulokset!$I$77))))))</f>
        <v/>
      </c>
      <c r="CD21" t="str">
        <f ca="1">IF(OR(Tulokset!$M$6="",INDIRECT("'"&amp;$A21&amp;"'!$P$8")=""),"",IF(TRIM(INDIRECT("'"&amp;$A21&amp;"'!$P$8"))=TRIM(Tulokset!$M$6),2,0))</f>
        <v/>
      </c>
      <c r="CE21" t="str">
        <f ca="1">IF(OR(Tulokset!$M$7="",INDIRECT("'"&amp;$A21&amp;"'!$P$9")=""),"",IF(TRIM(INDIRECT("'"&amp;$A21&amp;"'!$P$9"))=TRIM(Tulokset!$M$7),2,0))</f>
        <v/>
      </c>
      <c r="CF21" t="str">
        <f ca="1">IF(OR(Tulokset!$M$8="",INDIRECT("'"&amp;$A21&amp;"'!$P$10")=""),"",IF(TRIM(INDIRECT("'"&amp;$A21&amp;"'!$P$10"))=TRIM(Tulokset!$M$8),2,0))</f>
        <v/>
      </c>
      <c r="CG21" t="str">
        <f ca="1">IF(OR(Tulokset!$M$9="",INDIRECT("'"&amp;$A21&amp;"'!$P$11")=""),"",IF(TRIM(INDIRECT("'"&amp;$A21&amp;"'!$P$11"))=TRIM(Tulokset!$M$9),2,0))</f>
        <v/>
      </c>
      <c r="CH21" t="str">
        <f ca="1">IF(OR(Tulokset!$N$6="",INDIRECT("'"&amp;$A21&amp;"'!$Q$8")=""),"",IF(TRIM(INDIRECT("'"&amp;$A21&amp;"'!$Q$8"))=TRIM(Tulokset!$N$6),2,0))</f>
        <v/>
      </c>
      <c r="CI21" t="str">
        <f ca="1">IF(OR(Tulokset!$N$7="",INDIRECT("'"&amp;$A21&amp;"'!$Q$9")=""),"",IF(TRIM(INDIRECT("'"&amp;$A21&amp;"'!$Q$9"))=TRIM(Tulokset!$N$7),2,0))</f>
        <v/>
      </c>
      <c r="CJ21" t="str">
        <f ca="1">IF(OR(Tulokset!$N$8="",INDIRECT("'"&amp;$A21&amp;"'!$Q$10")=""),"",IF(TRIM(INDIRECT("'"&amp;$A21&amp;"'!$Q$10"))=TRIM(Tulokset!$N$8),2,0))</f>
        <v/>
      </c>
      <c r="CK21" t="str">
        <f ca="1">IF(OR(Tulokset!$N$9="",INDIRECT("'"&amp;$A21&amp;"'!$Q$11")=""),"",IF(TRIM(INDIRECT("'"&amp;$A21&amp;"'!$Q$11"))=TRIM(Tulokset!$N$9),2,0))</f>
        <v/>
      </c>
      <c r="CL21" t="str">
        <f ca="1">IF(OR(Tulokset!$O$6="",INDIRECT("'"&amp;$A21&amp;"'!$R$8")=""),"",IF(TRIM(INDIRECT("'"&amp;$A21&amp;"'!$R$8"))=TRIM(Tulokset!$O$6),2,0))</f>
        <v/>
      </c>
      <c r="CM21" t="str">
        <f ca="1">IF(OR(Tulokset!$O$7="",INDIRECT("'"&amp;$A21&amp;"'!$R$9")=""),"",IF(TRIM(INDIRECT("'"&amp;$A21&amp;"'!$R$9"))=TRIM(Tulokset!$O$7),2,0))</f>
        <v/>
      </c>
      <c r="CN21" t="str">
        <f ca="1">IF(OR(Tulokset!$O$8="",INDIRECT("'"&amp;$A21&amp;"'!$R$10")=""),"",IF(TRIM(INDIRECT("'"&amp;$A21&amp;"'!$R$10"))=TRIM(Tulokset!$O$8),2,0))</f>
        <v/>
      </c>
      <c r="CO21" t="str">
        <f ca="1">IF(OR(Tulokset!$O$9="",INDIRECT("'"&amp;$A21&amp;"'!$R$11")=""),"",IF(TRIM(INDIRECT("'"&amp;$A21&amp;"'!$R$11"))=TRIM(Tulokset!$O$9),2,0))</f>
        <v/>
      </c>
      <c r="CP21" t="str">
        <f ca="1">IF(OR(Tulokset!$P$6="",INDIRECT("'"&amp;$A21&amp;"'!$S$8")=""),"",IF(TRIM(INDIRECT("'"&amp;$A21&amp;"'!$S$8"))=TRIM(Tulokset!$P$6),2,0))</f>
        <v/>
      </c>
      <c r="CQ21" t="str">
        <f ca="1">IF(OR(Tulokset!$P$7="",INDIRECT("'"&amp;$A21&amp;"'!$S$9")=""),"",IF(TRIM(INDIRECT("'"&amp;$A21&amp;"'!$S$9"))=TRIM(Tulokset!$P$7),2,0))</f>
        <v/>
      </c>
      <c r="CR21" t="str">
        <f ca="1">IF(OR(Tulokset!$P$8="",INDIRECT("'"&amp;$A21&amp;"'!$S$10")=""),"",IF(TRIM(INDIRECT("'"&amp;$A21&amp;"'!$S$10"))=TRIM(Tulokset!$P$8),2,0))</f>
        <v/>
      </c>
      <c r="CS21" t="str">
        <f ca="1">IF(OR(Tulokset!$P$9="",INDIRECT("'"&amp;$A21&amp;"'!$S$11")=""),"",IF(TRIM(INDIRECT("'"&amp;$A21&amp;"'!$S$11"))=TRIM(Tulokset!$P$9),2,0))</f>
        <v/>
      </c>
      <c r="CT21" t="str">
        <f ca="1">IF(OR(Tulokset!$Q$6="",INDIRECT("'"&amp;$A21&amp;"'!$T$8")=""),"",IF(TRIM(INDIRECT("'"&amp;$A21&amp;"'!$T$8"))=TRIM(Tulokset!$Q$6),2,0))</f>
        <v/>
      </c>
      <c r="CU21" t="str">
        <f ca="1">IF(OR(Tulokset!$Q$7="",INDIRECT("'"&amp;$A21&amp;"'!$T$9")=""),"",IF(TRIM(INDIRECT("'"&amp;$A21&amp;"'!$T$9"))=TRIM(Tulokset!$Q$7),2,0))</f>
        <v/>
      </c>
      <c r="CV21" t="str">
        <f ca="1">IF(OR(Tulokset!$Q$8="",INDIRECT("'"&amp;$A21&amp;"'!$T$10")=""),"",IF(TRIM(INDIRECT("'"&amp;$A21&amp;"'!$T$10"))=TRIM(Tulokset!$Q$8),2,0))</f>
        <v/>
      </c>
      <c r="CW21" t="str">
        <f ca="1">IF(OR(Tulokset!$Q$9="",INDIRECT("'"&amp;$A21&amp;"'!$T$11")=""),"",IF(TRIM(INDIRECT("'"&amp;$A21&amp;"'!$T$11"))=TRIM(Tulokset!$Q$9),2,0))</f>
        <v/>
      </c>
      <c r="CX21" t="str">
        <f ca="1">IF(OR(Tulokset!$R$6="",INDIRECT("'"&amp;$A21&amp;"'!$U$8")=""),"",IF(TRIM(INDIRECT("'"&amp;$A21&amp;"'!$U$8"))=TRIM(Tulokset!$R$6),2,0))</f>
        <v/>
      </c>
      <c r="CY21" t="str">
        <f ca="1">IF(OR(Tulokset!$R$7="",INDIRECT("'"&amp;$A21&amp;"'!$U$9")=""),"",IF(TRIM(INDIRECT("'"&amp;$A21&amp;"'!$U$9"))=TRIM(Tulokset!$R$7),2,0))</f>
        <v/>
      </c>
      <c r="CZ21" t="str">
        <f ca="1">IF(OR(Tulokset!$R$8="",INDIRECT("'"&amp;$A21&amp;"'!$U$10")=""),"",IF(TRIM(INDIRECT("'"&amp;$A21&amp;"'!$U$10"))=TRIM(Tulokset!$R$8),2,0))</f>
        <v/>
      </c>
      <c r="DA21" t="str">
        <f ca="1">IF(OR(Tulokset!$R$9="",INDIRECT("'"&amp;$A21&amp;"'!$U$11")=""),"",IF(TRIM(INDIRECT("'"&amp;$A21&amp;"'!$U$11"))=TRIM(Tulokset!$R$9),2,0))</f>
        <v/>
      </c>
      <c r="DB21" t="str">
        <f ca="1">IF(OR(Tulokset!$M$12="",INDIRECT("'"&amp;$A21&amp;"'!$P$14")=""),"",IF(TRIM(INDIRECT("'"&amp;$A21&amp;"'!$P$14"))=TRIM(Tulokset!$M$12),2,0))</f>
        <v/>
      </c>
      <c r="DC21" t="str">
        <f ca="1">IF(OR(Tulokset!$M$13="",INDIRECT("'"&amp;$A21&amp;"'!$P$15")=""),"",IF(TRIM(INDIRECT("'"&amp;$A21&amp;"'!$P$15"))=TRIM(Tulokset!$M$13),2,0))</f>
        <v/>
      </c>
      <c r="DD21" t="str">
        <f ca="1">IF(OR(Tulokset!$M$14="",INDIRECT("'"&amp;$A21&amp;"'!$P$16")=""),"",IF(TRIM(INDIRECT("'"&amp;$A21&amp;"'!$P$16"))=TRIM(Tulokset!$M$14),2,0))</f>
        <v/>
      </c>
      <c r="DE21" t="str">
        <f ca="1">IF(OR(Tulokset!$M$15="",INDIRECT("'"&amp;$A21&amp;"'!$P$17")=""),"",IF(TRIM(INDIRECT("'"&amp;$A21&amp;"'!$P$17"))=TRIM(Tulokset!$M$15),2,0))</f>
        <v/>
      </c>
      <c r="DF21" t="str">
        <f ca="1">IF(OR(Tulokset!$N$12="",INDIRECT("'"&amp;$A21&amp;"'!$Q$14")=""),"",IF(TRIM(INDIRECT("'"&amp;$A21&amp;"'!$Q$14"))=TRIM(Tulokset!$N$12),2,0))</f>
        <v/>
      </c>
      <c r="DG21" t="str">
        <f ca="1">IF(OR(Tulokset!$N$13="",INDIRECT("'"&amp;$A21&amp;"'!$Q$15")=""),"",IF(TRIM(INDIRECT("'"&amp;$A21&amp;"'!$Q$15"))=TRIM(Tulokset!$N$13),2,0))</f>
        <v/>
      </c>
      <c r="DH21" t="str">
        <f ca="1">IF(OR(Tulokset!$N$14="",INDIRECT("'"&amp;$A21&amp;"'!$Q$16")=""),"",IF(TRIM(INDIRECT("'"&amp;$A21&amp;"'!$Q$16"))=TRIM(Tulokset!$N$14),2,0))</f>
        <v/>
      </c>
      <c r="DI21" t="str">
        <f ca="1">IF(OR(Tulokset!$N$15="",INDIRECT("'"&amp;$A21&amp;"'!$Q$17")=""),"",IF(TRIM(INDIRECT("'"&amp;$A21&amp;"'!$Q$17"))=TRIM(Tulokset!$N$15),2,0))</f>
        <v/>
      </c>
      <c r="DJ21" t="str">
        <f ca="1">IF(OR(Tulokset!$O$12="",INDIRECT("'"&amp;$A21&amp;"'!$R$14")=""),"",IF(TRIM(INDIRECT("'"&amp;$A21&amp;"'!$R$14"))=TRIM(Tulokset!$O$12),2,0))</f>
        <v/>
      </c>
      <c r="DK21" t="str">
        <f ca="1">IF(OR(Tulokset!$O$13="",INDIRECT("'"&amp;$A21&amp;"'!$R$15")=""),"",IF(TRIM(INDIRECT("'"&amp;$A21&amp;"'!$R$15"))=TRIM(Tulokset!$O$13),2,0))</f>
        <v/>
      </c>
      <c r="DL21" t="str">
        <f ca="1">IF(OR(Tulokset!$O$14="",INDIRECT("'"&amp;$A21&amp;"'!$R$16")=""),"",IF(TRIM(INDIRECT("'"&amp;$A21&amp;"'!$R$16"))=TRIM(Tulokset!$O$14),2,0))</f>
        <v/>
      </c>
      <c r="DM21" t="str">
        <f ca="1">IF(OR(Tulokset!$O$15="",INDIRECT("'"&amp;$A21&amp;"'!$R$17")=""),"",IF(TRIM(INDIRECT("'"&amp;$A21&amp;"'!$R$17"))=TRIM(Tulokset!$O$15),2,0))</f>
        <v/>
      </c>
      <c r="DN21" t="str">
        <f ca="1">IF(OR(Tulokset!$P$12="",INDIRECT("'"&amp;$A21&amp;"'!$S$14")=""),"",IF(TRIM(INDIRECT("'"&amp;$A21&amp;"'!$S$14"))=TRIM(Tulokset!$P$12),2,0))</f>
        <v/>
      </c>
      <c r="DO21" t="str">
        <f ca="1">IF(OR(Tulokset!$P$13="",INDIRECT("'"&amp;$A21&amp;"'!$S$15")=""),"",IF(TRIM(INDIRECT("'"&amp;$A21&amp;"'!$S$15"))=TRIM(Tulokset!$P$13),2,0))</f>
        <v/>
      </c>
      <c r="DP21" t="str">
        <f ca="1">IF(OR(Tulokset!$P$14="",INDIRECT("'"&amp;$A21&amp;"'!$S$16")=""),"",IF(TRIM(INDIRECT("'"&amp;$A21&amp;"'!$S$16"))=TRIM(Tulokset!$P$14),2,0))</f>
        <v/>
      </c>
      <c r="DQ21" t="str">
        <f ca="1">IF(OR(Tulokset!$P$15="",INDIRECT("'"&amp;$A21&amp;"'!$S$17")=""),"",IF(TRIM(INDIRECT("'"&amp;$A21&amp;"'!$S$17"))=TRIM(Tulokset!$P$15),2,0))</f>
        <v/>
      </c>
      <c r="DR21" t="str">
        <f ca="1">IF(OR(Tulokset!$Q$12="",INDIRECT("'"&amp;$A21&amp;"'!$T$14")=""),"",IF(TRIM(INDIRECT("'"&amp;$A21&amp;"'!$T$14"))=TRIM(Tulokset!$Q$12),2,0))</f>
        <v/>
      </c>
      <c r="DS21" t="str">
        <f ca="1">IF(OR(Tulokset!$Q$13="",INDIRECT("'"&amp;$A21&amp;"'!$T$15")=""),"",IF(TRIM(INDIRECT("'"&amp;$A21&amp;"'!$T$15"))=TRIM(Tulokset!$Q$13),2,0))</f>
        <v/>
      </c>
      <c r="DT21" t="str">
        <f ca="1">IF(OR(Tulokset!$Q$14="",INDIRECT("'"&amp;$A21&amp;"'!$T$16")=""),"",IF(TRIM(INDIRECT("'"&amp;$A21&amp;"'!$T$16"))=TRIM(Tulokset!$Q$14),2,0))</f>
        <v/>
      </c>
      <c r="DU21" t="str">
        <f ca="1">IF(OR(Tulokset!$Q$15="",INDIRECT("'"&amp;$A21&amp;"'!$T$17")=""),"",IF(TRIM(INDIRECT("'"&amp;$A21&amp;"'!$T$17"))=TRIM(Tulokset!$Q$15),2,0))</f>
        <v/>
      </c>
      <c r="DV21" t="str">
        <f ca="1">IF(OR(Tulokset!$R$12="",INDIRECT("'"&amp;$A21&amp;"'!$U$14")=""),"",IF(TRIM(INDIRECT("'"&amp;$A21&amp;"'!$U$14"))=TRIM(Tulokset!$R$12),2,0))</f>
        <v/>
      </c>
      <c r="DW21" t="str">
        <f ca="1">IF(OR(Tulokset!$R$13="",INDIRECT("'"&amp;$A21&amp;"'!$U$15")=""),"",IF(TRIM(INDIRECT("'"&amp;$A21&amp;"'!$U$15"))=TRIM(Tulokset!$R$13),2,0))</f>
        <v/>
      </c>
      <c r="DX21" t="str">
        <f ca="1">IF(OR(Tulokset!$R$14="",INDIRECT("'"&amp;$A21&amp;"'!$U$16")=""),"",IF(TRIM(INDIRECT("'"&amp;$A21&amp;"'!$U$16"))=TRIM(Tulokset!$R$14),2,0))</f>
        <v/>
      </c>
      <c r="DY21" t="str">
        <f ca="1">IF(OR(Tulokset!$R$15="",INDIRECT("'"&amp;$A21&amp;"'!$U$17")=""),"",IF(TRIM(INDIRECT("'"&amp;$A21&amp;"'!$U$17"))=TRIM(Tulokset!$R$15),2,0))</f>
        <v/>
      </c>
      <c r="EA21" t="str">
        <f ca="1">IF(OR(INDIRECT("'"&amp;$A21&amp;"'!$E$79")="",COUNTA(Tulokset!$M$20:$M$21)=0),"",IF(COUNTIF(Tulokset!$M$20:$M$21,INDIRECT("'"&amp;$A21&amp;"'!$E$79"))&gt;0,2,0))</f>
        <v/>
      </c>
      <c r="EB21" t="str">
        <f ca="1">IF(OR(INDIRECT("'"&amp;$A21&amp;"'!$G$79")="",COUNTA(Tulokset!$M$20:$M$21)=0),"",IF(COUNTIF(Tulokset!$M$20:$M$21,INDIRECT("'"&amp;$A21&amp;"'!$G$79"))&gt;0,2,0))</f>
        <v/>
      </c>
      <c r="EC21" t="str">
        <f ca="1">IF(OR(INDIRECT("'"&amp;$A21&amp;"'!$E$80")="",COUNTA(Tulokset!$M$23:$M$24)=0),"",IF(COUNTIF(Tulokset!$M$23:$M$24,INDIRECT("'"&amp;$A21&amp;"'!$E$80"))&gt;0,2,0))</f>
        <v/>
      </c>
      <c r="ED21" t="str">
        <f ca="1">IF(OR(INDIRECT("'"&amp;$A21&amp;"'!$G$80")="",COUNTA(Tulokset!$M$23:$M$24)=0),"",IF(COUNTIF(Tulokset!$M$23:$M$24,INDIRECT("'"&amp;$A21&amp;"'!$G$80"))&gt;0,2,0))</f>
        <v/>
      </c>
    </row>
    <row r="22" spans="1:134">
      <c r="A22" t="s">
        <v>314</v>
      </c>
      <c r="B22" t="str">
        <f t="shared" ca="1" si="0"/>
        <v>Shampoo</v>
      </c>
      <c r="C22" s="95">
        <f t="shared" si="1"/>
        <v>0</v>
      </c>
      <c r="D22" s="95">
        <f t="shared" ca="1" si="2"/>
        <v>0</v>
      </c>
      <c r="E22" s="95">
        <f t="shared" ca="1" si="3"/>
        <v>0</v>
      </c>
      <c r="F22" s="95">
        <f t="shared" ca="1" si="4"/>
        <v>0</v>
      </c>
      <c r="G22" s="95">
        <f t="shared" si="5"/>
        <v>0</v>
      </c>
      <c r="H22" t="str">
        <f>IF(OR(Tulokset!$G$6="",Tulokset!$I$6="",'19'!$I$7="",'19'!$K$7=""),"",IF(SIGN('19'!$I$7-'19'!$K$7)&lt;&gt;SIGN(Tulokset!$G$6-Tulokset!$I$6),0,IF(Tulokset!$G$6=Tulokset!$I$6,IF(AND('19'!$I$7=Tulokset!$G$6,'19'!$K$7=Tulokset!$I$6),6,3),MAX(0,6-(ABS('19'!$I$7-Tulokset!$G$6)+ABS('19'!$K$7-Tulokset!$I$6))))))</f>
        <v/>
      </c>
      <c r="I22" t="str">
        <f>IF(OR(Tulokset!$G$7="",Tulokset!$I$7="",'19'!$I$8="",'19'!$K$8=""),"",IF(SIGN('19'!$I$8-'19'!$K$8)&lt;&gt;SIGN(Tulokset!$G$7-Tulokset!$I$7),0,IF(Tulokset!$G$7=Tulokset!$I$7,IF(AND('19'!$I$8=Tulokset!$G$7,'19'!$K$8=Tulokset!$I$7),6,3),MAX(0,6-(ABS('19'!$I$8-Tulokset!$G$7)+ABS('19'!$K$8-Tulokset!$I$7))))))</f>
        <v/>
      </c>
      <c r="J22" t="str">
        <f>IF(OR(Tulokset!$G$8="",Tulokset!$I$8="",'19'!$I$9="",'19'!$K$9=""),"",IF(SIGN('19'!$I$9-'19'!$K$9)&lt;&gt;SIGN(Tulokset!$G$8-Tulokset!$I$8),0,IF(Tulokset!$G$8=Tulokset!$I$8,IF(AND('19'!$I$9=Tulokset!$G$8,'19'!$K$9=Tulokset!$I$8),6,3),MAX(0,6-(ABS('19'!$I$9-Tulokset!$G$8)+ABS('19'!$K$9-Tulokset!$I$8))))))</f>
        <v/>
      </c>
      <c r="K22" t="str">
        <f>IF(OR(Tulokset!$G$9="",Tulokset!$I$9="",'19'!$I$10="",'19'!$K$10=""),"",IF(SIGN('19'!$I$10-'19'!$K$10)&lt;&gt;SIGN(Tulokset!$G$9-Tulokset!$I$9),0,IF(Tulokset!$G$9=Tulokset!$I$9,IF(AND('19'!$I$10=Tulokset!$G$9,'19'!$K$10=Tulokset!$I$9),6,3),MAX(0,6-(ABS('19'!$I$10-Tulokset!$G$9)+ABS('19'!$K$10-Tulokset!$I$9))))))</f>
        <v/>
      </c>
      <c r="L22" t="str">
        <f>IF(OR(Tulokset!$G$10="",Tulokset!$I$10="",'19'!$I$11="",'19'!$K$11=""),"",IF(SIGN('19'!$I$11-'19'!$K$11)&lt;&gt;SIGN(Tulokset!$G$10-Tulokset!$I$10),0,IF(Tulokset!$G$10=Tulokset!$I$10,IF(AND('19'!$I$11=Tulokset!$G$10,'19'!$K$11=Tulokset!$I$10),6,3),MAX(0,6-(ABS('19'!$I$11-Tulokset!$G$10)+ABS('19'!$K$11-Tulokset!$I$10))))))</f>
        <v/>
      </c>
      <c r="M22" t="str">
        <f>IF(OR(Tulokset!$G$11="",Tulokset!$I$11="",'19'!$I$12="",'19'!$K$12=""),"",IF(SIGN('19'!$I$12-'19'!$K$12)&lt;&gt;SIGN(Tulokset!$G$11-Tulokset!$I$11),0,IF(Tulokset!$G$11=Tulokset!$I$11,IF(AND('19'!$I$12=Tulokset!$G$11,'19'!$K$12=Tulokset!$I$11),6,3),MAX(0,6-(ABS('19'!$I$12-Tulokset!$G$11)+ABS('19'!$K$12-Tulokset!$I$11))))))</f>
        <v/>
      </c>
      <c r="N22" t="str">
        <f>IF(OR(Tulokset!$G$12="",Tulokset!$I$12="",'19'!$I$13="",'19'!$K$13=""),"",IF(SIGN('19'!$I$13-'19'!$K$13)&lt;&gt;SIGN(Tulokset!$G$12-Tulokset!$I$12),0,IF(Tulokset!$G$12=Tulokset!$I$12,IF(AND('19'!$I$13=Tulokset!$G$12,'19'!$K$13=Tulokset!$I$12),6,3),MAX(0,6-(ABS('19'!$I$13-Tulokset!$G$12)+ABS('19'!$K$13-Tulokset!$I$12))))))</f>
        <v/>
      </c>
      <c r="O22" t="str">
        <f>IF(OR(Tulokset!$G$13="",Tulokset!$I$13="",'19'!$I$14="",'19'!$K$14=""),"",IF(SIGN('19'!$I$14-'19'!$K$14)&lt;&gt;SIGN(Tulokset!$G$13-Tulokset!$I$13),0,IF(Tulokset!$G$13=Tulokset!$I$13,IF(AND('19'!$I$14=Tulokset!$G$13,'19'!$K$14=Tulokset!$I$13),6,3),MAX(0,6-(ABS('19'!$I$14-Tulokset!$G$13)+ABS('19'!$K$14-Tulokset!$I$13))))))</f>
        <v/>
      </c>
      <c r="P22" t="str">
        <f>IF(OR(Tulokset!$G$14="",Tulokset!$I$14="",'19'!$I$15="",'19'!$K$15=""),"",IF(SIGN('19'!$I$15-'19'!$K$15)&lt;&gt;SIGN(Tulokset!$G$14-Tulokset!$I$14),0,IF(Tulokset!$G$14=Tulokset!$I$14,IF(AND('19'!$I$15=Tulokset!$G$14,'19'!$K$15=Tulokset!$I$14),6,3),MAX(0,6-(ABS('19'!$I$15-Tulokset!$G$14)+ABS('19'!$K$15-Tulokset!$I$14))))))</f>
        <v/>
      </c>
      <c r="Q22" t="str">
        <f>IF(OR(Tulokset!$G$15="",Tulokset!$I$15="",'19'!$I$16="",'19'!$K$16=""),"",IF(SIGN('19'!$I$16-'19'!$K$16)&lt;&gt;SIGN(Tulokset!$G$15-Tulokset!$I$15),0,IF(Tulokset!$G$15=Tulokset!$I$15,IF(AND('19'!$I$16=Tulokset!$G$15,'19'!$K$16=Tulokset!$I$15),6,3),MAX(0,6-(ABS('19'!$I$16-Tulokset!$G$15)+ABS('19'!$K$16-Tulokset!$I$15))))))</f>
        <v/>
      </c>
      <c r="R22" t="str">
        <f>IF(OR(Tulokset!$G$16="",Tulokset!$I$16="",'19'!$I$17="",'19'!$K$17=""),"",IF(SIGN('19'!$I$17-'19'!$K$17)&lt;&gt;SIGN(Tulokset!$G$16-Tulokset!$I$16),0,IF(Tulokset!$G$16=Tulokset!$I$16,IF(AND('19'!$I$17=Tulokset!$G$16,'19'!$K$17=Tulokset!$I$16),6,3),MAX(0,6-(ABS('19'!$I$17-Tulokset!$G$16)+ABS('19'!$K$17-Tulokset!$I$16))))))</f>
        <v/>
      </c>
      <c r="S22" t="str">
        <f>IF(OR(Tulokset!$G$17="",Tulokset!$I$17="",'19'!$I$18="",'19'!$K$18=""),"",IF(SIGN('19'!$I$18-'19'!$K$18)&lt;&gt;SIGN(Tulokset!$G$17-Tulokset!$I$17),0,IF(Tulokset!$G$17=Tulokset!$I$17,IF(AND('19'!$I$18=Tulokset!$G$17,'19'!$K$18=Tulokset!$I$17),6,3),MAX(0,6-(ABS('19'!$I$18-Tulokset!$G$17)+ABS('19'!$K$18-Tulokset!$I$17))))))</f>
        <v/>
      </c>
      <c r="T22" t="str">
        <f>IF(OR(Tulokset!$G$18="",Tulokset!$I$18="",'19'!$I$19="",'19'!$K$19=""),"",IF(SIGN('19'!$I$19-'19'!$K$19)&lt;&gt;SIGN(Tulokset!$G$18-Tulokset!$I$18),0,IF(Tulokset!$G$18=Tulokset!$I$18,IF(AND('19'!$I$19=Tulokset!$G$18,'19'!$K$19=Tulokset!$I$18),6,3),MAX(0,6-(ABS('19'!$I$19-Tulokset!$G$18)+ABS('19'!$K$19-Tulokset!$I$18))))))</f>
        <v/>
      </c>
      <c r="U22" t="str">
        <f>IF(OR(Tulokset!$G$19="",Tulokset!$I$19="",'19'!$I$20="",'19'!$K$20=""),"",IF(SIGN('19'!$I$20-'19'!$K$20)&lt;&gt;SIGN(Tulokset!$G$19-Tulokset!$I$19),0,IF(Tulokset!$G$19=Tulokset!$I$19,IF(AND('19'!$I$20=Tulokset!$G$19,'19'!$K$20=Tulokset!$I$19),6,3),MAX(0,6-(ABS('19'!$I$20-Tulokset!$G$19)+ABS('19'!$K$20-Tulokset!$I$19))))))</f>
        <v/>
      </c>
      <c r="V22" t="str">
        <f>IF(OR(Tulokset!$G$20="",Tulokset!$I$20="",'19'!$I$21="",'19'!$K$21=""),"",IF(SIGN('19'!$I$21-'19'!$K$21)&lt;&gt;SIGN(Tulokset!$G$20-Tulokset!$I$20),0,IF(Tulokset!$G$20=Tulokset!$I$20,IF(AND('19'!$I$21=Tulokset!$G$20,'19'!$K$21=Tulokset!$I$20),6,3),MAX(0,6-(ABS('19'!$I$21-Tulokset!$G$20)+ABS('19'!$K$21-Tulokset!$I$20))))))</f>
        <v/>
      </c>
      <c r="W22" t="str">
        <f>IF(OR(Tulokset!$G$21="",Tulokset!$I$21="",'19'!$I$22="",'19'!$K$22=""),"",IF(SIGN('19'!$I$22-'19'!$K$22)&lt;&gt;SIGN(Tulokset!$G$21-Tulokset!$I$21),0,IF(Tulokset!$G$21=Tulokset!$I$21,IF(AND('19'!$I$22=Tulokset!$G$21,'19'!$K$22=Tulokset!$I$21),6,3),MAX(0,6-(ABS('19'!$I$22-Tulokset!$G$21)+ABS('19'!$K$22-Tulokset!$I$21))))))</f>
        <v/>
      </c>
      <c r="X22" t="str">
        <f>IF(OR(Tulokset!$G$22="",Tulokset!$I$22="",'19'!$I$23="",'19'!$K$23=""),"",IF(SIGN('19'!$I$23-'19'!$K$23)&lt;&gt;SIGN(Tulokset!$G$22-Tulokset!$I$22),0,IF(Tulokset!$G$22=Tulokset!$I$22,IF(AND('19'!$I$23=Tulokset!$G$22,'19'!$K$23=Tulokset!$I$22),6,3),MAX(0,6-(ABS('19'!$I$23-Tulokset!$G$22)+ABS('19'!$K$23-Tulokset!$I$22))))))</f>
        <v/>
      </c>
      <c r="Y22" t="str">
        <f>IF(OR(Tulokset!$G$23="",Tulokset!$I$23="",'19'!$I$24="",'19'!$K$24=""),"",IF(SIGN('19'!$I$24-'19'!$K$24)&lt;&gt;SIGN(Tulokset!$G$23-Tulokset!$I$23),0,IF(Tulokset!$G$23=Tulokset!$I$23,IF(AND('19'!$I$24=Tulokset!$G$23,'19'!$K$24=Tulokset!$I$23),6,3),MAX(0,6-(ABS('19'!$I$24-Tulokset!$G$23)+ABS('19'!$K$24-Tulokset!$I$23))))))</f>
        <v/>
      </c>
      <c r="Z22" t="str">
        <f>IF(OR(Tulokset!$G$24="",Tulokset!$I$24="",'19'!$I$25="",'19'!$K$25=""),"",IF(SIGN('19'!$I$25-'19'!$K$25)&lt;&gt;SIGN(Tulokset!$G$24-Tulokset!$I$24),0,IF(Tulokset!$G$24=Tulokset!$I$24,IF(AND('19'!$I$25=Tulokset!$G$24,'19'!$K$25=Tulokset!$I$24),6,3),MAX(0,6-(ABS('19'!$I$25-Tulokset!$G$24)+ABS('19'!$K$25-Tulokset!$I$24))))))</f>
        <v/>
      </c>
      <c r="AA22" t="str">
        <f>IF(OR(Tulokset!$G$25="",Tulokset!$I$25="",'19'!$I$26="",'19'!$K$26=""),"",IF(SIGN('19'!$I$26-'19'!$K$26)&lt;&gt;SIGN(Tulokset!$G$25-Tulokset!$I$25),0,IF(Tulokset!$G$25=Tulokset!$I$25,IF(AND('19'!$I$26=Tulokset!$G$25,'19'!$K$26=Tulokset!$I$25),6,3),MAX(0,6-(ABS('19'!$I$26-Tulokset!$G$25)+ABS('19'!$K$26-Tulokset!$I$25))))))</f>
        <v/>
      </c>
      <c r="AB22" t="str">
        <f>IF(OR(Tulokset!$G$26="",Tulokset!$I$26="",'19'!$I$27="",'19'!$K$27=""),"",IF(SIGN('19'!$I$27-'19'!$K$27)&lt;&gt;SIGN(Tulokset!$G$26-Tulokset!$I$26),0,IF(Tulokset!$G$26=Tulokset!$I$26,IF(AND('19'!$I$27=Tulokset!$G$26,'19'!$K$27=Tulokset!$I$26),6,3),MAX(0,6-(ABS('19'!$I$27-Tulokset!$G$26)+ABS('19'!$K$27-Tulokset!$I$26))))))</f>
        <v/>
      </c>
      <c r="AC22" t="str">
        <f>IF(OR(Tulokset!$G$27="",Tulokset!$I$27="",'19'!$I$28="",'19'!$K$28=""),"",IF(SIGN('19'!$I$28-'19'!$K$28)&lt;&gt;SIGN(Tulokset!$G$27-Tulokset!$I$27),0,IF(Tulokset!$G$27=Tulokset!$I$27,IF(AND('19'!$I$28=Tulokset!$G$27,'19'!$K$28=Tulokset!$I$27),6,3),MAX(0,6-(ABS('19'!$I$28-Tulokset!$G$27)+ABS('19'!$K$28-Tulokset!$I$27))))))</f>
        <v/>
      </c>
      <c r="AD22" t="str">
        <f>IF(OR(Tulokset!$G$28="",Tulokset!$I$28="",'19'!$I$29="",'19'!$K$29=""),"",IF(SIGN('19'!$I$29-'19'!$K$29)&lt;&gt;SIGN(Tulokset!$G$28-Tulokset!$I$28),0,IF(Tulokset!$G$28=Tulokset!$I$28,IF(AND('19'!$I$29=Tulokset!$G$28,'19'!$K$29=Tulokset!$I$28),6,3),MAX(0,6-(ABS('19'!$I$29-Tulokset!$G$28)+ABS('19'!$K$29-Tulokset!$I$28))))))</f>
        <v/>
      </c>
      <c r="AE22" t="str">
        <f>IF(OR(Tulokset!$G$29="",Tulokset!$I$29="",'19'!$I$30="",'19'!$K$30=""),"",IF(SIGN('19'!$I$30-'19'!$K$30)&lt;&gt;SIGN(Tulokset!$G$29-Tulokset!$I$29),0,IF(Tulokset!$G$29=Tulokset!$I$29,IF(AND('19'!$I$30=Tulokset!$G$29,'19'!$K$30=Tulokset!$I$29),6,3),MAX(0,6-(ABS('19'!$I$30-Tulokset!$G$29)+ABS('19'!$K$30-Tulokset!$I$29))))))</f>
        <v/>
      </c>
      <c r="AF22" t="str">
        <f>IF(OR(Tulokset!$G$30="",Tulokset!$I$30="",'19'!$I$31="",'19'!$K$31=""),"",IF(SIGN('19'!$I$31-'19'!$K$31)&lt;&gt;SIGN(Tulokset!$G$30-Tulokset!$I$30),0,IF(Tulokset!$G$30=Tulokset!$I$30,IF(AND('19'!$I$31=Tulokset!$G$30,'19'!$K$31=Tulokset!$I$30),6,3),MAX(0,6-(ABS('19'!$I$31-Tulokset!$G$30)+ABS('19'!$K$31-Tulokset!$I$30))))))</f>
        <v/>
      </c>
      <c r="AG22" t="str">
        <f>IF(OR(Tulokset!$G$31="",Tulokset!$I$31="",'19'!$I$32="",'19'!$K$32=""),"",IF(SIGN('19'!$I$32-'19'!$K$32)&lt;&gt;SIGN(Tulokset!$G$31-Tulokset!$I$31),0,IF(Tulokset!$G$31=Tulokset!$I$31,IF(AND('19'!$I$32=Tulokset!$G$31,'19'!$K$32=Tulokset!$I$31),6,3),MAX(0,6-(ABS('19'!$I$32-Tulokset!$G$31)+ABS('19'!$K$32-Tulokset!$I$31))))))</f>
        <v/>
      </c>
      <c r="AH22" t="str">
        <f>IF(OR(Tulokset!$G$32="",Tulokset!$I$32="",'19'!$I$33="",'19'!$K$33=""),"",IF(SIGN('19'!$I$33-'19'!$K$33)&lt;&gt;SIGN(Tulokset!$G$32-Tulokset!$I$32),0,IF(Tulokset!$G$32=Tulokset!$I$32,IF(AND('19'!$I$33=Tulokset!$G$32,'19'!$K$33=Tulokset!$I$32),6,3),MAX(0,6-(ABS('19'!$I$33-Tulokset!$G$32)+ABS('19'!$K$33-Tulokset!$I$32))))))</f>
        <v/>
      </c>
      <c r="AI22" t="str">
        <f>IF(OR(Tulokset!$G$33="",Tulokset!$I$33="",'19'!$I$34="",'19'!$K$34=""),"",IF(SIGN('19'!$I$34-'19'!$K$34)&lt;&gt;SIGN(Tulokset!$G$33-Tulokset!$I$33),0,IF(Tulokset!$G$33=Tulokset!$I$33,IF(AND('19'!$I$34=Tulokset!$G$33,'19'!$K$34=Tulokset!$I$33),6,3),MAX(0,6-(ABS('19'!$I$34-Tulokset!$G$33)+ABS('19'!$K$34-Tulokset!$I$33))))))</f>
        <v/>
      </c>
      <c r="AJ22" t="str">
        <f>IF(OR(Tulokset!$G$34="",Tulokset!$I$34="",'19'!$I$35="",'19'!$K$35=""),"",IF(SIGN('19'!$I$35-'19'!$K$35)&lt;&gt;SIGN(Tulokset!$G$34-Tulokset!$I$34),0,IF(Tulokset!$G$34=Tulokset!$I$34,IF(AND('19'!$I$35=Tulokset!$G$34,'19'!$K$35=Tulokset!$I$34),6,3),MAX(0,6-(ABS('19'!$I$35-Tulokset!$G$34)+ABS('19'!$K$35-Tulokset!$I$34))))))</f>
        <v/>
      </c>
      <c r="AK22" t="str">
        <f>IF(OR(Tulokset!$G$35="",Tulokset!$I$35="",'19'!$I$36="",'19'!$K$36=""),"",IF(SIGN('19'!$I$36-'19'!$K$36)&lt;&gt;SIGN(Tulokset!$G$35-Tulokset!$I$35),0,IF(Tulokset!$G$35=Tulokset!$I$35,IF(AND('19'!$I$36=Tulokset!$G$35,'19'!$K$36=Tulokset!$I$35),6,3),MAX(0,6-(ABS('19'!$I$36-Tulokset!$G$35)+ABS('19'!$K$36-Tulokset!$I$35))))))</f>
        <v/>
      </c>
      <c r="AL22" t="str">
        <f>IF(OR(Tulokset!$G$36="",Tulokset!$I$36="",'19'!$I$37="",'19'!$K$37=""),"",IF(SIGN('19'!$I$37-'19'!$K$37)&lt;&gt;SIGN(Tulokset!$G$36-Tulokset!$I$36),0,IF(Tulokset!$G$36=Tulokset!$I$36,IF(AND('19'!$I$37=Tulokset!$G$36,'19'!$K$37=Tulokset!$I$36),6,3),MAX(0,6-(ABS('19'!$I$37-Tulokset!$G$36)+ABS('19'!$K$37-Tulokset!$I$36))))))</f>
        <v/>
      </c>
      <c r="AM22" t="str">
        <f>IF(OR(Tulokset!$G$37="",Tulokset!$I$37="",'19'!$I$38="",'19'!$K$38=""),"",IF(SIGN('19'!$I$38-'19'!$K$38)&lt;&gt;SIGN(Tulokset!$G$37-Tulokset!$I$37),0,IF(Tulokset!$G$37=Tulokset!$I$37,IF(AND('19'!$I$38=Tulokset!$G$37,'19'!$K$38=Tulokset!$I$37),6,3),MAX(0,6-(ABS('19'!$I$38-Tulokset!$G$37)+ABS('19'!$K$38-Tulokset!$I$37))))))</f>
        <v/>
      </c>
      <c r="AN22" t="str">
        <f>IF(OR(Tulokset!$G$38="",Tulokset!$I$38="",'19'!$I$39="",'19'!$K$39=""),"",IF(SIGN('19'!$I$39-'19'!$K$39)&lt;&gt;SIGN(Tulokset!$G$38-Tulokset!$I$38),0,IF(Tulokset!$G$38=Tulokset!$I$38,IF(AND('19'!$I$39=Tulokset!$G$38,'19'!$K$39=Tulokset!$I$38),6,3),MAX(0,6-(ABS('19'!$I$39-Tulokset!$G$38)+ABS('19'!$K$39-Tulokset!$I$38))))))</f>
        <v/>
      </c>
      <c r="AO22" t="str">
        <f>IF(OR(Tulokset!$G$39="",Tulokset!$I$39="",'19'!$I$40="",'19'!$K$40=""),"",IF(SIGN('19'!$I$40-'19'!$K$40)&lt;&gt;SIGN(Tulokset!$G$39-Tulokset!$I$39),0,IF(Tulokset!$G$39=Tulokset!$I$39,IF(AND('19'!$I$40=Tulokset!$G$39,'19'!$K$40=Tulokset!$I$39),6,3),MAX(0,6-(ABS('19'!$I$40-Tulokset!$G$39)+ABS('19'!$K$40-Tulokset!$I$39))))))</f>
        <v/>
      </c>
      <c r="AP22" t="str">
        <f>IF(OR(Tulokset!$G$40="",Tulokset!$I$40="",'19'!$I$41="",'19'!$K$41=""),"",IF(SIGN('19'!$I$41-'19'!$K$41)&lt;&gt;SIGN(Tulokset!$G$40-Tulokset!$I$40),0,IF(Tulokset!$G$40=Tulokset!$I$40,IF(AND('19'!$I$41=Tulokset!$G$40,'19'!$K$41=Tulokset!$I$40),6,3),MAX(0,6-(ABS('19'!$I$41-Tulokset!$G$40)+ABS('19'!$K$41-Tulokset!$I$40))))))</f>
        <v/>
      </c>
      <c r="AQ22" t="str">
        <f>IF(OR(Tulokset!$G$41="",Tulokset!$I$41="",'19'!$I$42="",'19'!$K$42=""),"",IF(SIGN('19'!$I$42-'19'!$K$42)&lt;&gt;SIGN(Tulokset!$G$41-Tulokset!$I$41),0,IF(Tulokset!$G$41=Tulokset!$I$41,IF(AND('19'!$I$42=Tulokset!$G$41,'19'!$K$42=Tulokset!$I$41),6,3),MAX(0,6-(ABS('19'!$I$42-Tulokset!$G$41)+ABS('19'!$K$42-Tulokset!$I$41))))))</f>
        <v/>
      </c>
      <c r="AR22" t="str">
        <f>IF(OR(Tulokset!$G$42="",Tulokset!$I$42="",'19'!$I$43="",'19'!$K$43=""),"",IF(SIGN('19'!$I$43-'19'!$K$43)&lt;&gt;SIGN(Tulokset!$G$42-Tulokset!$I$42),0,IF(Tulokset!$G$42=Tulokset!$I$42,IF(AND('19'!$I$43=Tulokset!$G$42,'19'!$K$43=Tulokset!$I$42),6,3),MAX(0,6-(ABS('19'!$I$43-Tulokset!$G$42)+ABS('19'!$K$43-Tulokset!$I$42))))))</f>
        <v/>
      </c>
      <c r="AS22" t="str">
        <f>IF(OR(Tulokset!$G$43="",Tulokset!$I$43="",'19'!$I$44="",'19'!$K$44=""),"",IF(SIGN('19'!$I$44-'19'!$K$44)&lt;&gt;SIGN(Tulokset!$G$43-Tulokset!$I$43),0,IF(Tulokset!$G$43=Tulokset!$I$43,IF(AND('19'!$I$44=Tulokset!$G$43,'19'!$K$44=Tulokset!$I$43),6,3),MAX(0,6-(ABS('19'!$I$44-Tulokset!$G$43)+ABS('19'!$K$44-Tulokset!$I$43))))))</f>
        <v/>
      </c>
      <c r="AT22" t="str">
        <f>IF(OR(Tulokset!$G$44="",Tulokset!$I$44="",'19'!$I$45="",'19'!$K$45=""),"",IF(SIGN('19'!$I$45-'19'!$K$45)&lt;&gt;SIGN(Tulokset!$G$44-Tulokset!$I$44),0,IF(Tulokset!$G$44=Tulokset!$I$44,IF(AND('19'!$I$45=Tulokset!$G$44,'19'!$K$45=Tulokset!$I$44),6,3),MAX(0,6-(ABS('19'!$I$45-Tulokset!$G$44)+ABS('19'!$K$45-Tulokset!$I$44))))))</f>
        <v/>
      </c>
      <c r="AU22" t="str">
        <f>IF(OR(Tulokset!$G$45="",Tulokset!$I$45="",'19'!$I$46="",'19'!$K$46=""),"",IF(SIGN('19'!$I$46-'19'!$K$46)&lt;&gt;SIGN(Tulokset!$G$45-Tulokset!$I$45),0,IF(Tulokset!$G$45=Tulokset!$I$45,IF(AND('19'!$I$46=Tulokset!$G$45,'19'!$K$46=Tulokset!$I$45),6,3),MAX(0,6-(ABS('19'!$I$46-Tulokset!$G$45)+ABS('19'!$K$46-Tulokset!$I$45))))))</f>
        <v/>
      </c>
      <c r="AV22" t="str">
        <f>IF(OR(Tulokset!$G$46="",Tulokset!$I$46="",'19'!$I$47="",'19'!$K$47=""),"",IF(SIGN('19'!$I$47-'19'!$K$47)&lt;&gt;SIGN(Tulokset!$G$46-Tulokset!$I$46),0,IF(Tulokset!$G$46=Tulokset!$I$46,IF(AND('19'!$I$47=Tulokset!$G$46,'19'!$K$47=Tulokset!$I$46),6,3),MAX(0,6-(ABS('19'!$I$47-Tulokset!$G$46)+ABS('19'!$K$47-Tulokset!$I$46))))))</f>
        <v/>
      </c>
      <c r="AW22" t="str">
        <f>IF(OR(Tulokset!$G$47="",Tulokset!$I$47="",'19'!$I$48="",'19'!$K$48=""),"",IF(SIGN('19'!$I$48-'19'!$K$48)&lt;&gt;SIGN(Tulokset!$G$47-Tulokset!$I$47),0,IF(Tulokset!$G$47=Tulokset!$I$47,IF(AND('19'!$I$48=Tulokset!$G$47,'19'!$K$48=Tulokset!$I$47),6,3),MAX(0,6-(ABS('19'!$I$48-Tulokset!$G$47)+ABS('19'!$K$48-Tulokset!$I$47))))))</f>
        <v/>
      </c>
      <c r="AX22" t="str">
        <f>IF(OR(Tulokset!$G$48="",Tulokset!$I$48="",'19'!$I$49="",'19'!$K$49=""),"",IF(SIGN('19'!$I$49-'19'!$K$49)&lt;&gt;SIGN(Tulokset!$G$48-Tulokset!$I$48),0,IF(Tulokset!$G$48=Tulokset!$I$48,IF(AND('19'!$I$49=Tulokset!$G$48,'19'!$K$49=Tulokset!$I$48),6,3),MAX(0,6-(ABS('19'!$I$49-Tulokset!$G$48)+ABS('19'!$K$49-Tulokset!$I$48))))))</f>
        <v/>
      </c>
      <c r="AY22" t="str">
        <f>IF(OR(Tulokset!$G$49="",Tulokset!$I$49="",'19'!$I$50="",'19'!$K$50=""),"",IF(SIGN('19'!$I$50-'19'!$K$50)&lt;&gt;SIGN(Tulokset!$G$49-Tulokset!$I$49),0,IF(Tulokset!$G$49=Tulokset!$I$49,IF(AND('19'!$I$50=Tulokset!$G$49,'19'!$K$50=Tulokset!$I$49),6,3),MAX(0,6-(ABS('19'!$I$50-Tulokset!$G$49)+ABS('19'!$K$50-Tulokset!$I$49))))))</f>
        <v/>
      </c>
      <c r="AZ22" t="str">
        <f>IF(OR(Tulokset!$G$50="",Tulokset!$I$50="",'19'!$I$51="",'19'!$K$51=""),"",IF(SIGN('19'!$I$51-'19'!$K$51)&lt;&gt;SIGN(Tulokset!$G$50-Tulokset!$I$50),0,IF(Tulokset!$G$50=Tulokset!$I$50,IF(AND('19'!$I$51=Tulokset!$G$50,'19'!$K$51=Tulokset!$I$50),6,3),MAX(0,6-(ABS('19'!$I$51-Tulokset!$G$50)+ABS('19'!$K$51-Tulokset!$I$50))))))</f>
        <v/>
      </c>
      <c r="BA22" t="str">
        <f>IF(OR(Tulokset!$G$51="",Tulokset!$I$51="",'19'!$I$52="",'19'!$K$52=""),"",IF(SIGN('19'!$I$52-'19'!$K$52)&lt;&gt;SIGN(Tulokset!$G$51-Tulokset!$I$51),0,IF(Tulokset!$G$51=Tulokset!$I$51,IF(AND('19'!$I$52=Tulokset!$G$51,'19'!$K$52=Tulokset!$I$51),6,3),MAX(0,6-(ABS('19'!$I$52-Tulokset!$G$51)+ABS('19'!$K$52-Tulokset!$I$51))))))</f>
        <v/>
      </c>
      <c r="BB22" t="str">
        <f>IF(OR(Tulokset!$G$52="",Tulokset!$I$52="",'19'!$I$53="",'19'!$K$53=""),"",IF(SIGN('19'!$I$53-'19'!$K$53)&lt;&gt;SIGN(Tulokset!$G$52-Tulokset!$I$52),0,IF(Tulokset!$G$52=Tulokset!$I$52,IF(AND('19'!$I$53=Tulokset!$G$52,'19'!$K$53=Tulokset!$I$52),6,3),MAX(0,6-(ABS('19'!$I$53-Tulokset!$G$52)+ABS('19'!$K$53-Tulokset!$I$52))))))</f>
        <v/>
      </c>
      <c r="BC22" t="str">
        <f>IF(OR(Tulokset!$G$53="",Tulokset!$I$53="",'19'!$I$54="",'19'!$K$54=""),"",IF(SIGN('19'!$I$54-'19'!$K$54)&lt;&gt;SIGN(Tulokset!$G$53-Tulokset!$I$53),0,IF(Tulokset!$G$53=Tulokset!$I$53,IF(AND('19'!$I$54=Tulokset!$G$53,'19'!$K$54=Tulokset!$I$53),6,3),MAX(0,6-(ABS('19'!$I$54-Tulokset!$G$53)+ABS('19'!$K$54-Tulokset!$I$53))))))</f>
        <v/>
      </c>
      <c r="BD22" t="str">
        <f>IF(OR(Tulokset!$G$54="",Tulokset!$I$54="",'19'!$I$55="",'19'!$K$55=""),"",IF(SIGN('19'!$I$55-'19'!$K$55)&lt;&gt;SIGN(Tulokset!$G$54-Tulokset!$I$54),0,IF(Tulokset!$G$54=Tulokset!$I$54,IF(AND('19'!$I$55=Tulokset!$G$54,'19'!$K$55=Tulokset!$I$54),6,3),MAX(0,6-(ABS('19'!$I$55-Tulokset!$G$54)+ABS('19'!$K$55-Tulokset!$I$54))))))</f>
        <v/>
      </c>
      <c r="BE22" t="str">
        <f>IF(OR(Tulokset!$G$55="",Tulokset!$I$55="",'19'!$I$56="",'19'!$K$56=""),"",IF(SIGN('19'!$I$56-'19'!$K$56)&lt;&gt;SIGN(Tulokset!$G$55-Tulokset!$I$55),0,IF(Tulokset!$G$55=Tulokset!$I$55,IF(AND('19'!$I$56=Tulokset!$G$55,'19'!$K$56=Tulokset!$I$55),6,3),MAX(0,6-(ABS('19'!$I$56-Tulokset!$G$55)+ABS('19'!$K$56-Tulokset!$I$55))))))</f>
        <v/>
      </c>
      <c r="BF22" t="str">
        <f>IF(OR(Tulokset!$G$56="",Tulokset!$I$56="",'19'!$I$57="",'19'!$K$57=""),"",IF(SIGN('19'!$I$57-'19'!$K$57)&lt;&gt;SIGN(Tulokset!$G$56-Tulokset!$I$56),0,IF(Tulokset!$G$56=Tulokset!$I$56,IF(AND('19'!$I$57=Tulokset!$G$56,'19'!$K$57=Tulokset!$I$56),6,3),MAX(0,6-(ABS('19'!$I$57-Tulokset!$G$56)+ABS('19'!$K$57-Tulokset!$I$56))))))</f>
        <v/>
      </c>
      <c r="BG22" t="str">
        <f>IF(OR(Tulokset!$G$57="",Tulokset!$I$57="",'19'!$I$58="",'19'!$K$58=""),"",IF(SIGN('19'!$I$58-'19'!$K$58)&lt;&gt;SIGN(Tulokset!$G$57-Tulokset!$I$57),0,IF(Tulokset!$G$57=Tulokset!$I$57,IF(AND('19'!$I$58=Tulokset!$G$57,'19'!$K$58=Tulokset!$I$57),6,3),MAX(0,6-(ABS('19'!$I$58-Tulokset!$G$57)+ABS('19'!$K$58-Tulokset!$I$57))))))</f>
        <v/>
      </c>
      <c r="BH22" t="str">
        <f>IF(OR(Tulokset!$G$58="",Tulokset!$I$58="",'19'!$I$59="",'19'!$K$59=""),"",IF(SIGN('19'!$I$59-'19'!$K$59)&lt;&gt;SIGN(Tulokset!$G$58-Tulokset!$I$58),0,IF(Tulokset!$G$58=Tulokset!$I$58,IF(AND('19'!$I$59=Tulokset!$G$58,'19'!$K$59=Tulokset!$I$58),6,3),MAX(0,6-(ABS('19'!$I$59-Tulokset!$G$58)+ABS('19'!$K$59-Tulokset!$I$58))))))</f>
        <v/>
      </c>
      <c r="BI22" t="str">
        <f>IF(OR(Tulokset!$G$59="",Tulokset!$I$59="",'19'!$I$60="",'19'!$K$60=""),"",IF(SIGN('19'!$I$60-'19'!$K$60)&lt;&gt;SIGN(Tulokset!$G$59-Tulokset!$I$59),0,IF(Tulokset!$G$59=Tulokset!$I$59,IF(AND('19'!$I$60=Tulokset!$G$59,'19'!$K$60=Tulokset!$I$59),6,3),MAX(0,6-(ABS('19'!$I$60-Tulokset!$G$59)+ABS('19'!$K$60-Tulokset!$I$59))))))</f>
        <v/>
      </c>
      <c r="BJ22" t="str">
        <f>IF(OR(Tulokset!$G$60="",Tulokset!$I$60="",'19'!$I$61="",'19'!$K$61=""),"",IF(SIGN('19'!$I$61-'19'!$K$61)&lt;&gt;SIGN(Tulokset!$G$60-Tulokset!$I$60),0,IF(Tulokset!$G$60=Tulokset!$I$60,IF(AND('19'!$I$61=Tulokset!$G$60,'19'!$K$61=Tulokset!$I$60),6,3),MAX(0,6-(ABS('19'!$I$61-Tulokset!$G$60)+ABS('19'!$K$61-Tulokset!$I$60))))))</f>
        <v/>
      </c>
      <c r="BK22" t="str">
        <f>IF(OR(Tulokset!$G$61="",Tulokset!$I$61="",'19'!$I$62="",'19'!$K$62=""),"",IF(SIGN('19'!$I$62-'19'!$K$62)&lt;&gt;SIGN(Tulokset!$G$61-Tulokset!$I$61),0,IF(Tulokset!$G$61=Tulokset!$I$61,IF(AND('19'!$I$62=Tulokset!$G$61,'19'!$K$62=Tulokset!$I$61),6,3),MAX(0,6-(ABS('19'!$I$62-Tulokset!$G$61)+ABS('19'!$K$62-Tulokset!$I$61))))))</f>
        <v/>
      </c>
      <c r="BL22" t="str">
        <f>IF(OR(Tulokset!$G$62="",Tulokset!$I$62="",'19'!$I$63="",'19'!$K$63=""),"",IF(SIGN('19'!$I$63-'19'!$K$63)&lt;&gt;SIGN(Tulokset!$G$62-Tulokset!$I$62),0,IF(Tulokset!$G$62=Tulokset!$I$62,IF(AND('19'!$I$63=Tulokset!$G$62,'19'!$K$63=Tulokset!$I$62),6,3),MAX(0,6-(ABS('19'!$I$63-Tulokset!$G$62)+ABS('19'!$K$63-Tulokset!$I$62))))))</f>
        <v/>
      </c>
      <c r="BM22" t="str">
        <f>IF(OR(Tulokset!$G$63="",Tulokset!$I$63="",'19'!$I$64="",'19'!$K$64=""),"",IF(SIGN('19'!$I$64-'19'!$K$64)&lt;&gt;SIGN(Tulokset!$G$63-Tulokset!$I$63),0,IF(Tulokset!$G$63=Tulokset!$I$63,IF(AND('19'!$I$64=Tulokset!$G$63,'19'!$K$64=Tulokset!$I$63),6,3),MAX(0,6-(ABS('19'!$I$64-Tulokset!$G$63)+ABS('19'!$K$64-Tulokset!$I$63))))))</f>
        <v/>
      </c>
      <c r="BN22" t="str">
        <f>IF(OR(Tulokset!$G$64="",Tulokset!$I$64="",'19'!$I$65="",'19'!$K$65=""),"",IF(SIGN('19'!$I$65-'19'!$K$65)&lt;&gt;SIGN(Tulokset!$G$64-Tulokset!$I$64),0,IF(Tulokset!$G$64=Tulokset!$I$64,IF(AND('19'!$I$65=Tulokset!$G$64,'19'!$K$65=Tulokset!$I$64),6,3),MAX(0,6-(ABS('19'!$I$65-Tulokset!$G$64)+ABS('19'!$K$65-Tulokset!$I$64))))))</f>
        <v/>
      </c>
      <c r="BO22" t="str">
        <f>IF(OR(Tulokset!$G$65="",Tulokset!$I$65="",'19'!$I$66="",'19'!$K$66=""),"",IF(SIGN('19'!$I$66-'19'!$K$66)&lt;&gt;SIGN(Tulokset!$G$65-Tulokset!$I$65),0,IF(Tulokset!$G$65=Tulokset!$I$65,IF(AND('19'!$I$66=Tulokset!$G$65,'19'!$K$66=Tulokset!$I$65),6,3),MAX(0,6-(ABS('19'!$I$66-Tulokset!$G$65)+ABS('19'!$K$66-Tulokset!$I$65))))))</f>
        <v/>
      </c>
      <c r="BP22" t="str">
        <f>IF(OR(Tulokset!$G$66="",Tulokset!$I$66="",'19'!$I$67="",'19'!$K$67=""),"",IF(SIGN('19'!$I$67-'19'!$K$67)&lt;&gt;SIGN(Tulokset!$G$66-Tulokset!$I$66),0,IF(Tulokset!$G$66=Tulokset!$I$66,IF(AND('19'!$I$67=Tulokset!$G$66,'19'!$K$67=Tulokset!$I$66),6,3),MAX(0,6-(ABS('19'!$I$67-Tulokset!$G$66)+ABS('19'!$K$67-Tulokset!$I$66))))))</f>
        <v/>
      </c>
      <c r="BQ22" t="str">
        <f>IF(OR(Tulokset!$G$67="",Tulokset!$I$67="",'19'!$I$68="",'19'!$K$68=""),"",IF(SIGN('19'!$I$68-'19'!$K$68)&lt;&gt;SIGN(Tulokset!$G$67-Tulokset!$I$67),0,IF(Tulokset!$G$67=Tulokset!$I$67,IF(AND('19'!$I$68=Tulokset!$G$67,'19'!$K$68=Tulokset!$I$67),6,3),MAX(0,6-(ABS('19'!$I$68-Tulokset!$G$67)+ABS('19'!$K$68-Tulokset!$I$67))))))</f>
        <v/>
      </c>
      <c r="BR22" t="str">
        <f>IF(OR(Tulokset!$G$68="",Tulokset!$I$68="",'19'!$I$69="",'19'!$K$69=""),"",IF(SIGN('19'!$I$69-'19'!$K$69)&lt;&gt;SIGN(Tulokset!$G$68-Tulokset!$I$68),0,IF(Tulokset!$G$68=Tulokset!$I$68,IF(AND('19'!$I$69=Tulokset!$G$68,'19'!$K$69=Tulokset!$I$68),6,3),MAX(0,6-(ABS('19'!$I$69-Tulokset!$G$68)+ABS('19'!$K$69-Tulokset!$I$68))))))</f>
        <v/>
      </c>
      <c r="BS22" t="str">
        <f>IF(OR(Tulokset!$G$69="",Tulokset!$I$69="",'19'!$I$70="",'19'!$K$70=""),"",IF(SIGN('19'!$I$70-'19'!$K$70)&lt;&gt;SIGN(Tulokset!$G$69-Tulokset!$I$69),0,IF(Tulokset!$G$69=Tulokset!$I$69,IF(AND('19'!$I$70=Tulokset!$G$69,'19'!$K$70=Tulokset!$I$69),6,3),MAX(0,6-(ABS('19'!$I$70-Tulokset!$G$69)+ABS('19'!$K$70-Tulokset!$I$69))))))</f>
        <v/>
      </c>
      <c r="BT22" t="str">
        <f>IF(OR(Tulokset!$G$70="",Tulokset!$I$70="",'19'!$I$71="",'19'!$K$71=""),"",IF(SIGN('19'!$I$71-'19'!$K$71)&lt;&gt;SIGN(Tulokset!$G$70-Tulokset!$I$70),0,IF(Tulokset!$G$70=Tulokset!$I$70,IF(AND('19'!$I$71=Tulokset!$G$70,'19'!$K$71=Tulokset!$I$70),6,3),MAX(0,6-(ABS('19'!$I$71-Tulokset!$G$70)+ABS('19'!$K$71-Tulokset!$I$70))))))</f>
        <v/>
      </c>
      <c r="BU22" t="str">
        <f>IF(OR(Tulokset!$G$71="",Tulokset!$I$71="",'19'!$I$72="",'19'!$K$72=""),"",IF(SIGN('19'!$I$72-'19'!$K$72)&lt;&gt;SIGN(Tulokset!$G$71-Tulokset!$I$71),0,IF(Tulokset!$G$71=Tulokset!$I$71,IF(AND('19'!$I$72=Tulokset!$G$71,'19'!$K$72=Tulokset!$I$71),6,3),MAX(0,6-(ABS('19'!$I$72-Tulokset!$G$71)+ABS('19'!$K$72-Tulokset!$I$71))))))</f>
        <v/>
      </c>
      <c r="BV22" t="str">
        <f>IF(OR(Tulokset!$G$72="",Tulokset!$I$72="",'19'!$I$73="",'19'!$K$73=""),"",IF(SIGN('19'!$I$73-'19'!$K$73)&lt;&gt;SIGN(Tulokset!$G$72-Tulokset!$I$72),0,IF(Tulokset!$G$72=Tulokset!$I$72,IF(AND('19'!$I$73=Tulokset!$G$72,'19'!$K$73=Tulokset!$I$72),6,3),MAX(0,6-(ABS('19'!$I$73-Tulokset!$G$72)+ABS('19'!$K$73-Tulokset!$I$72))))))</f>
        <v/>
      </c>
      <c r="BW22" t="str">
        <f>IF(OR(Tulokset!$G$73="",Tulokset!$I$73="",'19'!$I$74="",'19'!$K$74=""),"",IF(SIGN('19'!$I$74-'19'!$K$74)&lt;&gt;SIGN(Tulokset!$G$73-Tulokset!$I$73),0,IF(Tulokset!$G$73=Tulokset!$I$73,IF(AND('19'!$I$74=Tulokset!$G$73,'19'!$K$74=Tulokset!$I$73),6,3),MAX(0,6-(ABS('19'!$I$74-Tulokset!$G$73)+ABS('19'!$K$74-Tulokset!$I$73))))))</f>
        <v/>
      </c>
      <c r="BX22" t="str">
        <f>IF(OR(Tulokset!$G$74="",Tulokset!$I$74="",'19'!$I$75="",'19'!$K$75=""),"",IF(SIGN('19'!$I$75-'19'!$K$75)&lt;&gt;SIGN(Tulokset!$G$74-Tulokset!$I$74),0,IF(Tulokset!$G$74=Tulokset!$I$74,IF(AND('19'!$I$75=Tulokset!$G$74,'19'!$K$75=Tulokset!$I$74),6,3),MAX(0,6-(ABS('19'!$I$75-Tulokset!$G$74)+ABS('19'!$K$75-Tulokset!$I$74))))))</f>
        <v/>
      </c>
      <c r="BY22" t="str">
        <f>IF(OR(Tulokset!$G$75="",Tulokset!$I$75="",'19'!$I$76="",'19'!$K$76=""),"",IF(SIGN('19'!$I$76-'19'!$K$76)&lt;&gt;SIGN(Tulokset!$G$75-Tulokset!$I$75),0,IF(Tulokset!$G$75=Tulokset!$I$75,IF(AND('19'!$I$76=Tulokset!$G$75,'19'!$K$76=Tulokset!$I$75),6,3),MAX(0,6-(ABS('19'!$I$76-Tulokset!$G$75)+ABS('19'!$K$76-Tulokset!$I$75))))))</f>
        <v/>
      </c>
      <c r="BZ22" t="str">
        <f>IF(OR(Tulokset!$G$76="",Tulokset!$I$76="",'19'!$I$77="",'19'!$K$77=""),"",IF(SIGN('19'!$I$77-'19'!$K$77)&lt;&gt;SIGN(Tulokset!$G$76-Tulokset!$I$76),0,IF(Tulokset!$G$76=Tulokset!$I$76,IF(AND('19'!$I$77=Tulokset!$G$76,'19'!$K$77=Tulokset!$I$76),6,3),MAX(0,6-(ABS('19'!$I$77-Tulokset!$G$76)+ABS('19'!$K$77-Tulokset!$I$76))))))</f>
        <v/>
      </c>
      <c r="CA22" t="str">
        <f>IF(OR(Tulokset!$G$77="",Tulokset!$I$77="",'19'!$I$78="",'19'!$K$78=""),"",IF(SIGN('19'!$I$78-'19'!$K$78)&lt;&gt;SIGN(Tulokset!$G$77-Tulokset!$I$77),0,IF(Tulokset!$G$77=Tulokset!$I$77,IF(AND('19'!$I$78=Tulokset!$G$77,'19'!$K$78=Tulokset!$I$77),6,3),MAX(0,6-(ABS('19'!$I$78-Tulokset!$G$77)+ABS('19'!$K$78-Tulokset!$I$77))))))</f>
        <v/>
      </c>
      <c r="CD22" t="str">
        <f ca="1">IF(OR(Tulokset!$M$6="",INDIRECT("'"&amp;$A22&amp;"'!$P$8")=""),"",IF(TRIM(INDIRECT("'"&amp;$A22&amp;"'!$P$8"))=TRIM(Tulokset!$M$6),2,0))</f>
        <v/>
      </c>
      <c r="CE22" t="str">
        <f ca="1">IF(OR(Tulokset!$M$7="",INDIRECT("'"&amp;$A22&amp;"'!$P$9")=""),"",IF(TRIM(INDIRECT("'"&amp;$A22&amp;"'!$P$9"))=TRIM(Tulokset!$M$7),2,0))</f>
        <v/>
      </c>
      <c r="CF22" t="str">
        <f ca="1">IF(OR(Tulokset!$M$8="",INDIRECT("'"&amp;$A22&amp;"'!$P$10")=""),"",IF(TRIM(INDIRECT("'"&amp;$A22&amp;"'!$P$10"))=TRIM(Tulokset!$M$8),2,0))</f>
        <v/>
      </c>
      <c r="CG22" t="str">
        <f ca="1">IF(OR(Tulokset!$M$9="",INDIRECT("'"&amp;$A22&amp;"'!$P$11")=""),"",IF(TRIM(INDIRECT("'"&amp;$A22&amp;"'!$P$11"))=TRIM(Tulokset!$M$9),2,0))</f>
        <v/>
      </c>
      <c r="CH22" t="str">
        <f ca="1">IF(OR(Tulokset!$N$6="",INDIRECT("'"&amp;$A22&amp;"'!$Q$8")=""),"",IF(TRIM(INDIRECT("'"&amp;$A22&amp;"'!$Q$8"))=TRIM(Tulokset!$N$6),2,0))</f>
        <v/>
      </c>
      <c r="CI22" t="str">
        <f ca="1">IF(OR(Tulokset!$N$7="",INDIRECT("'"&amp;$A22&amp;"'!$Q$9")=""),"",IF(TRIM(INDIRECT("'"&amp;$A22&amp;"'!$Q$9"))=TRIM(Tulokset!$N$7),2,0))</f>
        <v/>
      </c>
      <c r="CJ22" t="str">
        <f ca="1">IF(OR(Tulokset!$N$8="",INDIRECT("'"&amp;$A22&amp;"'!$Q$10")=""),"",IF(TRIM(INDIRECT("'"&amp;$A22&amp;"'!$Q$10"))=TRIM(Tulokset!$N$8),2,0))</f>
        <v/>
      </c>
      <c r="CK22" t="str">
        <f ca="1">IF(OR(Tulokset!$N$9="",INDIRECT("'"&amp;$A22&amp;"'!$Q$11")=""),"",IF(TRIM(INDIRECT("'"&amp;$A22&amp;"'!$Q$11"))=TRIM(Tulokset!$N$9),2,0))</f>
        <v/>
      </c>
      <c r="CL22" t="str">
        <f ca="1">IF(OR(Tulokset!$O$6="",INDIRECT("'"&amp;$A22&amp;"'!$R$8")=""),"",IF(TRIM(INDIRECT("'"&amp;$A22&amp;"'!$R$8"))=TRIM(Tulokset!$O$6),2,0))</f>
        <v/>
      </c>
      <c r="CM22" t="str">
        <f ca="1">IF(OR(Tulokset!$O$7="",INDIRECT("'"&amp;$A22&amp;"'!$R$9")=""),"",IF(TRIM(INDIRECT("'"&amp;$A22&amp;"'!$R$9"))=TRIM(Tulokset!$O$7),2,0))</f>
        <v/>
      </c>
      <c r="CN22" t="str">
        <f ca="1">IF(OR(Tulokset!$O$8="",INDIRECT("'"&amp;$A22&amp;"'!$R$10")=""),"",IF(TRIM(INDIRECT("'"&amp;$A22&amp;"'!$R$10"))=TRIM(Tulokset!$O$8),2,0))</f>
        <v/>
      </c>
      <c r="CO22" t="str">
        <f ca="1">IF(OR(Tulokset!$O$9="",INDIRECT("'"&amp;$A22&amp;"'!$R$11")=""),"",IF(TRIM(INDIRECT("'"&amp;$A22&amp;"'!$R$11"))=TRIM(Tulokset!$O$9),2,0))</f>
        <v/>
      </c>
      <c r="CP22" t="str">
        <f ca="1">IF(OR(Tulokset!$P$6="",INDIRECT("'"&amp;$A22&amp;"'!$S$8")=""),"",IF(TRIM(INDIRECT("'"&amp;$A22&amp;"'!$S$8"))=TRIM(Tulokset!$P$6),2,0))</f>
        <v/>
      </c>
      <c r="CQ22" t="str">
        <f ca="1">IF(OR(Tulokset!$P$7="",INDIRECT("'"&amp;$A22&amp;"'!$S$9")=""),"",IF(TRIM(INDIRECT("'"&amp;$A22&amp;"'!$S$9"))=TRIM(Tulokset!$P$7),2,0))</f>
        <v/>
      </c>
      <c r="CR22" t="str">
        <f ca="1">IF(OR(Tulokset!$P$8="",INDIRECT("'"&amp;$A22&amp;"'!$S$10")=""),"",IF(TRIM(INDIRECT("'"&amp;$A22&amp;"'!$S$10"))=TRIM(Tulokset!$P$8),2,0))</f>
        <v/>
      </c>
      <c r="CS22" t="str">
        <f ca="1">IF(OR(Tulokset!$P$9="",INDIRECT("'"&amp;$A22&amp;"'!$S$11")=""),"",IF(TRIM(INDIRECT("'"&amp;$A22&amp;"'!$S$11"))=TRIM(Tulokset!$P$9),2,0))</f>
        <v/>
      </c>
      <c r="CT22" t="str">
        <f ca="1">IF(OR(Tulokset!$Q$6="",INDIRECT("'"&amp;$A22&amp;"'!$T$8")=""),"",IF(TRIM(INDIRECT("'"&amp;$A22&amp;"'!$T$8"))=TRIM(Tulokset!$Q$6),2,0))</f>
        <v/>
      </c>
      <c r="CU22" t="str">
        <f ca="1">IF(OR(Tulokset!$Q$7="",INDIRECT("'"&amp;$A22&amp;"'!$T$9")=""),"",IF(TRIM(INDIRECT("'"&amp;$A22&amp;"'!$T$9"))=TRIM(Tulokset!$Q$7),2,0))</f>
        <v/>
      </c>
      <c r="CV22" t="str">
        <f ca="1">IF(OR(Tulokset!$Q$8="",INDIRECT("'"&amp;$A22&amp;"'!$T$10")=""),"",IF(TRIM(INDIRECT("'"&amp;$A22&amp;"'!$T$10"))=TRIM(Tulokset!$Q$8),2,0))</f>
        <v/>
      </c>
      <c r="CW22" t="str">
        <f ca="1">IF(OR(Tulokset!$Q$9="",INDIRECT("'"&amp;$A22&amp;"'!$T$11")=""),"",IF(TRIM(INDIRECT("'"&amp;$A22&amp;"'!$T$11"))=TRIM(Tulokset!$Q$9),2,0))</f>
        <v/>
      </c>
      <c r="CX22" t="str">
        <f ca="1">IF(OR(Tulokset!$R$6="",INDIRECT("'"&amp;$A22&amp;"'!$U$8")=""),"",IF(TRIM(INDIRECT("'"&amp;$A22&amp;"'!$U$8"))=TRIM(Tulokset!$R$6),2,0))</f>
        <v/>
      </c>
      <c r="CY22" t="str">
        <f ca="1">IF(OR(Tulokset!$R$7="",INDIRECT("'"&amp;$A22&amp;"'!$U$9")=""),"",IF(TRIM(INDIRECT("'"&amp;$A22&amp;"'!$U$9"))=TRIM(Tulokset!$R$7),2,0))</f>
        <v/>
      </c>
      <c r="CZ22" t="str">
        <f ca="1">IF(OR(Tulokset!$R$8="",INDIRECT("'"&amp;$A22&amp;"'!$U$10")=""),"",IF(TRIM(INDIRECT("'"&amp;$A22&amp;"'!$U$10"))=TRIM(Tulokset!$R$8),2,0))</f>
        <v/>
      </c>
      <c r="DA22" t="str">
        <f ca="1">IF(OR(Tulokset!$R$9="",INDIRECT("'"&amp;$A22&amp;"'!$U$11")=""),"",IF(TRIM(INDIRECT("'"&amp;$A22&amp;"'!$U$11"))=TRIM(Tulokset!$R$9),2,0))</f>
        <v/>
      </c>
      <c r="DB22" t="str">
        <f ca="1">IF(OR(Tulokset!$M$12="",INDIRECT("'"&amp;$A22&amp;"'!$P$14")=""),"",IF(TRIM(INDIRECT("'"&amp;$A22&amp;"'!$P$14"))=TRIM(Tulokset!$M$12),2,0))</f>
        <v/>
      </c>
      <c r="DC22" t="str">
        <f ca="1">IF(OR(Tulokset!$M$13="",INDIRECT("'"&amp;$A22&amp;"'!$P$15")=""),"",IF(TRIM(INDIRECT("'"&amp;$A22&amp;"'!$P$15"))=TRIM(Tulokset!$M$13),2,0))</f>
        <v/>
      </c>
      <c r="DD22" t="str">
        <f ca="1">IF(OR(Tulokset!$M$14="",INDIRECT("'"&amp;$A22&amp;"'!$P$16")=""),"",IF(TRIM(INDIRECT("'"&amp;$A22&amp;"'!$P$16"))=TRIM(Tulokset!$M$14),2,0))</f>
        <v/>
      </c>
      <c r="DE22" t="str">
        <f ca="1">IF(OR(Tulokset!$M$15="",INDIRECT("'"&amp;$A22&amp;"'!$P$17")=""),"",IF(TRIM(INDIRECT("'"&amp;$A22&amp;"'!$P$17"))=TRIM(Tulokset!$M$15),2,0))</f>
        <v/>
      </c>
      <c r="DF22" t="str">
        <f ca="1">IF(OR(Tulokset!$N$12="",INDIRECT("'"&amp;$A22&amp;"'!$Q$14")=""),"",IF(TRIM(INDIRECT("'"&amp;$A22&amp;"'!$Q$14"))=TRIM(Tulokset!$N$12),2,0))</f>
        <v/>
      </c>
      <c r="DG22" t="str">
        <f ca="1">IF(OR(Tulokset!$N$13="",INDIRECT("'"&amp;$A22&amp;"'!$Q$15")=""),"",IF(TRIM(INDIRECT("'"&amp;$A22&amp;"'!$Q$15"))=TRIM(Tulokset!$N$13),2,0))</f>
        <v/>
      </c>
      <c r="DH22" t="str">
        <f ca="1">IF(OR(Tulokset!$N$14="",INDIRECT("'"&amp;$A22&amp;"'!$Q$16")=""),"",IF(TRIM(INDIRECT("'"&amp;$A22&amp;"'!$Q$16"))=TRIM(Tulokset!$N$14),2,0))</f>
        <v/>
      </c>
      <c r="DI22" t="str">
        <f ca="1">IF(OR(Tulokset!$N$15="",INDIRECT("'"&amp;$A22&amp;"'!$Q$17")=""),"",IF(TRIM(INDIRECT("'"&amp;$A22&amp;"'!$Q$17"))=TRIM(Tulokset!$N$15),2,0))</f>
        <v/>
      </c>
      <c r="DJ22" t="str">
        <f ca="1">IF(OR(Tulokset!$O$12="",INDIRECT("'"&amp;$A22&amp;"'!$R$14")=""),"",IF(TRIM(INDIRECT("'"&amp;$A22&amp;"'!$R$14"))=TRIM(Tulokset!$O$12),2,0))</f>
        <v/>
      </c>
      <c r="DK22" t="str">
        <f ca="1">IF(OR(Tulokset!$O$13="",INDIRECT("'"&amp;$A22&amp;"'!$R$15")=""),"",IF(TRIM(INDIRECT("'"&amp;$A22&amp;"'!$R$15"))=TRIM(Tulokset!$O$13),2,0))</f>
        <v/>
      </c>
      <c r="DL22" t="str">
        <f ca="1">IF(OR(Tulokset!$O$14="",INDIRECT("'"&amp;$A22&amp;"'!$R$16")=""),"",IF(TRIM(INDIRECT("'"&amp;$A22&amp;"'!$R$16"))=TRIM(Tulokset!$O$14),2,0))</f>
        <v/>
      </c>
      <c r="DM22" t="str">
        <f ca="1">IF(OR(Tulokset!$O$15="",INDIRECT("'"&amp;$A22&amp;"'!$R$17")=""),"",IF(TRIM(INDIRECT("'"&amp;$A22&amp;"'!$R$17"))=TRIM(Tulokset!$O$15),2,0))</f>
        <v/>
      </c>
      <c r="DN22" t="str">
        <f ca="1">IF(OR(Tulokset!$P$12="",INDIRECT("'"&amp;$A22&amp;"'!$S$14")=""),"",IF(TRIM(INDIRECT("'"&amp;$A22&amp;"'!$S$14"))=TRIM(Tulokset!$P$12),2,0))</f>
        <v/>
      </c>
      <c r="DO22" t="str">
        <f ca="1">IF(OR(Tulokset!$P$13="",INDIRECT("'"&amp;$A22&amp;"'!$S$15")=""),"",IF(TRIM(INDIRECT("'"&amp;$A22&amp;"'!$S$15"))=TRIM(Tulokset!$P$13),2,0))</f>
        <v/>
      </c>
      <c r="DP22" t="str">
        <f ca="1">IF(OR(Tulokset!$P$14="",INDIRECT("'"&amp;$A22&amp;"'!$S$16")=""),"",IF(TRIM(INDIRECT("'"&amp;$A22&amp;"'!$S$16"))=TRIM(Tulokset!$P$14),2,0))</f>
        <v/>
      </c>
      <c r="DQ22" t="str">
        <f ca="1">IF(OR(Tulokset!$P$15="",INDIRECT("'"&amp;$A22&amp;"'!$S$17")=""),"",IF(TRIM(INDIRECT("'"&amp;$A22&amp;"'!$S$17"))=TRIM(Tulokset!$P$15),2,0))</f>
        <v/>
      </c>
      <c r="DR22" t="str">
        <f ca="1">IF(OR(Tulokset!$Q$12="",INDIRECT("'"&amp;$A22&amp;"'!$T$14")=""),"",IF(TRIM(INDIRECT("'"&amp;$A22&amp;"'!$T$14"))=TRIM(Tulokset!$Q$12),2,0))</f>
        <v/>
      </c>
      <c r="DS22" t="str">
        <f ca="1">IF(OR(Tulokset!$Q$13="",INDIRECT("'"&amp;$A22&amp;"'!$T$15")=""),"",IF(TRIM(INDIRECT("'"&amp;$A22&amp;"'!$T$15"))=TRIM(Tulokset!$Q$13),2,0))</f>
        <v/>
      </c>
      <c r="DT22" t="str">
        <f ca="1">IF(OR(Tulokset!$Q$14="",INDIRECT("'"&amp;$A22&amp;"'!$T$16")=""),"",IF(TRIM(INDIRECT("'"&amp;$A22&amp;"'!$T$16"))=TRIM(Tulokset!$Q$14),2,0))</f>
        <v/>
      </c>
      <c r="DU22" t="str">
        <f ca="1">IF(OR(Tulokset!$Q$15="",INDIRECT("'"&amp;$A22&amp;"'!$T$17")=""),"",IF(TRIM(INDIRECT("'"&amp;$A22&amp;"'!$T$17"))=TRIM(Tulokset!$Q$15),2,0))</f>
        <v/>
      </c>
      <c r="DV22" t="str">
        <f ca="1">IF(OR(Tulokset!$R$12="",INDIRECT("'"&amp;$A22&amp;"'!$U$14")=""),"",IF(TRIM(INDIRECT("'"&amp;$A22&amp;"'!$U$14"))=TRIM(Tulokset!$R$12),2,0))</f>
        <v/>
      </c>
      <c r="DW22" t="str">
        <f ca="1">IF(OR(Tulokset!$R$13="",INDIRECT("'"&amp;$A22&amp;"'!$U$15")=""),"",IF(TRIM(INDIRECT("'"&amp;$A22&amp;"'!$U$15"))=TRIM(Tulokset!$R$13),2,0))</f>
        <v/>
      </c>
      <c r="DX22" t="str">
        <f ca="1">IF(OR(Tulokset!$R$14="",INDIRECT("'"&amp;$A22&amp;"'!$U$16")=""),"",IF(TRIM(INDIRECT("'"&amp;$A22&amp;"'!$U$16"))=TRIM(Tulokset!$R$14),2,0))</f>
        <v/>
      </c>
      <c r="DY22" t="str">
        <f ca="1">IF(OR(Tulokset!$R$15="",INDIRECT("'"&amp;$A22&amp;"'!$U$17")=""),"",IF(TRIM(INDIRECT("'"&amp;$A22&amp;"'!$U$17"))=TRIM(Tulokset!$R$15),2,0))</f>
        <v/>
      </c>
      <c r="EA22" t="str">
        <f ca="1">IF(OR(INDIRECT("'"&amp;$A22&amp;"'!$E$79")="",COUNTA(Tulokset!$M$20:$M$21)=0),"",IF(COUNTIF(Tulokset!$M$20:$M$21,INDIRECT("'"&amp;$A22&amp;"'!$E$79"))&gt;0,2,0))</f>
        <v/>
      </c>
      <c r="EB22" t="str">
        <f ca="1">IF(OR(INDIRECT("'"&amp;$A22&amp;"'!$G$79")="",COUNTA(Tulokset!$M$20:$M$21)=0),"",IF(COUNTIF(Tulokset!$M$20:$M$21,INDIRECT("'"&amp;$A22&amp;"'!$G$79"))&gt;0,2,0))</f>
        <v/>
      </c>
      <c r="EC22" t="str">
        <f ca="1">IF(OR(INDIRECT("'"&amp;$A22&amp;"'!$E$80")="",COUNTA(Tulokset!$M$23:$M$24)=0),"",IF(COUNTIF(Tulokset!$M$23:$M$24,INDIRECT("'"&amp;$A22&amp;"'!$E$80"))&gt;0,2,0))</f>
        <v/>
      </c>
      <c r="ED22" t="str">
        <f ca="1">IF(OR(INDIRECT("'"&amp;$A22&amp;"'!$G$80")="",COUNTA(Tulokset!$M$23:$M$24)=0),"",IF(COUNTIF(Tulokset!$M$23:$M$24,INDIRECT("'"&amp;$A22&amp;"'!$G$80"))&gt;0,2,0))</f>
        <v/>
      </c>
    </row>
    <row r="23" spans="1:134">
      <c r="A23" t="s">
        <v>315</v>
      </c>
      <c r="B23" t="str">
        <f t="shared" ca="1" si="0"/>
        <v>Tero H</v>
      </c>
      <c r="C23" s="95">
        <f t="shared" si="1"/>
        <v>0</v>
      </c>
      <c r="D23" s="95">
        <f t="shared" ca="1" si="2"/>
        <v>0</v>
      </c>
      <c r="E23" s="95">
        <f t="shared" ca="1" si="3"/>
        <v>0</v>
      </c>
      <c r="F23" s="95">
        <f t="shared" ca="1" si="4"/>
        <v>0</v>
      </c>
      <c r="G23" s="95">
        <f t="shared" si="5"/>
        <v>0</v>
      </c>
      <c r="H23" t="str">
        <f>IF(OR(Tulokset!$G$6="",Tulokset!$I$6="",'20'!$I$7="",'20'!$K$7=""),"",IF(SIGN('20'!$I$7-'20'!$K$7)&lt;&gt;SIGN(Tulokset!$G$6-Tulokset!$I$6),0,IF(Tulokset!$G$6=Tulokset!$I$6,IF(AND('20'!$I$7=Tulokset!$G$6,'20'!$K$7=Tulokset!$I$6),6,3),MAX(0,6-(ABS('20'!$I$7-Tulokset!$G$6)+ABS('20'!$K$7-Tulokset!$I$6))))))</f>
        <v/>
      </c>
      <c r="I23" t="str">
        <f>IF(OR(Tulokset!$G$7="",Tulokset!$I$7="",'20'!$I$8="",'20'!$K$8=""),"",IF(SIGN('20'!$I$8-'20'!$K$8)&lt;&gt;SIGN(Tulokset!$G$7-Tulokset!$I$7),0,IF(Tulokset!$G$7=Tulokset!$I$7,IF(AND('20'!$I$8=Tulokset!$G$7,'20'!$K$8=Tulokset!$I$7),6,3),MAX(0,6-(ABS('20'!$I$8-Tulokset!$G$7)+ABS('20'!$K$8-Tulokset!$I$7))))))</f>
        <v/>
      </c>
      <c r="J23" t="str">
        <f>IF(OR(Tulokset!$G$8="",Tulokset!$I$8="",'20'!$I$9="",'20'!$K$9=""),"",IF(SIGN('20'!$I$9-'20'!$K$9)&lt;&gt;SIGN(Tulokset!$G$8-Tulokset!$I$8),0,IF(Tulokset!$G$8=Tulokset!$I$8,IF(AND('20'!$I$9=Tulokset!$G$8,'20'!$K$9=Tulokset!$I$8),6,3),MAX(0,6-(ABS('20'!$I$9-Tulokset!$G$8)+ABS('20'!$K$9-Tulokset!$I$8))))))</f>
        <v/>
      </c>
      <c r="K23" t="str">
        <f>IF(OR(Tulokset!$G$9="",Tulokset!$I$9="",'20'!$I$10="",'20'!$K$10=""),"",IF(SIGN('20'!$I$10-'20'!$K$10)&lt;&gt;SIGN(Tulokset!$G$9-Tulokset!$I$9),0,IF(Tulokset!$G$9=Tulokset!$I$9,IF(AND('20'!$I$10=Tulokset!$G$9,'20'!$K$10=Tulokset!$I$9),6,3),MAX(0,6-(ABS('20'!$I$10-Tulokset!$G$9)+ABS('20'!$K$10-Tulokset!$I$9))))))</f>
        <v/>
      </c>
      <c r="L23" t="str">
        <f>IF(OR(Tulokset!$G$10="",Tulokset!$I$10="",'20'!$I$11="",'20'!$K$11=""),"",IF(SIGN('20'!$I$11-'20'!$K$11)&lt;&gt;SIGN(Tulokset!$G$10-Tulokset!$I$10),0,IF(Tulokset!$G$10=Tulokset!$I$10,IF(AND('20'!$I$11=Tulokset!$G$10,'20'!$K$11=Tulokset!$I$10),6,3),MAX(0,6-(ABS('20'!$I$11-Tulokset!$G$10)+ABS('20'!$K$11-Tulokset!$I$10))))))</f>
        <v/>
      </c>
      <c r="M23" t="str">
        <f>IF(OR(Tulokset!$G$11="",Tulokset!$I$11="",'20'!$I$12="",'20'!$K$12=""),"",IF(SIGN('20'!$I$12-'20'!$K$12)&lt;&gt;SIGN(Tulokset!$G$11-Tulokset!$I$11),0,IF(Tulokset!$G$11=Tulokset!$I$11,IF(AND('20'!$I$12=Tulokset!$G$11,'20'!$K$12=Tulokset!$I$11),6,3),MAX(0,6-(ABS('20'!$I$12-Tulokset!$G$11)+ABS('20'!$K$12-Tulokset!$I$11))))))</f>
        <v/>
      </c>
      <c r="N23" t="str">
        <f>IF(OR(Tulokset!$G$12="",Tulokset!$I$12="",'20'!$I$13="",'20'!$K$13=""),"",IF(SIGN('20'!$I$13-'20'!$K$13)&lt;&gt;SIGN(Tulokset!$G$12-Tulokset!$I$12),0,IF(Tulokset!$G$12=Tulokset!$I$12,IF(AND('20'!$I$13=Tulokset!$G$12,'20'!$K$13=Tulokset!$I$12),6,3),MAX(0,6-(ABS('20'!$I$13-Tulokset!$G$12)+ABS('20'!$K$13-Tulokset!$I$12))))))</f>
        <v/>
      </c>
      <c r="O23" t="str">
        <f>IF(OR(Tulokset!$G$13="",Tulokset!$I$13="",'20'!$I$14="",'20'!$K$14=""),"",IF(SIGN('20'!$I$14-'20'!$K$14)&lt;&gt;SIGN(Tulokset!$G$13-Tulokset!$I$13),0,IF(Tulokset!$G$13=Tulokset!$I$13,IF(AND('20'!$I$14=Tulokset!$G$13,'20'!$K$14=Tulokset!$I$13),6,3),MAX(0,6-(ABS('20'!$I$14-Tulokset!$G$13)+ABS('20'!$K$14-Tulokset!$I$13))))))</f>
        <v/>
      </c>
      <c r="P23" t="str">
        <f>IF(OR(Tulokset!$G$14="",Tulokset!$I$14="",'20'!$I$15="",'20'!$K$15=""),"",IF(SIGN('20'!$I$15-'20'!$K$15)&lt;&gt;SIGN(Tulokset!$G$14-Tulokset!$I$14),0,IF(Tulokset!$G$14=Tulokset!$I$14,IF(AND('20'!$I$15=Tulokset!$G$14,'20'!$K$15=Tulokset!$I$14),6,3),MAX(0,6-(ABS('20'!$I$15-Tulokset!$G$14)+ABS('20'!$K$15-Tulokset!$I$14))))))</f>
        <v/>
      </c>
      <c r="Q23" t="str">
        <f>IF(OR(Tulokset!$G$15="",Tulokset!$I$15="",'20'!$I$16="",'20'!$K$16=""),"",IF(SIGN('20'!$I$16-'20'!$K$16)&lt;&gt;SIGN(Tulokset!$G$15-Tulokset!$I$15),0,IF(Tulokset!$G$15=Tulokset!$I$15,IF(AND('20'!$I$16=Tulokset!$G$15,'20'!$K$16=Tulokset!$I$15),6,3),MAX(0,6-(ABS('20'!$I$16-Tulokset!$G$15)+ABS('20'!$K$16-Tulokset!$I$15))))))</f>
        <v/>
      </c>
      <c r="R23" t="str">
        <f>IF(OR(Tulokset!$G$16="",Tulokset!$I$16="",'20'!$I$17="",'20'!$K$17=""),"",IF(SIGN('20'!$I$17-'20'!$K$17)&lt;&gt;SIGN(Tulokset!$G$16-Tulokset!$I$16),0,IF(Tulokset!$G$16=Tulokset!$I$16,IF(AND('20'!$I$17=Tulokset!$G$16,'20'!$K$17=Tulokset!$I$16),6,3),MAX(0,6-(ABS('20'!$I$17-Tulokset!$G$16)+ABS('20'!$K$17-Tulokset!$I$16))))))</f>
        <v/>
      </c>
      <c r="S23" t="str">
        <f>IF(OR(Tulokset!$G$17="",Tulokset!$I$17="",'20'!$I$18="",'20'!$K$18=""),"",IF(SIGN('20'!$I$18-'20'!$K$18)&lt;&gt;SIGN(Tulokset!$G$17-Tulokset!$I$17),0,IF(Tulokset!$G$17=Tulokset!$I$17,IF(AND('20'!$I$18=Tulokset!$G$17,'20'!$K$18=Tulokset!$I$17),6,3),MAX(0,6-(ABS('20'!$I$18-Tulokset!$G$17)+ABS('20'!$K$18-Tulokset!$I$17))))))</f>
        <v/>
      </c>
      <c r="T23" t="str">
        <f>IF(OR(Tulokset!$G$18="",Tulokset!$I$18="",'20'!$I$19="",'20'!$K$19=""),"",IF(SIGN('20'!$I$19-'20'!$K$19)&lt;&gt;SIGN(Tulokset!$G$18-Tulokset!$I$18),0,IF(Tulokset!$G$18=Tulokset!$I$18,IF(AND('20'!$I$19=Tulokset!$G$18,'20'!$K$19=Tulokset!$I$18),6,3),MAX(0,6-(ABS('20'!$I$19-Tulokset!$G$18)+ABS('20'!$K$19-Tulokset!$I$18))))))</f>
        <v/>
      </c>
      <c r="U23" t="str">
        <f>IF(OR(Tulokset!$G$19="",Tulokset!$I$19="",'20'!$I$20="",'20'!$K$20=""),"",IF(SIGN('20'!$I$20-'20'!$K$20)&lt;&gt;SIGN(Tulokset!$G$19-Tulokset!$I$19),0,IF(Tulokset!$G$19=Tulokset!$I$19,IF(AND('20'!$I$20=Tulokset!$G$19,'20'!$K$20=Tulokset!$I$19),6,3),MAX(0,6-(ABS('20'!$I$20-Tulokset!$G$19)+ABS('20'!$K$20-Tulokset!$I$19))))))</f>
        <v/>
      </c>
      <c r="V23" t="str">
        <f>IF(OR(Tulokset!$G$20="",Tulokset!$I$20="",'20'!$I$21="",'20'!$K$21=""),"",IF(SIGN('20'!$I$21-'20'!$K$21)&lt;&gt;SIGN(Tulokset!$G$20-Tulokset!$I$20),0,IF(Tulokset!$G$20=Tulokset!$I$20,IF(AND('20'!$I$21=Tulokset!$G$20,'20'!$K$21=Tulokset!$I$20),6,3),MAX(0,6-(ABS('20'!$I$21-Tulokset!$G$20)+ABS('20'!$K$21-Tulokset!$I$20))))))</f>
        <v/>
      </c>
      <c r="W23" t="str">
        <f>IF(OR(Tulokset!$G$21="",Tulokset!$I$21="",'20'!$I$22="",'20'!$K$22=""),"",IF(SIGN('20'!$I$22-'20'!$K$22)&lt;&gt;SIGN(Tulokset!$G$21-Tulokset!$I$21),0,IF(Tulokset!$G$21=Tulokset!$I$21,IF(AND('20'!$I$22=Tulokset!$G$21,'20'!$K$22=Tulokset!$I$21),6,3),MAX(0,6-(ABS('20'!$I$22-Tulokset!$G$21)+ABS('20'!$K$22-Tulokset!$I$21))))))</f>
        <v/>
      </c>
      <c r="X23" t="str">
        <f>IF(OR(Tulokset!$G$22="",Tulokset!$I$22="",'20'!$I$23="",'20'!$K$23=""),"",IF(SIGN('20'!$I$23-'20'!$K$23)&lt;&gt;SIGN(Tulokset!$G$22-Tulokset!$I$22),0,IF(Tulokset!$G$22=Tulokset!$I$22,IF(AND('20'!$I$23=Tulokset!$G$22,'20'!$K$23=Tulokset!$I$22),6,3),MAX(0,6-(ABS('20'!$I$23-Tulokset!$G$22)+ABS('20'!$K$23-Tulokset!$I$22))))))</f>
        <v/>
      </c>
      <c r="Y23" t="str">
        <f>IF(OR(Tulokset!$G$23="",Tulokset!$I$23="",'20'!$I$24="",'20'!$K$24=""),"",IF(SIGN('20'!$I$24-'20'!$K$24)&lt;&gt;SIGN(Tulokset!$G$23-Tulokset!$I$23),0,IF(Tulokset!$G$23=Tulokset!$I$23,IF(AND('20'!$I$24=Tulokset!$G$23,'20'!$K$24=Tulokset!$I$23),6,3),MAX(0,6-(ABS('20'!$I$24-Tulokset!$G$23)+ABS('20'!$K$24-Tulokset!$I$23))))))</f>
        <v/>
      </c>
      <c r="Z23" t="str">
        <f>IF(OR(Tulokset!$G$24="",Tulokset!$I$24="",'20'!$I$25="",'20'!$K$25=""),"",IF(SIGN('20'!$I$25-'20'!$K$25)&lt;&gt;SIGN(Tulokset!$G$24-Tulokset!$I$24),0,IF(Tulokset!$G$24=Tulokset!$I$24,IF(AND('20'!$I$25=Tulokset!$G$24,'20'!$K$25=Tulokset!$I$24),6,3),MAX(0,6-(ABS('20'!$I$25-Tulokset!$G$24)+ABS('20'!$K$25-Tulokset!$I$24))))))</f>
        <v/>
      </c>
      <c r="AA23" t="str">
        <f>IF(OR(Tulokset!$G$25="",Tulokset!$I$25="",'20'!$I$26="",'20'!$K$26=""),"",IF(SIGN('20'!$I$26-'20'!$K$26)&lt;&gt;SIGN(Tulokset!$G$25-Tulokset!$I$25),0,IF(Tulokset!$G$25=Tulokset!$I$25,IF(AND('20'!$I$26=Tulokset!$G$25,'20'!$K$26=Tulokset!$I$25),6,3),MAX(0,6-(ABS('20'!$I$26-Tulokset!$G$25)+ABS('20'!$K$26-Tulokset!$I$25))))))</f>
        <v/>
      </c>
      <c r="AB23" t="str">
        <f>IF(OR(Tulokset!$G$26="",Tulokset!$I$26="",'20'!$I$27="",'20'!$K$27=""),"",IF(SIGN('20'!$I$27-'20'!$K$27)&lt;&gt;SIGN(Tulokset!$G$26-Tulokset!$I$26),0,IF(Tulokset!$G$26=Tulokset!$I$26,IF(AND('20'!$I$27=Tulokset!$G$26,'20'!$K$27=Tulokset!$I$26),6,3),MAX(0,6-(ABS('20'!$I$27-Tulokset!$G$26)+ABS('20'!$K$27-Tulokset!$I$26))))))</f>
        <v/>
      </c>
      <c r="AC23" t="str">
        <f>IF(OR(Tulokset!$G$27="",Tulokset!$I$27="",'20'!$I$28="",'20'!$K$28=""),"",IF(SIGN('20'!$I$28-'20'!$K$28)&lt;&gt;SIGN(Tulokset!$G$27-Tulokset!$I$27),0,IF(Tulokset!$G$27=Tulokset!$I$27,IF(AND('20'!$I$28=Tulokset!$G$27,'20'!$K$28=Tulokset!$I$27),6,3),MAX(0,6-(ABS('20'!$I$28-Tulokset!$G$27)+ABS('20'!$K$28-Tulokset!$I$27))))))</f>
        <v/>
      </c>
      <c r="AD23" t="str">
        <f>IF(OR(Tulokset!$G$28="",Tulokset!$I$28="",'20'!$I$29="",'20'!$K$29=""),"",IF(SIGN('20'!$I$29-'20'!$K$29)&lt;&gt;SIGN(Tulokset!$G$28-Tulokset!$I$28),0,IF(Tulokset!$G$28=Tulokset!$I$28,IF(AND('20'!$I$29=Tulokset!$G$28,'20'!$K$29=Tulokset!$I$28),6,3),MAX(0,6-(ABS('20'!$I$29-Tulokset!$G$28)+ABS('20'!$K$29-Tulokset!$I$28))))))</f>
        <v/>
      </c>
      <c r="AE23" t="str">
        <f>IF(OR(Tulokset!$G$29="",Tulokset!$I$29="",'20'!$I$30="",'20'!$K$30=""),"",IF(SIGN('20'!$I$30-'20'!$K$30)&lt;&gt;SIGN(Tulokset!$G$29-Tulokset!$I$29),0,IF(Tulokset!$G$29=Tulokset!$I$29,IF(AND('20'!$I$30=Tulokset!$G$29,'20'!$K$30=Tulokset!$I$29),6,3),MAX(0,6-(ABS('20'!$I$30-Tulokset!$G$29)+ABS('20'!$K$30-Tulokset!$I$29))))))</f>
        <v/>
      </c>
      <c r="AF23" t="str">
        <f>IF(OR(Tulokset!$G$30="",Tulokset!$I$30="",'20'!$I$31="",'20'!$K$31=""),"",IF(SIGN('20'!$I$31-'20'!$K$31)&lt;&gt;SIGN(Tulokset!$G$30-Tulokset!$I$30),0,IF(Tulokset!$G$30=Tulokset!$I$30,IF(AND('20'!$I$31=Tulokset!$G$30,'20'!$K$31=Tulokset!$I$30),6,3),MAX(0,6-(ABS('20'!$I$31-Tulokset!$G$30)+ABS('20'!$K$31-Tulokset!$I$30))))))</f>
        <v/>
      </c>
      <c r="AG23" t="str">
        <f>IF(OR(Tulokset!$G$31="",Tulokset!$I$31="",'20'!$I$32="",'20'!$K$32=""),"",IF(SIGN('20'!$I$32-'20'!$K$32)&lt;&gt;SIGN(Tulokset!$G$31-Tulokset!$I$31),0,IF(Tulokset!$G$31=Tulokset!$I$31,IF(AND('20'!$I$32=Tulokset!$G$31,'20'!$K$32=Tulokset!$I$31),6,3),MAX(0,6-(ABS('20'!$I$32-Tulokset!$G$31)+ABS('20'!$K$32-Tulokset!$I$31))))))</f>
        <v/>
      </c>
      <c r="AH23" t="str">
        <f>IF(OR(Tulokset!$G$32="",Tulokset!$I$32="",'20'!$I$33="",'20'!$K$33=""),"",IF(SIGN('20'!$I$33-'20'!$K$33)&lt;&gt;SIGN(Tulokset!$G$32-Tulokset!$I$32),0,IF(Tulokset!$G$32=Tulokset!$I$32,IF(AND('20'!$I$33=Tulokset!$G$32,'20'!$K$33=Tulokset!$I$32),6,3),MAX(0,6-(ABS('20'!$I$33-Tulokset!$G$32)+ABS('20'!$K$33-Tulokset!$I$32))))))</f>
        <v/>
      </c>
      <c r="AI23" t="str">
        <f>IF(OR(Tulokset!$G$33="",Tulokset!$I$33="",'20'!$I$34="",'20'!$K$34=""),"",IF(SIGN('20'!$I$34-'20'!$K$34)&lt;&gt;SIGN(Tulokset!$G$33-Tulokset!$I$33),0,IF(Tulokset!$G$33=Tulokset!$I$33,IF(AND('20'!$I$34=Tulokset!$G$33,'20'!$K$34=Tulokset!$I$33),6,3),MAX(0,6-(ABS('20'!$I$34-Tulokset!$G$33)+ABS('20'!$K$34-Tulokset!$I$33))))))</f>
        <v/>
      </c>
      <c r="AJ23" t="str">
        <f>IF(OR(Tulokset!$G$34="",Tulokset!$I$34="",'20'!$I$35="",'20'!$K$35=""),"",IF(SIGN('20'!$I$35-'20'!$K$35)&lt;&gt;SIGN(Tulokset!$G$34-Tulokset!$I$34),0,IF(Tulokset!$G$34=Tulokset!$I$34,IF(AND('20'!$I$35=Tulokset!$G$34,'20'!$K$35=Tulokset!$I$34),6,3),MAX(0,6-(ABS('20'!$I$35-Tulokset!$G$34)+ABS('20'!$K$35-Tulokset!$I$34))))))</f>
        <v/>
      </c>
      <c r="AK23" t="str">
        <f>IF(OR(Tulokset!$G$35="",Tulokset!$I$35="",'20'!$I$36="",'20'!$K$36=""),"",IF(SIGN('20'!$I$36-'20'!$K$36)&lt;&gt;SIGN(Tulokset!$G$35-Tulokset!$I$35),0,IF(Tulokset!$G$35=Tulokset!$I$35,IF(AND('20'!$I$36=Tulokset!$G$35,'20'!$K$36=Tulokset!$I$35),6,3),MAX(0,6-(ABS('20'!$I$36-Tulokset!$G$35)+ABS('20'!$K$36-Tulokset!$I$35))))))</f>
        <v/>
      </c>
      <c r="AL23" t="str">
        <f>IF(OR(Tulokset!$G$36="",Tulokset!$I$36="",'20'!$I$37="",'20'!$K$37=""),"",IF(SIGN('20'!$I$37-'20'!$K$37)&lt;&gt;SIGN(Tulokset!$G$36-Tulokset!$I$36),0,IF(Tulokset!$G$36=Tulokset!$I$36,IF(AND('20'!$I$37=Tulokset!$G$36,'20'!$K$37=Tulokset!$I$36),6,3),MAX(0,6-(ABS('20'!$I$37-Tulokset!$G$36)+ABS('20'!$K$37-Tulokset!$I$36))))))</f>
        <v/>
      </c>
      <c r="AM23" t="str">
        <f>IF(OR(Tulokset!$G$37="",Tulokset!$I$37="",'20'!$I$38="",'20'!$K$38=""),"",IF(SIGN('20'!$I$38-'20'!$K$38)&lt;&gt;SIGN(Tulokset!$G$37-Tulokset!$I$37),0,IF(Tulokset!$G$37=Tulokset!$I$37,IF(AND('20'!$I$38=Tulokset!$G$37,'20'!$K$38=Tulokset!$I$37),6,3),MAX(0,6-(ABS('20'!$I$38-Tulokset!$G$37)+ABS('20'!$K$38-Tulokset!$I$37))))))</f>
        <v/>
      </c>
      <c r="AN23" t="str">
        <f>IF(OR(Tulokset!$G$38="",Tulokset!$I$38="",'20'!$I$39="",'20'!$K$39=""),"",IF(SIGN('20'!$I$39-'20'!$K$39)&lt;&gt;SIGN(Tulokset!$G$38-Tulokset!$I$38),0,IF(Tulokset!$G$38=Tulokset!$I$38,IF(AND('20'!$I$39=Tulokset!$G$38,'20'!$K$39=Tulokset!$I$38),6,3),MAX(0,6-(ABS('20'!$I$39-Tulokset!$G$38)+ABS('20'!$K$39-Tulokset!$I$38))))))</f>
        <v/>
      </c>
      <c r="AO23" t="str">
        <f>IF(OR(Tulokset!$G$39="",Tulokset!$I$39="",'20'!$I$40="",'20'!$K$40=""),"",IF(SIGN('20'!$I$40-'20'!$K$40)&lt;&gt;SIGN(Tulokset!$G$39-Tulokset!$I$39),0,IF(Tulokset!$G$39=Tulokset!$I$39,IF(AND('20'!$I$40=Tulokset!$G$39,'20'!$K$40=Tulokset!$I$39),6,3),MAX(0,6-(ABS('20'!$I$40-Tulokset!$G$39)+ABS('20'!$K$40-Tulokset!$I$39))))))</f>
        <v/>
      </c>
      <c r="AP23" t="str">
        <f>IF(OR(Tulokset!$G$40="",Tulokset!$I$40="",'20'!$I$41="",'20'!$K$41=""),"",IF(SIGN('20'!$I$41-'20'!$K$41)&lt;&gt;SIGN(Tulokset!$G$40-Tulokset!$I$40),0,IF(Tulokset!$G$40=Tulokset!$I$40,IF(AND('20'!$I$41=Tulokset!$G$40,'20'!$K$41=Tulokset!$I$40),6,3),MAX(0,6-(ABS('20'!$I$41-Tulokset!$G$40)+ABS('20'!$K$41-Tulokset!$I$40))))))</f>
        <v/>
      </c>
      <c r="AQ23" t="str">
        <f>IF(OR(Tulokset!$G$41="",Tulokset!$I$41="",'20'!$I$42="",'20'!$K$42=""),"",IF(SIGN('20'!$I$42-'20'!$K$42)&lt;&gt;SIGN(Tulokset!$G$41-Tulokset!$I$41),0,IF(Tulokset!$G$41=Tulokset!$I$41,IF(AND('20'!$I$42=Tulokset!$G$41,'20'!$K$42=Tulokset!$I$41),6,3),MAX(0,6-(ABS('20'!$I$42-Tulokset!$G$41)+ABS('20'!$K$42-Tulokset!$I$41))))))</f>
        <v/>
      </c>
      <c r="AR23" t="str">
        <f>IF(OR(Tulokset!$G$42="",Tulokset!$I$42="",'20'!$I$43="",'20'!$K$43=""),"",IF(SIGN('20'!$I$43-'20'!$K$43)&lt;&gt;SIGN(Tulokset!$G$42-Tulokset!$I$42),0,IF(Tulokset!$G$42=Tulokset!$I$42,IF(AND('20'!$I$43=Tulokset!$G$42,'20'!$K$43=Tulokset!$I$42),6,3),MAX(0,6-(ABS('20'!$I$43-Tulokset!$G$42)+ABS('20'!$K$43-Tulokset!$I$42))))))</f>
        <v/>
      </c>
      <c r="AS23" t="str">
        <f>IF(OR(Tulokset!$G$43="",Tulokset!$I$43="",'20'!$I$44="",'20'!$K$44=""),"",IF(SIGN('20'!$I$44-'20'!$K$44)&lt;&gt;SIGN(Tulokset!$G$43-Tulokset!$I$43),0,IF(Tulokset!$G$43=Tulokset!$I$43,IF(AND('20'!$I$44=Tulokset!$G$43,'20'!$K$44=Tulokset!$I$43),6,3),MAX(0,6-(ABS('20'!$I$44-Tulokset!$G$43)+ABS('20'!$K$44-Tulokset!$I$43))))))</f>
        <v/>
      </c>
      <c r="AT23" t="str">
        <f>IF(OR(Tulokset!$G$44="",Tulokset!$I$44="",'20'!$I$45="",'20'!$K$45=""),"",IF(SIGN('20'!$I$45-'20'!$K$45)&lt;&gt;SIGN(Tulokset!$G$44-Tulokset!$I$44),0,IF(Tulokset!$G$44=Tulokset!$I$44,IF(AND('20'!$I$45=Tulokset!$G$44,'20'!$K$45=Tulokset!$I$44),6,3),MAX(0,6-(ABS('20'!$I$45-Tulokset!$G$44)+ABS('20'!$K$45-Tulokset!$I$44))))))</f>
        <v/>
      </c>
      <c r="AU23" t="str">
        <f>IF(OR(Tulokset!$G$45="",Tulokset!$I$45="",'20'!$I$46="",'20'!$K$46=""),"",IF(SIGN('20'!$I$46-'20'!$K$46)&lt;&gt;SIGN(Tulokset!$G$45-Tulokset!$I$45),0,IF(Tulokset!$G$45=Tulokset!$I$45,IF(AND('20'!$I$46=Tulokset!$G$45,'20'!$K$46=Tulokset!$I$45),6,3),MAX(0,6-(ABS('20'!$I$46-Tulokset!$G$45)+ABS('20'!$K$46-Tulokset!$I$45))))))</f>
        <v/>
      </c>
      <c r="AV23" t="str">
        <f>IF(OR(Tulokset!$G$46="",Tulokset!$I$46="",'20'!$I$47="",'20'!$K$47=""),"",IF(SIGN('20'!$I$47-'20'!$K$47)&lt;&gt;SIGN(Tulokset!$G$46-Tulokset!$I$46),0,IF(Tulokset!$G$46=Tulokset!$I$46,IF(AND('20'!$I$47=Tulokset!$G$46,'20'!$K$47=Tulokset!$I$46),6,3),MAX(0,6-(ABS('20'!$I$47-Tulokset!$G$46)+ABS('20'!$K$47-Tulokset!$I$46))))))</f>
        <v/>
      </c>
      <c r="AW23" t="str">
        <f>IF(OR(Tulokset!$G$47="",Tulokset!$I$47="",'20'!$I$48="",'20'!$K$48=""),"",IF(SIGN('20'!$I$48-'20'!$K$48)&lt;&gt;SIGN(Tulokset!$G$47-Tulokset!$I$47),0,IF(Tulokset!$G$47=Tulokset!$I$47,IF(AND('20'!$I$48=Tulokset!$G$47,'20'!$K$48=Tulokset!$I$47),6,3),MAX(0,6-(ABS('20'!$I$48-Tulokset!$G$47)+ABS('20'!$K$48-Tulokset!$I$47))))))</f>
        <v/>
      </c>
      <c r="AX23" t="str">
        <f>IF(OR(Tulokset!$G$48="",Tulokset!$I$48="",'20'!$I$49="",'20'!$K$49=""),"",IF(SIGN('20'!$I$49-'20'!$K$49)&lt;&gt;SIGN(Tulokset!$G$48-Tulokset!$I$48),0,IF(Tulokset!$G$48=Tulokset!$I$48,IF(AND('20'!$I$49=Tulokset!$G$48,'20'!$K$49=Tulokset!$I$48),6,3),MAX(0,6-(ABS('20'!$I$49-Tulokset!$G$48)+ABS('20'!$K$49-Tulokset!$I$48))))))</f>
        <v/>
      </c>
      <c r="AY23" t="str">
        <f>IF(OR(Tulokset!$G$49="",Tulokset!$I$49="",'20'!$I$50="",'20'!$K$50=""),"",IF(SIGN('20'!$I$50-'20'!$K$50)&lt;&gt;SIGN(Tulokset!$G$49-Tulokset!$I$49),0,IF(Tulokset!$G$49=Tulokset!$I$49,IF(AND('20'!$I$50=Tulokset!$G$49,'20'!$K$50=Tulokset!$I$49),6,3),MAX(0,6-(ABS('20'!$I$50-Tulokset!$G$49)+ABS('20'!$K$50-Tulokset!$I$49))))))</f>
        <v/>
      </c>
      <c r="AZ23" t="str">
        <f>IF(OR(Tulokset!$G$50="",Tulokset!$I$50="",'20'!$I$51="",'20'!$K$51=""),"",IF(SIGN('20'!$I$51-'20'!$K$51)&lt;&gt;SIGN(Tulokset!$G$50-Tulokset!$I$50),0,IF(Tulokset!$G$50=Tulokset!$I$50,IF(AND('20'!$I$51=Tulokset!$G$50,'20'!$K$51=Tulokset!$I$50),6,3),MAX(0,6-(ABS('20'!$I$51-Tulokset!$G$50)+ABS('20'!$K$51-Tulokset!$I$50))))))</f>
        <v/>
      </c>
      <c r="BA23" t="str">
        <f>IF(OR(Tulokset!$G$51="",Tulokset!$I$51="",'20'!$I$52="",'20'!$K$52=""),"",IF(SIGN('20'!$I$52-'20'!$K$52)&lt;&gt;SIGN(Tulokset!$G$51-Tulokset!$I$51),0,IF(Tulokset!$G$51=Tulokset!$I$51,IF(AND('20'!$I$52=Tulokset!$G$51,'20'!$K$52=Tulokset!$I$51),6,3),MAX(0,6-(ABS('20'!$I$52-Tulokset!$G$51)+ABS('20'!$K$52-Tulokset!$I$51))))))</f>
        <v/>
      </c>
      <c r="BB23" t="str">
        <f>IF(OR(Tulokset!$G$52="",Tulokset!$I$52="",'20'!$I$53="",'20'!$K$53=""),"",IF(SIGN('20'!$I$53-'20'!$K$53)&lt;&gt;SIGN(Tulokset!$G$52-Tulokset!$I$52),0,IF(Tulokset!$G$52=Tulokset!$I$52,IF(AND('20'!$I$53=Tulokset!$G$52,'20'!$K$53=Tulokset!$I$52),6,3),MAX(0,6-(ABS('20'!$I$53-Tulokset!$G$52)+ABS('20'!$K$53-Tulokset!$I$52))))))</f>
        <v/>
      </c>
      <c r="BC23" t="str">
        <f>IF(OR(Tulokset!$G$53="",Tulokset!$I$53="",'20'!$I$54="",'20'!$K$54=""),"",IF(SIGN('20'!$I$54-'20'!$K$54)&lt;&gt;SIGN(Tulokset!$G$53-Tulokset!$I$53),0,IF(Tulokset!$G$53=Tulokset!$I$53,IF(AND('20'!$I$54=Tulokset!$G$53,'20'!$K$54=Tulokset!$I$53),6,3),MAX(0,6-(ABS('20'!$I$54-Tulokset!$G$53)+ABS('20'!$K$54-Tulokset!$I$53))))))</f>
        <v/>
      </c>
      <c r="BD23" t="str">
        <f>IF(OR(Tulokset!$G$54="",Tulokset!$I$54="",'20'!$I$55="",'20'!$K$55=""),"",IF(SIGN('20'!$I$55-'20'!$K$55)&lt;&gt;SIGN(Tulokset!$G$54-Tulokset!$I$54),0,IF(Tulokset!$G$54=Tulokset!$I$54,IF(AND('20'!$I$55=Tulokset!$G$54,'20'!$K$55=Tulokset!$I$54),6,3),MAX(0,6-(ABS('20'!$I$55-Tulokset!$G$54)+ABS('20'!$K$55-Tulokset!$I$54))))))</f>
        <v/>
      </c>
      <c r="BE23" t="str">
        <f>IF(OR(Tulokset!$G$55="",Tulokset!$I$55="",'20'!$I$56="",'20'!$K$56=""),"",IF(SIGN('20'!$I$56-'20'!$K$56)&lt;&gt;SIGN(Tulokset!$G$55-Tulokset!$I$55),0,IF(Tulokset!$G$55=Tulokset!$I$55,IF(AND('20'!$I$56=Tulokset!$G$55,'20'!$K$56=Tulokset!$I$55),6,3),MAX(0,6-(ABS('20'!$I$56-Tulokset!$G$55)+ABS('20'!$K$56-Tulokset!$I$55))))))</f>
        <v/>
      </c>
      <c r="BF23" t="str">
        <f>IF(OR(Tulokset!$G$56="",Tulokset!$I$56="",'20'!$I$57="",'20'!$K$57=""),"",IF(SIGN('20'!$I$57-'20'!$K$57)&lt;&gt;SIGN(Tulokset!$G$56-Tulokset!$I$56),0,IF(Tulokset!$G$56=Tulokset!$I$56,IF(AND('20'!$I$57=Tulokset!$G$56,'20'!$K$57=Tulokset!$I$56),6,3),MAX(0,6-(ABS('20'!$I$57-Tulokset!$G$56)+ABS('20'!$K$57-Tulokset!$I$56))))))</f>
        <v/>
      </c>
      <c r="BG23" t="str">
        <f>IF(OR(Tulokset!$G$57="",Tulokset!$I$57="",'20'!$I$58="",'20'!$K$58=""),"",IF(SIGN('20'!$I$58-'20'!$K$58)&lt;&gt;SIGN(Tulokset!$G$57-Tulokset!$I$57),0,IF(Tulokset!$G$57=Tulokset!$I$57,IF(AND('20'!$I$58=Tulokset!$G$57,'20'!$K$58=Tulokset!$I$57),6,3),MAX(0,6-(ABS('20'!$I$58-Tulokset!$G$57)+ABS('20'!$K$58-Tulokset!$I$57))))))</f>
        <v/>
      </c>
      <c r="BH23" t="str">
        <f>IF(OR(Tulokset!$G$58="",Tulokset!$I$58="",'20'!$I$59="",'20'!$K$59=""),"",IF(SIGN('20'!$I$59-'20'!$K$59)&lt;&gt;SIGN(Tulokset!$G$58-Tulokset!$I$58),0,IF(Tulokset!$G$58=Tulokset!$I$58,IF(AND('20'!$I$59=Tulokset!$G$58,'20'!$K$59=Tulokset!$I$58),6,3),MAX(0,6-(ABS('20'!$I$59-Tulokset!$G$58)+ABS('20'!$K$59-Tulokset!$I$58))))))</f>
        <v/>
      </c>
      <c r="BI23" t="str">
        <f>IF(OR(Tulokset!$G$59="",Tulokset!$I$59="",'20'!$I$60="",'20'!$K$60=""),"",IF(SIGN('20'!$I$60-'20'!$K$60)&lt;&gt;SIGN(Tulokset!$G$59-Tulokset!$I$59),0,IF(Tulokset!$G$59=Tulokset!$I$59,IF(AND('20'!$I$60=Tulokset!$G$59,'20'!$K$60=Tulokset!$I$59),6,3),MAX(0,6-(ABS('20'!$I$60-Tulokset!$G$59)+ABS('20'!$K$60-Tulokset!$I$59))))))</f>
        <v/>
      </c>
      <c r="BJ23" t="str">
        <f>IF(OR(Tulokset!$G$60="",Tulokset!$I$60="",'20'!$I$61="",'20'!$K$61=""),"",IF(SIGN('20'!$I$61-'20'!$K$61)&lt;&gt;SIGN(Tulokset!$G$60-Tulokset!$I$60),0,IF(Tulokset!$G$60=Tulokset!$I$60,IF(AND('20'!$I$61=Tulokset!$G$60,'20'!$K$61=Tulokset!$I$60),6,3),MAX(0,6-(ABS('20'!$I$61-Tulokset!$G$60)+ABS('20'!$K$61-Tulokset!$I$60))))))</f>
        <v/>
      </c>
      <c r="BK23" t="str">
        <f>IF(OR(Tulokset!$G$61="",Tulokset!$I$61="",'20'!$I$62="",'20'!$K$62=""),"",IF(SIGN('20'!$I$62-'20'!$K$62)&lt;&gt;SIGN(Tulokset!$G$61-Tulokset!$I$61),0,IF(Tulokset!$G$61=Tulokset!$I$61,IF(AND('20'!$I$62=Tulokset!$G$61,'20'!$K$62=Tulokset!$I$61),6,3),MAX(0,6-(ABS('20'!$I$62-Tulokset!$G$61)+ABS('20'!$K$62-Tulokset!$I$61))))))</f>
        <v/>
      </c>
      <c r="BL23" t="str">
        <f>IF(OR(Tulokset!$G$62="",Tulokset!$I$62="",'20'!$I$63="",'20'!$K$63=""),"",IF(SIGN('20'!$I$63-'20'!$K$63)&lt;&gt;SIGN(Tulokset!$G$62-Tulokset!$I$62),0,IF(Tulokset!$G$62=Tulokset!$I$62,IF(AND('20'!$I$63=Tulokset!$G$62,'20'!$K$63=Tulokset!$I$62),6,3),MAX(0,6-(ABS('20'!$I$63-Tulokset!$G$62)+ABS('20'!$K$63-Tulokset!$I$62))))))</f>
        <v/>
      </c>
      <c r="BM23" t="str">
        <f>IF(OR(Tulokset!$G$63="",Tulokset!$I$63="",'20'!$I$64="",'20'!$K$64=""),"",IF(SIGN('20'!$I$64-'20'!$K$64)&lt;&gt;SIGN(Tulokset!$G$63-Tulokset!$I$63),0,IF(Tulokset!$G$63=Tulokset!$I$63,IF(AND('20'!$I$64=Tulokset!$G$63,'20'!$K$64=Tulokset!$I$63),6,3),MAX(0,6-(ABS('20'!$I$64-Tulokset!$G$63)+ABS('20'!$K$64-Tulokset!$I$63))))))</f>
        <v/>
      </c>
      <c r="BN23" t="str">
        <f>IF(OR(Tulokset!$G$64="",Tulokset!$I$64="",'20'!$I$65="",'20'!$K$65=""),"",IF(SIGN('20'!$I$65-'20'!$K$65)&lt;&gt;SIGN(Tulokset!$G$64-Tulokset!$I$64),0,IF(Tulokset!$G$64=Tulokset!$I$64,IF(AND('20'!$I$65=Tulokset!$G$64,'20'!$K$65=Tulokset!$I$64),6,3),MAX(0,6-(ABS('20'!$I$65-Tulokset!$G$64)+ABS('20'!$K$65-Tulokset!$I$64))))))</f>
        <v/>
      </c>
      <c r="BO23" t="str">
        <f>IF(OR(Tulokset!$G$65="",Tulokset!$I$65="",'20'!$I$66="",'20'!$K$66=""),"",IF(SIGN('20'!$I$66-'20'!$K$66)&lt;&gt;SIGN(Tulokset!$G$65-Tulokset!$I$65),0,IF(Tulokset!$G$65=Tulokset!$I$65,IF(AND('20'!$I$66=Tulokset!$G$65,'20'!$K$66=Tulokset!$I$65),6,3),MAX(0,6-(ABS('20'!$I$66-Tulokset!$G$65)+ABS('20'!$K$66-Tulokset!$I$65))))))</f>
        <v/>
      </c>
      <c r="BP23" t="str">
        <f>IF(OR(Tulokset!$G$66="",Tulokset!$I$66="",'20'!$I$67="",'20'!$K$67=""),"",IF(SIGN('20'!$I$67-'20'!$K$67)&lt;&gt;SIGN(Tulokset!$G$66-Tulokset!$I$66),0,IF(Tulokset!$G$66=Tulokset!$I$66,IF(AND('20'!$I$67=Tulokset!$G$66,'20'!$K$67=Tulokset!$I$66),6,3),MAX(0,6-(ABS('20'!$I$67-Tulokset!$G$66)+ABS('20'!$K$67-Tulokset!$I$66))))))</f>
        <v/>
      </c>
      <c r="BQ23" t="str">
        <f>IF(OR(Tulokset!$G$67="",Tulokset!$I$67="",'20'!$I$68="",'20'!$K$68=""),"",IF(SIGN('20'!$I$68-'20'!$K$68)&lt;&gt;SIGN(Tulokset!$G$67-Tulokset!$I$67),0,IF(Tulokset!$G$67=Tulokset!$I$67,IF(AND('20'!$I$68=Tulokset!$G$67,'20'!$K$68=Tulokset!$I$67),6,3),MAX(0,6-(ABS('20'!$I$68-Tulokset!$G$67)+ABS('20'!$K$68-Tulokset!$I$67))))))</f>
        <v/>
      </c>
      <c r="BR23" t="str">
        <f>IF(OR(Tulokset!$G$68="",Tulokset!$I$68="",'20'!$I$69="",'20'!$K$69=""),"",IF(SIGN('20'!$I$69-'20'!$K$69)&lt;&gt;SIGN(Tulokset!$G$68-Tulokset!$I$68),0,IF(Tulokset!$G$68=Tulokset!$I$68,IF(AND('20'!$I$69=Tulokset!$G$68,'20'!$K$69=Tulokset!$I$68),6,3),MAX(0,6-(ABS('20'!$I$69-Tulokset!$G$68)+ABS('20'!$K$69-Tulokset!$I$68))))))</f>
        <v/>
      </c>
      <c r="BS23" t="str">
        <f>IF(OR(Tulokset!$G$69="",Tulokset!$I$69="",'20'!$I$70="",'20'!$K$70=""),"",IF(SIGN('20'!$I$70-'20'!$K$70)&lt;&gt;SIGN(Tulokset!$G$69-Tulokset!$I$69),0,IF(Tulokset!$G$69=Tulokset!$I$69,IF(AND('20'!$I$70=Tulokset!$G$69,'20'!$K$70=Tulokset!$I$69),6,3),MAX(0,6-(ABS('20'!$I$70-Tulokset!$G$69)+ABS('20'!$K$70-Tulokset!$I$69))))))</f>
        <v/>
      </c>
      <c r="BT23" t="str">
        <f>IF(OR(Tulokset!$G$70="",Tulokset!$I$70="",'20'!$I$71="",'20'!$K$71=""),"",IF(SIGN('20'!$I$71-'20'!$K$71)&lt;&gt;SIGN(Tulokset!$G$70-Tulokset!$I$70),0,IF(Tulokset!$G$70=Tulokset!$I$70,IF(AND('20'!$I$71=Tulokset!$G$70,'20'!$K$71=Tulokset!$I$70),6,3),MAX(0,6-(ABS('20'!$I$71-Tulokset!$G$70)+ABS('20'!$K$71-Tulokset!$I$70))))))</f>
        <v/>
      </c>
      <c r="BU23" t="str">
        <f>IF(OR(Tulokset!$G$71="",Tulokset!$I$71="",'20'!$I$72="",'20'!$K$72=""),"",IF(SIGN('20'!$I$72-'20'!$K$72)&lt;&gt;SIGN(Tulokset!$G$71-Tulokset!$I$71),0,IF(Tulokset!$G$71=Tulokset!$I$71,IF(AND('20'!$I$72=Tulokset!$G$71,'20'!$K$72=Tulokset!$I$71),6,3),MAX(0,6-(ABS('20'!$I$72-Tulokset!$G$71)+ABS('20'!$K$72-Tulokset!$I$71))))))</f>
        <v/>
      </c>
      <c r="BV23" t="str">
        <f>IF(OR(Tulokset!$G$72="",Tulokset!$I$72="",'20'!$I$73="",'20'!$K$73=""),"",IF(SIGN('20'!$I$73-'20'!$K$73)&lt;&gt;SIGN(Tulokset!$G$72-Tulokset!$I$72),0,IF(Tulokset!$G$72=Tulokset!$I$72,IF(AND('20'!$I$73=Tulokset!$G$72,'20'!$K$73=Tulokset!$I$72),6,3),MAX(0,6-(ABS('20'!$I$73-Tulokset!$G$72)+ABS('20'!$K$73-Tulokset!$I$72))))))</f>
        <v/>
      </c>
      <c r="BW23" t="str">
        <f>IF(OR(Tulokset!$G$73="",Tulokset!$I$73="",'20'!$I$74="",'20'!$K$74=""),"",IF(SIGN('20'!$I$74-'20'!$K$74)&lt;&gt;SIGN(Tulokset!$G$73-Tulokset!$I$73),0,IF(Tulokset!$G$73=Tulokset!$I$73,IF(AND('20'!$I$74=Tulokset!$G$73,'20'!$K$74=Tulokset!$I$73),6,3),MAX(0,6-(ABS('20'!$I$74-Tulokset!$G$73)+ABS('20'!$K$74-Tulokset!$I$73))))))</f>
        <v/>
      </c>
      <c r="BX23" t="str">
        <f>IF(OR(Tulokset!$G$74="",Tulokset!$I$74="",'20'!$I$75="",'20'!$K$75=""),"",IF(SIGN('20'!$I$75-'20'!$K$75)&lt;&gt;SIGN(Tulokset!$G$74-Tulokset!$I$74),0,IF(Tulokset!$G$74=Tulokset!$I$74,IF(AND('20'!$I$75=Tulokset!$G$74,'20'!$K$75=Tulokset!$I$74),6,3),MAX(0,6-(ABS('20'!$I$75-Tulokset!$G$74)+ABS('20'!$K$75-Tulokset!$I$74))))))</f>
        <v/>
      </c>
      <c r="BY23" t="str">
        <f>IF(OR(Tulokset!$G$75="",Tulokset!$I$75="",'20'!$I$76="",'20'!$K$76=""),"",IF(SIGN('20'!$I$76-'20'!$K$76)&lt;&gt;SIGN(Tulokset!$G$75-Tulokset!$I$75),0,IF(Tulokset!$G$75=Tulokset!$I$75,IF(AND('20'!$I$76=Tulokset!$G$75,'20'!$K$76=Tulokset!$I$75),6,3),MAX(0,6-(ABS('20'!$I$76-Tulokset!$G$75)+ABS('20'!$K$76-Tulokset!$I$75))))))</f>
        <v/>
      </c>
      <c r="BZ23" t="str">
        <f>IF(OR(Tulokset!$G$76="",Tulokset!$I$76="",'20'!$I$77="",'20'!$K$77=""),"",IF(SIGN('20'!$I$77-'20'!$K$77)&lt;&gt;SIGN(Tulokset!$G$76-Tulokset!$I$76),0,IF(Tulokset!$G$76=Tulokset!$I$76,IF(AND('20'!$I$77=Tulokset!$G$76,'20'!$K$77=Tulokset!$I$76),6,3),MAX(0,6-(ABS('20'!$I$77-Tulokset!$G$76)+ABS('20'!$K$77-Tulokset!$I$76))))))</f>
        <v/>
      </c>
      <c r="CA23" t="str">
        <f>IF(OR(Tulokset!$G$77="",Tulokset!$I$77="",'20'!$I$78="",'20'!$K$78=""),"",IF(SIGN('20'!$I$78-'20'!$K$78)&lt;&gt;SIGN(Tulokset!$G$77-Tulokset!$I$77),0,IF(Tulokset!$G$77=Tulokset!$I$77,IF(AND('20'!$I$78=Tulokset!$G$77,'20'!$K$78=Tulokset!$I$77),6,3),MAX(0,6-(ABS('20'!$I$78-Tulokset!$G$77)+ABS('20'!$K$78-Tulokset!$I$77))))))</f>
        <v/>
      </c>
      <c r="CD23" t="str">
        <f ca="1">IF(OR(Tulokset!$M$6="",INDIRECT("'"&amp;$A23&amp;"'!$P$8")=""),"",IF(TRIM(INDIRECT("'"&amp;$A23&amp;"'!$P$8"))=TRIM(Tulokset!$M$6),2,0))</f>
        <v/>
      </c>
      <c r="CE23" t="str">
        <f ca="1">IF(OR(Tulokset!$M$7="",INDIRECT("'"&amp;$A23&amp;"'!$P$9")=""),"",IF(TRIM(INDIRECT("'"&amp;$A23&amp;"'!$P$9"))=TRIM(Tulokset!$M$7),2,0))</f>
        <v/>
      </c>
      <c r="CF23" t="str">
        <f ca="1">IF(OR(Tulokset!$M$8="",INDIRECT("'"&amp;$A23&amp;"'!$P$10")=""),"",IF(TRIM(INDIRECT("'"&amp;$A23&amp;"'!$P$10"))=TRIM(Tulokset!$M$8),2,0))</f>
        <v/>
      </c>
      <c r="CG23" t="str">
        <f ca="1">IF(OR(Tulokset!$M$9="",INDIRECT("'"&amp;$A23&amp;"'!$P$11")=""),"",IF(TRIM(INDIRECT("'"&amp;$A23&amp;"'!$P$11"))=TRIM(Tulokset!$M$9),2,0))</f>
        <v/>
      </c>
      <c r="CH23" t="str">
        <f ca="1">IF(OR(Tulokset!$N$6="",INDIRECT("'"&amp;$A23&amp;"'!$Q$8")=""),"",IF(TRIM(INDIRECT("'"&amp;$A23&amp;"'!$Q$8"))=TRIM(Tulokset!$N$6),2,0))</f>
        <v/>
      </c>
      <c r="CI23" t="str">
        <f ca="1">IF(OR(Tulokset!$N$7="",INDIRECT("'"&amp;$A23&amp;"'!$Q$9")=""),"",IF(TRIM(INDIRECT("'"&amp;$A23&amp;"'!$Q$9"))=TRIM(Tulokset!$N$7),2,0))</f>
        <v/>
      </c>
      <c r="CJ23" t="str">
        <f ca="1">IF(OR(Tulokset!$N$8="",INDIRECT("'"&amp;$A23&amp;"'!$Q$10")=""),"",IF(TRIM(INDIRECT("'"&amp;$A23&amp;"'!$Q$10"))=TRIM(Tulokset!$N$8),2,0))</f>
        <v/>
      </c>
      <c r="CK23" t="str">
        <f ca="1">IF(OR(Tulokset!$N$9="",INDIRECT("'"&amp;$A23&amp;"'!$Q$11")=""),"",IF(TRIM(INDIRECT("'"&amp;$A23&amp;"'!$Q$11"))=TRIM(Tulokset!$N$9),2,0))</f>
        <v/>
      </c>
      <c r="CL23" t="str">
        <f ca="1">IF(OR(Tulokset!$O$6="",INDIRECT("'"&amp;$A23&amp;"'!$R$8")=""),"",IF(TRIM(INDIRECT("'"&amp;$A23&amp;"'!$R$8"))=TRIM(Tulokset!$O$6),2,0))</f>
        <v/>
      </c>
      <c r="CM23" t="str">
        <f ca="1">IF(OR(Tulokset!$O$7="",INDIRECT("'"&amp;$A23&amp;"'!$R$9")=""),"",IF(TRIM(INDIRECT("'"&amp;$A23&amp;"'!$R$9"))=TRIM(Tulokset!$O$7),2,0))</f>
        <v/>
      </c>
      <c r="CN23" t="str">
        <f ca="1">IF(OR(Tulokset!$O$8="",INDIRECT("'"&amp;$A23&amp;"'!$R$10")=""),"",IF(TRIM(INDIRECT("'"&amp;$A23&amp;"'!$R$10"))=TRIM(Tulokset!$O$8),2,0))</f>
        <v/>
      </c>
      <c r="CO23" t="str">
        <f ca="1">IF(OR(Tulokset!$O$9="",INDIRECT("'"&amp;$A23&amp;"'!$R$11")=""),"",IF(TRIM(INDIRECT("'"&amp;$A23&amp;"'!$R$11"))=TRIM(Tulokset!$O$9),2,0))</f>
        <v/>
      </c>
      <c r="CP23" t="str">
        <f ca="1">IF(OR(Tulokset!$P$6="",INDIRECT("'"&amp;$A23&amp;"'!$S$8")=""),"",IF(TRIM(INDIRECT("'"&amp;$A23&amp;"'!$S$8"))=TRIM(Tulokset!$P$6),2,0))</f>
        <v/>
      </c>
      <c r="CQ23" t="str">
        <f ca="1">IF(OR(Tulokset!$P$7="",INDIRECT("'"&amp;$A23&amp;"'!$S$9")=""),"",IF(TRIM(INDIRECT("'"&amp;$A23&amp;"'!$S$9"))=TRIM(Tulokset!$P$7),2,0))</f>
        <v/>
      </c>
      <c r="CR23" t="str">
        <f ca="1">IF(OR(Tulokset!$P$8="",INDIRECT("'"&amp;$A23&amp;"'!$S$10")=""),"",IF(TRIM(INDIRECT("'"&amp;$A23&amp;"'!$S$10"))=TRIM(Tulokset!$P$8),2,0))</f>
        <v/>
      </c>
      <c r="CS23" t="str">
        <f ca="1">IF(OR(Tulokset!$P$9="",INDIRECT("'"&amp;$A23&amp;"'!$S$11")=""),"",IF(TRIM(INDIRECT("'"&amp;$A23&amp;"'!$S$11"))=TRIM(Tulokset!$P$9),2,0))</f>
        <v/>
      </c>
      <c r="CT23" t="str">
        <f ca="1">IF(OR(Tulokset!$Q$6="",INDIRECT("'"&amp;$A23&amp;"'!$T$8")=""),"",IF(TRIM(INDIRECT("'"&amp;$A23&amp;"'!$T$8"))=TRIM(Tulokset!$Q$6),2,0))</f>
        <v/>
      </c>
      <c r="CU23" t="str">
        <f ca="1">IF(OR(Tulokset!$Q$7="",INDIRECT("'"&amp;$A23&amp;"'!$T$9")=""),"",IF(TRIM(INDIRECT("'"&amp;$A23&amp;"'!$T$9"))=TRIM(Tulokset!$Q$7),2,0))</f>
        <v/>
      </c>
      <c r="CV23" t="str">
        <f ca="1">IF(OR(Tulokset!$Q$8="",INDIRECT("'"&amp;$A23&amp;"'!$T$10")=""),"",IF(TRIM(INDIRECT("'"&amp;$A23&amp;"'!$T$10"))=TRIM(Tulokset!$Q$8),2,0))</f>
        <v/>
      </c>
      <c r="CW23" t="str">
        <f ca="1">IF(OR(Tulokset!$Q$9="",INDIRECT("'"&amp;$A23&amp;"'!$T$11")=""),"",IF(TRIM(INDIRECT("'"&amp;$A23&amp;"'!$T$11"))=TRIM(Tulokset!$Q$9),2,0))</f>
        <v/>
      </c>
      <c r="CX23" t="str">
        <f ca="1">IF(OR(Tulokset!$R$6="",INDIRECT("'"&amp;$A23&amp;"'!$U$8")=""),"",IF(TRIM(INDIRECT("'"&amp;$A23&amp;"'!$U$8"))=TRIM(Tulokset!$R$6),2,0))</f>
        <v/>
      </c>
      <c r="CY23" t="str">
        <f ca="1">IF(OR(Tulokset!$R$7="",INDIRECT("'"&amp;$A23&amp;"'!$U$9")=""),"",IF(TRIM(INDIRECT("'"&amp;$A23&amp;"'!$U$9"))=TRIM(Tulokset!$R$7),2,0))</f>
        <v/>
      </c>
      <c r="CZ23" t="str">
        <f ca="1">IF(OR(Tulokset!$R$8="",INDIRECT("'"&amp;$A23&amp;"'!$U$10")=""),"",IF(TRIM(INDIRECT("'"&amp;$A23&amp;"'!$U$10"))=TRIM(Tulokset!$R$8),2,0))</f>
        <v/>
      </c>
      <c r="DA23" t="str">
        <f ca="1">IF(OR(Tulokset!$R$9="",INDIRECT("'"&amp;$A23&amp;"'!$U$11")=""),"",IF(TRIM(INDIRECT("'"&amp;$A23&amp;"'!$U$11"))=TRIM(Tulokset!$R$9),2,0))</f>
        <v/>
      </c>
      <c r="DB23" t="str">
        <f ca="1">IF(OR(Tulokset!$M$12="",INDIRECT("'"&amp;$A23&amp;"'!$P$14")=""),"",IF(TRIM(INDIRECT("'"&amp;$A23&amp;"'!$P$14"))=TRIM(Tulokset!$M$12),2,0))</f>
        <v/>
      </c>
      <c r="DC23" t="str">
        <f ca="1">IF(OR(Tulokset!$M$13="",INDIRECT("'"&amp;$A23&amp;"'!$P$15")=""),"",IF(TRIM(INDIRECT("'"&amp;$A23&amp;"'!$P$15"))=TRIM(Tulokset!$M$13),2,0))</f>
        <v/>
      </c>
      <c r="DD23" t="str">
        <f ca="1">IF(OR(Tulokset!$M$14="",INDIRECT("'"&amp;$A23&amp;"'!$P$16")=""),"",IF(TRIM(INDIRECT("'"&amp;$A23&amp;"'!$P$16"))=TRIM(Tulokset!$M$14),2,0))</f>
        <v/>
      </c>
      <c r="DE23" t="str">
        <f ca="1">IF(OR(Tulokset!$M$15="",INDIRECT("'"&amp;$A23&amp;"'!$P$17")=""),"",IF(TRIM(INDIRECT("'"&amp;$A23&amp;"'!$P$17"))=TRIM(Tulokset!$M$15),2,0))</f>
        <v/>
      </c>
      <c r="DF23" t="str">
        <f ca="1">IF(OR(Tulokset!$N$12="",INDIRECT("'"&amp;$A23&amp;"'!$Q$14")=""),"",IF(TRIM(INDIRECT("'"&amp;$A23&amp;"'!$Q$14"))=TRIM(Tulokset!$N$12),2,0))</f>
        <v/>
      </c>
      <c r="DG23" t="str">
        <f ca="1">IF(OR(Tulokset!$N$13="",INDIRECT("'"&amp;$A23&amp;"'!$Q$15")=""),"",IF(TRIM(INDIRECT("'"&amp;$A23&amp;"'!$Q$15"))=TRIM(Tulokset!$N$13),2,0))</f>
        <v/>
      </c>
      <c r="DH23" t="str">
        <f ca="1">IF(OR(Tulokset!$N$14="",INDIRECT("'"&amp;$A23&amp;"'!$Q$16")=""),"",IF(TRIM(INDIRECT("'"&amp;$A23&amp;"'!$Q$16"))=TRIM(Tulokset!$N$14),2,0))</f>
        <v/>
      </c>
      <c r="DI23" t="str">
        <f ca="1">IF(OR(Tulokset!$N$15="",INDIRECT("'"&amp;$A23&amp;"'!$Q$17")=""),"",IF(TRIM(INDIRECT("'"&amp;$A23&amp;"'!$Q$17"))=TRIM(Tulokset!$N$15),2,0))</f>
        <v/>
      </c>
      <c r="DJ23" t="str">
        <f ca="1">IF(OR(Tulokset!$O$12="",INDIRECT("'"&amp;$A23&amp;"'!$R$14")=""),"",IF(TRIM(INDIRECT("'"&amp;$A23&amp;"'!$R$14"))=TRIM(Tulokset!$O$12),2,0))</f>
        <v/>
      </c>
      <c r="DK23" t="str">
        <f ca="1">IF(OR(Tulokset!$O$13="",INDIRECT("'"&amp;$A23&amp;"'!$R$15")=""),"",IF(TRIM(INDIRECT("'"&amp;$A23&amp;"'!$R$15"))=TRIM(Tulokset!$O$13),2,0))</f>
        <v/>
      </c>
      <c r="DL23" t="str">
        <f ca="1">IF(OR(Tulokset!$O$14="",INDIRECT("'"&amp;$A23&amp;"'!$R$16")=""),"",IF(TRIM(INDIRECT("'"&amp;$A23&amp;"'!$R$16"))=TRIM(Tulokset!$O$14),2,0))</f>
        <v/>
      </c>
      <c r="DM23" t="str">
        <f ca="1">IF(OR(Tulokset!$O$15="",INDIRECT("'"&amp;$A23&amp;"'!$R$17")=""),"",IF(TRIM(INDIRECT("'"&amp;$A23&amp;"'!$R$17"))=TRIM(Tulokset!$O$15),2,0))</f>
        <v/>
      </c>
      <c r="DN23" t="str">
        <f ca="1">IF(OR(Tulokset!$P$12="",INDIRECT("'"&amp;$A23&amp;"'!$S$14")=""),"",IF(TRIM(INDIRECT("'"&amp;$A23&amp;"'!$S$14"))=TRIM(Tulokset!$P$12),2,0))</f>
        <v/>
      </c>
      <c r="DO23" t="str">
        <f ca="1">IF(OR(Tulokset!$P$13="",INDIRECT("'"&amp;$A23&amp;"'!$S$15")=""),"",IF(TRIM(INDIRECT("'"&amp;$A23&amp;"'!$S$15"))=TRIM(Tulokset!$P$13),2,0))</f>
        <v/>
      </c>
      <c r="DP23" t="str">
        <f ca="1">IF(OR(Tulokset!$P$14="",INDIRECT("'"&amp;$A23&amp;"'!$S$16")=""),"",IF(TRIM(INDIRECT("'"&amp;$A23&amp;"'!$S$16"))=TRIM(Tulokset!$P$14),2,0))</f>
        <v/>
      </c>
      <c r="DQ23" t="str">
        <f ca="1">IF(OR(Tulokset!$P$15="",INDIRECT("'"&amp;$A23&amp;"'!$S$17")=""),"",IF(TRIM(INDIRECT("'"&amp;$A23&amp;"'!$S$17"))=TRIM(Tulokset!$P$15),2,0))</f>
        <v/>
      </c>
      <c r="DR23" t="str">
        <f ca="1">IF(OR(Tulokset!$Q$12="",INDIRECT("'"&amp;$A23&amp;"'!$T$14")=""),"",IF(TRIM(INDIRECT("'"&amp;$A23&amp;"'!$T$14"))=TRIM(Tulokset!$Q$12),2,0))</f>
        <v/>
      </c>
      <c r="DS23" t="str">
        <f ca="1">IF(OR(Tulokset!$Q$13="",INDIRECT("'"&amp;$A23&amp;"'!$T$15")=""),"",IF(TRIM(INDIRECT("'"&amp;$A23&amp;"'!$T$15"))=TRIM(Tulokset!$Q$13),2,0))</f>
        <v/>
      </c>
      <c r="DT23" t="str">
        <f ca="1">IF(OR(Tulokset!$Q$14="",INDIRECT("'"&amp;$A23&amp;"'!$T$16")=""),"",IF(TRIM(INDIRECT("'"&amp;$A23&amp;"'!$T$16"))=TRIM(Tulokset!$Q$14),2,0))</f>
        <v/>
      </c>
      <c r="DU23" t="str">
        <f ca="1">IF(OR(Tulokset!$Q$15="",INDIRECT("'"&amp;$A23&amp;"'!$T$17")=""),"",IF(TRIM(INDIRECT("'"&amp;$A23&amp;"'!$T$17"))=TRIM(Tulokset!$Q$15),2,0))</f>
        <v/>
      </c>
      <c r="DV23" t="str">
        <f ca="1">IF(OR(Tulokset!$R$12="",INDIRECT("'"&amp;$A23&amp;"'!$U$14")=""),"",IF(TRIM(INDIRECT("'"&amp;$A23&amp;"'!$U$14"))=TRIM(Tulokset!$R$12),2,0))</f>
        <v/>
      </c>
      <c r="DW23" t="str">
        <f ca="1">IF(OR(Tulokset!$R$13="",INDIRECT("'"&amp;$A23&amp;"'!$U$15")=""),"",IF(TRIM(INDIRECT("'"&amp;$A23&amp;"'!$U$15"))=TRIM(Tulokset!$R$13),2,0))</f>
        <v/>
      </c>
      <c r="DX23" t="str">
        <f ca="1">IF(OR(Tulokset!$R$14="",INDIRECT("'"&amp;$A23&amp;"'!$U$16")=""),"",IF(TRIM(INDIRECT("'"&amp;$A23&amp;"'!$U$16"))=TRIM(Tulokset!$R$14),2,0))</f>
        <v/>
      </c>
      <c r="DY23" t="str">
        <f ca="1">IF(OR(Tulokset!$R$15="",INDIRECT("'"&amp;$A23&amp;"'!$U$17")=""),"",IF(TRIM(INDIRECT("'"&amp;$A23&amp;"'!$U$17"))=TRIM(Tulokset!$R$15),2,0))</f>
        <v/>
      </c>
      <c r="EA23" t="str">
        <f ca="1">IF(OR(INDIRECT("'"&amp;$A23&amp;"'!$E$79")="",COUNTA(Tulokset!$M$20:$M$21)=0),"",IF(COUNTIF(Tulokset!$M$20:$M$21,INDIRECT("'"&amp;$A23&amp;"'!$E$79"))&gt;0,2,0))</f>
        <v/>
      </c>
      <c r="EB23" t="str">
        <f ca="1">IF(OR(INDIRECT("'"&amp;$A23&amp;"'!$G$79")="",COUNTA(Tulokset!$M$20:$M$21)=0),"",IF(COUNTIF(Tulokset!$M$20:$M$21,INDIRECT("'"&amp;$A23&amp;"'!$G$79"))&gt;0,2,0))</f>
        <v/>
      </c>
      <c r="EC23" t="str">
        <f ca="1">IF(OR(INDIRECT("'"&amp;$A23&amp;"'!$E$80")="",COUNTA(Tulokset!$M$23:$M$24)=0),"",IF(COUNTIF(Tulokset!$M$23:$M$24,INDIRECT("'"&amp;$A23&amp;"'!$E$80"))&gt;0,2,0))</f>
        <v/>
      </c>
      <c r="ED23" t="str">
        <f ca="1">IF(OR(INDIRECT("'"&amp;$A23&amp;"'!$G$80")="",COUNTA(Tulokset!$M$23:$M$24)=0),"",IF(COUNTIF(Tulokset!$M$23:$M$24,INDIRECT("'"&amp;$A23&amp;"'!$G$80"))&gt;0,2,0))</f>
        <v/>
      </c>
    </row>
    <row r="24" spans="1:134">
      <c r="A24" t="s">
        <v>316</v>
      </c>
      <c r="B24" t="str">
        <f t="shared" ca="1" si="0"/>
        <v>Heinomar</v>
      </c>
      <c r="C24" s="95">
        <f t="shared" si="1"/>
        <v>0</v>
      </c>
      <c r="D24" s="95">
        <f t="shared" ca="1" si="2"/>
        <v>0</v>
      </c>
      <c r="E24" s="95">
        <f t="shared" ca="1" si="3"/>
        <v>0</v>
      </c>
      <c r="F24" s="95">
        <f t="shared" ca="1" si="4"/>
        <v>0</v>
      </c>
      <c r="G24" s="95">
        <f t="shared" si="5"/>
        <v>0</v>
      </c>
      <c r="H24" t="str">
        <f>IF(OR(Tulokset!$G$6="",Tulokset!$I$6="",'21'!$I$7="",'21'!$K$7=""),"",IF(SIGN('21'!$I$7-'21'!$K$7)&lt;&gt;SIGN(Tulokset!$G$6-Tulokset!$I$6),0,IF(Tulokset!$G$6=Tulokset!$I$6,IF(AND('21'!$I$7=Tulokset!$G$6,'21'!$K$7=Tulokset!$I$6),6,3),MAX(0,6-(ABS('21'!$I$7-Tulokset!$G$6)+ABS('21'!$K$7-Tulokset!$I$6))))))</f>
        <v/>
      </c>
      <c r="I24" t="str">
        <f>IF(OR(Tulokset!$G$7="",Tulokset!$I$7="",'21'!$I$8="",'21'!$K$8=""),"",IF(SIGN('21'!$I$8-'21'!$K$8)&lt;&gt;SIGN(Tulokset!$G$7-Tulokset!$I$7),0,IF(Tulokset!$G$7=Tulokset!$I$7,IF(AND('21'!$I$8=Tulokset!$G$7,'21'!$K$8=Tulokset!$I$7),6,3),MAX(0,6-(ABS('21'!$I$8-Tulokset!$G$7)+ABS('21'!$K$8-Tulokset!$I$7))))))</f>
        <v/>
      </c>
      <c r="J24" t="str">
        <f>IF(OR(Tulokset!$G$8="",Tulokset!$I$8="",'21'!$I$9="",'21'!$K$9=""),"",IF(SIGN('21'!$I$9-'21'!$K$9)&lt;&gt;SIGN(Tulokset!$G$8-Tulokset!$I$8),0,IF(Tulokset!$G$8=Tulokset!$I$8,IF(AND('21'!$I$9=Tulokset!$G$8,'21'!$K$9=Tulokset!$I$8),6,3),MAX(0,6-(ABS('21'!$I$9-Tulokset!$G$8)+ABS('21'!$K$9-Tulokset!$I$8))))))</f>
        <v/>
      </c>
      <c r="K24" t="str">
        <f>IF(OR(Tulokset!$G$9="",Tulokset!$I$9="",'21'!$I$10="",'21'!$K$10=""),"",IF(SIGN('21'!$I$10-'21'!$K$10)&lt;&gt;SIGN(Tulokset!$G$9-Tulokset!$I$9),0,IF(Tulokset!$G$9=Tulokset!$I$9,IF(AND('21'!$I$10=Tulokset!$G$9,'21'!$K$10=Tulokset!$I$9),6,3),MAX(0,6-(ABS('21'!$I$10-Tulokset!$G$9)+ABS('21'!$K$10-Tulokset!$I$9))))))</f>
        <v/>
      </c>
      <c r="L24" t="str">
        <f>IF(OR(Tulokset!$G$10="",Tulokset!$I$10="",'21'!$I$11="",'21'!$K$11=""),"",IF(SIGN('21'!$I$11-'21'!$K$11)&lt;&gt;SIGN(Tulokset!$G$10-Tulokset!$I$10),0,IF(Tulokset!$G$10=Tulokset!$I$10,IF(AND('21'!$I$11=Tulokset!$G$10,'21'!$K$11=Tulokset!$I$10),6,3),MAX(0,6-(ABS('21'!$I$11-Tulokset!$G$10)+ABS('21'!$K$11-Tulokset!$I$10))))))</f>
        <v/>
      </c>
      <c r="M24" t="str">
        <f>IF(OR(Tulokset!$G$11="",Tulokset!$I$11="",'21'!$I$12="",'21'!$K$12=""),"",IF(SIGN('21'!$I$12-'21'!$K$12)&lt;&gt;SIGN(Tulokset!$G$11-Tulokset!$I$11),0,IF(Tulokset!$G$11=Tulokset!$I$11,IF(AND('21'!$I$12=Tulokset!$G$11,'21'!$K$12=Tulokset!$I$11),6,3),MAX(0,6-(ABS('21'!$I$12-Tulokset!$G$11)+ABS('21'!$K$12-Tulokset!$I$11))))))</f>
        <v/>
      </c>
      <c r="N24" t="str">
        <f>IF(OR(Tulokset!$G$12="",Tulokset!$I$12="",'21'!$I$13="",'21'!$K$13=""),"",IF(SIGN('21'!$I$13-'21'!$K$13)&lt;&gt;SIGN(Tulokset!$G$12-Tulokset!$I$12),0,IF(Tulokset!$G$12=Tulokset!$I$12,IF(AND('21'!$I$13=Tulokset!$G$12,'21'!$K$13=Tulokset!$I$12),6,3),MAX(0,6-(ABS('21'!$I$13-Tulokset!$G$12)+ABS('21'!$K$13-Tulokset!$I$12))))))</f>
        <v/>
      </c>
      <c r="O24" t="str">
        <f>IF(OR(Tulokset!$G$13="",Tulokset!$I$13="",'21'!$I$14="",'21'!$K$14=""),"",IF(SIGN('21'!$I$14-'21'!$K$14)&lt;&gt;SIGN(Tulokset!$G$13-Tulokset!$I$13),0,IF(Tulokset!$G$13=Tulokset!$I$13,IF(AND('21'!$I$14=Tulokset!$G$13,'21'!$K$14=Tulokset!$I$13),6,3),MAX(0,6-(ABS('21'!$I$14-Tulokset!$G$13)+ABS('21'!$K$14-Tulokset!$I$13))))))</f>
        <v/>
      </c>
      <c r="P24" t="str">
        <f>IF(OR(Tulokset!$G$14="",Tulokset!$I$14="",'21'!$I$15="",'21'!$K$15=""),"",IF(SIGN('21'!$I$15-'21'!$K$15)&lt;&gt;SIGN(Tulokset!$G$14-Tulokset!$I$14),0,IF(Tulokset!$G$14=Tulokset!$I$14,IF(AND('21'!$I$15=Tulokset!$G$14,'21'!$K$15=Tulokset!$I$14),6,3),MAX(0,6-(ABS('21'!$I$15-Tulokset!$G$14)+ABS('21'!$K$15-Tulokset!$I$14))))))</f>
        <v/>
      </c>
      <c r="Q24" t="str">
        <f>IF(OR(Tulokset!$G$15="",Tulokset!$I$15="",'21'!$I$16="",'21'!$K$16=""),"",IF(SIGN('21'!$I$16-'21'!$K$16)&lt;&gt;SIGN(Tulokset!$G$15-Tulokset!$I$15),0,IF(Tulokset!$G$15=Tulokset!$I$15,IF(AND('21'!$I$16=Tulokset!$G$15,'21'!$K$16=Tulokset!$I$15),6,3),MAX(0,6-(ABS('21'!$I$16-Tulokset!$G$15)+ABS('21'!$K$16-Tulokset!$I$15))))))</f>
        <v/>
      </c>
      <c r="R24" t="str">
        <f>IF(OR(Tulokset!$G$16="",Tulokset!$I$16="",'21'!$I$17="",'21'!$K$17=""),"",IF(SIGN('21'!$I$17-'21'!$K$17)&lt;&gt;SIGN(Tulokset!$G$16-Tulokset!$I$16),0,IF(Tulokset!$G$16=Tulokset!$I$16,IF(AND('21'!$I$17=Tulokset!$G$16,'21'!$K$17=Tulokset!$I$16),6,3),MAX(0,6-(ABS('21'!$I$17-Tulokset!$G$16)+ABS('21'!$K$17-Tulokset!$I$16))))))</f>
        <v/>
      </c>
      <c r="S24" t="str">
        <f>IF(OR(Tulokset!$G$17="",Tulokset!$I$17="",'21'!$I$18="",'21'!$K$18=""),"",IF(SIGN('21'!$I$18-'21'!$K$18)&lt;&gt;SIGN(Tulokset!$G$17-Tulokset!$I$17),0,IF(Tulokset!$G$17=Tulokset!$I$17,IF(AND('21'!$I$18=Tulokset!$G$17,'21'!$K$18=Tulokset!$I$17),6,3),MAX(0,6-(ABS('21'!$I$18-Tulokset!$G$17)+ABS('21'!$K$18-Tulokset!$I$17))))))</f>
        <v/>
      </c>
      <c r="T24" t="str">
        <f>IF(OR(Tulokset!$G$18="",Tulokset!$I$18="",'21'!$I$19="",'21'!$K$19=""),"",IF(SIGN('21'!$I$19-'21'!$K$19)&lt;&gt;SIGN(Tulokset!$G$18-Tulokset!$I$18),0,IF(Tulokset!$G$18=Tulokset!$I$18,IF(AND('21'!$I$19=Tulokset!$G$18,'21'!$K$19=Tulokset!$I$18),6,3),MAX(0,6-(ABS('21'!$I$19-Tulokset!$G$18)+ABS('21'!$K$19-Tulokset!$I$18))))))</f>
        <v/>
      </c>
      <c r="U24" t="str">
        <f>IF(OR(Tulokset!$G$19="",Tulokset!$I$19="",'21'!$I$20="",'21'!$K$20=""),"",IF(SIGN('21'!$I$20-'21'!$K$20)&lt;&gt;SIGN(Tulokset!$G$19-Tulokset!$I$19),0,IF(Tulokset!$G$19=Tulokset!$I$19,IF(AND('21'!$I$20=Tulokset!$G$19,'21'!$K$20=Tulokset!$I$19),6,3),MAX(0,6-(ABS('21'!$I$20-Tulokset!$G$19)+ABS('21'!$K$20-Tulokset!$I$19))))))</f>
        <v/>
      </c>
      <c r="V24" t="str">
        <f>IF(OR(Tulokset!$G$20="",Tulokset!$I$20="",'21'!$I$21="",'21'!$K$21=""),"",IF(SIGN('21'!$I$21-'21'!$K$21)&lt;&gt;SIGN(Tulokset!$G$20-Tulokset!$I$20),0,IF(Tulokset!$G$20=Tulokset!$I$20,IF(AND('21'!$I$21=Tulokset!$G$20,'21'!$K$21=Tulokset!$I$20),6,3),MAX(0,6-(ABS('21'!$I$21-Tulokset!$G$20)+ABS('21'!$K$21-Tulokset!$I$20))))))</f>
        <v/>
      </c>
      <c r="W24" t="str">
        <f>IF(OR(Tulokset!$G$21="",Tulokset!$I$21="",'21'!$I$22="",'21'!$K$22=""),"",IF(SIGN('21'!$I$22-'21'!$K$22)&lt;&gt;SIGN(Tulokset!$G$21-Tulokset!$I$21),0,IF(Tulokset!$G$21=Tulokset!$I$21,IF(AND('21'!$I$22=Tulokset!$G$21,'21'!$K$22=Tulokset!$I$21),6,3),MAX(0,6-(ABS('21'!$I$22-Tulokset!$G$21)+ABS('21'!$K$22-Tulokset!$I$21))))))</f>
        <v/>
      </c>
      <c r="X24" t="str">
        <f>IF(OR(Tulokset!$G$22="",Tulokset!$I$22="",'21'!$I$23="",'21'!$K$23=""),"",IF(SIGN('21'!$I$23-'21'!$K$23)&lt;&gt;SIGN(Tulokset!$G$22-Tulokset!$I$22),0,IF(Tulokset!$G$22=Tulokset!$I$22,IF(AND('21'!$I$23=Tulokset!$G$22,'21'!$K$23=Tulokset!$I$22),6,3),MAX(0,6-(ABS('21'!$I$23-Tulokset!$G$22)+ABS('21'!$K$23-Tulokset!$I$22))))))</f>
        <v/>
      </c>
      <c r="Y24" t="str">
        <f>IF(OR(Tulokset!$G$23="",Tulokset!$I$23="",'21'!$I$24="",'21'!$K$24=""),"",IF(SIGN('21'!$I$24-'21'!$K$24)&lt;&gt;SIGN(Tulokset!$G$23-Tulokset!$I$23),0,IF(Tulokset!$G$23=Tulokset!$I$23,IF(AND('21'!$I$24=Tulokset!$G$23,'21'!$K$24=Tulokset!$I$23),6,3),MAX(0,6-(ABS('21'!$I$24-Tulokset!$G$23)+ABS('21'!$K$24-Tulokset!$I$23))))))</f>
        <v/>
      </c>
      <c r="Z24" t="str">
        <f>IF(OR(Tulokset!$G$24="",Tulokset!$I$24="",'21'!$I$25="",'21'!$K$25=""),"",IF(SIGN('21'!$I$25-'21'!$K$25)&lt;&gt;SIGN(Tulokset!$G$24-Tulokset!$I$24),0,IF(Tulokset!$G$24=Tulokset!$I$24,IF(AND('21'!$I$25=Tulokset!$G$24,'21'!$K$25=Tulokset!$I$24),6,3),MAX(0,6-(ABS('21'!$I$25-Tulokset!$G$24)+ABS('21'!$K$25-Tulokset!$I$24))))))</f>
        <v/>
      </c>
      <c r="AA24" t="str">
        <f>IF(OR(Tulokset!$G$25="",Tulokset!$I$25="",'21'!$I$26="",'21'!$K$26=""),"",IF(SIGN('21'!$I$26-'21'!$K$26)&lt;&gt;SIGN(Tulokset!$G$25-Tulokset!$I$25),0,IF(Tulokset!$G$25=Tulokset!$I$25,IF(AND('21'!$I$26=Tulokset!$G$25,'21'!$K$26=Tulokset!$I$25),6,3),MAX(0,6-(ABS('21'!$I$26-Tulokset!$G$25)+ABS('21'!$K$26-Tulokset!$I$25))))))</f>
        <v/>
      </c>
      <c r="AB24" t="str">
        <f>IF(OR(Tulokset!$G$26="",Tulokset!$I$26="",'21'!$I$27="",'21'!$K$27=""),"",IF(SIGN('21'!$I$27-'21'!$K$27)&lt;&gt;SIGN(Tulokset!$G$26-Tulokset!$I$26),0,IF(Tulokset!$G$26=Tulokset!$I$26,IF(AND('21'!$I$27=Tulokset!$G$26,'21'!$K$27=Tulokset!$I$26),6,3),MAX(0,6-(ABS('21'!$I$27-Tulokset!$G$26)+ABS('21'!$K$27-Tulokset!$I$26))))))</f>
        <v/>
      </c>
      <c r="AC24" t="str">
        <f>IF(OR(Tulokset!$G$27="",Tulokset!$I$27="",'21'!$I$28="",'21'!$K$28=""),"",IF(SIGN('21'!$I$28-'21'!$K$28)&lt;&gt;SIGN(Tulokset!$G$27-Tulokset!$I$27),0,IF(Tulokset!$G$27=Tulokset!$I$27,IF(AND('21'!$I$28=Tulokset!$G$27,'21'!$K$28=Tulokset!$I$27),6,3),MAX(0,6-(ABS('21'!$I$28-Tulokset!$G$27)+ABS('21'!$K$28-Tulokset!$I$27))))))</f>
        <v/>
      </c>
      <c r="AD24" t="str">
        <f>IF(OR(Tulokset!$G$28="",Tulokset!$I$28="",'21'!$I$29="",'21'!$K$29=""),"",IF(SIGN('21'!$I$29-'21'!$K$29)&lt;&gt;SIGN(Tulokset!$G$28-Tulokset!$I$28),0,IF(Tulokset!$G$28=Tulokset!$I$28,IF(AND('21'!$I$29=Tulokset!$G$28,'21'!$K$29=Tulokset!$I$28),6,3),MAX(0,6-(ABS('21'!$I$29-Tulokset!$G$28)+ABS('21'!$K$29-Tulokset!$I$28))))))</f>
        <v/>
      </c>
      <c r="AE24" t="str">
        <f>IF(OR(Tulokset!$G$29="",Tulokset!$I$29="",'21'!$I$30="",'21'!$K$30=""),"",IF(SIGN('21'!$I$30-'21'!$K$30)&lt;&gt;SIGN(Tulokset!$G$29-Tulokset!$I$29),0,IF(Tulokset!$G$29=Tulokset!$I$29,IF(AND('21'!$I$30=Tulokset!$G$29,'21'!$K$30=Tulokset!$I$29),6,3),MAX(0,6-(ABS('21'!$I$30-Tulokset!$G$29)+ABS('21'!$K$30-Tulokset!$I$29))))))</f>
        <v/>
      </c>
      <c r="AF24" t="str">
        <f>IF(OR(Tulokset!$G$30="",Tulokset!$I$30="",'21'!$I$31="",'21'!$K$31=""),"",IF(SIGN('21'!$I$31-'21'!$K$31)&lt;&gt;SIGN(Tulokset!$G$30-Tulokset!$I$30),0,IF(Tulokset!$G$30=Tulokset!$I$30,IF(AND('21'!$I$31=Tulokset!$G$30,'21'!$K$31=Tulokset!$I$30),6,3),MAX(0,6-(ABS('21'!$I$31-Tulokset!$G$30)+ABS('21'!$K$31-Tulokset!$I$30))))))</f>
        <v/>
      </c>
      <c r="AG24" t="str">
        <f>IF(OR(Tulokset!$G$31="",Tulokset!$I$31="",'21'!$I$32="",'21'!$K$32=""),"",IF(SIGN('21'!$I$32-'21'!$K$32)&lt;&gt;SIGN(Tulokset!$G$31-Tulokset!$I$31),0,IF(Tulokset!$G$31=Tulokset!$I$31,IF(AND('21'!$I$32=Tulokset!$G$31,'21'!$K$32=Tulokset!$I$31),6,3),MAX(0,6-(ABS('21'!$I$32-Tulokset!$G$31)+ABS('21'!$K$32-Tulokset!$I$31))))))</f>
        <v/>
      </c>
      <c r="AH24" t="str">
        <f>IF(OR(Tulokset!$G$32="",Tulokset!$I$32="",'21'!$I$33="",'21'!$K$33=""),"",IF(SIGN('21'!$I$33-'21'!$K$33)&lt;&gt;SIGN(Tulokset!$G$32-Tulokset!$I$32),0,IF(Tulokset!$G$32=Tulokset!$I$32,IF(AND('21'!$I$33=Tulokset!$G$32,'21'!$K$33=Tulokset!$I$32),6,3),MAX(0,6-(ABS('21'!$I$33-Tulokset!$G$32)+ABS('21'!$K$33-Tulokset!$I$32))))))</f>
        <v/>
      </c>
      <c r="AI24" t="str">
        <f>IF(OR(Tulokset!$G$33="",Tulokset!$I$33="",'21'!$I$34="",'21'!$K$34=""),"",IF(SIGN('21'!$I$34-'21'!$K$34)&lt;&gt;SIGN(Tulokset!$G$33-Tulokset!$I$33),0,IF(Tulokset!$G$33=Tulokset!$I$33,IF(AND('21'!$I$34=Tulokset!$G$33,'21'!$K$34=Tulokset!$I$33),6,3),MAX(0,6-(ABS('21'!$I$34-Tulokset!$G$33)+ABS('21'!$K$34-Tulokset!$I$33))))))</f>
        <v/>
      </c>
      <c r="AJ24" t="str">
        <f>IF(OR(Tulokset!$G$34="",Tulokset!$I$34="",'21'!$I$35="",'21'!$K$35=""),"",IF(SIGN('21'!$I$35-'21'!$K$35)&lt;&gt;SIGN(Tulokset!$G$34-Tulokset!$I$34),0,IF(Tulokset!$G$34=Tulokset!$I$34,IF(AND('21'!$I$35=Tulokset!$G$34,'21'!$K$35=Tulokset!$I$34),6,3),MAX(0,6-(ABS('21'!$I$35-Tulokset!$G$34)+ABS('21'!$K$35-Tulokset!$I$34))))))</f>
        <v/>
      </c>
      <c r="AK24" t="str">
        <f>IF(OR(Tulokset!$G$35="",Tulokset!$I$35="",'21'!$I$36="",'21'!$K$36=""),"",IF(SIGN('21'!$I$36-'21'!$K$36)&lt;&gt;SIGN(Tulokset!$G$35-Tulokset!$I$35),0,IF(Tulokset!$G$35=Tulokset!$I$35,IF(AND('21'!$I$36=Tulokset!$G$35,'21'!$K$36=Tulokset!$I$35),6,3),MAX(0,6-(ABS('21'!$I$36-Tulokset!$G$35)+ABS('21'!$K$36-Tulokset!$I$35))))))</f>
        <v/>
      </c>
      <c r="AL24" t="str">
        <f>IF(OR(Tulokset!$G$36="",Tulokset!$I$36="",'21'!$I$37="",'21'!$K$37=""),"",IF(SIGN('21'!$I$37-'21'!$K$37)&lt;&gt;SIGN(Tulokset!$G$36-Tulokset!$I$36),0,IF(Tulokset!$G$36=Tulokset!$I$36,IF(AND('21'!$I$37=Tulokset!$G$36,'21'!$K$37=Tulokset!$I$36),6,3),MAX(0,6-(ABS('21'!$I$37-Tulokset!$G$36)+ABS('21'!$K$37-Tulokset!$I$36))))))</f>
        <v/>
      </c>
      <c r="AM24" t="str">
        <f>IF(OR(Tulokset!$G$37="",Tulokset!$I$37="",'21'!$I$38="",'21'!$K$38=""),"",IF(SIGN('21'!$I$38-'21'!$K$38)&lt;&gt;SIGN(Tulokset!$G$37-Tulokset!$I$37),0,IF(Tulokset!$G$37=Tulokset!$I$37,IF(AND('21'!$I$38=Tulokset!$G$37,'21'!$K$38=Tulokset!$I$37),6,3),MAX(0,6-(ABS('21'!$I$38-Tulokset!$G$37)+ABS('21'!$K$38-Tulokset!$I$37))))))</f>
        <v/>
      </c>
      <c r="AN24" t="str">
        <f>IF(OR(Tulokset!$G$38="",Tulokset!$I$38="",'21'!$I$39="",'21'!$K$39=""),"",IF(SIGN('21'!$I$39-'21'!$K$39)&lt;&gt;SIGN(Tulokset!$G$38-Tulokset!$I$38),0,IF(Tulokset!$G$38=Tulokset!$I$38,IF(AND('21'!$I$39=Tulokset!$G$38,'21'!$K$39=Tulokset!$I$38),6,3),MAX(0,6-(ABS('21'!$I$39-Tulokset!$G$38)+ABS('21'!$K$39-Tulokset!$I$38))))))</f>
        <v/>
      </c>
      <c r="AO24" t="str">
        <f>IF(OR(Tulokset!$G$39="",Tulokset!$I$39="",'21'!$I$40="",'21'!$K$40=""),"",IF(SIGN('21'!$I$40-'21'!$K$40)&lt;&gt;SIGN(Tulokset!$G$39-Tulokset!$I$39),0,IF(Tulokset!$G$39=Tulokset!$I$39,IF(AND('21'!$I$40=Tulokset!$G$39,'21'!$K$40=Tulokset!$I$39),6,3),MAX(0,6-(ABS('21'!$I$40-Tulokset!$G$39)+ABS('21'!$K$40-Tulokset!$I$39))))))</f>
        <v/>
      </c>
      <c r="AP24" t="str">
        <f>IF(OR(Tulokset!$G$40="",Tulokset!$I$40="",'21'!$I$41="",'21'!$K$41=""),"",IF(SIGN('21'!$I$41-'21'!$K$41)&lt;&gt;SIGN(Tulokset!$G$40-Tulokset!$I$40),0,IF(Tulokset!$G$40=Tulokset!$I$40,IF(AND('21'!$I$41=Tulokset!$G$40,'21'!$K$41=Tulokset!$I$40),6,3),MAX(0,6-(ABS('21'!$I$41-Tulokset!$G$40)+ABS('21'!$K$41-Tulokset!$I$40))))))</f>
        <v/>
      </c>
      <c r="AQ24" t="str">
        <f>IF(OR(Tulokset!$G$41="",Tulokset!$I$41="",'21'!$I$42="",'21'!$K$42=""),"",IF(SIGN('21'!$I$42-'21'!$K$42)&lt;&gt;SIGN(Tulokset!$G$41-Tulokset!$I$41),0,IF(Tulokset!$G$41=Tulokset!$I$41,IF(AND('21'!$I$42=Tulokset!$G$41,'21'!$K$42=Tulokset!$I$41),6,3),MAX(0,6-(ABS('21'!$I$42-Tulokset!$G$41)+ABS('21'!$K$42-Tulokset!$I$41))))))</f>
        <v/>
      </c>
      <c r="AR24" t="str">
        <f>IF(OR(Tulokset!$G$42="",Tulokset!$I$42="",'21'!$I$43="",'21'!$K$43=""),"",IF(SIGN('21'!$I$43-'21'!$K$43)&lt;&gt;SIGN(Tulokset!$G$42-Tulokset!$I$42),0,IF(Tulokset!$G$42=Tulokset!$I$42,IF(AND('21'!$I$43=Tulokset!$G$42,'21'!$K$43=Tulokset!$I$42),6,3),MAX(0,6-(ABS('21'!$I$43-Tulokset!$G$42)+ABS('21'!$K$43-Tulokset!$I$42))))))</f>
        <v/>
      </c>
      <c r="AS24" t="str">
        <f>IF(OR(Tulokset!$G$43="",Tulokset!$I$43="",'21'!$I$44="",'21'!$K$44=""),"",IF(SIGN('21'!$I$44-'21'!$K$44)&lt;&gt;SIGN(Tulokset!$G$43-Tulokset!$I$43),0,IF(Tulokset!$G$43=Tulokset!$I$43,IF(AND('21'!$I$44=Tulokset!$G$43,'21'!$K$44=Tulokset!$I$43),6,3),MAX(0,6-(ABS('21'!$I$44-Tulokset!$G$43)+ABS('21'!$K$44-Tulokset!$I$43))))))</f>
        <v/>
      </c>
      <c r="AT24" t="str">
        <f>IF(OR(Tulokset!$G$44="",Tulokset!$I$44="",'21'!$I$45="",'21'!$K$45=""),"",IF(SIGN('21'!$I$45-'21'!$K$45)&lt;&gt;SIGN(Tulokset!$G$44-Tulokset!$I$44),0,IF(Tulokset!$G$44=Tulokset!$I$44,IF(AND('21'!$I$45=Tulokset!$G$44,'21'!$K$45=Tulokset!$I$44),6,3),MAX(0,6-(ABS('21'!$I$45-Tulokset!$G$44)+ABS('21'!$K$45-Tulokset!$I$44))))))</f>
        <v/>
      </c>
      <c r="AU24" t="str">
        <f>IF(OR(Tulokset!$G$45="",Tulokset!$I$45="",'21'!$I$46="",'21'!$K$46=""),"",IF(SIGN('21'!$I$46-'21'!$K$46)&lt;&gt;SIGN(Tulokset!$G$45-Tulokset!$I$45),0,IF(Tulokset!$G$45=Tulokset!$I$45,IF(AND('21'!$I$46=Tulokset!$G$45,'21'!$K$46=Tulokset!$I$45),6,3),MAX(0,6-(ABS('21'!$I$46-Tulokset!$G$45)+ABS('21'!$K$46-Tulokset!$I$45))))))</f>
        <v/>
      </c>
      <c r="AV24" t="str">
        <f>IF(OR(Tulokset!$G$46="",Tulokset!$I$46="",'21'!$I$47="",'21'!$K$47=""),"",IF(SIGN('21'!$I$47-'21'!$K$47)&lt;&gt;SIGN(Tulokset!$G$46-Tulokset!$I$46),0,IF(Tulokset!$G$46=Tulokset!$I$46,IF(AND('21'!$I$47=Tulokset!$G$46,'21'!$K$47=Tulokset!$I$46),6,3),MAX(0,6-(ABS('21'!$I$47-Tulokset!$G$46)+ABS('21'!$K$47-Tulokset!$I$46))))))</f>
        <v/>
      </c>
      <c r="AW24" t="str">
        <f>IF(OR(Tulokset!$G$47="",Tulokset!$I$47="",'21'!$I$48="",'21'!$K$48=""),"",IF(SIGN('21'!$I$48-'21'!$K$48)&lt;&gt;SIGN(Tulokset!$G$47-Tulokset!$I$47),0,IF(Tulokset!$G$47=Tulokset!$I$47,IF(AND('21'!$I$48=Tulokset!$G$47,'21'!$K$48=Tulokset!$I$47),6,3),MAX(0,6-(ABS('21'!$I$48-Tulokset!$G$47)+ABS('21'!$K$48-Tulokset!$I$47))))))</f>
        <v/>
      </c>
      <c r="AX24" t="str">
        <f>IF(OR(Tulokset!$G$48="",Tulokset!$I$48="",'21'!$I$49="",'21'!$K$49=""),"",IF(SIGN('21'!$I$49-'21'!$K$49)&lt;&gt;SIGN(Tulokset!$G$48-Tulokset!$I$48),0,IF(Tulokset!$G$48=Tulokset!$I$48,IF(AND('21'!$I$49=Tulokset!$G$48,'21'!$K$49=Tulokset!$I$48),6,3),MAX(0,6-(ABS('21'!$I$49-Tulokset!$G$48)+ABS('21'!$K$49-Tulokset!$I$48))))))</f>
        <v/>
      </c>
      <c r="AY24" t="str">
        <f>IF(OR(Tulokset!$G$49="",Tulokset!$I$49="",'21'!$I$50="",'21'!$K$50=""),"",IF(SIGN('21'!$I$50-'21'!$K$50)&lt;&gt;SIGN(Tulokset!$G$49-Tulokset!$I$49),0,IF(Tulokset!$G$49=Tulokset!$I$49,IF(AND('21'!$I$50=Tulokset!$G$49,'21'!$K$50=Tulokset!$I$49),6,3),MAX(0,6-(ABS('21'!$I$50-Tulokset!$G$49)+ABS('21'!$K$50-Tulokset!$I$49))))))</f>
        <v/>
      </c>
      <c r="AZ24" t="str">
        <f>IF(OR(Tulokset!$G$50="",Tulokset!$I$50="",'21'!$I$51="",'21'!$K$51=""),"",IF(SIGN('21'!$I$51-'21'!$K$51)&lt;&gt;SIGN(Tulokset!$G$50-Tulokset!$I$50),0,IF(Tulokset!$G$50=Tulokset!$I$50,IF(AND('21'!$I$51=Tulokset!$G$50,'21'!$K$51=Tulokset!$I$50),6,3),MAX(0,6-(ABS('21'!$I$51-Tulokset!$G$50)+ABS('21'!$K$51-Tulokset!$I$50))))))</f>
        <v/>
      </c>
      <c r="BA24" t="str">
        <f>IF(OR(Tulokset!$G$51="",Tulokset!$I$51="",'21'!$I$52="",'21'!$K$52=""),"",IF(SIGN('21'!$I$52-'21'!$K$52)&lt;&gt;SIGN(Tulokset!$G$51-Tulokset!$I$51),0,IF(Tulokset!$G$51=Tulokset!$I$51,IF(AND('21'!$I$52=Tulokset!$G$51,'21'!$K$52=Tulokset!$I$51),6,3),MAX(0,6-(ABS('21'!$I$52-Tulokset!$G$51)+ABS('21'!$K$52-Tulokset!$I$51))))))</f>
        <v/>
      </c>
      <c r="BB24" t="str">
        <f>IF(OR(Tulokset!$G$52="",Tulokset!$I$52="",'21'!$I$53="",'21'!$K$53=""),"",IF(SIGN('21'!$I$53-'21'!$K$53)&lt;&gt;SIGN(Tulokset!$G$52-Tulokset!$I$52),0,IF(Tulokset!$G$52=Tulokset!$I$52,IF(AND('21'!$I$53=Tulokset!$G$52,'21'!$K$53=Tulokset!$I$52),6,3),MAX(0,6-(ABS('21'!$I$53-Tulokset!$G$52)+ABS('21'!$K$53-Tulokset!$I$52))))))</f>
        <v/>
      </c>
      <c r="BC24" t="str">
        <f>IF(OR(Tulokset!$G$53="",Tulokset!$I$53="",'21'!$I$54="",'21'!$K$54=""),"",IF(SIGN('21'!$I$54-'21'!$K$54)&lt;&gt;SIGN(Tulokset!$G$53-Tulokset!$I$53),0,IF(Tulokset!$G$53=Tulokset!$I$53,IF(AND('21'!$I$54=Tulokset!$G$53,'21'!$K$54=Tulokset!$I$53),6,3),MAX(0,6-(ABS('21'!$I$54-Tulokset!$G$53)+ABS('21'!$K$54-Tulokset!$I$53))))))</f>
        <v/>
      </c>
      <c r="BD24" t="str">
        <f>IF(OR(Tulokset!$G$54="",Tulokset!$I$54="",'21'!$I$55="",'21'!$K$55=""),"",IF(SIGN('21'!$I$55-'21'!$K$55)&lt;&gt;SIGN(Tulokset!$G$54-Tulokset!$I$54),0,IF(Tulokset!$G$54=Tulokset!$I$54,IF(AND('21'!$I$55=Tulokset!$G$54,'21'!$K$55=Tulokset!$I$54),6,3),MAX(0,6-(ABS('21'!$I$55-Tulokset!$G$54)+ABS('21'!$K$55-Tulokset!$I$54))))))</f>
        <v/>
      </c>
      <c r="BE24" t="str">
        <f>IF(OR(Tulokset!$G$55="",Tulokset!$I$55="",'21'!$I$56="",'21'!$K$56=""),"",IF(SIGN('21'!$I$56-'21'!$K$56)&lt;&gt;SIGN(Tulokset!$G$55-Tulokset!$I$55),0,IF(Tulokset!$G$55=Tulokset!$I$55,IF(AND('21'!$I$56=Tulokset!$G$55,'21'!$K$56=Tulokset!$I$55),6,3),MAX(0,6-(ABS('21'!$I$56-Tulokset!$G$55)+ABS('21'!$K$56-Tulokset!$I$55))))))</f>
        <v/>
      </c>
      <c r="BF24" t="str">
        <f>IF(OR(Tulokset!$G$56="",Tulokset!$I$56="",'21'!$I$57="",'21'!$K$57=""),"",IF(SIGN('21'!$I$57-'21'!$K$57)&lt;&gt;SIGN(Tulokset!$G$56-Tulokset!$I$56),0,IF(Tulokset!$G$56=Tulokset!$I$56,IF(AND('21'!$I$57=Tulokset!$G$56,'21'!$K$57=Tulokset!$I$56),6,3),MAX(0,6-(ABS('21'!$I$57-Tulokset!$G$56)+ABS('21'!$K$57-Tulokset!$I$56))))))</f>
        <v/>
      </c>
      <c r="BG24" t="str">
        <f>IF(OR(Tulokset!$G$57="",Tulokset!$I$57="",'21'!$I$58="",'21'!$K$58=""),"",IF(SIGN('21'!$I$58-'21'!$K$58)&lt;&gt;SIGN(Tulokset!$G$57-Tulokset!$I$57),0,IF(Tulokset!$G$57=Tulokset!$I$57,IF(AND('21'!$I$58=Tulokset!$G$57,'21'!$K$58=Tulokset!$I$57),6,3),MAX(0,6-(ABS('21'!$I$58-Tulokset!$G$57)+ABS('21'!$K$58-Tulokset!$I$57))))))</f>
        <v/>
      </c>
      <c r="BH24" t="str">
        <f>IF(OR(Tulokset!$G$58="",Tulokset!$I$58="",'21'!$I$59="",'21'!$K$59=""),"",IF(SIGN('21'!$I$59-'21'!$K$59)&lt;&gt;SIGN(Tulokset!$G$58-Tulokset!$I$58),0,IF(Tulokset!$G$58=Tulokset!$I$58,IF(AND('21'!$I$59=Tulokset!$G$58,'21'!$K$59=Tulokset!$I$58),6,3),MAX(0,6-(ABS('21'!$I$59-Tulokset!$G$58)+ABS('21'!$K$59-Tulokset!$I$58))))))</f>
        <v/>
      </c>
      <c r="BI24" t="str">
        <f>IF(OR(Tulokset!$G$59="",Tulokset!$I$59="",'21'!$I$60="",'21'!$K$60=""),"",IF(SIGN('21'!$I$60-'21'!$K$60)&lt;&gt;SIGN(Tulokset!$G$59-Tulokset!$I$59),0,IF(Tulokset!$G$59=Tulokset!$I$59,IF(AND('21'!$I$60=Tulokset!$G$59,'21'!$K$60=Tulokset!$I$59),6,3),MAX(0,6-(ABS('21'!$I$60-Tulokset!$G$59)+ABS('21'!$K$60-Tulokset!$I$59))))))</f>
        <v/>
      </c>
      <c r="BJ24" t="str">
        <f>IF(OR(Tulokset!$G$60="",Tulokset!$I$60="",'21'!$I$61="",'21'!$K$61=""),"",IF(SIGN('21'!$I$61-'21'!$K$61)&lt;&gt;SIGN(Tulokset!$G$60-Tulokset!$I$60),0,IF(Tulokset!$G$60=Tulokset!$I$60,IF(AND('21'!$I$61=Tulokset!$G$60,'21'!$K$61=Tulokset!$I$60),6,3),MAX(0,6-(ABS('21'!$I$61-Tulokset!$G$60)+ABS('21'!$K$61-Tulokset!$I$60))))))</f>
        <v/>
      </c>
      <c r="BK24" t="str">
        <f>IF(OR(Tulokset!$G$61="",Tulokset!$I$61="",'21'!$I$62="",'21'!$K$62=""),"",IF(SIGN('21'!$I$62-'21'!$K$62)&lt;&gt;SIGN(Tulokset!$G$61-Tulokset!$I$61),0,IF(Tulokset!$G$61=Tulokset!$I$61,IF(AND('21'!$I$62=Tulokset!$G$61,'21'!$K$62=Tulokset!$I$61),6,3),MAX(0,6-(ABS('21'!$I$62-Tulokset!$G$61)+ABS('21'!$K$62-Tulokset!$I$61))))))</f>
        <v/>
      </c>
      <c r="BL24" t="str">
        <f>IF(OR(Tulokset!$G$62="",Tulokset!$I$62="",'21'!$I$63="",'21'!$K$63=""),"",IF(SIGN('21'!$I$63-'21'!$K$63)&lt;&gt;SIGN(Tulokset!$G$62-Tulokset!$I$62),0,IF(Tulokset!$G$62=Tulokset!$I$62,IF(AND('21'!$I$63=Tulokset!$G$62,'21'!$K$63=Tulokset!$I$62),6,3),MAX(0,6-(ABS('21'!$I$63-Tulokset!$G$62)+ABS('21'!$K$63-Tulokset!$I$62))))))</f>
        <v/>
      </c>
      <c r="BM24" t="str">
        <f>IF(OR(Tulokset!$G$63="",Tulokset!$I$63="",'21'!$I$64="",'21'!$K$64=""),"",IF(SIGN('21'!$I$64-'21'!$K$64)&lt;&gt;SIGN(Tulokset!$G$63-Tulokset!$I$63),0,IF(Tulokset!$G$63=Tulokset!$I$63,IF(AND('21'!$I$64=Tulokset!$G$63,'21'!$K$64=Tulokset!$I$63),6,3),MAX(0,6-(ABS('21'!$I$64-Tulokset!$G$63)+ABS('21'!$K$64-Tulokset!$I$63))))))</f>
        <v/>
      </c>
      <c r="BN24" t="str">
        <f>IF(OR(Tulokset!$G$64="",Tulokset!$I$64="",'21'!$I$65="",'21'!$K$65=""),"",IF(SIGN('21'!$I$65-'21'!$K$65)&lt;&gt;SIGN(Tulokset!$G$64-Tulokset!$I$64),0,IF(Tulokset!$G$64=Tulokset!$I$64,IF(AND('21'!$I$65=Tulokset!$G$64,'21'!$K$65=Tulokset!$I$64),6,3),MAX(0,6-(ABS('21'!$I$65-Tulokset!$G$64)+ABS('21'!$K$65-Tulokset!$I$64))))))</f>
        <v/>
      </c>
      <c r="BO24" t="str">
        <f>IF(OR(Tulokset!$G$65="",Tulokset!$I$65="",'21'!$I$66="",'21'!$K$66=""),"",IF(SIGN('21'!$I$66-'21'!$K$66)&lt;&gt;SIGN(Tulokset!$G$65-Tulokset!$I$65),0,IF(Tulokset!$G$65=Tulokset!$I$65,IF(AND('21'!$I$66=Tulokset!$G$65,'21'!$K$66=Tulokset!$I$65),6,3),MAX(0,6-(ABS('21'!$I$66-Tulokset!$G$65)+ABS('21'!$K$66-Tulokset!$I$65))))))</f>
        <v/>
      </c>
      <c r="BP24" t="str">
        <f>IF(OR(Tulokset!$G$66="",Tulokset!$I$66="",'21'!$I$67="",'21'!$K$67=""),"",IF(SIGN('21'!$I$67-'21'!$K$67)&lt;&gt;SIGN(Tulokset!$G$66-Tulokset!$I$66),0,IF(Tulokset!$G$66=Tulokset!$I$66,IF(AND('21'!$I$67=Tulokset!$G$66,'21'!$K$67=Tulokset!$I$66),6,3),MAX(0,6-(ABS('21'!$I$67-Tulokset!$G$66)+ABS('21'!$K$67-Tulokset!$I$66))))))</f>
        <v/>
      </c>
      <c r="BQ24" t="str">
        <f>IF(OR(Tulokset!$G$67="",Tulokset!$I$67="",'21'!$I$68="",'21'!$K$68=""),"",IF(SIGN('21'!$I$68-'21'!$K$68)&lt;&gt;SIGN(Tulokset!$G$67-Tulokset!$I$67),0,IF(Tulokset!$G$67=Tulokset!$I$67,IF(AND('21'!$I$68=Tulokset!$G$67,'21'!$K$68=Tulokset!$I$67),6,3),MAX(0,6-(ABS('21'!$I$68-Tulokset!$G$67)+ABS('21'!$K$68-Tulokset!$I$67))))))</f>
        <v/>
      </c>
      <c r="BR24" t="str">
        <f>IF(OR(Tulokset!$G$68="",Tulokset!$I$68="",'21'!$I$69="",'21'!$K$69=""),"",IF(SIGN('21'!$I$69-'21'!$K$69)&lt;&gt;SIGN(Tulokset!$G$68-Tulokset!$I$68),0,IF(Tulokset!$G$68=Tulokset!$I$68,IF(AND('21'!$I$69=Tulokset!$G$68,'21'!$K$69=Tulokset!$I$68),6,3),MAX(0,6-(ABS('21'!$I$69-Tulokset!$G$68)+ABS('21'!$K$69-Tulokset!$I$68))))))</f>
        <v/>
      </c>
      <c r="BS24" t="str">
        <f>IF(OR(Tulokset!$G$69="",Tulokset!$I$69="",'21'!$I$70="",'21'!$K$70=""),"",IF(SIGN('21'!$I$70-'21'!$K$70)&lt;&gt;SIGN(Tulokset!$G$69-Tulokset!$I$69),0,IF(Tulokset!$G$69=Tulokset!$I$69,IF(AND('21'!$I$70=Tulokset!$G$69,'21'!$K$70=Tulokset!$I$69),6,3),MAX(0,6-(ABS('21'!$I$70-Tulokset!$G$69)+ABS('21'!$K$70-Tulokset!$I$69))))))</f>
        <v/>
      </c>
      <c r="BT24" t="str">
        <f>IF(OR(Tulokset!$G$70="",Tulokset!$I$70="",'21'!$I$71="",'21'!$K$71=""),"",IF(SIGN('21'!$I$71-'21'!$K$71)&lt;&gt;SIGN(Tulokset!$G$70-Tulokset!$I$70),0,IF(Tulokset!$G$70=Tulokset!$I$70,IF(AND('21'!$I$71=Tulokset!$G$70,'21'!$K$71=Tulokset!$I$70),6,3),MAX(0,6-(ABS('21'!$I$71-Tulokset!$G$70)+ABS('21'!$K$71-Tulokset!$I$70))))))</f>
        <v/>
      </c>
      <c r="BU24" t="str">
        <f>IF(OR(Tulokset!$G$71="",Tulokset!$I$71="",'21'!$I$72="",'21'!$K$72=""),"",IF(SIGN('21'!$I$72-'21'!$K$72)&lt;&gt;SIGN(Tulokset!$G$71-Tulokset!$I$71),0,IF(Tulokset!$G$71=Tulokset!$I$71,IF(AND('21'!$I$72=Tulokset!$G$71,'21'!$K$72=Tulokset!$I$71),6,3),MAX(0,6-(ABS('21'!$I$72-Tulokset!$G$71)+ABS('21'!$K$72-Tulokset!$I$71))))))</f>
        <v/>
      </c>
      <c r="BV24" t="str">
        <f>IF(OR(Tulokset!$G$72="",Tulokset!$I$72="",'21'!$I$73="",'21'!$K$73=""),"",IF(SIGN('21'!$I$73-'21'!$K$73)&lt;&gt;SIGN(Tulokset!$G$72-Tulokset!$I$72),0,IF(Tulokset!$G$72=Tulokset!$I$72,IF(AND('21'!$I$73=Tulokset!$G$72,'21'!$K$73=Tulokset!$I$72),6,3),MAX(0,6-(ABS('21'!$I$73-Tulokset!$G$72)+ABS('21'!$K$73-Tulokset!$I$72))))))</f>
        <v/>
      </c>
      <c r="BW24" t="str">
        <f>IF(OR(Tulokset!$G$73="",Tulokset!$I$73="",'21'!$I$74="",'21'!$K$74=""),"",IF(SIGN('21'!$I$74-'21'!$K$74)&lt;&gt;SIGN(Tulokset!$G$73-Tulokset!$I$73),0,IF(Tulokset!$G$73=Tulokset!$I$73,IF(AND('21'!$I$74=Tulokset!$G$73,'21'!$K$74=Tulokset!$I$73),6,3),MAX(0,6-(ABS('21'!$I$74-Tulokset!$G$73)+ABS('21'!$K$74-Tulokset!$I$73))))))</f>
        <v/>
      </c>
      <c r="BX24" t="str">
        <f>IF(OR(Tulokset!$G$74="",Tulokset!$I$74="",'21'!$I$75="",'21'!$K$75=""),"",IF(SIGN('21'!$I$75-'21'!$K$75)&lt;&gt;SIGN(Tulokset!$G$74-Tulokset!$I$74),0,IF(Tulokset!$G$74=Tulokset!$I$74,IF(AND('21'!$I$75=Tulokset!$G$74,'21'!$K$75=Tulokset!$I$74),6,3),MAX(0,6-(ABS('21'!$I$75-Tulokset!$G$74)+ABS('21'!$K$75-Tulokset!$I$74))))))</f>
        <v/>
      </c>
      <c r="BY24" t="str">
        <f>IF(OR(Tulokset!$G$75="",Tulokset!$I$75="",'21'!$I$76="",'21'!$K$76=""),"",IF(SIGN('21'!$I$76-'21'!$K$76)&lt;&gt;SIGN(Tulokset!$G$75-Tulokset!$I$75),0,IF(Tulokset!$G$75=Tulokset!$I$75,IF(AND('21'!$I$76=Tulokset!$G$75,'21'!$K$76=Tulokset!$I$75),6,3),MAX(0,6-(ABS('21'!$I$76-Tulokset!$G$75)+ABS('21'!$K$76-Tulokset!$I$75))))))</f>
        <v/>
      </c>
      <c r="BZ24" t="str">
        <f>IF(OR(Tulokset!$G$76="",Tulokset!$I$76="",'21'!$I$77="",'21'!$K$77=""),"",IF(SIGN('21'!$I$77-'21'!$K$77)&lt;&gt;SIGN(Tulokset!$G$76-Tulokset!$I$76),0,IF(Tulokset!$G$76=Tulokset!$I$76,IF(AND('21'!$I$77=Tulokset!$G$76,'21'!$K$77=Tulokset!$I$76),6,3),MAX(0,6-(ABS('21'!$I$77-Tulokset!$G$76)+ABS('21'!$K$77-Tulokset!$I$76))))))</f>
        <v/>
      </c>
      <c r="CA24" t="str">
        <f>IF(OR(Tulokset!$G$77="",Tulokset!$I$77="",'21'!$I$78="",'21'!$K$78=""),"",IF(SIGN('21'!$I$78-'21'!$K$78)&lt;&gt;SIGN(Tulokset!$G$77-Tulokset!$I$77),0,IF(Tulokset!$G$77=Tulokset!$I$77,IF(AND('21'!$I$78=Tulokset!$G$77,'21'!$K$78=Tulokset!$I$77),6,3),MAX(0,6-(ABS('21'!$I$78-Tulokset!$G$77)+ABS('21'!$K$78-Tulokset!$I$77))))))</f>
        <v/>
      </c>
      <c r="CD24" t="str">
        <f ca="1">IF(OR(Tulokset!$M$6="",INDIRECT("'"&amp;$A24&amp;"'!$P$8")=""),"",IF(TRIM(INDIRECT("'"&amp;$A24&amp;"'!$P$8"))=TRIM(Tulokset!$M$6),2,0))</f>
        <v/>
      </c>
      <c r="CE24" t="str">
        <f ca="1">IF(OR(Tulokset!$M$7="",INDIRECT("'"&amp;$A24&amp;"'!$P$9")=""),"",IF(TRIM(INDIRECT("'"&amp;$A24&amp;"'!$P$9"))=TRIM(Tulokset!$M$7),2,0))</f>
        <v/>
      </c>
      <c r="CF24" t="str">
        <f ca="1">IF(OR(Tulokset!$M$8="",INDIRECT("'"&amp;$A24&amp;"'!$P$10")=""),"",IF(TRIM(INDIRECT("'"&amp;$A24&amp;"'!$P$10"))=TRIM(Tulokset!$M$8),2,0))</f>
        <v/>
      </c>
      <c r="CG24" t="str">
        <f ca="1">IF(OR(Tulokset!$M$9="",INDIRECT("'"&amp;$A24&amp;"'!$P$11")=""),"",IF(TRIM(INDIRECT("'"&amp;$A24&amp;"'!$P$11"))=TRIM(Tulokset!$M$9),2,0))</f>
        <v/>
      </c>
      <c r="CH24" t="str">
        <f ca="1">IF(OR(Tulokset!$N$6="",INDIRECT("'"&amp;$A24&amp;"'!$Q$8")=""),"",IF(TRIM(INDIRECT("'"&amp;$A24&amp;"'!$Q$8"))=TRIM(Tulokset!$N$6),2,0))</f>
        <v/>
      </c>
      <c r="CI24" t="str">
        <f ca="1">IF(OR(Tulokset!$N$7="",INDIRECT("'"&amp;$A24&amp;"'!$Q$9")=""),"",IF(TRIM(INDIRECT("'"&amp;$A24&amp;"'!$Q$9"))=TRIM(Tulokset!$N$7),2,0))</f>
        <v/>
      </c>
      <c r="CJ24" t="str">
        <f ca="1">IF(OR(Tulokset!$N$8="",INDIRECT("'"&amp;$A24&amp;"'!$Q$10")=""),"",IF(TRIM(INDIRECT("'"&amp;$A24&amp;"'!$Q$10"))=TRIM(Tulokset!$N$8),2,0))</f>
        <v/>
      </c>
      <c r="CK24" t="str">
        <f ca="1">IF(OR(Tulokset!$N$9="",INDIRECT("'"&amp;$A24&amp;"'!$Q$11")=""),"",IF(TRIM(INDIRECT("'"&amp;$A24&amp;"'!$Q$11"))=TRIM(Tulokset!$N$9),2,0))</f>
        <v/>
      </c>
      <c r="CL24" t="str">
        <f ca="1">IF(OR(Tulokset!$O$6="",INDIRECT("'"&amp;$A24&amp;"'!$R$8")=""),"",IF(TRIM(INDIRECT("'"&amp;$A24&amp;"'!$R$8"))=TRIM(Tulokset!$O$6),2,0))</f>
        <v/>
      </c>
      <c r="CM24" t="str">
        <f ca="1">IF(OR(Tulokset!$O$7="",INDIRECT("'"&amp;$A24&amp;"'!$R$9")=""),"",IF(TRIM(INDIRECT("'"&amp;$A24&amp;"'!$R$9"))=TRIM(Tulokset!$O$7),2,0))</f>
        <v/>
      </c>
      <c r="CN24" t="str">
        <f ca="1">IF(OR(Tulokset!$O$8="",INDIRECT("'"&amp;$A24&amp;"'!$R$10")=""),"",IF(TRIM(INDIRECT("'"&amp;$A24&amp;"'!$R$10"))=TRIM(Tulokset!$O$8),2,0))</f>
        <v/>
      </c>
      <c r="CO24" t="str">
        <f ca="1">IF(OR(Tulokset!$O$9="",INDIRECT("'"&amp;$A24&amp;"'!$R$11")=""),"",IF(TRIM(INDIRECT("'"&amp;$A24&amp;"'!$R$11"))=TRIM(Tulokset!$O$9),2,0))</f>
        <v/>
      </c>
      <c r="CP24" t="str">
        <f ca="1">IF(OR(Tulokset!$P$6="",INDIRECT("'"&amp;$A24&amp;"'!$S$8")=""),"",IF(TRIM(INDIRECT("'"&amp;$A24&amp;"'!$S$8"))=TRIM(Tulokset!$P$6),2,0))</f>
        <v/>
      </c>
      <c r="CQ24" t="str">
        <f ca="1">IF(OR(Tulokset!$P$7="",INDIRECT("'"&amp;$A24&amp;"'!$S$9")=""),"",IF(TRIM(INDIRECT("'"&amp;$A24&amp;"'!$S$9"))=TRIM(Tulokset!$P$7),2,0))</f>
        <v/>
      </c>
      <c r="CR24" t="str">
        <f ca="1">IF(OR(Tulokset!$P$8="",INDIRECT("'"&amp;$A24&amp;"'!$S$10")=""),"",IF(TRIM(INDIRECT("'"&amp;$A24&amp;"'!$S$10"))=TRIM(Tulokset!$P$8),2,0))</f>
        <v/>
      </c>
      <c r="CS24" t="str">
        <f ca="1">IF(OR(Tulokset!$P$9="",INDIRECT("'"&amp;$A24&amp;"'!$S$11")=""),"",IF(TRIM(INDIRECT("'"&amp;$A24&amp;"'!$S$11"))=TRIM(Tulokset!$P$9),2,0))</f>
        <v/>
      </c>
      <c r="CT24" t="str">
        <f ca="1">IF(OR(Tulokset!$Q$6="",INDIRECT("'"&amp;$A24&amp;"'!$T$8")=""),"",IF(TRIM(INDIRECT("'"&amp;$A24&amp;"'!$T$8"))=TRIM(Tulokset!$Q$6),2,0))</f>
        <v/>
      </c>
      <c r="CU24" t="str">
        <f ca="1">IF(OR(Tulokset!$Q$7="",INDIRECT("'"&amp;$A24&amp;"'!$T$9")=""),"",IF(TRIM(INDIRECT("'"&amp;$A24&amp;"'!$T$9"))=TRIM(Tulokset!$Q$7),2,0))</f>
        <v/>
      </c>
      <c r="CV24" t="str">
        <f ca="1">IF(OR(Tulokset!$Q$8="",INDIRECT("'"&amp;$A24&amp;"'!$T$10")=""),"",IF(TRIM(INDIRECT("'"&amp;$A24&amp;"'!$T$10"))=TRIM(Tulokset!$Q$8),2,0))</f>
        <v/>
      </c>
      <c r="CW24" t="str">
        <f ca="1">IF(OR(Tulokset!$Q$9="",INDIRECT("'"&amp;$A24&amp;"'!$T$11")=""),"",IF(TRIM(INDIRECT("'"&amp;$A24&amp;"'!$T$11"))=TRIM(Tulokset!$Q$9),2,0))</f>
        <v/>
      </c>
      <c r="CX24" t="str">
        <f ca="1">IF(OR(Tulokset!$R$6="",INDIRECT("'"&amp;$A24&amp;"'!$U$8")=""),"",IF(TRIM(INDIRECT("'"&amp;$A24&amp;"'!$U$8"))=TRIM(Tulokset!$R$6),2,0))</f>
        <v/>
      </c>
      <c r="CY24" t="str">
        <f ca="1">IF(OR(Tulokset!$R$7="",INDIRECT("'"&amp;$A24&amp;"'!$U$9")=""),"",IF(TRIM(INDIRECT("'"&amp;$A24&amp;"'!$U$9"))=TRIM(Tulokset!$R$7),2,0))</f>
        <v/>
      </c>
      <c r="CZ24" t="str">
        <f ca="1">IF(OR(Tulokset!$R$8="",INDIRECT("'"&amp;$A24&amp;"'!$U$10")=""),"",IF(TRIM(INDIRECT("'"&amp;$A24&amp;"'!$U$10"))=TRIM(Tulokset!$R$8),2,0))</f>
        <v/>
      </c>
      <c r="DA24" t="str">
        <f ca="1">IF(OR(Tulokset!$R$9="",INDIRECT("'"&amp;$A24&amp;"'!$U$11")=""),"",IF(TRIM(INDIRECT("'"&amp;$A24&amp;"'!$U$11"))=TRIM(Tulokset!$R$9),2,0))</f>
        <v/>
      </c>
      <c r="DB24" t="str">
        <f ca="1">IF(OR(Tulokset!$M$12="",INDIRECT("'"&amp;$A24&amp;"'!$P$14")=""),"",IF(TRIM(INDIRECT("'"&amp;$A24&amp;"'!$P$14"))=TRIM(Tulokset!$M$12),2,0))</f>
        <v/>
      </c>
      <c r="DC24" t="str">
        <f ca="1">IF(OR(Tulokset!$M$13="",INDIRECT("'"&amp;$A24&amp;"'!$P$15")=""),"",IF(TRIM(INDIRECT("'"&amp;$A24&amp;"'!$P$15"))=TRIM(Tulokset!$M$13),2,0))</f>
        <v/>
      </c>
      <c r="DD24" t="str">
        <f ca="1">IF(OR(Tulokset!$M$14="",INDIRECT("'"&amp;$A24&amp;"'!$P$16")=""),"",IF(TRIM(INDIRECT("'"&amp;$A24&amp;"'!$P$16"))=TRIM(Tulokset!$M$14),2,0))</f>
        <v/>
      </c>
      <c r="DE24" t="str">
        <f ca="1">IF(OR(Tulokset!$M$15="",INDIRECT("'"&amp;$A24&amp;"'!$P$17")=""),"",IF(TRIM(INDIRECT("'"&amp;$A24&amp;"'!$P$17"))=TRIM(Tulokset!$M$15),2,0))</f>
        <v/>
      </c>
      <c r="DF24" t="str">
        <f ca="1">IF(OR(Tulokset!$N$12="",INDIRECT("'"&amp;$A24&amp;"'!$Q$14")=""),"",IF(TRIM(INDIRECT("'"&amp;$A24&amp;"'!$Q$14"))=TRIM(Tulokset!$N$12),2,0))</f>
        <v/>
      </c>
      <c r="DG24" t="str">
        <f ca="1">IF(OR(Tulokset!$N$13="",INDIRECT("'"&amp;$A24&amp;"'!$Q$15")=""),"",IF(TRIM(INDIRECT("'"&amp;$A24&amp;"'!$Q$15"))=TRIM(Tulokset!$N$13),2,0))</f>
        <v/>
      </c>
      <c r="DH24" t="str">
        <f ca="1">IF(OR(Tulokset!$N$14="",INDIRECT("'"&amp;$A24&amp;"'!$Q$16")=""),"",IF(TRIM(INDIRECT("'"&amp;$A24&amp;"'!$Q$16"))=TRIM(Tulokset!$N$14),2,0))</f>
        <v/>
      </c>
      <c r="DI24" t="str">
        <f ca="1">IF(OR(Tulokset!$N$15="",INDIRECT("'"&amp;$A24&amp;"'!$Q$17")=""),"",IF(TRIM(INDIRECT("'"&amp;$A24&amp;"'!$Q$17"))=TRIM(Tulokset!$N$15),2,0))</f>
        <v/>
      </c>
      <c r="DJ24" t="str">
        <f ca="1">IF(OR(Tulokset!$O$12="",INDIRECT("'"&amp;$A24&amp;"'!$R$14")=""),"",IF(TRIM(INDIRECT("'"&amp;$A24&amp;"'!$R$14"))=TRIM(Tulokset!$O$12),2,0))</f>
        <v/>
      </c>
      <c r="DK24" t="str">
        <f ca="1">IF(OR(Tulokset!$O$13="",INDIRECT("'"&amp;$A24&amp;"'!$R$15")=""),"",IF(TRIM(INDIRECT("'"&amp;$A24&amp;"'!$R$15"))=TRIM(Tulokset!$O$13),2,0))</f>
        <v/>
      </c>
      <c r="DL24" t="str">
        <f ca="1">IF(OR(Tulokset!$O$14="",INDIRECT("'"&amp;$A24&amp;"'!$R$16")=""),"",IF(TRIM(INDIRECT("'"&amp;$A24&amp;"'!$R$16"))=TRIM(Tulokset!$O$14),2,0))</f>
        <v/>
      </c>
      <c r="DM24" t="str">
        <f ca="1">IF(OR(Tulokset!$O$15="",INDIRECT("'"&amp;$A24&amp;"'!$R$17")=""),"",IF(TRIM(INDIRECT("'"&amp;$A24&amp;"'!$R$17"))=TRIM(Tulokset!$O$15),2,0))</f>
        <v/>
      </c>
      <c r="DN24" t="str">
        <f ca="1">IF(OR(Tulokset!$P$12="",INDIRECT("'"&amp;$A24&amp;"'!$S$14")=""),"",IF(TRIM(INDIRECT("'"&amp;$A24&amp;"'!$S$14"))=TRIM(Tulokset!$P$12),2,0))</f>
        <v/>
      </c>
      <c r="DO24" t="str">
        <f ca="1">IF(OR(Tulokset!$P$13="",INDIRECT("'"&amp;$A24&amp;"'!$S$15")=""),"",IF(TRIM(INDIRECT("'"&amp;$A24&amp;"'!$S$15"))=TRIM(Tulokset!$P$13),2,0))</f>
        <v/>
      </c>
      <c r="DP24" t="str">
        <f ca="1">IF(OR(Tulokset!$P$14="",INDIRECT("'"&amp;$A24&amp;"'!$S$16")=""),"",IF(TRIM(INDIRECT("'"&amp;$A24&amp;"'!$S$16"))=TRIM(Tulokset!$P$14),2,0))</f>
        <v/>
      </c>
      <c r="DQ24" t="str">
        <f ca="1">IF(OR(Tulokset!$P$15="",INDIRECT("'"&amp;$A24&amp;"'!$S$17")=""),"",IF(TRIM(INDIRECT("'"&amp;$A24&amp;"'!$S$17"))=TRIM(Tulokset!$P$15),2,0))</f>
        <v/>
      </c>
      <c r="DR24" t="str">
        <f ca="1">IF(OR(Tulokset!$Q$12="",INDIRECT("'"&amp;$A24&amp;"'!$T$14")=""),"",IF(TRIM(INDIRECT("'"&amp;$A24&amp;"'!$T$14"))=TRIM(Tulokset!$Q$12),2,0))</f>
        <v/>
      </c>
      <c r="DS24" t="str">
        <f ca="1">IF(OR(Tulokset!$Q$13="",INDIRECT("'"&amp;$A24&amp;"'!$T$15")=""),"",IF(TRIM(INDIRECT("'"&amp;$A24&amp;"'!$T$15"))=TRIM(Tulokset!$Q$13),2,0))</f>
        <v/>
      </c>
      <c r="DT24" t="str">
        <f ca="1">IF(OR(Tulokset!$Q$14="",INDIRECT("'"&amp;$A24&amp;"'!$T$16")=""),"",IF(TRIM(INDIRECT("'"&amp;$A24&amp;"'!$T$16"))=TRIM(Tulokset!$Q$14),2,0))</f>
        <v/>
      </c>
      <c r="DU24" t="str">
        <f ca="1">IF(OR(Tulokset!$Q$15="",INDIRECT("'"&amp;$A24&amp;"'!$T$17")=""),"",IF(TRIM(INDIRECT("'"&amp;$A24&amp;"'!$T$17"))=TRIM(Tulokset!$Q$15),2,0))</f>
        <v/>
      </c>
      <c r="DV24" t="str">
        <f ca="1">IF(OR(Tulokset!$R$12="",INDIRECT("'"&amp;$A24&amp;"'!$U$14")=""),"",IF(TRIM(INDIRECT("'"&amp;$A24&amp;"'!$U$14"))=TRIM(Tulokset!$R$12),2,0))</f>
        <v/>
      </c>
      <c r="DW24" t="str">
        <f ca="1">IF(OR(Tulokset!$R$13="",INDIRECT("'"&amp;$A24&amp;"'!$U$15")=""),"",IF(TRIM(INDIRECT("'"&amp;$A24&amp;"'!$U$15"))=TRIM(Tulokset!$R$13),2,0))</f>
        <v/>
      </c>
      <c r="DX24" t="str">
        <f ca="1">IF(OR(Tulokset!$R$14="",INDIRECT("'"&amp;$A24&amp;"'!$U$16")=""),"",IF(TRIM(INDIRECT("'"&amp;$A24&amp;"'!$U$16"))=TRIM(Tulokset!$R$14),2,0))</f>
        <v/>
      </c>
      <c r="DY24" t="str">
        <f ca="1">IF(OR(Tulokset!$R$15="",INDIRECT("'"&amp;$A24&amp;"'!$U$17")=""),"",IF(TRIM(INDIRECT("'"&amp;$A24&amp;"'!$U$17"))=TRIM(Tulokset!$R$15),2,0))</f>
        <v/>
      </c>
      <c r="EA24" t="str">
        <f ca="1">IF(OR(INDIRECT("'"&amp;$A24&amp;"'!$E$79")="",COUNTA(Tulokset!$M$20:$M$21)=0),"",IF(COUNTIF(Tulokset!$M$20:$M$21,INDIRECT("'"&amp;$A24&amp;"'!$E$79"))&gt;0,2,0))</f>
        <v/>
      </c>
      <c r="EB24" t="str">
        <f ca="1">IF(OR(INDIRECT("'"&amp;$A24&amp;"'!$G$79")="",COUNTA(Tulokset!$M$20:$M$21)=0),"",IF(COUNTIF(Tulokset!$M$20:$M$21,INDIRECT("'"&amp;$A24&amp;"'!$G$79"))&gt;0,2,0))</f>
        <v/>
      </c>
      <c r="EC24" t="str">
        <f ca="1">IF(OR(INDIRECT("'"&amp;$A24&amp;"'!$E$80")="",COUNTA(Tulokset!$M$23:$M$24)=0),"",IF(COUNTIF(Tulokset!$M$23:$M$24,INDIRECT("'"&amp;$A24&amp;"'!$E$80"))&gt;0,2,0))</f>
        <v/>
      </c>
      <c r="ED24" t="str">
        <f ca="1">IF(OR(INDIRECT("'"&amp;$A24&amp;"'!$G$80")="",COUNTA(Tulokset!$M$23:$M$24)=0),"",IF(COUNTIF(Tulokset!$M$23:$M$24,INDIRECT("'"&amp;$A24&amp;"'!$G$80"))&gt;0,2,0))</f>
        <v/>
      </c>
    </row>
    <row r="25" spans="1:134">
      <c r="A25" t="s">
        <v>317</v>
      </c>
      <c r="B25" t="str">
        <f t="shared" ca="1" si="0"/>
        <v>Neyney</v>
      </c>
      <c r="C25" s="95">
        <f t="shared" si="1"/>
        <v>0</v>
      </c>
      <c r="D25" s="95">
        <f t="shared" ca="1" si="2"/>
        <v>0</v>
      </c>
      <c r="E25" s="95">
        <f t="shared" ca="1" si="3"/>
        <v>0</v>
      </c>
      <c r="F25" s="95">
        <f t="shared" ca="1" si="4"/>
        <v>0</v>
      </c>
      <c r="G25" s="95">
        <f t="shared" si="5"/>
        <v>0</v>
      </c>
      <c r="H25" t="str">
        <f>IF(OR(Tulokset!$G$6="",Tulokset!$I$6="",'22'!$I$7="",'22'!$K$7=""),"",IF(SIGN('22'!$I$7-'22'!$K$7)&lt;&gt;SIGN(Tulokset!$G$6-Tulokset!$I$6),0,IF(Tulokset!$G$6=Tulokset!$I$6,IF(AND('22'!$I$7=Tulokset!$G$6,'22'!$K$7=Tulokset!$I$6),6,3),MAX(0,6-(ABS('22'!$I$7-Tulokset!$G$6)+ABS('22'!$K$7-Tulokset!$I$6))))))</f>
        <v/>
      </c>
      <c r="I25" t="str">
        <f>IF(OR(Tulokset!$G$7="",Tulokset!$I$7="",'22'!$I$8="",'22'!$K$8=""),"",IF(SIGN('22'!$I$8-'22'!$K$8)&lt;&gt;SIGN(Tulokset!$G$7-Tulokset!$I$7),0,IF(Tulokset!$G$7=Tulokset!$I$7,IF(AND('22'!$I$8=Tulokset!$G$7,'22'!$K$8=Tulokset!$I$7),6,3),MAX(0,6-(ABS('22'!$I$8-Tulokset!$G$7)+ABS('22'!$K$8-Tulokset!$I$7))))))</f>
        <v/>
      </c>
      <c r="J25" t="str">
        <f>IF(OR(Tulokset!$G$8="",Tulokset!$I$8="",'22'!$I$9="",'22'!$K$9=""),"",IF(SIGN('22'!$I$9-'22'!$K$9)&lt;&gt;SIGN(Tulokset!$G$8-Tulokset!$I$8),0,IF(Tulokset!$G$8=Tulokset!$I$8,IF(AND('22'!$I$9=Tulokset!$G$8,'22'!$K$9=Tulokset!$I$8),6,3),MAX(0,6-(ABS('22'!$I$9-Tulokset!$G$8)+ABS('22'!$K$9-Tulokset!$I$8))))))</f>
        <v/>
      </c>
      <c r="K25" t="str">
        <f>IF(OR(Tulokset!$G$9="",Tulokset!$I$9="",'22'!$I$10="",'22'!$K$10=""),"",IF(SIGN('22'!$I$10-'22'!$K$10)&lt;&gt;SIGN(Tulokset!$G$9-Tulokset!$I$9),0,IF(Tulokset!$G$9=Tulokset!$I$9,IF(AND('22'!$I$10=Tulokset!$G$9,'22'!$K$10=Tulokset!$I$9),6,3),MAX(0,6-(ABS('22'!$I$10-Tulokset!$G$9)+ABS('22'!$K$10-Tulokset!$I$9))))))</f>
        <v/>
      </c>
      <c r="L25" t="str">
        <f>IF(OR(Tulokset!$G$10="",Tulokset!$I$10="",'22'!$I$11="",'22'!$K$11=""),"",IF(SIGN('22'!$I$11-'22'!$K$11)&lt;&gt;SIGN(Tulokset!$G$10-Tulokset!$I$10),0,IF(Tulokset!$G$10=Tulokset!$I$10,IF(AND('22'!$I$11=Tulokset!$G$10,'22'!$K$11=Tulokset!$I$10),6,3),MAX(0,6-(ABS('22'!$I$11-Tulokset!$G$10)+ABS('22'!$K$11-Tulokset!$I$10))))))</f>
        <v/>
      </c>
      <c r="M25" t="str">
        <f>IF(OR(Tulokset!$G$11="",Tulokset!$I$11="",'22'!$I$12="",'22'!$K$12=""),"",IF(SIGN('22'!$I$12-'22'!$K$12)&lt;&gt;SIGN(Tulokset!$G$11-Tulokset!$I$11),0,IF(Tulokset!$G$11=Tulokset!$I$11,IF(AND('22'!$I$12=Tulokset!$G$11,'22'!$K$12=Tulokset!$I$11),6,3),MAX(0,6-(ABS('22'!$I$12-Tulokset!$G$11)+ABS('22'!$K$12-Tulokset!$I$11))))))</f>
        <v/>
      </c>
      <c r="N25" t="str">
        <f>IF(OR(Tulokset!$G$12="",Tulokset!$I$12="",'22'!$I$13="",'22'!$K$13=""),"",IF(SIGN('22'!$I$13-'22'!$K$13)&lt;&gt;SIGN(Tulokset!$G$12-Tulokset!$I$12),0,IF(Tulokset!$G$12=Tulokset!$I$12,IF(AND('22'!$I$13=Tulokset!$G$12,'22'!$K$13=Tulokset!$I$12),6,3),MAX(0,6-(ABS('22'!$I$13-Tulokset!$G$12)+ABS('22'!$K$13-Tulokset!$I$12))))))</f>
        <v/>
      </c>
      <c r="O25" t="str">
        <f>IF(OR(Tulokset!$G$13="",Tulokset!$I$13="",'22'!$I$14="",'22'!$K$14=""),"",IF(SIGN('22'!$I$14-'22'!$K$14)&lt;&gt;SIGN(Tulokset!$G$13-Tulokset!$I$13),0,IF(Tulokset!$G$13=Tulokset!$I$13,IF(AND('22'!$I$14=Tulokset!$G$13,'22'!$K$14=Tulokset!$I$13),6,3),MAX(0,6-(ABS('22'!$I$14-Tulokset!$G$13)+ABS('22'!$K$14-Tulokset!$I$13))))))</f>
        <v/>
      </c>
      <c r="P25" t="str">
        <f>IF(OR(Tulokset!$G$14="",Tulokset!$I$14="",'22'!$I$15="",'22'!$K$15=""),"",IF(SIGN('22'!$I$15-'22'!$K$15)&lt;&gt;SIGN(Tulokset!$G$14-Tulokset!$I$14),0,IF(Tulokset!$G$14=Tulokset!$I$14,IF(AND('22'!$I$15=Tulokset!$G$14,'22'!$K$15=Tulokset!$I$14),6,3),MAX(0,6-(ABS('22'!$I$15-Tulokset!$G$14)+ABS('22'!$K$15-Tulokset!$I$14))))))</f>
        <v/>
      </c>
      <c r="Q25" t="str">
        <f>IF(OR(Tulokset!$G$15="",Tulokset!$I$15="",'22'!$I$16="",'22'!$K$16=""),"",IF(SIGN('22'!$I$16-'22'!$K$16)&lt;&gt;SIGN(Tulokset!$G$15-Tulokset!$I$15),0,IF(Tulokset!$G$15=Tulokset!$I$15,IF(AND('22'!$I$16=Tulokset!$G$15,'22'!$K$16=Tulokset!$I$15),6,3),MAX(0,6-(ABS('22'!$I$16-Tulokset!$G$15)+ABS('22'!$K$16-Tulokset!$I$15))))))</f>
        <v/>
      </c>
      <c r="R25" t="str">
        <f>IF(OR(Tulokset!$G$16="",Tulokset!$I$16="",'22'!$I$17="",'22'!$K$17=""),"",IF(SIGN('22'!$I$17-'22'!$K$17)&lt;&gt;SIGN(Tulokset!$G$16-Tulokset!$I$16),0,IF(Tulokset!$G$16=Tulokset!$I$16,IF(AND('22'!$I$17=Tulokset!$G$16,'22'!$K$17=Tulokset!$I$16),6,3),MAX(0,6-(ABS('22'!$I$17-Tulokset!$G$16)+ABS('22'!$K$17-Tulokset!$I$16))))))</f>
        <v/>
      </c>
      <c r="S25" t="str">
        <f>IF(OR(Tulokset!$G$17="",Tulokset!$I$17="",'22'!$I$18="",'22'!$K$18=""),"",IF(SIGN('22'!$I$18-'22'!$K$18)&lt;&gt;SIGN(Tulokset!$G$17-Tulokset!$I$17),0,IF(Tulokset!$G$17=Tulokset!$I$17,IF(AND('22'!$I$18=Tulokset!$G$17,'22'!$K$18=Tulokset!$I$17),6,3),MAX(0,6-(ABS('22'!$I$18-Tulokset!$G$17)+ABS('22'!$K$18-Tulokset!$I$17))))))</f>
        <v/>
      </c>
      <c r="T25" t="str">
        <f>IF(OR(Tulokset!$G$18="",Tulokset!$I$18="",'22'!$I$19="",'22'!$K$19=""),"",IF(SIGN('22'!$I$19-'22'!$K$19)&lt;&gt;SIGN(Tulokset!$G$18-Tulokset!$I$18),0,IF(Tulokset!$G$18=Tulokset!$I$18,IF(AND('22'!$I$19=Tulokset!$G$18,'22'!$K$19=Tulokset!$I$18),6,3),MAX(0,6-(ABS('22'!$I$19-Tulokset!$G$18)+ABS('22'!$K$19-Tulokset!$I$18))))))</f>
        <v/>
      </c>
      <c r="U25" t="str">
        <f>IF(OR(Tulokset!$G$19="",Tulokset!$I$19="",'22'!$I$20="",'22'!$K$20=""),"",IF(SIGN('22'!$I$20-'22'!$K$20)&lt;&gt;SIGN(Tulokset!$G$19-Tulokset!$I$19),0,IF(Tulokset!$G$19=Tulokset!$I$19,IF(AND('22'!$I$20=Tulokset!$G$19,'22'!$K$20=Tulokset!$I$19),6,3),MAX(0,6-(ABS('22'!$I$20-Tulokset!$G$19)+ABS('22'!$K$20-Tulokset!$I$19))))))</f>
        <v/>
      </c>
      <c r="V25" t="str">
        <f>IF(OR(Tulokset!$G$20="",Tulokset!$I$20="",'22'!$I$21="",'22'!$K$21=""),"",IF(SIGN('22'!$I$21-'22'!$K$21)&lt;&gt;SIGN(Tulokset!$G$20-Tulokset!$I$20),0,IF(Tulokset!$G$20=Tulokset!$I$20,IF(AND('22'!$I$21=Tulokset!$G$20,'22'!$K$21=Tulokset!$I$20),6,3),MAX(0,6-(ABS('22'!$I$21-Tulokset!$G$20)+ABS('22'!$K$21-Tulokset!$I$20))))))</f>
        <v/>
      </c>
      <c r="W25" t="str">
        <f>IF(OR(Tulokset!$G$21="",Tulokset!$I$21="",'22'!$I$22="",'22'!$K$22=""),"",IF(SIGN('22'!$I$22-'22'!$K$22)&lt;&gt;SIGN(Tulokset!$G$21-Tulokset!$I$21),0,IF(Tulokset!$G$21=Tulokset!$I$21,IF(AND('22'!$I$22=Tulokset!$G$21,'22'!$K$22=Tulokset!$I$21),6,3),MAX(0,6-(ABS('22'!$I$22-Tulokset!$G$21)+ABS('22'!$K$22-Tulokset!$I$21))))))</f>
        <v/>
      </c>
      <c r="X25" t="str">
        <f>IF(OR(Tulokset!$G$22="",Tulokset!$I$22="",'22'!$I$23="",'22'!$K$23=""),"",IF(SIGN('22'!$I$23-'22'!$K$23)&lt;&gt;SIGN(Tulokset!$G$22-Tulokset!$I$22),0,IF(Tulokset!$G$22=Tulokset!$I$22,IF(AND('22'!$I$23=Tulokset!$G$22,'22'!$K$23=Tulokset!$I$22),6,3),MAX(0,6-(ABS('22'!$I$23-Tulokset!$G$22)+ABS('22'!$K$23-Tulokset!$I$22))))))</f>
        <v/>
      </c>
      <c r="Y25" t="str">
        <f>IF(OR(Tulokset!$G$23="",Tulokset!$I$23="",'22'!$I$24="",'22'!$K$24=""),"",IF(SIGN('22'!$I$24-'22'!$K$24)&lt;&gt;SIGN(Tulokset!$G$23-Tulokset!$I$23),0,IF(Tulokset!$G$23=Tulokset!$I$23,IF(AND('22'!$I$24=Tulokset!$G$23,'22'!$K$24=Tulokset!$I$23),6,3),MAX(0,6-(ABS('22'!$I$24-Tulokset!$G$23)+ABS('22'!$K$24-Tulokset!$I$23))))))</f>
        <v/>
      </c>
      <c r="Z25" t="str">
        <f>IF(OR(Tulokset!$G$24="",Tulokset!$I$24="",'22'!$I$25="",'22'!$K$25=""),"",IF(SIGN('22'!$I$25-'22'!$K$25)&lt;&gt;SIGN(Tulokset!$G$24-Tulokset!$I$24),0,IF(Tulokset!$G$24=Tulokset!$I$24,IF(AND('22'!$I$25=Tulokset!$G$24,'22'!$K$25=Tulokset!$I$24),6,3),MAX(0,6-(ABS('22'!$I$25-Tulokset!$G$24)+ABS('22'!$K$25-Tulokset!$I$24))))))</f>
        <v/>
      </c>
      <c r="AA25" t="str">
        <f>IF(OR(Tulokset!$G$25="",Tulokset!$I$25="",'22'!$I$26="",'22'!$K$26=""),"",IF(SIGN('22'!$I$26-'22'!$K$26)&lt;&gt;SIGN(Tulokset!$G$25-Tulokset!$I$25),0,IF(Tulokset!$G$25=Tulokset!$I$25,IF(AND('22'!$I$26=Tulokset!$G$25,'22'!$K$26=Tulokset!$I$25),6,3),MAX(0,6-(ABS('22'!$I$26-Tulokset!$G$25)+ABS('22'!$K$26-Tulokset!$I$25))))))</f>
        <v/>
      </c>
      <c r="AB25" t="str">
        <f>IF(OR(Tulokset!$G$26="",Tulokset!$I$26="",'22'!$I$27="",'22'!$K$27=""),"",IF(SIGN('22'!$I$27-'22'!$K$27)&lt;&gt;SIGN(Tulokset!$G$26-Tulokset!$I$26),0,IF(Tulokset!$G$26=Tulokset!$I$26,IF(AND('22'!$I$27=Tulokset!$G$26,'22'!$K$27=Tulokset!$I$26),6,3),MAX(0,6-(ABS('22'!$I$27-Tulokset!$G$26)+ABS('22'!$K$27-Tulokset!$I$26))))))</f>
        <v/>
      </c>
      <c r="AC25" t="str">
        <f>IF(OR(Tulokset!$G$27="",Tulokset!$I$27="",'22'!$I$28="",'22'!$K$28=""),"",IF(SIGN('22'!$I$28-'22'!$K$28)&lt;&gt;SIGN(Tulokset!$G$27-Tulokset!$I$27),0,IF(Tulokset!$G$27=Tulokset!$I$27,IF(AND('22'!$I$28=Tulokset!$G$27,'22'!$K$28=Tulokset!$I$27),6,3),MAX(0,6-(ABS('22'!$I$28-Tulokset!$G$27)+ABS('22'!$K$28-Tulokset!$I$27))))))</f>
        <v/>
      </c>
      <c r="AD25" t="str">
        <f>IF(OR(Tulokset!$G$28="",Tulokset!$I$28="",'22'!$I$29="",'22'!$K$29=""),"",IF(SIGN('22'!$I$29-'22'!$K$29)&lt;&gt;SIGN(Tulokset!$G$28-Tulokset!$I$28),0,IF(Tulokset!$G$28=Tulokset!$I$28,IF(AND('22'!$I$29=Tulokset!$G$28,'22'!$K$29=Tulokset!$I$28),6,3),MAX(0,6-(ABS('22'!$I$29-Tulokset!$G$28)+ABS('22'!$K$29-Tulokset!$I$28))))))</f>
        <v/>
      </c>
      <c r="AE25" t="str">
        <f>IF(OR(Tulokset!$G$29="",Tulokset!$I$29="",'22'!$I$30="",'22'!$K$30=""),"",IF(SIGN('22'!$I$30-'22'!$K$30)&lt;&gt;SIGN(Tulokset!$G$29-Tulokset!$I$29),0,IF(Tulokset!$G$29=Tulokset!$I$29,IF(AND('22'!$I$30=Tulokset!$G$29,'22'!$K$30=Tulokset!$I$29),6,3),MAX(0,6-(ABS('22'!$I$30-Tulokset!$G$29)+ABS('22'!$K$30-Tulokset!$I$29))))))</f>
        <v/>
      </c>
      <c r="AF25" t="str">
        <f>IF(OR(Tulokset!$G$30="",Tulokset!$I$30="",'22'!$I$31="",'22'!$K$31=""),"",IF(SIGN('22'!$I$31-'22'!$K$31)&lt;&gt;SIGN(Tulokset!$G$30-Tulokset!$I$30),0,IF(Tulokset!$G$30=Tulokset!$I$30,IF(AND('22'!$I$31=Tulokset!$G$30,'22'!$K$31=Tulokset!$I$30),6,3),MAX(0,6-(ABS('22'!$I$31-Tulokset!$G$30)+ABS('22'!$K$31-Tulokset!$I$30))))))</f>
        <v/>
      </c>
      <c r="AG25" t="str">
        <f>IF(OR(Tulokset!$G$31="",Tulokset!$I$31="",'22'!$I$32="",'22'!$K$32=""),"",IF(SIGN('22'!$I$32-'22'!$K$32)&lt;&gt;SIGN(Tulokset!$G$31-Tulokset!$I$31),0,IF(Tulokset!$G$31=Tulokset!$I$31,IF(AND('22'!$I$32=Tulokset!$G$31,'22'!$K$32=Tulokset!$I$31),6,3),MAX(0,6-(ABS('22'!$I$32-Tulokset!$G$31)+ABS('22'!$K$32-Tulokset!$I$31))))))</f>
        <v/>
      </c>
      <c r="AH25" t="str">
        <f>IF(OR(Tulokset!$G$32="",Tulokset!$I$32="",'22'!$I$33="",'22'!$K$33=""),"",IF(SIGN('22'!$I$33-'22'!$K$33)&lt;&gt;SIGN(Tulokset!$G$32-Tulokset!$I$32),0,IF(Tulokset!$G$32=Tulokset!$I$32,IF(AND('22'!$I$33=Tulokset!$G$32,'22'!$K$33=Tulokset!$I$32),6,3),MAX(0,6-(ABS('22'!$I$33-Tulokset!$G$32)+ABS('22'!$K$33-Tulokset!$I$32))))))</f>
        <v/>
      </c>
      <c r="AI25" t="str">
        <f>IF(OR(Tulokset!$G$33="",Tulokset!$I$33="",'22'!$I$34="",'22'!$K$34=""),"",IF(SIGN('22'!$I$34-'22'!$K$34)&lt;&gt;SIGN(Tulokset!$G$33-Tulokset!$I$33),0,IF(Tulokset!$G$33=Tulokset!$I$33,IF(AND('22'!$I$34=Tulokset!$G$33,'22'!$K$34=Tulokset!$I$33),6,3),MAX(0,6-(ABS('22'!$I$34-Tulokset!$G$33)+ABS('22'!$K$34-Tulokset!$I$33))))))</f>
        <v/>
      </c>
      <c r="AJ25" t="str">
        <f>IF(OR(Tulokset!$G$34="",Tulokset!$I$34="",'22'!$I$35="",'22'!$K$35=""),"",IF(SIGN('22'!$I$35-'22'!$K$35)&lt;&gt;SIGN(Tulokset!$G$34-Tulokset!$I$34),0,IF(Tulokset!$G$34=Tulokset!$I$34,IF(AND('22'!$I$35=Tulokset!$G$34,'22'!$K$35=Tulokset!$I$34),6,3),MAX(0,6-(ABS('22'!$I$35-Tulokset!$G$34)+ABS('22'!$K$35-Tulokset!$I$34))))))</f>
        <v/>
      </c>
      <c r="AK25" t="str">
        <f>IF(OR(Tulokset!$G$35="",Tulokset!$I$35="",'22'!$I$36="",'22'!$K$36=""),"",IF(SIGN('22'!$I$36-'22'!$K$36)&lt;&gt;SIGN(Tulokset!$G$35-Tulokset!$I$35),0,IF(Tulokset!$G$35=Tulokset!$I$35,IF(AND('22'!$I$36=Tulokset!$G$35,'22'!$K$36=Tulokset!$I$35),6,3),MAX(0,6-(ABS('22'!$I$36-Tulokset!$G$35)+ABS('22'!$K$36-Tulokset!$I$35))))))</f>
        <v/>
      </c>
      <c r="AL25" t="str">
        <f>IF(OR(Tulokset!$G$36="",Tulokset!$I$36="",'22'!$I$37="",'22'!$K$37=""),"",IF(SIGN('22'!$I$37-'22'!$K$37)&lt;&gt;SIGN(Tulokset!$G$36-Tulokset!$I$36),0,IF(Tulokset!$G$36=Tulokset!$I$36,IF(AND('22'!$I$37=Tulokset!$G$36,'22'!$K$37=Tulokset!$I$36),6,3),MAX(0,6-(ABS('22'!$I$37-Tulokset!$G$36)+ABS('22'!$K$37-Tulokset!$I$36))))))</f>
        <v/>
      </c>
      <c r="AM25" t="str">
        <f>IF(OR(Tulokset!$G$37="",Tulokset!$I$37="",'22'!$I$38="",'22'!$K$38=""),"",IF(SIGN('22'!$I$38-'22'!$K$38)&lt;&gt;SIGN(Tulokset!$G$37-Tulokset!$I$37),0,IF(Tulokset!$G$37=Tulokset!$I$37,IF(AND('22'!$I$38=Tulokset!$G$37,'22'!$K$38=Tulokset!$I$37),6,3),MAX(0,6-(ABS('22'!$I$38-Tulokset!$G$37)+ABS('22'!$K$38-Tulokset!$I$37))))))</f>
        <v/>
      </c>
      <c r="AN25" t="str">
        <f>IF(OR(Tulokset!$G$38="",Tulokset!$I$38="",'22'!$I$39="",'22'!$K$39=""),"",IF(SIGN('22'!$I$39-'22'!$K$39)&lt;&gt;SIGN(Tulokset!$G$38-Tulokset!$I$38),0,IF(Tulokset!$G$38=Tulokset!$I$38,IF(AND('22'!$I$39=Tulokset!$G$38,'22'!$K$39=Tulokset!$I$38),6,3),MAX(0,6-(ABS('22'!$I$39-Tulokset!$G$38)+ABS('22'!$K$39-Tulokset!$I$38))))))</f>
        <v/>
      </c>
      <c r="AO25" t="str">
        <f>IF(OR(Tulokset!$G$39="",Tulokset!$I$39="",'22'!$I$40="",'22'!$K$40=""),"",IF(SIGN('22'!$I$40-'22'!$K$40)&lt;&gt;SIGN(Tulokset!$G$39-Tulokset!$I$39),0,IF(Tulokset!$G$39=Tulokset!$I$39,IF(AND('22'!$I$40=Tulokset!$G$39,'22'!$K$40=Tulokset!$I$39),6,3),MAX(0,6-(ABS('22'!$I$40-Tulokset!$G$39)+ABS('22'!$K$40-Tulokset!$I$39))))))</f>
        <v/>
      </c>
      <c r="AP25" t="str">
        <f>IF(OR(Tulokset!$G$40="",Tulokset!$I$40="",'22'!$I$41="",'22'!$K$41=""),"",IF(SIGN('22'!$I$41-'22'!$K$41)&lt;&gt;SIGN(Tulokset!$G$40-Tulokset!$I$40),0,IF(Tulokset!$G$40=Tulokset!$I$40,IF(AND('22'!$I$41=Tulokset!$G$40,'22'!$K$41=Tulokset!$I$40),6,3),MAX(0,6-(ABS('22'!$I$41-Tulokset!$G$40)+ABS('22'!$K$41-Tulokset!$I$40))))))</f>
        <v/>
      </c>
      <c r="AQ25" t="str">
        <f>IF(OR(Tulokset!$G$41="",Tulokset!$I$41="",'22'!$I$42="",'22'!$K$42=""),"",IF(SIGN('22'!$I$42-'22'!$K$42)&lt;&gt;SIGN(Tulokset!$G$41-Tulokset!$I$41),0,IF(Tulokset!$G$41=Tulokset!$I$41,IF(AND('22'!$I$42=Tulokset!$G$41,'22'!$K$42=Tulokset!$I$41),6,3),MAX(0,6-(ABS('22'!$I$42-Tulokset!$G$41)+ABS('22'!$K$42-Tulokset!$I$41))))))</f>
        <v/>
      </c>
      <c r="AR25" t="str">
        <f>IF(OR(Tulokset!$G$42="",Tulokset!$I$42="",'22'!$I$43="",'22'!$K$43=""),"",IF(SIGN('22'!$I$43-'22'!$K$43)&lt;&gt;SIGN(Tulokset!$G$42-Tulokset!$I$42),0,IF(Tulokset!$G$42=Tulokset!$I$42,IF(AND('22'!$I$43=Tulokset!$G$42,'22'!$K$43=Tulokset!$I$42),6,3),MAX(0,6-(ABS('22'!$I$43-Tulokset!$G$42)+ABS('22'!$K$43-Tulokset!$I$42))))))</f>
        <v/>
      </c>
      <c r="AS25" t="str">
        <f>IF(OR(Tulokset!$G$43="",Tulokset!$I$43="",'22'!$I$44="",'22'!$K$44=""),"",IF(SIGN('22'!$I$44-'22'!$K$44)&lt;&gt;SIGN(Tulokset!$G$43-Tulokset!$I$43),0,IF(Tulokset!$G$43=Tulokset!$I$43,IF(AND('22'!$I$44=Tulokset!$G$43,'22'!$K$44=Tulokset!$I$43),6,3),MAX(0,6-(ABS('22'!$I$44-Tulokset!$G$43)+ABS('22'!$K$44-Tulokset!$I$43))))))</f>
        <v/>
      </c>
      <c r="AT25" t="str">
        <f>IF(OR(Tulokset!$G$44="",Tulokset!$I$44="",'22'!$I$45="",'22'!$K$45=""),"",IF(SIGN('22'!$I$45-'22'!$K$45)&lt;&gt;SIGN(Tulokset!$G$44-Tulokset!$I$44),0,IF(Tulokset!$G$44=Tulokset!$I$44,IF(AND('22'!$I$45=Tulokset!$G$44,'22'!$K$45=Tulokset!$I$44),6,3),MAX(0,6-(ABS('22'!$I$45-Tulokset!$G$44)+ABS('22'!$K$45-Tulokset!$I$44))))))</f>
        <v/>
      </c>
      <c r="AU25" t="str">
        <f>IF(OR(Tulokset!$G$45="",Tulokset!$I$45="",'22'!$I$46="",'22'!$K$46=""),"",IF(SIGN('22'!$I$46-'22'!$K$46)&lt;&gt;SIGN(Tulokset!$G$45-Tulokset!$I$45),0,IF(Tulokset!$G$45=Tulokset!$I$45,IF(AND('22'!$I$46=Tulokset!$G$45,'22'!$K$46=Tulokset!$I$45),6,3),MAX(0,6-(ABS('22'!$I$46-Tulokset!$G$45)+ABS('22'!$K$46-Tulokset!$I$45))))))</f>
        <v/>
      </c>
      <c r="AV25" t="str">
        <f>IF(OR(Tulokset!$G$46="",Tulokset!$I$46="",'22'!$I$47="",'22'!$K$47=""),"",IF(SIGN('22'!$I$47-'22'!$K$47)&lt;&gt;SIGN(Tulokset!$G$46-Tulokset!$I$46),0,IF(Tulokset!$G$46=Tulokset!$I$46,IF(AND('22'!$I$47=Tulokset!$G$46,'22'!$K$47=Tulokset!$I$46),6,3),MAX(0,6-(ABS('22'!$I$47-Tulokset!$G$46)+ABS('22'!$K$47-Tulokset!$I$46))))))</f>
        <v/>
      </c>
      <c r="AW25" t="str">
        <f>IF(OR(Tulokset!$G$47="",Tulokset!$I$47="",'22'!$I$48="",'22'!$K$48=""),"",IF(SIGN('22'!$I$48-'22'!$K$48)&lt;&gt;SIGN(Tulokset!$G$47-Tulokset!$I$47),0,IF(Tulokset!$G$47=Tulokset!$I$47,IF(AND('22'!$I$48=Tulokset!$G$47,'22'!$K$48=Tulokset!$I$47),6,3),MAX(0,6-(ABS('22'!$I$48-Tulokset!$G$47)+ABS('22'!$K$48-Tulokset!$I$47))))))</f>
        <v/>
      </c>
      <c r="AX25" t="str">
        <f>IF(OR(Tulokset!$G$48="",Tulokset!$I$48="",'22'!$I$49="",'22'!$K$49=""),"",IF(SIGN('22'!$I$49-'22'!$K$49)&lt;&gt;SIGN(Tulokset!$G$48-Tulokset!$I$48),0,IF(Tulokset!$G$48=Tulokset!$I$48,IF(AND('22'!$I$49=Tulokset!$G$48,'22'!$K$49=Tulokset!$I$48),6,3),MAX(0,6-(ABS('22'!$I$49-Tulokset!$G$48)+ABS('22'!$K$49-Tulokset!$I$48))))))</f>
        <v/>
      </c>
      <c r="AY25" t="str">
        <f>IF(OR(Tulokset!$G$49="",Tulokset!$I$49="",'22'!$I$50="",'22'!$K$50=""),"",IF(SIGN('22'!$I$50-'22'!$K$50)&lt;&gt;SIGN(Tulokset!$G$49-Tulokset!$I$49),0,IF(Tulokset!$G$49=Tulokset!$I$49,IF(AND('22'!$I$50=Tulokset!$G$49,'22'!$K$50=Tulokset!$I$49),6,3),MAX(0,6-(ABS('22'!$I$50-Tulokset!$G$49)+ABS('22'!$K$50-Tulokset!$I$49))))))</f>
        <v/>
      </c>
      <c r="AZ25" t="str">
        <f>IF(OR(Tulokset!$G$50="",Tulokset!$I$50="",'22'!$I$51="",'22'!$K$51=""),"",IF(SIGN('22'!$I$51-'22'!$K$51)&lt;&gt;SIGN(Tulokset!$G$50-Tulokset!$I$50),0,IF(Tulokset!$G$50=Tulokset!$I$50,IF(AND('22'!$I$51=Tulokset!$G$50,'22'!$K$51=Tulokset!$I$50),6,3),MAX(0,6-(ABS('22'!$I$51-Tulokset!$G$50)+ABS('22'!$K$51-Tulokset!$I$50))))))</f>
        <v/>
      </c>
      <c r="BA25" t="str">
        <f>IF(OR(Tulokset!$G$51="",Tulokset!$I$51="",'22'!$I$52="",'22'!$K$52=""),"",IF(SIGN('22'!$I$52-'22'!$K$52)&lt;&gt;SIGN(Tulokset!$G$51-Tulokset!$I$51),0,IF(Tulokset!$G$51=Tulokset!$I$51,IF(AND('22'!$I$52=Tulokset!$G$51,'22'!$K$52=Tulokset!$I$51),6,3),MAX(0,6-(ABS('22'!$I$52-Tulokset!$G$51)+ABS('22'!$K$52-Tulokset!$I$51))))))</f>
        <v/>
      </c>
      <c r="BB25" t="str">
        <f>IF(OR(Tulokset!$G$52="",Tulokset!$I$52="",'22'!$I$53="",'22'!$K$53=""),"",IF(SIGN('22'!$I$53-'22'!$K$53)&lt;&gt;SIGN(Tulokset!$G$52-Tulokset!$I$52),0,IF(Tulokset!$G$52=Tulokset!$I$52,IF(AND('22'!$I$53=Tulokset!$G$52,'22'!$K$53=Tulokset!$I$52),6,3),MAX(0,6-(ABS('22'!$I$53-Tulokset!$G$52)+ABS('22'!$K$53-Tulokset!$I$52))))))</f>
        <v/>
      </c>
      <c r="BC25" t="str">
        <f>IF(OR(Tulokset!$G$53="",Tulokset!$I$53="",'22'!$I$54="",'22'!$K$54=""),"",IF(SIGN('22'!$I$54-'22'!$K$54)&lt;&gt;SIGN(Tulokset!$G$53-Tulokset!$I$53),0,IF(Tulokset!$G$53=Tulokset!$I$53,IF(AND('22'!$I$54=Tulokset!$G$53,'22'!$K$54=Tulokset!$I$53),6,3),MAX(0,6-(ABS('22'!$I$54-Tulokset!$G$53)+ABS('22'!$K$54-Tulokset!$I$53))))))</f>
        <v/>
      </c>
      <c r="BD25" t="str">
        <f>IF(OR(Tulokset!$G$54="",Tulokset!$I$54="",'22'!$I$55="",'22'!$K$55=""),"",IF(SIGN('22'!$I$55-'22'!$K$55)&lt;&gt;SIGN(Tulokset!$G$54-Tulokset!$I$54),0,IF(Tulokset!$G$54=Tulokset!$I$54,IF(AND('22'!$I$55=Tulokset!$G$54,'22'!$K$55=Tulokset!$I$54),6,3),MAX(0,6-(ABS('22'!$I$55-Tulokset!$G$54)+ABS('22'!$K$55-Tulokset!$I$54))))))</f>
        <v/>
      </c>
      <c r="BE25" t="str">
        <f>IF(OR(Tulokset!$G$55="",Tulokset!$I$55="",'22'!$I$56="",'22'!$K$56=""),"",IF(SIGN('22'!$I$56-'22'!$K$56)&lt;&gt;SIGN(Tulokset!$G$55-Tulokset!$I$55),0,IF(Tulokset!$G$55=Tulokset!$I$55,IF(AND('22'!$I$56=Tulokset!$G$55,'22'!$K$56=Tulokset!$I$55),6,3),MAX(0,6-(ABS('22'!$I$56-Tulokset!$G$55)+ABS('22'!$K$56-Tulokset!$I$55))))))</f>
        <v/>
      </c>
      <c r="BF25" t="str">
        <f>IF(OR(Tulokset!$G$56="",Tulokset!$I$56="",'22'!$I$57="",'22'!$K$57=""),"",IF(SIGN('22'!$I$57-'22'!$K$57)&lt;&gt;SIGN(Tulokset!$G$56-Tulokset!$I$56),0,IF(Tulokset!$G$56=Tulokset!$I$56,IF(AND('22'!$I$57=Tulokset!$G$56,'22'!$K$57=Tulokset!$I$56),6,3),MAX(0,6-(ABS('22'!$I$57-Tulokset!$G$56)+ABS('22'!$K$57-Tulokset!$I$56))))))</f>
        <v/>
      </c>
      <c r="BG25" t="str">
        <f>IF(OR(Tulokset!$G$57="",Tulokset!$I$57="",'22'!$I$58="",'22'!$K$58=""),"",IF(SIGN('22'!$I$58-'22'!$K$58)&lt;&gt;SIGN(Tulokset!$G$57-Tulokset!$I$57),0,IF(Tulokset!$G$57=Tulokset!$I$57,IF(AND('22'!$I$58=Tulokset!$G$57,'22'!$K$58=Tulokset!$I$57),6,3),MAX(0,6-(ABS('22'!$I$58-Tulokset!$G$57)+ABS('22'!$K$58-Tulokset!$I$57))))))</f>
        <v/>
      </c>
      <c r="BH25" t="str">
        <f>IF(OR(Tulokset!$G$58="",Tulokset!$I$58="",'22'!$I$59="",'22'!$K$59=""),"",IF(SIGN('22'!$I$59-'22'!$K$59)&lt;&gt;SIGN(Tulokset!$G$58-Tulokset!$I$58),0,IF(Tulokset!$G$58=Tulokset!$I$58,IF(AND('22'!$I$59=Tulokset!$G$58,'22'!$K$59=Tulokset!$I$58),6,3),MAX(0,6-(ABS('22'!$I$59-Tulokset!$G$58)+ABS('22'!$K$59-Tulokset!$I$58))))))</f>
        <v/>
      </c>
      <c r="BI25" t="str">
        <f>IF(OR(Tulokset!$G$59="",Tulokset!$I$59="",'22'!$I$60="",'22'!$K$60=""),"",IF(SIGN('22'!$I$60-'22'!$K$60)&lt;&gt;SIGN(Tulokset!$G$59-Tulokset!$I$59),0,IF(Tulokset!$G$59=Tulokset!$I$59,IF(AND('22'!$I$60=Tulokset!$G$59,'22'!$K$60=Tulokset!$I$59),6,3),MAX(0,6-(ABS('22'!$I$60-Tulokset!$G$59)+ABS('22'!$K$60-Tulokset!$I$59))))))</f>
        <v/>
      </c>
      <c r="BJ25" t="str">
        <f>IF(OR(Tulokset!$G$60="",Tulokset!$I$60="",'22'!$I$61="",'22'!$K$61=""),"",IF(SIGN('22'!$I$61-'22'!$K$61)&lt;&gt;SIGN(Tulokset!$G$60-Tulokset!$I$60),0,IF(Tulokset!$G$60=Tulokset!$I$60,IF(AND('22'!$I$61=Tulokset!$G$60,'22'!$K$61=Tulokset!$I$60),6,3),MAX(0,6-(ABS('22'!$I$61-Tulokset!$G$60)+ABS('22'!$K$61-Tulokset!$I$60))))))</f>
        <v/>
      </c>
      <c r="BK25" t="str">
        <f>IF(OR(Tulokset!$G$61="",Tulokset!$I$61="",'22'!$I$62="",'22'!$K$62=""),"",IF(SIGN('22'!$I$62-'22'!$K$62)&lt;&gt;SIGN(Tulokset!$G$61-Tulokset!$I$61),0,IF(Tulokset!$G$61=Tulokset!$I$61,IF(AND('22'!$I$62=Tulokset!$G$61,'22'!$K$62=Tulokset!$I$61),6,3),MAX(0,6-(ABS('22'!$I$62-Tulokset!$G$61)+ABS('22'!$K$62-Tulokset!$I$61))))))</f>
        <v/>
      </c>
      <c r="BL25" t="str">
        <f>IF(OR(Tulokset!$G$62="",Tulokset!$I$62="",'22'!$I$63="",'22'!$K$63=""),"",IF(SIGN('22'!$I$63-'22'!$K$63)&lt;&gt;SIGN(Tulokset!$G$62-Tulokset!$I$62),0,IF(Tulokset!$G$62=Tulokset!$I$62,IF(AND('22'!$I$63=Tulokset!$G$62,'22'!$K$63=Tulokset!$I$62),6,3),MAX(0,6-(ABS('22'!$I$63-Tulokset!$G$62)+ABS('22'!$K$63-Tulokset!$I$62))))))</f>
        <v/>
      </c>
      <c r="BM25" t="str">
        <f>IF(OR(Tulokset!$G$63="",Tulokset!$I$63="",'22'!$I$64="",'22'!$K$64=""),"",IF(SIGN('22'!$I$64-'22'!$K$64)&lt;&gt;SIGN(Tulokset!$G$63-Tulokset!$I$63),0,IF(Tulokset!$G$63=Tulokset!$I$63,IF(AND('22'!$I$64=Tulokset!$G$63,'22'!$K$64=Tulokset!$I$63),6,3),MAX(0,6-(ABS('22'!$I$64-Tulokset!$G$63)+ABS('22'!$K$64-Tulokset!$I$63))))))</f>
        <v/>
      </c>
      <c r="BN25" t="str">
        <f>IF(OR(Tulokset!$G$64="",Tulokset!$I$64="",'22'!$I$65="",'22'!$K$65=""),"",IF(SIGN('22'!$I$65-'22'!$K$65)&lt;&gt;SIGN(Tulokset!$G$64-Tulokset!$I$64),0,IF(Tulokset!$G$64=Tulokset!$I$64,IF(AND('22'!$I$65=Tulokset!$G$64,'22'!$K$65=Tulokset!$I$64),6,3),MAX(0,6-(ABS('22'!$I$65-Tulokset!$G$64)+ABS('22'!$K$65-Tulokset!$I$64))))))</f>
        <v/>
      </c>
      <c r="BO25" t="str">
        <f>IF(OR(Tulokset!$G$65="",Tulokset!$I$65="",'22'!$I$66="",'22'!$K$66=""),"",IF(SIGN('22'!$I$66-'22'!$K$66)&lt;&gt;SIGN(Tulokset!$G$65-Tulokset!$I$65),0,IF(Tulokset!$G$65=Tulokset!$I$65,IF(AND('22'!$I$66=Tulokset!$G$65,'22'!$K$66=Tulokset!$I$65),6,3),MAX(0,6-(ABS('22'!$I$66-Tulokset!$G$65)+ABS('22'!$K$66-Tulokset!$I$65))))))</f>
        <v/>
      </c>
      <c r="BP25" t="str">
        <f>IF(OR(Tulokset!$G$66="",Tulokset!$I$66="",'22'!$I$67="",'22'!$K$67=""),"",IF(SIGN('22'!$I$67-'22'!$K$67)&lt;&gt;SIGN(Tulokset!$G$66-Tulokset!$I$66),0,IF(Tulokset!$G$66=Tulokset!$I$66,IF(AND('22'!$I$67=Tulokset!$G$66,'22'!$K$67=Tulokset!$I$66),6,3),MAX(0,6-(ABS('22'!$I$67-Tulokset!$G$66)+ABS('22'!$K$67-Tulokset!$I$66))))))</f>
        <v/>
      </c>
      <c r="BQ25" t="str">
        <f>IF(OR(Tulokset!$G$67="",Tulokset!$I$67="",'22'!$I$68="",'22'!$K$68=""),"",IF(SIGN('22'!$I$68-'22'!$K$68)&lt;&gt;SIGN(Tulokset!$G$67-Tulokset!$I$67),0,IF(Tulokset!$G$67=Tulokset!$I$67,IF(AND('22'!$I$68=Tulokset!$G$67,'22'!$K$68=Tulokset!$I$67),6,3),MAX(0,6-(ABS('22'!$I$68-Tulokset!$G$67)+ABS('22'!$K$68-Tulokset!$I$67))))))</f>
        <v/>
      </c>
      <c r="BR25" t="str">
        <f>IF(OR(Tulokset!$G$68="",Tulokset!$I$68="",'22'!$I$69="",'22'!$K$69=""),"",IF(SIGN('22'!$I$69-'22'!$K$69)&lt;&gt;SIGN(Tulokset!$G$68-Tulokset!$I$68),0,IF(Tulokset!$G$68=Tulokset!$I$68,IF(AND('22'!$I$69=Tulokset!$G$68,'22'!$K$69=Tulokset!$I$68),6,3),MAX(0,6-(ABS('22'!$I$69-Tulokset!$G$68)+ABS('22'!$K$69-Tulokset!$I$68))))))</f>
        <v/>
      </c>
      <c r="BS25" t="str">
        <f>IF(OR(Tulokset!$G$69="",Tulokset!$I$69="",'22'!$I$70="",'22'!$K$70=""),"",IF(SIGN('22'!$I$70-'22'!$K$70)&lt;&gt;SIGN(Tulokset!$G$69-Tulokset!$I$69),0,IF(Tulokset!$G$69=Tulokset!$I$69,IF(AND('22'!$I$70=Tulokset!$G$69,'22'!$K$70=Tulokset!$I$69),6,3),MAX(0,6-(ABS('22'!$I$70-Tulokset!$G$69)+ABS('22'!$K$70-Tulokset!$I$69))))))</f>
        <v/>
      </c>
      <c r="BT25" t="str">
        <f>IF(OR(Tulokset!$G$70="",Tulokset!$I$70="",'22'!$I$71="",'22'!$K$71=""),"",IF(SIGN('22'!$I$71-'22'!$K$71)&lt;&gt;SIGN(Tulokset!$G$70-Tulokset!$I$70),0,IF(Tulokset!$G$70=Tulokset!$I$70,IF(AND('22'!$I$71=Tulokset!$G$70,'22'!$K$71=Tulokset!$I$70),6,3),MAX(0,6-(ABS('22'!$I$71-Tulokset!$G$70)+ABS('22'!$K$71-Tulokset!$I$70))))))</f>
        <v/>
      </c>
      <c r="BU25" t="str">
        <f>IF(OR(Tulokset!$G$71="",Tulokset!$I$71="",'22'!$I$72="",'22'!$K$72=""),"",IF(SIGN('22'!$I$72-'22'!$K$72)&lt;&gt;SIGN(Tulokset!$G$71-Tulokset!$I$71),0,IF(Tulokset!$G$71=Tulokset!$I$71,IF(AND('22'!$I$72=Tulokset!$G$71,'22'!$K$72=Tulokset!$I$71),6,3),MAX(0,6-(ABS('22'!$I$72-Tulokset!$G$71)+ABS('22'!$K$72-Tulokset!$I$71))))))</f>
        <v/>
      </c>
      <c r="BV25" t="str">
        <f>IF(OR(Tulokset!$G$72="",Tulokset!$I$72="",'22'!$I$73="",'22'!$K$73=""),"",IF(SIGN('22'!$I$73-'22'!$K$73)&lt;&gt;SIGN(Tulokset!$G$72-Tulokset!$I$72),0,IF(Tulokset!$G$72=Tulokset!$I$72,IF(AND('22'!$I$73=Tulokset!$G$72,'22'!$K$73=Tulokset!$I$72),6,3),MAX(0,6-(ABS('22'!$I$73-Tulokset!$G$72)+ABS('22'!$K$73-Tulokset!$I$72))))))</f>
        <v/>
      </c>
      <c r="BW25" t="str">
        <f>IF(OR(Tulokset!$G$73="",Tulokset!$I$73="",'22'!$I$74="",'22'!$K$74=""),"",IF(SIGN('22'!$I$74-'22'!$K$74)&lt;&gt;SIGN(Tulokset!$G$73-Tulokset!$I$73),0,IF(Tulokset!$G$73=Tulokset!$I$73,IF(AND('22'!$I$74=Tulokset!$G$73,'22'!$K$74=Tulokset!$I$73),6,3),MAX(0,6-(ABS('22'!$I$74-Tulokset!$G$73)+ABS('22'!$K$74-Tulokset!$I$73))))))</f>
        <v/>
      </c>
      <c r="BX25" t="str">
        <f>IF(OR(Tulokset!$G$74="",Tulokset!$I$74="",'22'!$I$75="",'22'!$K$75=""),"",IF(SIGN('22'!$I$75-'22'!$K$75)&lt;&gt;SIGN(Tulokset!$G$74-Tulokset!$I$74),0,IF(Tulokset!$G$74=Tulokset!$I$74,IF(AND('22'!$I$75=Tulokset!$G$74,'22'!$K$75=Tulokset!$I$74),6,3),MAX(0,6-(ABS('22'!$I$75-Tulokset!$G$74)+ABS('22'!$K$75-Tulokset!$I$74))))))</f>
        <v/>
      </c>
      <c r="BY25" t="str">
        <f>IF(OR(Tulokset!$G$75="",Tulokset!$I$75="",'22'!$I$76="",'22'!$K$76=""),"",IF(SIGN('22'!$I$76-'22'!$K$76)&lt;&gt;SIGN(Tulokset!$G$75-Tulokset!$I$75),0,IF(Tulokset!$G$75=Tulokset!$I$75,IF(AND('22'!$I$76=Tulokset!$G$75,'22'!$K$76=Tulokset!$I$75),6,3),MAX(0,6-(ABS('22'!$I$76-Tulokset!$G$75)+ABS('22'!$K$76-Tulokset!$I$75))))))</f>
        <v/>
      </c>
      <c r="BZ25" t="str">
        <f>IF(OR(Tulokset!$G$76="",Tulokset!$I$76="",'22'!$I$77="",'22'!$K$77=""),"",IF(SIGN('22'!$I$77-'22'!$K$77)&lt;&gt;SIGN(Tulokset!$G$76-Tulokset!$I$76),0,IF(Tulokset!$G$76=Tulokset!$I$76,IF(AND('22'!$I$77=Tulokset!$G$76,'22'!$K$77=Tulokset!$I$76),6,3),MAX(0,6-(ABS('22'!$I$77-Tulokset!$G$76)+ABS('22'!$K$77-Tulokset!$I$76))))))</f>
        <v/>
      </c>
      <c r="CA25" t="str">
        <f>IF(OR(Tulokset!$G$77="",Tulokset!$I$77="",'22'!$I$78="",'22'!$K$78=""),"",IF(SIGN('22'!$I$78-'22'!$K$78)&lt;&gt;SIGN(Tulokset!$G$77-Tulokset!$I$77),0,IF(Tulokset!$G$77=Tulokset!$I$77,IF(AND('22'!$I$78=Tulokset!$G$77,'22'!$K$78=Tulokset!$I$77),6,3),MAX(0,6-(ABS('22'!$I$78-Tulokset!$G$77)+ABS('22'!$K$78-Tulokset!$I$77))))))</f>
        <v/>
      </c>
      <c r="CD25" t="str">
        <f ca="1">IF(OR(Tulokset!$M$6="",INDIRECT("'"&amp;$A25&amp;"'!$P$8")=""),"",IF(TRIM(INDIRECT("'"&amp;$A25&amp;"'!$P$8"))=TRIM(Tulokset!$M$6),2,0))</f>
        <v/>
      </c>
      <c r="CE25" t="str">
        <f ca="1">IF(OR(Tulokset!$M$7="",INDIRECT("'"&amp;$A25&amp;"'!$P$9")=""),"",IF(TRIM(INDIRECT("'"&amp;$A25&amp;"'!$P$9"))=TRIM(Tulokset!$M$7),2,0))</f>
        <v/>
      </c>
      <c r="CF25" t="str">
        <f ca="1">IF(OR(Tulokset!$M$8="",INDIRECT("'"&amp;$A25&amp;"'!$P$10")=""),"",IF(TRIM(INDIRECT("'"&amp;$A25&amp;"'!$P$10"))=TRIM(Tulokset!$M$8),2,0))</f>
        <v/>
      </c>
      <c r="CG25" t="str">
        <f ca="1">IF(OR(Tulokset!$M$9="",INDIRECT("'"&amp;$A25&amp;"'!$P$11")=""),"",IF(TRIM(INDIRECT("'"&amp;$A25&amp;"'!$P$11"))=TRIM(Tulokset!$M$9),2,0))</f>
        <v/>
      </c>
      <c r="CH25" t="str">
        <f ca="1">IF(OR(Tulokset!$N$6="",INDIRECT("'"&amp;$A25&amp;"'!$Q$8")=""),"",IF(TRIM(INDIRECT("'"&amp;$A25&amp;"'!$Q$8"))=TRIM(Tulokset!$N$6),2,0))</f>
        <v/>
      </c>
      <c r="CI25" t="str">
        <f ca="1">IF(OR(Tulokset!$N$7="",INDIRECT("'"&amp;$A25&amp;"'!$Q$9")=""),"",IF(TRIM(INDIRECT("'"&amp;$A25&amp;"'!$Q$9"))=TRIM(Tulokset!$N$7),2,0))</f>
        <v/>
      </c>
      <c r="CJ25" t="str">
        <f ca="1">IF(OR(Tulokset!$N$8="",INDIRECT("'"&amp;$A25&amp;"'!$Q$10")=""),"",IF(TRIM(INDIRECT("'"&amp;$A25&amp;"'!$Q$10"))=TRIM(Tulokset!$N$8),2,0))</f>
        <v/>
      </c>
      <c r="CK25" t="str">
        <f ca="1">IF(OR(Tulokset!$N$9="",INDIRECT("'"&amp;$A25&amp;"'!$Q$11")=""),"",IF(TRIM(INDIRECT("'"&amp;$A25&amp;"'!$Q$11"))=TRIM(Tulokset!$N$9),2,0))</f>
        <v/>
      </c>
      <c r="CL25" t="str">
        <f ca="1">IF(OR(Tulokset!$O$6="",INDIRECT("'"&amp;$A25&amp;"'!$R$8")=""),"",IF(TRIM(INDIRECT("'"&amp;$A25&amp;"'!$R$8"))=TRIM(Tulokset!$O$6),2,0))</f>
        <v/>
      </c>
      <c r="CM25" t="str">
        <f ca="1">IF(OR(Tulokset!$O$7="",INDIRECT("'"&amp;$A25&amp;"'!$R$9")=""),"",IF(TRIM(INDIRECT("'"&amp;$A25&amp;"'!$R$9"))=TRIM(Tulokset!$O$7),2,0))</f>
        <v/>
      </c>
      <c r="CN25" t="str">
        <f ca="1">IF(OR(Tulokset!$O$8="",INDIRECT("'"&amp;$A25&amp;"'!$R$10")=""),"",IF(TRIM(INDIRECT("'"&amp;$A25&amp;"'!$R$10"))=TRIM(Tulokset!$O$8),2,0))</f>
        <v/>
      </c>
      <c r="CO25" t="str">
        <f ca="1">IF(OR(Tulokset!$O$9="",INDIRECT("'"&amp;$A25&amp;"'!$R$11")=""),"",IF(TRIM(INDIRECT("'"&amp;$A25&amp;"'!$R$11"))=TRIM(Tulokset!$O$9),2,0))</f>
        <v/>
      </c>
      <c r="CP25" t="str">
        <f ca="1">IF(OR(Tulokset!$P$6="",INDIRECT("'"&amp;$A25&amp;"'!$S$8")=""),"",IF(TRIM(INDIRECT("'"&amp;$A25&amp;"'!$S$8"))=TRIM(Tulokset!$P$6),2,0))</f>
        <v/>
      </c>
      <c r="CQ25" t="str">
        <f ca="1">IF(OR(Tulokset!$P$7="",INDIRECT("'"&amp;$A25&amp;"'!$S$9")=""),"",IF(TRIM(INDIRECT("'"&amp;$A25&amp;"'!$S$9"))=TRIM(Tulokset!$P$7),2,0))</f>
        <v/>
      </c>
      <c r="CR25" t="str">
        <f ca="1">IF(OR(Tulokset!$P$8="",INDIRECT("'"&amp;$A25&amp;"'!$S$10")=""),"",IF(TRIM(INDIRECT("'"&amp;$A25&amp;"'!$S$10"))=TRIM(Tulokset!$P$8),2,0))</f>
        <v/>
      </c>
      <c r="CS25" t="str">
        <f ca="1">IF(OR(Tulokset!$P$9="",INDIRECT("'"&amp;$A25&amp;"'!$S$11")=""),"",IF(TRIM(INDIRECT("'"&amp;$A25&amp;"'!$S$11"))=TRIM(Tulokset!$P$9),2,0))</f>
        <v/>
      </c>
      <c r="CT25" t="str">
        <f ca="1">IF(OR(Tulokset!$Q$6="",INDIRECT("'"&amp;$A25&amp;"'!$T$8")=""),"",IF(TRIM(INDIRECT("'"&amp;$A25&amp;"'!$T$8"))=TRIM(Tulokset!$Q$6),2,0))</f>
        <v/>
      </c>
      <c r="CU25" t="str">
        <f ca="1">IF(OR(Tulokset!$Q$7="",INDIRECT("'"&amp;$A25&amp;"'!$T$9")=""),"",IF(TRIM(INDIRECT("'"&amp;$A25&amp;"'!$T$9"))=TRIM(Tulokset!$Q$7),2,0))</f>
        <v/>
      </c>
      <c r="CV25" t="str">
        <f ca="1">IF(OR(Tulokset!$Q$8="",INDIRECT("'"&amp;$A25&amp;"'!$T$10")=""),"",IF(TRIM(INDIRECT("'"&amp;$A25&amp;"'!$T$10"))=TRIM(Tulokset!$Q$8),2,0))</f>
        <v/>
      </c>
      <c r="CW25" t="str">
        <f ca="1">IF(OR(Tulokset!$Q$9="",INDIRECT("'"&amp;$A25&amp;"'!$T$11")=""),"",IF(TRIM(INDIRECT("'"&amp;$A25&amp;"'!$T$11"))=TRIM(Tulokset!$Q$9),2,0))</f>
        <v/>
      </c>
      <c r="CX25" t="str">
        <f ca="1">IF(OR(Tulokset!$R$6="",INDIRECT("'"&amp;$A25&amp;"'!$U$8")=""),"",IF(TRIM(INDIRECT("'"&amp;$A25&amp;"'!$U$8"))=TRIM(Tulokset!$R$6),2,0))</f>
        <v/>
      </c>
      <c r="CY25" t="str">
        <f ca="1">IF(OR(Tulokset!$R$7="",INDIRECT("'"&amp;$A25&amp;"'!$U$9")=""),"",IF(TRIM(INDIRECT("'"&amp;$A25&amp;"'!$U$9"))=TRIM(Tulokset!$R$7),2,0))</f>
        <v/>
      </c>
      <c r="CZ25" t="str">
        <f ca="1">IF(OR(Tulokset!$R$8="",INDIRECT("'"&amp;$A25&amp;"'!$U$10")=""),"",IF(TRIM(INDIRECT("'"&amp;$A25&amp;"'!$U$10"))=TRIM(Tulokset!$R$8),2,0))</f>
        <v/>
      </c>
      <c r="DA25" t="str">
        <f ca="1">IF(OR(Tulokset!$R$9="",INDIRECT("'"&amp;$A25&amp;"'!$U$11")=""),"",IF(TRIM(INDIRECT("'"&amp;$A25&amp;"'!$U$11"))=TRIM(Tulokset!$R$9),2,0))</f>
        <v/>
      </c>
      <c r="DB25" t="str">
        <f ca="1">IF(OR(Tulokset!$M$12="",INDIRECT("'"&amp;$A25&amp;"'!$P$14")=""),"",IF(TRIM(INDIRECT("'"&amp;$A25&amp;"'!$P$14"))=TRIM(Tulokset!$M$12),2,0))</f>
        <v/>
      </c>
      <c r="DC25" t="str">
        <f ca="1">IF(OR(Tulokset!$M$13="",INDIRECT("'"&amp;$A25&amp;"'!$P$15")=""),"",IF(TRIM(INDIRECT("'"&amp;$A25&amp;"'!$P$15"))=TRIM(Tulokset!$M$13),2,0))</f>
        <v/>
      </c>
      <c r="DD25" t="str">
        <f ca="1">IF(OR(Tulokset!$M$14="",INDIRECT("'"&amp;$A25&amp;"'!$P$16")=""),"",IF(TRIM(INDIRECT("'"&amp;$A25&amp;"'!$P$16"))=TRIM(Tulokset!$M$14),2,0))</f>
        <v/>
      </c>
      <c r="DE25" t="str">
        <f ca="1">IF(OR(Tulokset!$M$15="",INDIRECT("'"&amp;$A25&amp;"'!$P$17")=""),"",IF(TRIM(INDIRECT("'"&amp;$A25&amp;"'!$P$17"))=TRIM(Tulokset!$M$15),2,0))</f>
        <v/>
      </c>
      <c r="DF25" t="str">
        <f ca="1">IF(OR(Tulokset!$N$12="",INDIRECT("'"&amp;$A25&amp;"'!$Q$14")=""),"",IF(TRIM(INDIRECT("'"&amp;$A25&amp;"'!$Q$14"))=TRIM(Tulokset!$N$12),2,0))</f>
        <v/>
      </c>
      <c r="DG25" t="str">
        <f ca="1">IF(OR(Tulokset!$N$13="",INDIRECT("'"&amp;$A25&amp;"'!$Q$15")=""),"",IF(TRIM(INDIRECT("'"&amp;$A25&amp;"'!$Q$15"))=TRIM(Tulokset!$N$13),2,0))</f>
        <v/>
      </c>
      <c r="DH25" t="str">
        <f ca="1">IF(OR(Tulokset!$N$14="",INDIRECT("'"&amp;$A25&amp;"'!$Q$16")=""),"",IF(TRIM(INDIRECT("'"&amp;$A25&amp;"'!$Q$16"))=TRIM(Tulokset!$N$14),2,0))</f>
        <v/>
      </c>
      <c r="DI25" t="str">
        <f ca="1">IF(OR(Tulokset!$N$15="",INDIRECT("'"&amp;$A25&amp;"'!$Q$17")=""),"",IF(TRIM(INDIRECT("'"&amp;$A25&amp;"'!$Q$17"))=TRIM(Tulokset!$N$15),2,0))</f>
        <v/>
      </c>
      <c r="DJ25" t="str">
        <f ca="1">IF(OR(Tulokset!$O$12="",INDIRECT("'"&amp;$A25&amp;"'!$R$14")=""),"",IF(TRIM(INDIRECT("'"&amp;$A25&amp;"'!$R$14"))=TRIM(Tulokset!$O$12),2,0))</f>
        <v/>
      </c>
      <c r="DK25" t="str">
        <f ca="1">IF(OR(Tulokset!$O$13="",INDIRECT("'"&amp;$A25&amp;"'!$R$15")=""),"",IF(TRIM(INDIRECT("'"&amp;$A25&amp;"'!$R$15"))=TRIM(Tulokset!$O$13),2,0))</f>
        <v/>
      </c>
      <c r="DL25" t="str">
        <f ca="1">IF(OR(Tulokset!$O$14="",INDIRECT("'"&amp;$A25&amp;"'!$R$16")=""),"",IF(TRIM(INDIRECT("'"&amp;$A25&amp;"'!$R$16"))=TRIM(Tulokset!$O$14),2,0))</f>
        <v/>
      </c>
      <c r="DM25" t="str">
        <f ca="1">IF(OR(Tulokset!$O$15="",INDIRECT("'"&amp;$A25&amp;"'!$R$17")=""),"",IF(TRIM(INDIRECT("'"&amp;$A25&amp;"'!$R$17"))=TRIM(Tulokset!$O$15),2,0))</f>
        <v/>
      </c>
      <c r="DN25" t="str">
        <f ca="1">IF(OR(Tulokset!$P$12="",INDIRECT("'"&amp;$A25&amp;"'!$S$14")=""),"",IF(TRIM(INDIRECT("'"&amp;$A25&amp;"'!$S$14"))=TRIM(Tulokset!$P$12),2,0))</f>
        <v/>
      </c>
      <c r="DO25" t="str">
        <f ca="1">IF(OR(Tulokset!$P$13="",INDIRECT("'"&amp;$A25&amp;"'!$S$15")=""),"",IF(TRIM(INDIRECT("'"&amp;$A25&amp;"'!$S$15"))=TRIM(Tulokset!$P$13),2,0))</f>
        <v/>
      </c>
      <c r="DP25" t="str">
        <f ca="1">IF(OR(Tulokset!$P$14="",INDIRECT("'"&amp;$A25&amp;"'!$S$16")=""),"",IF(TRIM(INDIRECT("'"&amp;$A25&amp;"'!$S$16"))=TRIM(Tulokset!$P$14),2,0))</f>
        <v/>
      </c>
      <c r="DQ25" t="str">
        <f ca="1">IF(OR(Tulokset!$P$15="",INDIRECT("'"&amp;$A25&amp;"'!$S$17")=""),"",IF(TRIM(INDIRECT("'"&amp;$A25&amp;"'!$S$17"))=TRIM(Tulokset!$P$15),2,0))</f>
        <v/>
      </c>
      <c r="DR25" t="str">
        <f ca="1">IF(OR(Tulokset!$Q$12="",INDIRECT("'"&amp;$A25&amp;"'!$T$14")=""),"",IF(TRIM(INDIRECT("'"&amp;$A25&amp;"'!$T$14"))=TRIM(Tulokset!$Q$12),2,0))</f>
        <v/>
      </c>
      <c r="DS25" t="str">
        <f ca="1">IF(OR(Tulokset!$Q$13="",INDIRECT("'"&amp;$A25&amp;"'!$T$15")=""),"",IF(TRIM(INDIRECT("'"&amp;$A25&amp;"'!$T$15"))=TRIM(Tulokset!$Q$13),2,0))</f>
        <v/>
      </c>
      <c r="DT25" t="str">
        <f ca="1">IF(OR(Tulokset!$Q$14="",INDIRECT("'"&amp;$A25&amp;"'!$T$16")=""),"",IF(TRIM(INDIRECT("'"&amp;$A25&amp;"'!$T$16"))=TRIM(Tulokset!$Q$14),2,0))</f>
        <v/>
      </c>
      <c r="DU25" t="str">
        <f ca="1">IF(OR(Tulokset!$Q$15="",INDIRECT("'"&amp;$A25&amp;"'!$T$17")=""),"",IF(TRIM(INDIRECT("'"&amp;$A25&amp;"'!$T$17"))=TRIM(Tulokset!$Q$15),2,0))</f>
        <v/>
      </c>
      <c r="DV25" t="str">
        <f ca="1">IF(OR(Tulokset!$R$12="",INDIRECT("'"&amp;$A25&amp;"'!$U$14")=""),"",IF(TRIM(INDIRECT("'"&amp;$A25&amp;"'!$U$14"))=TRIM(Tulokset!$R$12),2,0))</f>
        <v/>
      </c>
      <c r="DW25" t="str">
        <f ca="1">IF(OR(Tulokset!$R$13="",INDIRECT("'"&amp;$A25&amp;"'!$U$15")=""),"",IF(TRIM(INDIRECT("'"&amp;$A25&amp;"'!$U$15"))=TRIM(Tulokset!$R$13),2,0))</f>
        <v/>
      </c>
      <c r="DX25" t="str">
        <f ca="1">IF(OR(Tulokset!$R$14="",INDIRECT("'"&amp;$A25&amp;"'!$U$16")=""),"",IF(TRIM(INDIRECT("'"&amp;$A25&amp;"'!$U$16"))=TRIM(Tulokset!$R$14),2,0))</f>
        <v/>
      </c>
      <c r="DY25" t="str">
        <f ca="1">IF(OR(Tulokset!$R$15="",INDIRECT("'"&amp;$A25&amp;"'!$U$17")=""),"",IF(TRIM(INDIRECT("'"&amp;$A25&amp;"'!$U$17"))=TRIM(Tulokset!$R$15),2,0))</f>
        <v/>
      </c>
      <c r="EA25" t="str">
        <f ca="1">IF(OR(INDIRECT("'"&amp;$A25&amp;"'!$E$79")="",COUNTA(Tulokset!$M$20:$M$21)=0),"",IF(COUNTIF(Tulokset!$M$20:$M$21,INDIRECT("'"&amp;$A25&amp;"'!$E$79"))&gt;0,2,0))</f>
        <v/>
      </c>
      <c r="EB25" t="str">
        <f ca="1">IF(OR(INDIRECT("'"&amp;$A25&amp;"'!$G$79")="",COUNTA(Tulokset!$M$20:$M$21)=0),"",IF(COUNTIF(Tulokset!$M$20:$M$21,INDIRECT("'"&amp;$A25&amp;"'!$G$79"))&gt;0,2,0))</f>
        <v/>
      </c>
      <c r="EC25" t="str">
        <f ca="1">IF(OR(INDIRECT("'"&amp;$A25&amp;"'!$E$80")="",COUNTA(Tulokset!$M$23:$M$24)=0),"",IF(COUNTIF(Tulokset!$M$23:$M$24,INDIRECT("'"&amp;$A25&amp;"'!$E$80"))&gt;0,2,0))</f>
        <v/>
      </c>
      <c r="ED25" t="str">
        <f ca="1">IF(OR(INDIRECT("'"&amp;$A25&amp;"'!$G$80")="",COUNTA(Tulokset!$M$23:$M$24)=0),"",IF(COUNTIF(Tulokset!$M$23:$M$24,INDIRECT("'"&amp;$A25&amp;"'!$G$80"))&gt;0,2,0))</f>
        <v/>
      </c>
    </row>
    <row r="26" spans="1:134">
      <c r="A26" t="s">
        <v>318</v>
      </c>
      <c r="B26" t="str">
        <f t="shared" ca="1" si="0"/>
        <v>Agueero</v>
      </c>
      <c r="C26" s="95">
        <f t="shared" si="1"/>
        <v>0</v>
      </c>
      <c r="D26" s="95">
        <f t="shared" ca="1" si="2"/>
        <v>0</v>
      </c>
      <c r="E26" s="95">
        <f t="shared" ca="1" si="3"/>
        <v>0</v>
      </c>
      <c r="F26" s="95">
        <f t="shared" ca="1" si="4"/>
        <v>0</v>
      </c>
      <c r="G26" s="95">
        <f t="shared" si="5"/>
        <v>0</v>
      </c>
      <c r="H26" t="str">
        <f>IF(OR(Tulokset!$G$6="",Tulokset!$I$6="",'23'!$I$7="",'23'!$K$7=""),"",IF(SIGN('23'!$I$7-'23'!$K$7)&lt;&gt;SIGN(Tulokset!$G$6-Tulokset!$I$6),0,IF(Tulokset!$G$6=Tulokset!$I$6,IF(AND('23'!$I$7=Tulokset!$G$6,'23'!$K$7=Tulokset!$I$6),6,3),MAX(0,6-(ABS('23'!$I$7-Tulokset!$G$6)+ABS('23'!$K$7-Tulokset!$I$6))))))</f>
        <v/>
      </c>
      <c r="I26" t="str">
        <f>IF(OR(Tulokset!$G$7="",Tulokset!$I$7="",'23'!$I$8="",'23'!$K$8=""),"",IF(SIGN('23'!$I$8-'23'!$K$8)&lt;&gt;SIGN(Tulokset!$G$7-Tulokset!$I$7),0,IF(Tulokset!$G$7=Tulokset!$I$7,IF(AND('23'!$I$8=Tulokset!$G$7,'23'!$K$8=Tulokset!$I$7),6,3),MAX(0,6-(ABS('23'!$I$8-Tulokset!$G$7)+ABS('23'!$K$8-Tulokset!$I$7))))))</f>
        <v/>
      </c>
      <c r="J26" t="str">
        <f>IF(OR(Tulokset!$G$8="",Tulokset!$I$8="",'23'!$I$9="",'23'!$K$9=""),"",IF(SIGN('23'!$I$9-'23'!$K$9)&lt;&gt;SIGN(Tulokset!$G$8-Tulokset!$I$8),0,IF(Tulokset!$G$8=Tulokset!$I$8,IF(AND('23'!$I$9=Tulokset!$G$8,'23'!$K$9=Tulokset!$I$8),6,3),MAX(0,6-(ABS('23'!$I$9-Tulokset!$G$8)+ABS('23'!$K$9-Tulokset!$I$8))))))</f>
        <v/>
      </c>
      <c r="K26" t="str">
        <f>IF(OR(Tulokset!$G$9="",Tulokset!$I$9="",'23'!$I$10="",'23'!$K$10=""),"",IF(SIGN('23'!$I$10-'23'!$K$10)&lt;&gt;SIGN(Tulokset!$G$9-Tulokset!$I$9),0,IF(Tulokset!$G$9=Tulokset!$I$9,IF(AND('23'!$I$10=Tulokset!$G$9,'23'!$K$10=Tulokset!$I$9),6,3),MAX(0,6-(ABS('23'!$I$10-Tulokset!$G$9)+ABS('23'!$K$10-Tulokset!$I$9))))))</f>
        <v/>
      </c>
      <c r="L26" t="str">
        <f>IF(OR(Tulokset!$G$10="",Tulokset!$I$10="",'23'!$I$11="",'23'!$K$11=""),"",IF(SIGN('23'!$I$11-'23'!$K$11)&lt;&gt;SIGN(Tulokset!$G$10-Tulokset!$I$10),0,IF(Tulokset!$G$10=Tulokset!$I$10,IF(AND('23'!$I$11=Tulokset!$G$10,'23'!$K$11=Tulokset!$I$10),6,3),MAX(0,6-(ABS('23'!$I$11-Tulokset!$G$10)+ABS('23'!$K$11-Tulokset!$I$10))))))</f>
        <v/>
      </c>
      <c r="M26" t="str">
        <f>IF(OR(Tulokset!$G$11="",Tulokset!$I$11="",'23'!$I$12="",'23'!$K$12=""),"",IF(SIGN('23'!$I$12-'23'!$K$12)&lt;&gt;SIGN(Tulokset!$G$11-Tulokset!$I$11),0,IF(Tulokset!$G$11=Tulokset!$I$11,IF(AND('23'!$I$12=Tulokset!$G$11,'23'!$K$12=Tulokset!$I$11),6,3),MAX(0,6-(ABS('23'!$I$12-Tulokset!$G$11)+ABS('23'!$K$12-Tulokset!$I$11))))))</f>
        <v/>
      </c>
      <c r="N26" t="str">
        <f>IF(OR(Tulokset!$G$12="",Tulokset!$I$12="",'23'!$I$13="",'23'!$K$13=""),"",IF(SIGN('23'!$I$13-'23'!$K$13)&lt;&gt;SIGN(Tulokset!$G$12-Tulokset!$I$12),0,IF(Tulokset!$G$12=Tulokset!$I$12,IF(AND('23'!$I$13=Tulokset!$G$12,'23'!$K$13=Tulokset!$I$12),6,3),MAX(0,6-(ABS('23'!$I$13-Tulokset!$G$12)+ABS('23'!$K$13-Tulokset!$I$12))))))</f>
        <v/>
      </c>
      <c r="O26" t="str">
        <f>IF(OR(Tulokset!$G$13="",Tulokset!$I$13="",'23'!$I$14="",'23'!$K$14=""),"",IF(SIGN('23'!$I$14-'23'!$K$14)&lt;&gt;SIGN(Tulokset!$G$13-Tulokset!$I$13),0,IF(Tulokset!$G$13=Tulokset!$I$13,IF(AND('23'!$I$14=Tulokset!$G$13,'23'!$K$14=Tulokset!$I$13),6,3),MAX(0,6-(ABS('23'!$I$14-Tulokset!$G$13)+ABS('23'!$K$14-Tulokset!$I$13))))))</f>
        <v/>
      </c>
      <c r="P26" t="str">
        <f>IF(OR(Tulokset!$G$14="",Tulokset!$I$14="",'23'!$I$15="",'23'!$K$15=""),"",IF(SIGN('23'!$I$15-'23'!$K$15)&lt;&gt;SIGN(Tulokset!$G$14-Tulokset!$I$14),0,IF(Tulokset!$G$14=Tulokset!$I$14,IF(AND('23'!$I$15=Tulokset!$G$14,'23'!$K$15=Tulokset!$I$14),6,3),MAX(0,6-(ABS('23'!$I$15-Tulokset!$G$14)+ABS('23'!$K$15-Tulokset!$I$14))))))</f>
        <v/>
      </c>
      <c r="Q26" t="str">
        <f>IF(OR(Tulokset!$G$15="",Tulokset!$I$15="",'23'!$I$16="",'23'!$K$16=""),"",IF(SIGN('23'!$I$16-'23'!$K$16)&lt;&gt;SIGN(Tulokset!$G$15-Tulokset!$I$15),0,IF(Tulokset!$G$15=Tulokset!$I$15,IF(AND('23'!$I$16=Tulokset!$G$15,'23'!$K$16=Tulokset!$I$15),6,3),MAX(0,6-(ABS('23'!$I$16-Tulokset!$G$15)+ABS('23'!$K$16-Tulokset!$I$15))))))</f>
        <v/>
      </c>
      <c r="R26" t="str">
        <f>IF(OR(Tulokset!$G$16="",Tulokset!$I$16="",'23'!$I$17="",'23'!$K$17=""),"",IF(SIGN('23'!$I$17-'23'!$K$17)&lt;&gt;SIGN(Tulokset!$G$16-Tulokset!$I$16),0,IF(Tulokset!$G$16=Tulokset!$I$16,IF(AND('23'!$I$17=Tulokset!$G$16,'23'!$K$17=Tulokset!$I$16),6,3),MAX(0,6-(ABS('23'!$I$17-Tulokset!$G$16)+ABS('23'!$K$17-Tulokset!$I$16))))))</f>
        <v/>
      </c>
      <c r="S26" t="str">
        <f>IF(OR(Tulokset!$G$17="",Tulokset!$I$17="",'23'!$I$18="",'23'!$K$18=""),"",IF(SIGN('23'!$I$18-'23'!$K$18)&lt;&gt;SIGN(Tulokset!$G$17-Tulokset!$I$17),0,IF(Tulokset!$G$17=Tulokset!$I$17,IF(AND('23'!$I$18=Tulokset!$G$17,'23'!$K$18=Tulokset!$I$17),6,3),MAX(0,6-(ABS('23'!$I$18-Tulokset!$G$17)+ABS('23'!$K$18-Tulokset!$I$17))))))</f>
        <v/>
      </c>
      <c r="T26" t="str">
        <f>IF(OR(Tulokset!$G$18="",Tulokset!$I$18="",'23'!$I$19="",'23'!$K$19=""),"",IF(SIGN('23'!$I$19-'23'!$K$19)&lt;&gt;SIGN(Tulokset!$G$18-Tulokset!$I$18),0,IF(Tulokset!$G$18=Tulokset!$I$18,IF(AND('23'!$I$19=Tulokset!$G$18,'23'!$K$19=Tulokset!$I$18),6,3),MAX(0,6-(ABS('23'!$I$19-Tulokset!$G$18)+ABS('23'!$K$19-Tulokset!$I$18))))))</f>
        <v/>
      </c>
      <c r="U26" t="str">
        <f>IF(OR(Tulokset!$G$19="",Tulokset!$I$19="",'23'!$I$20="",'23'!$K$20=""),"",IF(SIGN('23'!$I$20-'23'!$K$20)&lt;&gt;SIGN(Tulokset!$G$19-Tulokset!$I$19),0,IF(Tulokset!$G$19=Tulokset!$I$19,IF(AND('23'!$I$20=Tulokset!$G$19,'23'!$K$20=Tulokset!$I$19),6,3),MAX(0,6-(ABS('23'!$I$20-Tulokset!$G$19)+ABS('23'!$K$20-Tulokset!$I$19))))))</f>
        <v/>
      </c>
      <c r="V26" t="str">
        <f>IF(OR(Tulokset!$G$20="",Tulokset!$I$20="",'23'!$I$21="",'23'!$K$21=""),"",IF(SIGN('23'!$I$21-'23'!$K$21)&lt;&gt;SIGN(Tulokset!$G$20-Tulokset!$I$20),0,IF(Tulokset!$G$20=Tulokset!$I$20,IF(AND('23'!$I$21=Tulokset!$G$20,'23'!$K$21=Tulokset!$I$20),6,3),MAX(0,6-(ABS('23'!$I$21-Tulokset!$G$20)+ABS('23'!$K$21-Tulokset!$I$20))))))</f>
        <v/>
      </c>
      <c r="W26" t="str">
        <f>IF(OR(Tulokset!$G$21="",Tulokset!$I$21="",'23'!$I$22="",'23'!$K$22=""),"",IF(SIGN('23'!$I$22-'23'!$K$22)&lt;&gt;SIGN(Tulokset!$G$21-Tulokset!$I$21),0,IF(Tulokset!$G$21=Tulokset!$I$21,IF(AND('23'!$I$22=Tulokset!$G$21,'23'!$K$22=Tulokset!$I$21),6,3),MAX(0,6-(ABS('23'!$I$22-Tulokset!$G$21)+ABS('23'!$K$22-Tulokset!$I$21))))))</f>
        <v/>
      </c>
      <c r="X26" t="str">
        <f>IF(OR(Tulokset!$G$22="",Tulokset!$I$22="",'23'!$I$23="",'23'!$K$23=""),"",IF(SIGN('23'!$I$23-'23'!$K$23)&lt;&gt;SIGN(Tulokset!$G$22-Tulokset!$I$22),0,IF(Tulokset!$G$22=Tulokset!$I$22,IF(AND('23'!$I$23=Tulokset!$G$22,'23'!$K$23=Tulokset!$I$22),6,3),MAX(0,6-(ABS('23'!$I$23-Tulokset!$G$22)+ABS('23'!$K$23-Tulokset!$I$22))))))</f>
        <v/>
      </c>
      <c r="Y26" t="str">
        <f>IF(OR(Tulokset!$G$23="",Tulokset!$I$23="",'23'!$I$24="",'23'!$K$24=""),"",IF(SIGN('23'!$I$24-'23'!$K$24)&lt;&gt;SIGN(Tulokset!$G$23-Tulokset!$I$23),0,IF(Tulokset!$G$23=Tulokset!$I$23,IF(AND('23'!$I$24=Tulokset!$G$23,'23'!$K$24=Tulokset!$I$23),6,3),MAX(0,6-(ABS('23'!$I$24-Tulokset!$G$23)+ABS('23'!$K$24-Tulokset!$I$23))))))</f>
        <v/>
      </c>
      <c r="Z26" t="str">
        <f>IF(OR(Tulokset!$G$24="",Tulokset!$I$24="",'23'!$I$25="",'23'!$K$25=""),"",IF(SIGN('23'!$I$25-'23'!$K$25)&lt;&gt;SIGN(Tulokset!$G$24-Tulokset!$I$24),0,IF(Tulokset!$G$24=Tulokset!$I$24,IF(AND('23'!$I$25=Tulokset!$G$24,'23'!$K$25=Tulokset!$I$24),6,3),MAX(0,6-(ABS('23'!$I$25-Tulokset!$G$24)+ABS('23'!$K$25-Tulokset!$I$24))))))</f>
        <v/>
      </c>
      <c r="AA26" t="str">
        <f>IF(OR(Tulokset!$G$25="",Tulokset!$I$25="",'23'!$I$26="",'23'!$K$26=""),"",IF(SIGN('23'!$I$26-'23'!$K$26)&lt;&gt;SIGN(Tulokset!$G$25-Tulokset!$I$25),0,IF(Tulokset!$G$25=Tulokset!$I$25,IF(AND('23'!$I$26=Tulokset!$G$25,'23'!$K$26=Tulokset!$I$25),6,3),MAX(0,6-(ABS('23'!$I$26-Tulokset!$G$25)+ABS('23'!$K$26-Tulokset!$I$25))))))</f>
        <v/>
      </c>
      <c r="AB26" t="str">
        <f>IF(OR(Tulokset!$G$26="",Tulokset!$I$26="",'23'!$I$27="",'23'!$K$27=""),"",IF(SIGN('23'!$I$27-'23'!$K$27)&lt;&gt;SIGN(Tulokset!$G$26-Tulokset!$I$26),0,IF(Tulokset!$G$26=Tulokset!$I$26,IF(AND('23'!$I$27=Tulokset!$G$26,'23'!$K$27=Tulokset!$I$26),6,3),MAX(0,6-(ABS('23'!$I$27-Tulokset!$G$26)+ABS('23'!$K$27-Tulokset!$I$26))))))</f>
        <v/>
      </c>
      <c r="AC26" t="str">
        <f>IF(OR(Tulokset!$G$27="",Tulokset!$I$27="",'23'!$I$28="",'23'!$K$28=""),"",IF(SIGN('23'!$I$28-'23'!$K$28)&lt;&gt;SIGN(Tulokset!$G$27-Tulokset!$I$27),0,IF(Tulokset!$G$27=Tulokset!$I$27,IF(AND('23'!$I$28=Tulokset!$G$27,'23'!$K$28=Tulokset!$I$27),6,3),MAX(0,6-(ABS('23'!$I$28-Tulokset!$G$27)+ABS('23'!$K$28-Tulokset!$I$27))))))</f>
        <v/>
      </c>
      <c r="AD26" t="str">
        <f>IF(OR(Tulokset!$G$28="",Tulokset!$I$28="",'23'!$I$29="",'23'!$K$29=""),"",IF(SIGN('23'!$I$29-'23'!$K$29)&lt;&gt;SIGN(Tulokset!$G$28-Tulokset!$I$28),0,IF(Tulokset!$G$28=Tulokset!$I$28,IF(AND('23'!$I$29=Tulokset!$G$28,'23'!$K$29=Tulokset!$I$28),6,3),MAX(0,6-(ABS('23'!$I$29-Tulokset!$G$28)+ABS('23'!$K$29-Tulokset!$I$28))))))</f>
        <v/>
      </c>
      <c r="AE26" t="str">
        <f>IF(OR(Tulokset!$G$29="",Tulokset!$I$29="",'23'!$I$30="",'23'!$K$30=""),"",IF(SIGN('23'!$I$30-'23'!$K$30)&lt;&gt;SIGN(Tulokset!$G$29-Tulokset!$I$29),0,IF(Tulokset!$G$29=Tulokset!$I$29,IF(AND('23'!$I$30=Tulokset!$G$29,'23'!$K$30=Tulokset!$I$29),6,3),MAX(0,6-(ABS('23'!$I$30-Tulokset!$G$29)+ABS('23'!$K$30-Tulokset!$I$29))))))</f>
        <v/>
      </c>
      <c r="AF26" t="str">
        <f>IF(OR(Tulokset!$G$30="",Tulokset!$I$30="",'23'!$I$31="",'23'!$K$31=""),"",IF(SIGN('23'!$I$31-'23'!$K$31)&lt;&gt;SIGN(Tulokset!$G$30-Tulokset!$I$30),0,IF(Tulokset!$G$30=Tulokset!$I$30,IF(AND('23'!$I$31=Tulokset!$G$30,'23'!$K$31=Tulokset!$I$30),6,3),MAX(0,6-(ABS('23'!$I$31-Tulokset!$G$30)+ABS('23'!$K$31-Tulokset!$I$30))))))</f>
        <v/>
      </c>
      <c r="AG26" t="str">
        <f>IF(OR(Tulokset!$G$31="",Tulokset!$I$31="",'23'!$I$32="",'23'!$K$32=""),"",IF(SIGN('23'!$I$32-'23'!$K$32)&lt;&gt;SIGN(Tulokset!$G$31-Tulokset!$I$31),0,IF(Tulokset!$G$31=Tulokset!$I$31,IF(AND('23'!$I$32=Tulokset!$G$31,'23'!$K$32=Tulokset!$I$31),6,3),MAX(0,6-(ABS('23'!$I$32-Tulokset!$G$31)+ABS('23'!$K$32-Tulokset!$I$31))))))</f>
        <v/>
      </c>
      <c r="AH26" t="str">
        <f>IF(OR(Tulokset!$G$32="",Tulokset!$I$32="",'23'!$I$33="",'23'!$K$33=""),"",IF(SIGN('23'!$I$33-'23'!$K$33)&lt;&gt;SIGN(Tulokset!$G$32-Tulokset!$I$32),0,IF(Tulokset!$G$32=Tulokset!$I$32,IF(AND('23'!$I$33=Tulokset!$G$32,'23'!$K$33=Tulokset!$I$32),6,3),MAX(0,6-(ABS('23'!$I$33-Tulokset!$G$32)+ABS('23'!$K$33-Tulokset!$I$32))))))</f>
        <v/>
      </c>
      <c r="AI26" t="str">
        <f>IF(OR(Tulokset!$G$33="",Tulokset!$I$33="",'23'!$I$34="",'23'!$K$34=""),"",IF(SIGN('23'!$I$34-'23'!$K$34)&lt;&gt;SIGN(Tulokset!$G$33-Tulokset!$I$33),0,IF(Tulokset!$G$33=Tulokset!$I$33,IF(AND('23'!$I$34=Tulokset!$G$33,'23'!$K$34=Tulokset!$I$33),6,3),MAX(0,6-(ABS('23'!$I$34-Tulokset!$G$33)+ABS('23'!$K$34-Tulokset!$I$33))))))</f>
        <v/>
      </c>
      <c r="AJ26" t="str">
        <f>IF(OR(Tulokset!$G$34="",Tulokset!$I$34="",'23'!$I$35="",'23'!$K$35=""),"",IF(SIGN('23'!$I$35-'23'!$K$35)&lt;&gt;SIGN(Tulokset!$G$34-Tulokset!$I$34),0,IF(Tulokset!$G$34=Tulokset!$I$34,IF(AND('23'!$I$35=Tulokset!$G$34,'23'!$K$35=Tulokset!$I$34),6,3),MAX(0,6-(ABS('23'!$I$35-Tulokset!$G$34)+ABS('23'!$K$35-Tulokset!$I$34))))))</f>
        <v/>
      </c>
      <c r="AK26" t="str">
        <f>IF(OR(Tulokset!$G$35="",Tulokset!$I$35="",'23'!$I$36="",'23'!$K$36=""),"",IF(SIGN('23'!$I$36-'23'!$K$36)&lt;&gt;SIGN(Tulokset!$G$35-Tulokset!$I$35),0,IF(Tulokset!$G$35=Tulokset!$I$35,IF(AND('23'!$I$36=Tulokset!$G$35,'23'!$K$36=Tulokset!$I$35),6,3),MAX(0,6-(ABS('23'!$I$36-Tulokset!$G$35)+ABS('23'!$K$36-Tulokset!$I$35))))))</f>
        <v/>
      </c>
      <c r="AL26" t="str">
        <f>IF(OR(Tulokset!$G$36="",Tulokset!$I$36="",'23'!$I$37="",'23'!$K$37=""),"",IF(SIGN('23'!$I$37-'23'!$K$37)&lt;&gt;SIGN(Tulokset!$G$36-Tulokset!$I$36),0,IF(Tulokset!$G$36=Tulokset!$I$36,IF(AND('23'!$I$37=Tulokset!$G$36,'23'!$K$37=Tulokset!$I$36),6,3),MAX(0,6-(ABS('23'!$I$37-Tulokset!$G$36)+ABS('23'!$K$37-Tulokset!$I$36))))))</f>
        <v/>
      </c>
      <c r="AM26" t="str">
        <f>IF(OR(Tulokset!$G$37="",Tulokset!$I$37="",'23'!$I$38="",'23'!$K$38=""),"",IF(SIGN('23'!$I$38-'23'!$K$38)&lt;&gt;SIGN(Tulokset!$G$37-Tulokset!$I$37),0,IF(Tulokset!$G$37=Tulokset!$I$37,IF(AND('23'!$I$38=Tulokset!$G$37,'23'!$K$38=Tulokset!$I$37),6,3),MAX(0,6-(ABS('23'!$I$38-Tulokset!$G$37)+ABS('23'!$K$38-Tulokset!$I$37))))))</f>
        <v/>
      </c>
      <c r="AN26" t="str">
        <f>IF(OR(Tulokset!$G$38="",Tulokset!$I$38="",'23'!$I$39="",'23'!$K$39=""),"",IF(SIGN('23'!$I$39-'23'!$K$39)&lt;&gt;SIGN(Tulokset!$G$38-Tulokset!$I$38),0,IF(Tulokset!$G$38=Tulokset!$I$38,IF(AND('23'!$I$39=Tulokset!$G$38,'23'!$K$39=Tulokset!$I$38),6,3),MAX(0,6-(ABS('23'!$I$39-Tulokset!$G$38)+ABS('23'!$K$39-Tulokset!$I$38))))))</f>
        <v/>
      </c>
      <c r="AO26" t="str">
        <f>IF(OR(Tulokset!$G$39="",Tulokset!$I$39="",'23'!$I$40="",'23'!$K$40=""),"",IF(SIGN('23'!$I$40-'23'!$K$40)&lt;&gt;SIGN(Tulokset!$G$39-Tulokset!$I$39),0,IF(Tulokset!$G$39=Tulokset!$I$39,IF(AND('23'!$I$40=Tulokset!$G$39,'23'!$K$40=Tulokset!$I$39),6,3),MAX(0,6-(ABS('23'!$I$40-Tulokset!$G$39)+ABS('23'!$K$40-Tulokset!$I$39))))))</f>
        <v/>
      </c>
      <c r="AP26" t="str">
        <f>IF(OR(Tulokset!$G$40="",Tulokset!$I$40="",'23'!$I$41="",'23'!$K$41=""),"",IF(SIGN('23'!$I$41-'23'!$K$41)&lt;&gt;SIGN(Tulokset!$G$40-Tulokset!$I$40),0,IF(Tulokset!$G$40=Tulokset!$I$40,IF(AND('23'!$I$41=Tulokset!$G$40,'23'!$K$41=Tulokset!$I$40),6,3),MAX(0,6-(ABS('23'!$I$41-Tulokset!$G$40)+ABS('23'!$K$41-Tulokset!$I$40))))))</f>
        <v/>
      </c>
      <c r="AQ26" t="str">
        <f>IF(OR(Tulokset!$G$41="",Tulokset!$I$41="",'23'!$I$42="",'23'!$K$42=""),"",IF(SIGN('23'!$I$42-'23'!$K$42)&lt;&gt;SIGN(Tulokset!$G$41-Tulokset!$I$41),0,IF(Tulokset!$G$41=Tulokset!$I$41,IF(AND('23'!$I$42=Tulokset!$G$41,'23'!$K$42=Tulokset!$I$41),6,3),MAX(0,6-(ABS('23'!$I$42-Tulokset!$G$41)+ABS('23'!$K$42-Tulokset!$I$41))))))</f>
        <v/>
      </c>
      <c r="AR26" t="str">
        <f>IF(OR(Tulokset!$G$42="",Tulokset!$I$42="",'23'!$I$43="",'23'!$K$43=""),"",IF(SIGN('23'!$I$43-'23'!$K$43)&lt;&gt;SIGN(Tulokset!$G$42-Tulokset!$I$42),0,IF(Tulokset!$G$42=Tulokset!$I$42,IF(AND('23'!$I$43=Tulokset!$G$42,'23'!$K$43=Tulokset!$I$42),6,3),MAX(0,6-(ABS('23'!$I$43-Tulokset!$G$42)+ABS('23'!$K$43-Tulokset!$I$42))))))</f>
        <v/>
      </c>
      <c r="AS26" t="str">
        <f>IF(OR(Tulokset!$G$43="",Tulokset!$I$43="",'23'!$I$44="",'23'!$K$44=""),"",IF(SIGN('23'!$I$44-'23'!$K$44)&lt;&gt;SIGN(Tulokset!$G$43-Tulokset!$I$43),0,IF(Tulokset!$G$43=Tulokset!$I$43,IF(AND('23'!$I$44=Tulokset!$G$43,'23'!$K$44=Tulokset!$I$43),6,3),MAX(0,6-(ABS('23'!$I$44-Tulokset!$G$43)+ABS('23'!$K$44-Tulokset!$I$43))))))</f>
        <v/>
      </c>
      <c r="AT26" t="str">
        <f>IF(OR(Tulokset!$G$44="",Tulokset!$I$44="",'23'!$I$45="",'23'!$K$45=""),"",IF(SIGN('23'!$I$45-'23'!$K$45)&lt;&gt;SIGN(Tulokset!$G$44-Tulokset!$I$44),0,IF(Tulokset!$G$44=Tulokset!$I$44,IF(AND('23'!$I$45=Tulokset!$G$44,'23'!$K$45=Tulokset!$I$44),6,3),MAX(0,6-(ABS('23'!$I$45-Tulokset!$G$44)+ABS('23'!$K$45-Tulokset!$I$44))))))</f>
        <v/>
      </c>
      <c r="AU26" t="str">
        <f>IF(OR(Tulokset!$G$45="",Tulokset!$I$45="",'23'!$I$46="",'23'!$K$46=""),"",IF(SIGN('23'!$I$46-'23'!$K$46)&lt;&gt;SIGN(Tulokset!$G$45-Tulokset!$I$45),0,IF(Tulokset!$G$45=Tulokset!$I$45,IF(AND('23'!$I$46=Tulokset!$G$45,'23'!$K$46=Tulokset!$I$45),6,3),MAX(0,6-(ABS('23'!$I$46-Tulokset!$G$45)+ABS('23'!$K$46-Tulokset!$I$45))))))</f>
        <v/>
      </c>
      <c r="AV26" t="str">
        <f>IF(OR(Tulokset!$G$46="",Tulokset!$I$46="",'23'!$I$47="",'23'!$K$47=""),"",IF(SIGN('23'!$I$47-'23'!$K$47)&lt;&gt;SIGN(Tulokset!$G$46-Tulokset!$I$46),0,IF(Tulokset!$G$46=Tulokset!$I$46,IF(AND('23'!$I$47=Tulokset!$G$46,'23'!$K$47=Tulokset!$I$46),6,3),MAX(0,6-(ABS('23'!$I$47-Tulokset!$G$46)+ABS('23'!$K$47-Tulokset!$I$46))))))</f>
        <v/>
      </c>
      <c r="AW26" t="str">
        <f>IF(OR(Tulokset!$G$47="",Tulokset!$I$47="",'23'!$I$48="",'23'!$K$48=""),"",IF(SIGN('23'!$I$48-'23'!$K$48)&lt;&gt;SIGN(Tulokset!$G$47-Tulokset!$I$47),0,IF(Tulokset!$G$47=Tulokset!$I$47,IF(AND('23'!$I$48=Tulokset!$G$47,'23'!$K$48=Tulokset!$I$47),6,3),MAX(0,6-(ABS('23'!$I$48-Tulokset!$G$47)+ABS('23'!$K$48-Tulokset!$I$47))))))</f>
        <v/>
      </c>
      <c r="AX26" t="str">
        <f>IF(OR(Tulokset!$G$48="",Tulokset!$I$48="",'23'!$I$49="",'23'!$K$49=""),"",IF(SIGN('23'!$I$49-'23'!$K$49)&lt;&gt;SIGN(Tulokset!$G$48-Tulokset!$I$48),0,IF(Tulokset!$G$48=Tulokset!$I$48,IF(AND('23'!$I$49=Tulokset!$G$48,'23'!$K$49=Tulokset!$I$48),6,3),MAX(0,6-(ABS('23'!$I$49-Tulokset!$G$48)+ABS('23'!$K$49-Tulokset!$I$48))))))</f>
        <v/>
      </c>
      <c r="AY26" t="str">
        <f>IF(OR(Tulokset!$G$49="",Tulokset!$I$49="",'23'!$I$50="",'23'!$K$50=""),"",IF(SIGN('23'!$I$50-'23'!$K$50)&lt;&gt;SIGN(Tulokset!$G$49-Tulokset!$I$49),0,IF(Tulokset!$G$49=Tulokset!$I$49,IF(AND('23'!$I$50=Tulokset!$G$49,'23'!$K$50=Tulokset!$I$49),6,3),MAX(0,6-(ABS('23'!$I$50-Tulokset!$G$49)+ABS('23'!$K$50-Tulokset!$I$49))))))</f>
        <v/>
      </c>
      <c r="AZ26" t="str">
        <f>IF(OR(Tulokset!$G$50="",Tulokset!$I$50="",'23'!$I$51="",'23'!$K$51=""),"",IF(SIGN('23'!$I$51-'23'!$K$51)&lt;&gt;SIGN(Tulokset!$G$50-Tulokset!$I$50),0,IF(Tulokset!$G$50=Tulokset!$I$50,IF(AND('23'!$I$51=Tulokset!$G$50,'23'!$K$51=Tulokset!$I$50),6,3),MAX(0,6-(ABS('23'!$I$51-Tulokset!$G$50)+ABS('23'!$K$51-Tulokset!$I$50))))))</f>
        <v/>
      </c>
      <c r="BA26" t="str">
        <f>IF(OR(Tulokset!$G$51="",Tulokset!$I$51="",'23'!$I$52="",'23'!$K$52=""),"",IF(SIGN('23'!$I$52-'23'!$K$52)&lt;&gt;SIGN(Tulokset!$G$51-Tulokset!$I$51),0,IF(Tulokset!$G$51=Tulokset!$I$51,IF(AND('23'!$I$52=Tulokset!$G$51,'23'!$K$52=Tulokset!$I$51),6,3),MAX(0,6-(ABS('23'!$I$52-Tulokset!$G$51)+ABS('23'!$K$52-Tulokset!$I$51))))))</f>
        <v/>
      </c>
      <c r="BB26" t="str">
        <f>IF(OR(Tulokset!$G$52="",Tulokset!$I$52="",'23'!$I$53="",'23'!$K$53=""),"",IF(SIGN('23'!$I$53-'23'!$K$53)&lt;&gt;SIGN(Tulokset!$G$52-Tulokset!$I$52),0,IF(Tulokset!$G$52=Tulokset!$I$52,IF(AND('23'!$I$53=Tulokset!$G$52,'23'!$K$53=Tulokset!$I$52),6,3),MAX(0,6-(ABS('23'!$I$53-Tulokset!$G$52)+ABS('23'!$K$53-Tulokset!$I$52))))))</f>
        <v/>
      </c>
      <c r="BC26" t="str">
        <f>IF(OR(Tulokset!$G$53="",Tulokset!$I$53="",'23'!$I$54="",'23'!$K$54=""),"",IF(SIGN('23'!$I$54-'23'!$K$54)&lt;&gt;SIGN(Tulokset!$G$53-Tulokset!$I$53),0,IF(Tulokset!$G$53=Tulokset!$I$53,IF(AND('23'!$I$54=Tulokset!$G$53,'23'!$K$54=Tulokset!$I$53),6,3),MAX(0,6-(ABS('23'!$I$54-Tulokset!$G$53)+ABS('23'!$K$54-Tulokset!$I$53))))))</f>
        <v/>
      </c>
      <c r="BD26" t="str">
        <f>IF(OR(Tulokset!$G$54="",Tulokset!$I$54="",'23'!$I$55="",'23'!$K$55=""),"",IF(SIGN('23'!$I$55-'23'!$K$55)&lt;&gt;SIGN(Tulokset!$G$54-Tulokset!$I$54),0,IF(Tulokset!$G$54=Tulokset!$I$54,IF(AND('23'!$I$55=Tulokset!$G$54,'23'!$K$55=Tulokset!$I$54),6,3),MAX(0,6-(ABS('23'!$I$55-Tulokset!$G$54)+ABS('23'!$K$55-Tulokset!$I$54))))))</f>
        <v/>
      </c>
      <c r="BE26" t="str">
        <f>IF(OR(Tulokset!$G$55="",Tulokset!$I$55="",'23'!$I$56="",'23'!$K$56=""),"",IF(SIGN('23'!$I$56-'23'!$K$56)&lt;&gt;SIGN(Tulokset!$G$55-Tulokset!$I$55),0,IF(Tulokset!$G$55=Tulokset!$I$55,IF(AND('23'!$I$56=Tulokset!$G$55,'23'!$K$56=Tulokset!$I$55),6,3),MAX(0,6-(ABS('23'!$I$56-Tulokset!$G$55)+ABS('23'!$K$56-Tulokset!$I$55))))))</f>
        <v/>
      </c>
      <c r="BF26" t="str">
        <f>IF(OR(Tulokset!$G$56="",Tulokset!$I$56="",'23'!$I$57="",'23'!$K$57=""),"",IF(SIGN('23'!$I$57-'23'!$K$57)&lt;&gt;SIGN(Tulokset!$G$56-Tulokset!$I$56),0,IF(Tulokset!$G$56=Tulokset!$I$56,IF(AND('23'!$I$57=Tulokset!$G$56,'23'!$K$57=Tulokset!$I$56),6,3),MAX(0,6-(ABS('23'!$I$57-Tulokset!$G$56)+ABS('23'!$K$57-Tulokset!$I$56))))))</f>
        <v/>
      </c>
      <c r="BG26" t="str">
        <f>IF(OR(Tulokset!$G$57="",Tulokset!$I$57="",'23'!$I$58="",'23'!$K$58=""),"",IF(SIGN('23'!$I$58-'23'!$K$58)&lt;&gt;SIGN(Tulokset!$G$57-Tulokset!$I$57),0,IF(Tulokset!$G$57=Tulokset!$I$57,IF(AND('23'!$I$58=Tulokset!$G$57,'23'!$K$58=Tulokset!$I$57),6,3),MAX(0,6-(ABS('23'!$I$58-Tulokset!$G$57)+ABS('23'!$K$58-Tulokset!$I$57))))))</f>
        <v/>
      </c>
      <c r="BH26" t="str">
        <f>IF(OR(Tulokset!$G$58="",Tulokset!$I$58="",'23'!$I$59="",'23'!$K$59=""),"",IF(SIGN('23'!$I$59-'23'!$K$59)&lt;&gt;SIGN(Tulokset!$G$58-Tulokset!$I$58),0,IF(Tulokset!$G$58=Tulokset!$I$58,IF(AND('23'!$I$59=Tulokset!$G$58,'23'!$K$59=Tulokset!$I$58),6,3),MAX(0,6-(ABS('23'!$I$59-Tulokset!$G$58)+ABS('23'!$K$59-Tulokset!$I$58))))))</f>
        <v/>
      </c>
      <c r="BI26" t="str">
        <f>IF(OR(Tulokset!$G$59="",Tulokset!$I$59="",'23'!$I$60="",'23'!$K$60=""),"",IF(SIGN('23'!$I$60-'23'!$K$60)&lt;&gt;SIGN(Tulokset!$G$59-Tulokset!$I$59),0,IF(Tulokset!$G$59=Tulokset!$I$59,IF(AND('23'!$I$60=Tulokset!$G$59,'23'!$K$60=Tulokset!$I$59),6,3),MAX(0,6-(ABS('23'!$I$60-Tulokset!$G$59)+ABS('23'!$K$60-Tulokset!$I$59))))))</f>
        <v/>
      </c>
      <c r="BJ26" t="str">
        <f>IF(OR(Tulokset!$G$60="",Tulokset!$I$60="",'23'!$I$61="",'23'!$K$61=""),"",IF(SIGN('23'!$I$61-'23'!$K$61)&lt;&gt;SIGN(Tulokset!$G$60-Tulokset!$I$60),0,IF(Tulokset!$G$60=Tulokset!$I$60,IF(AND('23'!$I$61=Tulokset!$G$60,'23'!$K$61=Tulokset!$I$60),6,3),MAX(0,6-(ABS('23'!$I$61-Tulokset!$G$60)+ABS('23'!$K$61-Tulokset!$I$60))))))</f>
        <v/>
      </c>
      <c r="BK26" t="str">
        <f>IF(OR(Tulokset!$G$61="",Tulokset!$I$61="",'23'!$I$62="",'23'!$K$62=""),"",IF(SIGN('23'!$I$62-'23'!$K$62)&lt;&gt;SIGN(Tulokset!$G$61-Tulokset!$I$61),0,IF(Tulokset!$G$61=Tulokset!$I$61,IF(AND('23'!$I$62=Tulokset!$G$61,'23'!$K$62=Tulokset!$I$61),6,3),MAX(0,6-(ABS('23'!$I$62-Tulokset!$G$61)+ABS('23'!$K$62-Tulokset!$I$61))))))</f>
        <v/>
      </c>
      <c r="BL26" t="str">
        <f>IF(OR(Tulokset!$G$62="",Tulokset!$I$62="",'23'!$I$63="",'23'!$K$63=""),"",IF(SIGN('23'!$I$63-'23'!$K$63)&lt;&gt;SIGN(Tulokset!$G$62-Tulokset!$I$62),0,IF(Tulokset!$G$62=Tulokset!$I$62,IF(AND('23'!$I$63=Tulokset!$G$62,'23'!$K$63=Tulokset!$I$62),6,3),MAX(0,6-(ABS('23'!$I$63-Tulokset!$G$62)+ABS('23'!$K$63-Tulokset!$I$62))))))</f>
        <v/>
      </c>
      <c r="BM26" t="str">
        <f>IF(OR(Tulokset!$G$63="",Tulokset!$I$63="",'23'!$I$64="",'23'!$K$64=""),"",IF(SIGN('23'!$I$64-'23'!$K$64)&lt;&gt;SIGN(Tulokset!$G$63-Tulokset!$I$63),0,IF(Tulokset!$G$63=Tulokset!$I$63,IF(AND('23'!$I$64=Tulokset!$G$63,'23'!$K$64=Tulokset!$I$63),6,3),MAX(0,6-(ABS('23'!$I$64-Tulokset!$G$63)+ABS('23'!$K$64-Tulokset!$I$63))))))</f>
        <v/>
      </c>
      <c r="BN26" t="str">
        <f>IF(OR(Tulokset!$G$64="",Tulokset!$I$64="",'23'!$I$65="",'23'!$K$65=""),"",IF(SIGN('23'!$I$65-'23'!$K$65)&lt;&gt;SIGN(Tulokset!$G$64-Tulokset!$I$64),0,IF(Tulokset!$G$64=Tulokset!$I$64,IF(AND('23'!$I$65=Tulokset!$G$64,'23'!$K$65=Tulokset!$I$64),6,3),MAX(0,6-(ABS('23'!$I$65-Tulokset!$G$64)+ABS('23'!$K$65-Tulokset!$I$64))))))</f>
        <v/>
      </c>
      <c r="BO26" t="str">
        <f>IF(OR(Tulokset!$G$65="",Tulokset!$I$65="",'23'!$I$66="",'23'!$K$66=""),"",IF(SIGN('23'!$I$66-'23'!$K$66)&lt;&gt;SIGN(Tulokset!$G$65-Tulokset!$I$65),0,IF(Tulokset!$G$65=Tulokset!$I$65,IF(AND('23'!$I$66=Tulokset!$G$65,'23'!$K$66=Tulokset!$I$65),6,3),MAX(0,6-(ABS('23'!$I$66-Tulokset!$G$65)+ABS('23'!$K$66-Tulokset!$I$65))))))</f>
        <v/>
      </c>
      <c r="BP26" t="str">
        <f>IF(OR(Tulokset!$G$66="",Tulokset!$I$66="",'23'!$I$67="",'23'!$K$67=""),"",IF(SIGN('23'!$I$67-'23'!$K$67)&lt;&gt;SIGN(Tulokset!$G$66-Tulokset!$I$66),0,IF(Tulokset!$G$66=Tulokset!$I$66,IF(AND('23'!$I$67=Tulokset!$G$66,'23'!$K$67=Tulokset!$I$66),6,3),MAX(0,6-(ABS('23'!$I$67-Tulokset!$G$66)+ABS('23'!$K$67-Tulokset!$I$66))))))</f>
        <v/>
      </c>
      <c r="BQ26" t="str">
        <f>IF(OR(Tulokset!$G$67="",Tulokset!$I$67="",'23'!$I$68="",'23'!$K$68=""),"",IF(SIGN('23'!$I$68-'23'!$K$68)&lt;&gt;SIGN(Tulokset!$G$67-Tulokset!$I$67),0,IF(Tulokset!$G$67=Tulokset!$I$67,IF(AND('23'!$I$68=Tulokset!$G$67,'23'!$K$68=Tulokset!$I$67),6,3),MAX(0,6-(ABS('23'!$I$68-Tulokset!$G$67)+ABS('23'!$K$68-Tulokset!$I$67))))))</f>
        <v/>
      </c>
      <c r="BR26" t="str">
        <f>IF(OR(Tulokset!$G$68="",Tulokset!$I$68="",'23'!$I$69="",'23'!$K$69=""),"",IF(SIGN('23'!$I$69-'23'!$K$69)&lt;&gt;SIGN(Tulokset!$G$68-Tulokset!$I$68),0,IF(Tulokset!$G$68=Tulokset!$I$68,IF(AND('23'!$I$69=Tulokset!$G$68,'23'!$K$69=Tulokset!$I$68),6,3),MAX(0,6-(ABS('23'!$I$69-Tulokset!$G$68)+ABS('23'!$K$69-Tulokset!$I$68))))))</f>
        <v/>
      </c>
      <c r="BS26" t="str">
        <f>IF(OR(Tulokset!$G$69="",Tulokset!$I$69="",'23'!$I$70="",'23'!$K$70=""),"",IF(SIGN('23'!$I$70-'23'!$K$70)&lt;&gt;SIGN(Tulokset!$G$69-Tulokset!$I$69),0,IF(Tulokset!$G$69=Tulokset!$I$69,IF(AND('23'!$I$70=Tulokset!$G$69,'23'!$K$70=Tulokset!$I$69),6,3),MAX(0,6-(ABS('23'!$I$70-Tulokset!$G$69)+ABS('23'!$K$70-Tulokset!$I$69))))))</f>
        <v/>
      </c>
      <c r="BT26" t="str">
        <f>IF(OR(Tulokset!$G$70="",Tulokset!$I$70="",'23'!$I$71="",'23'!$K$71=""),"",IF(SIGN('23'!$I$71-'23'!$K$71)&lt;&gt;SIGN(Tulokset!$G$70-Tulokset!$I$70),0,IF(Tulokset!$G$70=Tulokset!$I$70,IF(AND('23'!$I$71=Tulokset!$G$70,'23'!$K$71=Tulokset!$I$70),6,3),MAX(0,6-(ABS('23'!$I$71-Tulokset!$G$70)+ABS('23'!$K$71-Tulokset!$I$70))))))</f>
        <v/>
      </c>
      <c r="BU26" t="str">
        <f>IF(OR(Tulokset!$G$71="",Tulokset!$I$71="",'23'!$I$72="",'23'!$K$72=""),"",IF(SIGN('23'!$I$72-'23'!$K$72)&lt;&gt;SIGN(Tulokset!$G$71-Tulokset!$I$71),0,IF(Tulokset!$G$71=Tulokset!$I$71,IF(AND('23'!$I$72=Tulokset!$G$71,'23'!$K$72=Tulokset!$I$71),6,3),MAX(0,6-(ABS('23'!$I$72-Tulokset!$G$71)+ABS('23'!$K$72-Tulokset!$I$71))))))</f>
        <v/>
      </c>
      <c r="BV26" t="str">
        <f>IF(OR(Tulokset!$G$72="",Tulokset!$I$72="",'23'!$I$73="",'23'!$K$73=""),"",IF(SIGN('23'!$I$73-'23'!$K$73)&lt;&gt;SIGN(Tulokset!$G$72-Tulokset!$I$72),0,IF(Tulokset!$G$72=Tulokset!$I$72,IF(AND('23'!$I$73=Tulokset!$G$72,'23'!$K$73=Tulokset!$I$72),6,3),MAX(0,6-(ABS('23'!$I$73-Tulokset!$G$72)+ABS('23'!$K$73-Tulokset!$I$72))))))</f>
        <v/>
      </c>
      <c r="BW26" t="str">
        <f>IF(OR(Tulokset!$G$73="",Tulokset!$I$73="",'23'!$I$74="",'23'!$K$74=""),"",IF(SIGN('23'!$I$74-'23'!$K$74)&lt;&gt;SIGN(Tulokset!$G$73-Tulokset!$I$73),0,IF(Tulokset!$G$73=Tulokset!$I$73,IF(AND('23'!$I$74=Tulokset!$G$73,'23'!$K$74=Tulokset!$I$73),6,3),MAX(0,6-(ABS('23'!$I$74-Tulokset!$G$73)+ABS('23'!$K$74-Tulokset!$I$73))))))</f>
        <v/>
      </c>
      <c r="BX26" t="str">
        <f>IF(OR(Tulokset!$G$74="",Tulokset!$I$74="",'23'!$I$75="",'23'!$K$75=""),"",IF(SIGN('23'!$I$75-'23'!$K$75)&lt;&gt;SIGN(Tulokset!$G$74-Tulokset!$I$74),0,IF(Tulokset!$G$74=Tulokset!$I$74,IF(AND('23'!$I$75=Tulokset!$G$74,'23'!$K$75=Tulokset!$I$74),6,3),MAX(0,6-(ABS('23'!$I$75-Tulokset!$G$74)+ABS('23'!$K$75-Tulokset!$I$74))))))</f>
        <v/>
      </c>
      <c r="BY26" t="str">
        <f>IF(OR(Tulokset!$G$75="",Tulokset!$I$75="",'23'!$I$76="",'23'!$K$76=""),"",IF(SIGN('23'!$I$76-'23'!$K$76)&lt;&gt;SIGN(Tulokset!$G$75-Tulokset!$I$75),0,IF(Tulokset!$G$75=Tulokset!$I$75,IF(AND('23'!$I$76=Tulokset!$G$75,'23'!$K$76=Tulokset!$I$75),6,3),MAX(0,6-(ABS('23'!$I$76-Tulokset!$G$75)+ABS('23'!$K$76-Tulokset!$I$75))))))</f>
        <v/>
      </c>
      <c r="BZ26" t="str">
        <f>IF(OR(Tulokset!$G$76="",Tulokset!$I$76="",'23'!$I$77="",'23'!$K$77=""),"",IF(SIGN('23'!$I$77-'23'!$K$77)&lt;&gt;SIGN(Tulokset!$G$76-Tulokset!$I$76),0,IF(Tulokset!$G$76=Tulokset!$I$76,IF(AND('23'!$I$77=Tulokset!$G$76,'23'!$K$77=Tulokset!$I$76),6,3),MAX(0,6-(ABS('23'!$I$77-Tulokset!$G$76)+ABS('23'!$K$77-Tulokset!$I$76))))))</f>
        <v/>
      </c>
      <c r="CA26" t="str">
        <f>IF(OR(Tulokset!$G$77="",Tulokset!$I$77="",'23'!$I$78="",'23'!$K$78=""),"",IF(SIGN('23'!$I$78-'23'!$K$78)&lt;&gt;SIGN(Tulokset!$G$77-Tulokset!$I$77),0,IF(Tulokset!$G$77=Tulokset!$I$77,IF(AND('23'!$I$78=Tulokset!$G$77,'23'!$K$78=Tulokset!$I$77),6,3),MAX(0,6-(ABS('23'!$I$78-Tulokset!$G$77)+ABS('23'!$K$78-Tulokset!$I$77))))))</f>
        <v/>
      </c>
      <c r="CD26" t="str">
        <f ca="1">IF(OR(Tulokset!$M$6="",INDIRECT("'"&amp;$A26&amp;"'!$P$8")=""),"",IF(TRIM(INDIRECT("'"&amp;$A26&amp;"'!$P$8"))=TRIM(Tulokset!$M$6),2,0))</f>
        <v/>
      </c>
      <c r="CE26" t="str">
        <f ca="1">IF(OR(Tulokset!$M$7="",INDIRECT("'"&amp;$A26&amp;"'!$P$9")=""),"",IF(TRIM(INDIRECT("'"&amp;$A26&amp;"'!$P$9"))=TRIM(Tulokset!$M$7),2,0))</f>
        <v/>
      </c>
      <c r="CF26" t="str">
        <f ca="1">IF(OR(Tulokset!$M$8="",INDIRECT("'"&amp;$A26&amp;"'!$P$10")=""),"",IF(TRIM(INDIRECT("'"&amp;$A26&amp;"'!$P$10"))=TRIM(Tulokset!$M$8),2,0))</f>
        <v/>
      </c>
      <c r="CG26" t="str">
        <f ca="1">IF(OR(Tulokset!$M$9="",INDIRECT("'"&amp;$A26&amp;"'!$P$11")=""),"",IF(TRIM(INDIRECT("'"&amp;$A26&amp;"'!$P$11"))=TRIM(Tulokset!$M$9),2,0))</f>
        <v/>
      </c>
      <c r="CH26" t="str">
        <f ca="1">IF(OR(Tulokset!$N$6="",INDIRECT("'"&amp;$A26&amp;"'!$Q$8")=""),"",IF(TRIM(INDIRECT("'"&amp;$A26&amp;"'!$Q$8"))=TRIM(Tulokset!$N$6),2,0))</f>
        <v/>
      </c>
      <c r="CI26" t="str">
        <f ca="1">IF(OR(Tulokset!$N$7="",INDIRECT("'"&amp;$A26&amp;"'!$Q$9")=""),"",IF(TRIM(INDIRECT("'"&amp;$A26&amp;"'!$Q$9"))=TRIM(Tulokset!$N$7),2,0))</f>
        <v/>
      </c>
      <c r="CJ26" t="str">
        <f ca="1">IF(OR(Tulokset!$N$8="",INDIRECT("'"&amp;$A26&amp;"'!$Q$10")=""),"",IF(TRIM(INDIRECT("'"&amp;$A26&amp;"'!$Q$10"))=TRIM(Tulokset!$N$8),2,0))</f>
        <v/>
      </c>
      <c r="CK26" t="str">
        <f ca="1">IF(OR(Tulokset!$N$9="",INDIRECT("'"&amp;$A26&amp;"'!$Q$11")=""),"",IF(TRIM(INDIRECT("'"&amp;$A26&amp;"'!$Q$11"))=TRIM(Tulokset!$N$9),2,0))</f>
        <v/>
      </c>
      <c r="CL26" t="str">
        <f ca="1">IF(OR(Tulokset!$O$6="",INDIRECT("'"&amp;$A26&amp;"'!$R$8")=""),"",IF(TRIM(INDIRECT("'"&amp;$A26&amp;"'!$R$8"))=TRIM(Tulokset!$O$6),2,0))</f>
        <v/>
      </c>
      <c r="CM26" t="str">
        <f ca="1">IF(OR(Tulokset!$O$7="",INDIRECT("'"&amp;$A26&amp;"'!$R$9")=""),"",IF(TRIM(INDIRECT("'"&amp;$A26&amp;"'!$R$9"))=TRIM(Tulokset!$O$7),2,0))</f>
        <v/>
      </c>
      <c r="CN26" t="str">
        <f ca="1">IF(OR(Tulokset!$O$8="",INDIRECT("'"&amp;$A26&amp;"'!$R$10")=""),"",IF(TRIM(INDIRECT("'"&amp;$A26&amp;"'!$R$10"))=TRIM(Tulokset!$O$8),2,0))</f>
        <v/>
      </c>
      <c r="CO26" t="str">
        <f ca="1">IF(OR(Tulokset!$O$9="",INDIRECT("'"&amp;$A26&amp;"'!$R$11")=""),"",IF(TRIM(INDIRECT("'"&amp;$A26&amp;"'!$R$11"))=TRIM(Tulokset!$O$9),2,0))</f>
        <v/>
      </c>
      <c r="CP26" t="str">
        <f ca="1">IF(OR(Tulokset!$P$6="",INDIRECT("'"&amp;$A26&amp;"'!$S$8")=""),"",IF(TRIM(INDIRECT("'"&amp;$A26&amp;"'!$S$8"))=TRIM(Tulokset!$P$6),2,0))</f>
        <v/>
      </c>
      <c r="CQ26" t="str">
        <f ca="1">IF(OR(Tulokset!$P$7="",INDIRECT("'"&amp;$A26&amp;"'!$S$9")=""),"",IF(TRIM(INDIRECT("'"&amp;$A26&amp;"'!$S$9"))=TRIM(Tulokset!$P$7),2,0))</f>
        <v/>
      </c>
      <c r="CR26" t="str">
        <f ca="1">IF(OR(Tulokset!$P$8="",INDIRECT("'"&amp;$A26&amp;"'!$S$10")=""),"",IF(TRIM(INDIRECT("'"&amp;$A26&amp;"'!$S$10"))=TRIM(Tulokset!$P$8),2,0))</f>
        <v/>
      </c>
      <c r="CS26" t="str">
        <f ca="1">IF(OR(Tulokset!$P$9="",INDIRECT("'"&amp;$A26&amp;"'!$S$11")=""),"",IF(TRIM(INDIRECT("'"&amp;$A26&amp;"'!$S$11"))=TRIM(Tulokset!$P$9),2,0))</f>
        <v/>
      </c>
      <c r="CT26" t="str">
        <f ca="1">IF(OR(Tulokset!$Q$6="",INDIRECT("'"&amp;$A26&amp;"'!$T$8")=""),"",IF(TRIM(INDIRECT("'"&amp;$A26&amp;"'!$T$8"))=TRIM(Tulokset!$Q$6),2,0))</f>
        <v/>
      </c>
      <c r="CU26" t="str">
        <f ca="1">IF(OR(Tulokset!$Q$7="",INDIRECT("'"&amp;$A26&amp;"'!$T$9")=""),"",IF(TRIM(INDIRECT("'"&amp;$A26&amp;"'!$T$9"))=TRIM(Tulokset!$Q$7),2,0))</f>
        <v/>
      </c>
      <c r="CV26" t="str">
        <f ca="1">IF(OR(Tulokset!$Q$8="",INDIRECT("'"&amp;$A26&amp;"'!$T$10")=""),"",IF(TRIM(INDIRECT("'"&amp;$A26&amp;"'!$T$10"))=TRIM(Tulokset!$Q$8),2,0))</f>
        <v/>
      </c>
      <c r="CW26" t="str">
        <f ca="1">IF(OR(Tulokset!$Q$9="",INDIRECT("'"&amp;$A26&amp;"'!$T$11")=""),"",IF(TRIM(INDIRECT("'"&amp;$A26&amp;"'!$T$11"))=TRIM(Tulokset!$Q$9),2,0))</f>
        <v/>
      </c>
      <c r="CX26" t="str">
        <f ca="1">IF(OR(Tulokset!$R$6="",INDIRECT("'"&amp;$A26&amp;"'!$U$8")=""),"",IF(TRIM(INDIRECT("'"&amp;$A26&amp;"'!$U$8"))=TRIM(Tulokset!$R$6),2,0))</f>
        <v/>
      </c>
      <c r="CY26" t="str">
        <f ca="1">IF(OR(Tulokset!$R$7="",INDIRECT("'"&amp;$A26&amp;"'!$U$9")=""),"",IF(TRIM(INDIRECT("'"&amp;$A26&amp;"'!$U$9"))=TRIM(Tulokset!$R$7),2,0))</f>
        <v/>
      </c>
      <c r="CZ26" t="str">
        <f ca="1">IF(OR(Tulokset!$R$8="",INDIRECT("'"&amp;$A26&amp;"'!$U$10")=""),"",IF(TRIM(INDIRECT("'"&amp;$A26&amp;"'!$U$10"))=TRIM(Tulokset!$R$8),2,0))</f>
        <v/>
      </c>
      <c r="DA26" t="str">
        <f ca="1">IF(OR(Tulokset!$R$9="",INDIRECT("'"&amp;$A26&amp;"'!$U$11")=""),"",IF(TRIM(INDIRECT("'"&amp;$A26&amp;"'!$U$11"))=TRIM(Tulokset!$R$9),2,0))</f>
        <v/>
      </c>
      <c r="DB26" t="str">
        <f ca="1">IF(OR(Tulokset!$M$12="",INDIRECT("'"&amp;$A26&amp;"'!$P$14")=""),"",IF(TRIM(INDIRECT("'"&amp;$A26&amp;"'!$P$14"))=TRIM(Tulokset!$M$12),2,0))</f>
        <v/>
      </c>
      <c r="DC26" t="str">
        <f ca="1">IF(OR(Tulokset!$M$13="",INDIRECT("'"&amp;$A26&amp;"'!$P$15")=""),"",IF(TRIM(INDIRECT("'"&amp;$A26&amp;"'!$P$15"))=TRIM(Tulokset!$M$13),2,0))</f>
        <v/>
      </c>
      <c r="DD26" t="str">
        <f ca="1">IF(OR(Tulokset!$M$14="",INDIRECT("'"&amp;$A26&amp;"'!$P$16")=""),"",IF(TRIM(INDIRECT("'"&amp;$A26&amp;"'!$P$16"))=TRIM(Tulokset!$M$14),2,0))</f>
        <v/>
      </c>
      <c r="DE26" t="str">
        <f ca="1">IF(OR(Tulokset!$M$15="",INDIRECT("'"&amp;$A26&amp;"'!$P$17")=""),"",IF(TRIM(INDIRECT("'"&amp;$A26&amp;"'!$P$17"))=TRIM(Tulokset!$M$15),2,0))</f>
        <v/>
      </c>
      <c r="DF26" t="str">
        <f ca="1">IF(OR(Tulokset!$N$12="",INDIRECT("'"&amp;$A26&amp;"'!$Q$14")=""),"",IF(TRIM(INDIRECT("'"&amp;$A26&amp;"'!$Q$14"))=TRIM(Tulokset!$N$12),2,0))</f>
        <v/>
      </c>
      <c r="DG26" t="str">
        <f ca="1">IF(OR(Tulokset!$N$13="",INDIRECT("'"&amp;$A26&amp;"'!$Q$15")=""),"",IF(TRIM(INDIRECT("'"&amp;$A26&amp;"'!$Q$15"))=TRIM(Tulokset!$N$13),2,0))</f>
        <v/>
      </c>
      <c r="DH26" t="str">
        <f ca="1">IF(OR(Tulokset!$N$14="",INDIRECT("'"&amp;$A26&amp;"'!$Q$16")=""),"",IF(TRIM(INDIRECT("'"&amp;$A26&amp;"'!$Q$16"))=TRIM(Tulokset!$N$14),2,0))</f>
        <v/>
      </c>
      <c r="DI26" t="str">
        <f ca="1">IF(OR(Tulokset!$N$15="",INDIRECT("'"&amp;$A26&amp;"'!$Q$17")=""),"",IF(TRIM(INDIRECT("'"&amp;$A26&amp;"'!$Q$17"))=TRIM(Tulokset!$N$15),2,0))</f>
        <v/>
      </c>
      <c r="DJ26" t="str">
        <f ca="1">IF(OR(Tulokset!$O$12="",INDIRECT("'"&amp;$A26&amp;"'!$R$14")=""),"",IF(TRIM(INDIRECT("'"&amp;$A26&amp;"'!$R$14"))=TRIM(Tulokset!$O$12),2,0))</f>
        <v/>
      </c>
      <c r="DK26" t="str">
        <f ca="1">IF(OR(Tulokset!$O$13="",INDIRECT("'"&amp;$A26&amp;"'!$R$15")=""),"",IF(TRIM(INDIRECT("'"&amp;$A26&amp;"'!$R$15"))=TRIM(Tulokset!$O$13),2,0))</f>
        <v/>
      </c>
      <c r="DL26" t="str">
        <f ca="1">IF(OR(Tulokset!$O$14="",INDIRECT("'"&amp;$A26&amp;"'!$R$16")=""),"",IF(TRIM(INDIRECT("'"&amp;$A26&amp;"'!$R$16"))=TRIM(Tulokset!$O$14),2,0))</f>
        <v/>
      </c>
      <c r="DM26" t="str">
        <f ca="1">IF(OR(Tulokset!$O$15="",INDIRECT("'"&amp;$A26&amp;"'!$R$17")=""),"",IF(TRIM(INDIRECT("'"&amp;$A26&amp;"'!$R$17"))=TRIM(Tulokset!$O$15),2,0))</f>
        <v/>
      </c>
      <c r="DN26" t="str">
        <f ca="1">IF(OR(Tulokset!$P$12="",INDIRECT("'"&amp;$A26&amp;"'!$S$14")=""),"",IF(TRIM(INDIRECT("'"&amp;$A26&amp;"'!$S$14"))=TRIM(Tulokset!$P$12),2,0))</f>
        <v/>
      </c>
      <c r="DO26" t="str">
        <f ca="1">IF(OR(Tulokset!$P$13="",INDIRECT("'"&amp;$A26&amp;"'!$S$15")=""),"",IF(TRIM(INDIRECT("'"&amp;$A26&amp;"'!$S$15"))=TRIM(Tulokset!$P$13),2,0))</f>
        <v/>
      </c>
      <c r="DP26" t="str">
        <f ca="1">IF(OR(Tulokset!$P$14="",INDIRECT("'"&amp;$A26&amp;"'!$S$16")=""),"",IF(TRIM(INDIRECT("'"&amp;$A26&amp;"'!$S$16"))=TRIM(Tulokset!$P$14),2,0))</f>
        <v/>
      </c>
      <c r="DQ26" t="str">
        <f ca="1">IF(OR(Tulokset!$P$15="",INDIRECT("'"&amp;$A26&amp;"'!$S$17")=""),"",IF(TRIM(INDIRECT("'"&amp;$A26&amp;"'!$S$17"))=TRIM(Tulokset!$P$15),2,0))</f>
        <v/>
      </c>
      <c r="DR26" t="str">
        <f ca="1">IF(OR(Tulokset!$Q$12="",INDIRECT("'"&amp;$A26&amp;"'!$T$14")=""),"",IF(TRIM(INDIRECT("'"&amp;$A26&amp;"'!$T$14"))=TRIM(Tulokset!$Q$12),2,0))</f>
        <v/>
      </c>
      <c r="DS26" t="str">
        <f ca="1">IF(OR(Tulokset!$Q$13="",INDIRECT("'"&amp;$A26&amp;"'!$T$15")=""),"",IF(TRIM(INDIRECT("'"&amp;$A26&amp;"'!$T$15"))=TRIM(Tulokset!$Q$13),2,0))</f>
        <v/>
      </c>
      <c r="DT26" t="str">
        <f ca="1">IF(OR(Tulokset!$Q$14="",INDIRECT("'"&amp;$A26&amp;"'!$T$16")=""),"",IF(TRIM(INDIRECT("'"&amp;$A26&amp;"'!$T$16"))=TRIM(Tulokset!$Q$14),2,0))</f>
        <v/>
      </c>
      <c r="DU26" t="str">
        <f ca="1">IF(OR(Tulokset!$Q$15="",INDIRECT("'"&amp;$A26&amp;"'!$T$17")=""),"",IF(TRIM(INDIRECT("'"&amp;$A26&amp;"'!$T$17"))=TRIM(Tulokset!$Q$15),2,0))</f>
        <v/>
      </c>
      <c r="DV26" t="str">
        <f ca="1">IF(OR(Tulokset!$R$12="",INDIRECT("'"&amp;$A26&amp;"'!$U$14")=""),"",IF(TRIM(INDIRECT("'"&amp;$A26&amp;"'!$U$14"))=TRIM(Tulokset!$R$12),2,0))</f>
        <v/>
      </c>
      <c r="DW26" t="str">
        <f ca="1">IF(OR(Tulokset!$R$13="",INDIRECT("'"&amp;$A26&amp;"'!$U$15")=""),"",IF(TRIM(INDIRECT("'"&amp;$A26&amp;"'!$U$15"))=TRIM(Tulokset!$R$13),2,0))</f>
        <v/>
      </c>
      <c r="DX26" t="str">
        <f ca="1">IF(OR(Tulokset!$R$14="",INDIRECT("'"&amp;$A26&amp;"'!$U$16")=""),"",IF(TRIM(INDIRECT("'"&amp;$A26&amp;"'!$U$16"))=TRIM(Tulokset!$R$14),2,0))</f>
        <v/>
      </c>
      <c r="DY26" t="str">
        <f ca="1">IF(OR(Tulokset!$R$15="",INDIRECT("'"&amp;$A26&amp;"'!$U$17")=""),"",IF(TRIM(INDIRECT("'"&amp;$A26&amp;"'!$U$17"))=TRIM(Tulokset!$R$15),2,0))</f>
        <v/>
      </c>
      <c r="EA26" t="str">
        <f ca="1">IF(OR(INDIRECT("'"&amp;$A26&amp;"'!$E$79")="",COUNTA(Tulokset!$M$20:$M$21)=0),"",IF(COUNTIF(Tulokset!$M$20:$M$21,INDIRECT("'"&amp;$A26&amp;"'!$E$79"))&gt;0,2,0))</f>
        <v/>
      </c>
      <c r="EB26" t="str">
        <f ca="1">IF(OR(INDIRECT("'"&amp;$A26&amp;"'!$G$79")="",COUNTA(Tulokset!$M$20:$M$21)=0),"",IF(COUNTIF(Tulokset!$M$20:$M$21,INDIRECT("'"&amp;$A26&amp;"'!$G$79"))&gt;0,2,0))</f>
        <v/>
      </c>
      <c r="EC26" t="str">
        <f ca="1">IF(OR(INDIRECT("'"&amp;$A26&amp;"'!$E$80")="",COUNTA(Tulokset!$M$23:$M$24)=0),"",IF(COUNTIF(Tulokset!$M$23:$M$24,INDIRECT("'"&amp;$A26&amp;"'!$E$80"))&gt;0,2,0))</f>
        <v/>
      </c>
      <c r="ED26" t="str">
        <f ca="1">IF(OR(INDIRECT("'"&amp;$A26&amp;"'!$G$80")="",COUNTA(Tulokset!$M$23:$M$24)=0),"",IF(COUNTIF(Tulokset!$M$23:$M$24,INDIRECT("'"&amp;$A26&amp;"'!$G$80"))&gt;0,2,0))</f>
        <v/>
      </c>
    </row>
    <row r="27" spans="1:134">
      <c r="A27" t="s">
        <v>319</v>
      </c>
      <c r="B27" t="str">
        <f t="shared" ca="1" si="0"/>
        <v>Rosaldo</v>
      </c>
      <c r="C27" s="95">
        <f t="shared" si="1"/>
        <v>0</v>
      </c>
      <c r="D27" s="95">
        <f t="shared" ca="1" si="2"/>
        <v>0</v>
      </c>
      <c r="E27" s="95">
        <f t="shared" ca="1" si="3"/>
        <v>0</v>
      </c>
      <c r="F27" s="95">
        <f t="shared" ca="1" si="4"/>
        <v>0</v>
      </c>
      <c r="G27" s="95">
        <f t="shared" si="5"/>
        <v>0</v>
      </c>
      <c r="H27" t="str">
        <f>IF(OR(Tulokset!$G$6="",Tulokset!$I$6="",'24'!$I$7="",'24'!$K$7=""),"",IF(SIGN('24'!$I$7-'24'!$K$7)&lt;&gt;SIGN(Tulokset!$G$6-Tulokset!$I$6),0,IF(Tulokset!$G$6=Tulokset!$I$6,IF(AND('24'!$I$7=Tulokset!$G$6,'24'!$K$7=Tulokset!$I$6),6,3),MAX(0,6-(ABS('24'!$I$7-Tulokset!$G$6)+ABS('24'!$K$7-Tulokset!$I$6))))))</f>
        <v/>
      </c>
      <c r="I27" t="str">
        <f>IF(OR(Tulokset!$G$7="",Tulokset!$I$7="",'24'!$I$8="",'24'!$K$8=""),"",IF(SIGN('24'!$I$8-'24'!$K$8)&lt;&gt;SIGN(Tulokset!$G$7-Tulokset!$I$7),0,IF(Tulokset!$G$7=Tulokset!$I$7,IF(AND('24'!$I$8=Tulokset!$G$7,'24'!$K$8=Tulokset!$I$7),6,3),MAX(0,6-(ABS('24'!$I$8-Tulokset!$G$7)+ABS('24'!$K$8-Tulokset!$I$7))))))</f>
        <v/>
      </c>
      <c r="J27" t="str">
        <f>IF(OR(Tulokset!$G$8="",Tulokset!$I$8="",'24'!$I$9="",'24'!$K$9=""),"",IF(SIGN('24'!$I$9-'24'!$K$9)&lt;&gt;SIGN(Tulokset!$G$8-Tulokset!$I$8),0,IF(Tulokset!$G$8=Tulokset!$I$8,IF(AND('24'!$I$9=Tulokset!$G$8,'24'!$K$9=Tulokset!$I$8),6,3),MAX(0,6-(ABS('24'!$I$9-Tulokset!$G$8)+ABS('24'!$K$9-Tulokset!$I$8))))))</f>
        <v/>
      </c>
      <c r="K27" t="str">
        <f>IF(OR(Tulokset!$G$9="",Tulokset!$I$9="",'24'!$I$10="",'24'!$K$10=""),"",IF(SIGN('24'!$I$10-'24'!$K$10)&lt;&gt;SIGN(Tulokset!$G$9-Tulokset!$I$9),0,IF(Tulokset!$G$9=Tulokset!$I$9,IF(AND('24'!$I$10=Tulokset!$G$9,'24'!$K$10=Tulokset!$I$9),6,3),MAX(0,6-(ABS('24'!$I$10-Tulokset!$G$9)+ABS('24'!$K$10-Tulokset!$I$9))))))</f>
        <v/>
      </c>
      <c r="L27" t="str">
        <f>IF(OR(Tulokset!$G$10="",Tulokset!$I$10="",'24'!$I$11="",'24'!$K$11=""),"",IF(SIGN('24'!$I$11-'24'!$K$11)&lt;&gt;SIGN(Tulokset!$G$10-Tulokset!$I$10),0,IF(Tulokset!$G$10=Tulokset!$I$10,IF(AND('24'!$I$11=Tulokset!$G$10,'24'!$K$11=Tulokset!$I$10),6,3),MAX(0,6-(ABS('24'!$I$11-Tulokset!$G$10)+ABS('24'!$K$11-Tulokset!$I$10))))))</f>
        <v/>
      </c>
      <c r="M27" t="str">
        <f>IF(OR(Tulokset!$G$11="",Tulokset!$I$11="",'24'!$I$12="",'24'!$K$12=""),"",IF(SIGN('24'!$I$12-'24'!$K$12)&lt;&gt;SIGN(Tulokset!$G$11-Tulokset!$I$11),0,IF(Tulokset!$G$11=Tulokset!$I$11,IF(AND('24'!$I$12=Tulokset!$G$11,'24'!$K$12=Tulokset!$I$11),6,3),MAX(0,6-(ABS('24'!$I$12-Tulokset!$G$11)+ABS('24'!$K$12-Tulokset!$I$11))))))</f>
        <v/>
      </c>
      <c r="N27" t="str">
        <f>IF(OR(Tulokset!$G$12="",Tulokset!$I$12="",'24'!$I$13="",'24'!$K$13=""),"",IF(SIGN('24'!$I$13-'24'!$K$13)&lt;&gt;SIGN(Tulokset!$G$12-Tulokset!$I$12),0,IF(Tulokset!$G$12=Tulokset!$I$12,IF(AND('24'!$I$13=Tulokset!$G$12,'24'!$K$13=Tulokset!$I$12),6,3),MAX(0,6-(ABS('24'!$I$13-Tulokset!$G$12)+ABS('24'!$K$13-Tulokset!$I$12))))))</f>
        <v/>
      </c>
      <c r="O27" t="str">
        <f>IF(OR(Tulokset!$G$13="",Tulokset!$I$13="",'24'!$I$14="",'24'!$K$14=""),"",IF(SIGN('24'!$I$14-'24'!$K$14)&lt;&gt;SIGN(Tulokset!$G$13-Tulokset!$I$13),0,IF(Tulokset!$G$13=Tulokset!$I$13,IF(AND('24'!$I$14=Tulokset!$G$13,'24'!$K$14=Tulokset!$I$13),6,3),MAX(0,6-(ABS('24'!$I$14-Tulokset!$G$13)+ABS('24'!$K$14-Tulokset!$I$13))))))</f>
        <v/>
      </c>
      <c r="P27" t="str">
        <f>IF(OR(Tulokset!$G$14="",Tulokset!$I$14="",'24'!$I$15="",'24'!$K$15=""),"",IF(SIGN('24'!$I$15-'24'!$K$15)&lt;&gt;SIGN(Tulokset!$G$14-Tulokset!$I$14),0,IF(Tulokset!$G$14=Tulokset!$I$14,IF(AND('24'!$I$15=Tulokset!$G$14,'24'!$K$15=Tulokset!$I$14),6,3),MAX(0,6-(ABS('24'!$I$15-Tulokset!$G$14)+ABS('24'!$K$15-Tulokset!$I$14))))))</f>
        <v/>
      </c>
      <c r="Q27" t="str">
        <f>IF(OR(Tulokset!$G$15="",Tulokset!$I$15="",'24'!$I$16="",'24'!$K$16=""),"",IF(SIGN('24'!$I$16-'24'!$K$16)&lt;&gt;SIGN(Tulokset!$G$15-Tulokset!$I$15),0,IF(Tulokset!$G$15=Tulokset!$I$15,IF(AND('24'!$I$16=Tulokset!$G$15,'24'!$K$16=Tulokset!$I$15),6,3),MAX(0,6-(ABS('24'!$I$16-Tulokset!$G$15)+ABS('24'!$K$16-Tulokset!$I$15))))))</f>
        <v/>
      </c>
      <c r="R27" t="str">
        <f>IF(OR(Tulokset!$G$16="",Tulokset!$I$16="",'24'!$I$17="",'24'!$K$17=""),"",IF(SIGN('24'!$I$17-'24'!$K$17)&lt;&gt;SIGN(Tulokset!$G$16-Tulokset!$I$16),0,IF(Tulokset!$G$16=Tulokset!$I$16,IF(AND('24'!$I$17=Tulokset!$G$16,'24'!$K$17=Tulokset!$I$16),6,3),MAX(0,6-(ABS('24'!$I$17-Tulokset!$G$16)+ABS('24'!$K$17-Tulokset!$I$16))))))</f>
        <v/>
      </c>
      <c r="S27" t="str">
        <f>IF(OR(Tulokset!$G$17="",Tulokset!$I$17="",'24'!$I$18="",'24'!$K$18=""),"",IF(SIGN('24'!$I$18-'24'!$K$18)&lt;&gt;SIGN(Tulokset!$G$17-Tulokset!$I$17),0,IF(Tulokset!$G$17=Tulokset!$I$17,IF(AND('24'!$I$18=Tulokset!$G$17,'24'!$K$18=Tulokset!$I$17),6,3),MAX(0,6-(ABS('24'!$I$18-Tulokset!$G$17)+ABS('24'!$K$18-Tulokset!$I$17))))))</f>
        <v/>
      </c>
      <c r="T27" t="str">
        <f>IF(OR(Tulokset!$G$18="",Tulokset!$I$18="",'24'!$I$19="",'24'!$K$19=""),"",IF(SIGN('24'!$I$19-'24'!$K$19)&lt;&gt;SIGN(Tulokset!$G$18-Tulokset!$I$18),0,IF(Tulokset!$G$18=Tulokset!$I$18,IF(AND('24'!$I$19=Tulokset!$G$18,'24'!$K$19=Tulokset!$I$18),6,3),MAX(0,6-(ABS('24'!$I$19-Tulokset!$G$18)+ABS('24'!$K$19-Tulokset!$I$18))))))</f>
        <v/>
      </c>
      <c r="U27" t="str">
        <f>IF(OR(Tulokset!$G$19="",Tulokset!$I$19="",'24'!$I$20="",'24'!$K$20=""),"",IF(SIGN('24'!$I$20-'24'!$K$20)&lt;&gt;SIGN(Tulokset!$G$19-Tulokset!$I$19),0,IF(Tulokset!$G$19=Tulokset!$I$19,IF(AND('24'!$I$20=Tulokset!$G$19,'24'!$K$20=Tulokset!$I$19),6,3),MAX(0,6-(ABS('24'!$I$20-Tulokset!$G$19)+ABS('24'!$K$20-Tulokset!$I$19))))))</f>
        <v/>
      </c>
      <c r="V27" t="str">
        <f>IF(OR(Tulokset!$G$20="",Tulokset!$I$20="",'24'!$I$21="",'24'!$K$21=""),"",IF(SIGN('24'!$I$21-'24'!$K$21)&lt;&gt;SIGN(Tulokset!$G$20-Tulokset!$I$20),0,IF(Tulokset!$G$20=Tulokset!$I$20,IF(AND('24'!$I$21=Tulokset!$G$20,'24'!$K$21=Tulokset!$I$20),6,3),MAX(0,6-(ABS('24'!$I$21-Tulokset!$G$20)+ABS('24'!$K$21-Tulokset!$I$20))))))</f>
        <v/>
      </c>
      <c r="W27" t="str">
        <f>IF(OR(Tulokset!$G$21="",Tulokset!$I$21="",'24'!$I$22="",'24'!$K$22=""),"",IF(SIGN('24'!$I$22-'24'!$K$22)&lt;&gt;SIGN(Tulokset!$G$21-Tulokset!$I$21),0,IF(Tulokset!$G$21=Tulokset!$I$21,IF(AND('24'!$I$22=Tulokset!$G$21,'24'!$K$22=Tulokset!$I$21),6,3),MAX(0,6-(ABS('24'!$I$22-Tulokset!$G$21)+ABS('24'!$K$22-Tulokset!$I$21))))))</f>
        <v/>
      </c>
      <c r="X27" t="str">
        <f>IF(OR(Tulokset!$G$22="",Tulokset!$I$22="",'24'!$I$23="",'24'!$K$23=""),"",IF(SIGN('24'!$I$23-'24'!$K$23)&lt;&gt;SIGN(Tulokset!$G$22-Tulokset!$I$22),0,IF(Tulokset!$G$22=Tulokset!$I$22,IF(AND('24'!$I$23=Tulokset!$G$22,'24'!$K$23=Tulokset!$I$22),6,3),MAX(0,6-(ABS('24'!$I$23-Tulokset!$G$22)+ABS('24'!$K$23-Tulokset!$I$22))))))</f>
        <v/>
      </c>
      <c r="Y27" t="str">
        <f>IF(OR(Tulokset!$G$23="",Tulokset!$I$23="",'24'!$I$24="",'24'!$K$24=""),"",IF(SIGN('24'!$I$24-'24'!$K$24)&lt;&gt;SIGN(Tulokset!$G$23-Tulokset!$I$23),0,IF(Tulokset!$G$23=Tulokset!$I$23,IF(AND('24'!$I$24=Tulokset!$G$23,'24'!$K$24=Tulokset!$I$23),6,3),MAX(0,6-(ABS('24'!$I$24-Tulokset!$G$23)+ABS('24'!$K$24-Tulokset!$I$23))))))</f>
        <v/>
      </c>
      <c r="Z27" t="str">
        <f>IF(OR(Tulokset!$G$24="",Tulokset!$I$24="",'24'!$I$25="",'24'!$K$25=""),"",IF(SIGN('24'!$I$25-'24'!$K$25)&lt;&gt;SIGN(Tulokset!$G$24-Tulokset!$I$24),0,IF(Tulokset!$G$24=Tulokset!$I$24,IF(AND('24'!$I$25=Tulokset!$G$24,'24'!$K$25=Tulokset!$I$24),6,3),MAX(0,6-(ABS('24'!$I$25-Tulokset!$G$24)+ABS('24'!$K$25-Tulokset!$I$24))))))</f>
        <v/>
      </c>
      <c r="AA27" t="str">
        <f>IF(OR(Tulokset!$G$25="",Tulokset!$I$25="",'24'!$I$26="",'24'!$K$26=""),"",IF(SIGN('24'!$I$26-'24'!$K$26)&lt;&gt;SIGN(Tulokset!$G$25-Tulokset!$I$25),0,IF(Tulokset!$G$25=Tulokset!$I$25,IF(AND('24'!$I$26=Tulokset!$G$25,'24'!$K$26=Tulokset!$I$25),6,3),MAX(0,6-(ABS('24'!$I$26-Tulokset!$G$25)+ABS('24'!$K$26-Tulokset!$I$25))))))</f>
        <v/>
      </c>
      <c r="AB27" t="str">
        <f>IF(OR(Tulokset!$G$26="",Tulokset!$I$26="",'24'!$I$27="",'24'!$K$27=""),"",IF(SIGN('24'!$I$27-'24'!$K$27)&lt;&gt;SIGN(Tulokset!$G$26-Tulokset!$I$26),0,IF(Tulokset!$G$26=Tulokset!$I$26,IF(AND('24'!$I$27=Tulokset!$G$26,'24'!$K$27=Tulokset!$I$26),6,3),MAX(0,6-(ABS('24'!$I$27-Tulokset!$G$26)+ABS('24'!$K$27-Tulokset!$I$26))))))</f>
        <v/>
      </c>
      <c r="AC27" t="str">
        <f>IF(OR(Tulokset!$G$27="",Tulokset!$I$27="",'24'!$I$28="",'24'!$K$28=""),"",IF(SIGN('24'!$I$28-'24'!$K$28)&lt;&gt;SIGN(Tulokset!$G$27-Tulokset!$I$27),0,IF(Tulokset!$G$27=Tulokset!$I$27,IF(AND('24'!$I$28=Tulokset!$G$27,'24'!$K$28=Tulokset!$I$27),6,3),MAX(0,6-(ABS('24'!$I$28-Tulokset!$G$27)+ABS('24'!$K$28-Tulokset!$I$27))))))</f>
        <v/>
      </c>
      <c r="AD27" t="str">
        <f>IF(OR(Tulokset!$G$28="",Tulokset!$I$28="",'24'!$I$29="",'24'!$K$29=""),"",IF(SIGN('24'!$I$29-'24'!$K$29)&lt;&gt;SIGN(Tulokset!$G$28-Tulokset!$I$28),0,IF(Tulokset!$G$28=Tulokset!$I$28,IF(AND('24'!$I$29=Tulokset!$G$28,'24'!$K$29=Tulokset!$I$28),6,3),MAX(0,6-(ABS('24'!$I$29-Tulokset!$G$28)+ABS('24'!$K$29-Tulokset!$I$28))))))</f>
        <v/>
      </c>
      <c r="AE27" t="str">
        <f>IF(OR(Tulokset!$G$29="",Tulokset!$I$29="",'24'!$I$30="",'24'!$K$30=""),"",IF(SIGN('24'!$I$30-'24'!$K$30)&lt;&gt;SIGN(Tulokset!$G$29-Tulokset!$I$29),0,IF(Tulokset!$G$29=Tulokset!$I$29,IF(AND('24'!$I$30=Tulokset!$G$29,'24'!$K$30=Tulokset!$I$29),6,3),MAX(0,6-(ABS('24'!$I$30-Tulokset!$G$29)+ABS('24'!$K$30-Tulokset!$I$29))))))</f>
        <v/>
      </c>
      <c r="AF27" t="str">
        <f>IF(OR(Tulokset!$G$30="",Tulokset!$I$30="",'24'!$I$31="",'24'!$K$31=""),"",IF(SIGN('24'!$I$31-'24'!$K$31)&lt;&gt;SIGN(Tulokset!$G$30-Tulokset!$I$30),0,IF(Tulokset!$G$30=Tulokset!$I$30,IF(AND('24'!$I$31=Tulokset!$G$30,'24'!$K$31=Tulokset!$I$30),6,3),MAX(0,6-(ABS('24'!$I$31-Tulokset!$G$30)+ABS('24'!$K$31-Tulokset!$I$30))))))</f>
        <v/>
      </c>
      <c r="AG27" t="str">
        <f>IF(OR(Tulokset!$G$31="",Tulokset!$I$31="",'24'!$I$32="",'24'!$K$32=""),"",IF(SIGN('24'!$I$32-'24'!$K$32)&lt;&gt;SIGN(Tulokset!$G$31-Tulokset!$I$31),0,IF(Tulokset!$G$31=Tulokset!$I$31,IF(AND('24'!$I$32=Tulokset!$G$31,'24'!$K$32=Tulokset!$I$31),6,3),MAX(0,6-(ABS('24'!$I$32-Tulokset!$G$31)+ABS('24'!$K$32-Tulokset!$I$31))))))</f>
        <v/>
      </c>
      <c r="AH27" t="str">
        <f>IF(OR(Tulokset!$G$32="",Tulokset!$I$32="",'24'!$I$33="",'24'!$K$33=""),"",IF(SIGN('24'!$I$33-'24'!$K$33)&lt;&gt;SIGN(Tulokset!$G$32-Tulokset!$I$32),0,IF(Tulokset!$G$32=Tulokset!$I$32,IF(AND('24'!$I$33=Tulokset!$G$32,'24'!$K$33=Tulokset!$I$32),6,3),MAX(0,6-(ABS('24'!$I$33-Tulokset!$G$32)+ABS('24'!$K$33-Tulokset!$I$32))))))</f>
        <v/>
      </c>
      <c r="AI27" t="str">
        <f>IF(OR(Tulokset!$G$33="",Tulokset!$I$33="",'24'!$I$34="",'24'!$K$34=""),"",IF(SIGN('24'!$I$34-'24'!$K$34)&lt;&gt;SIGN(Tulokset!$G$33-Tulokset!$I$33),0,IF(Tulokset!$G$33=Tulokset!$I$33,IF(AND('24'!$I$34=Tulokset!$G$33,'24'!$K$34=Tulokset!$I$33),6,3),MAX(0,6-(ABS('24'!$I$34-Tulokset!$G$33)+ABS('24'!$K$34-Tulokset!$I$33))))))</f>
        <v/>
      </c>
      <c r="AJ27" t="str">
        <f>IF(OR(Tulokset!$G$34="",Tulokset!$I$34="",'24'!$I$35="",'24'!$K$35=""),"",IF(SIGN('24'!$I$35-'24'!$K$35)&lt;&gt;SIGN(Tulokset!$G$34-Tulokset!$I$34),0,IF(Tulokset!$G$34=Tulokset!$I$34,IF(AND('24'!$I$35=Tulokset!$G$34,'24'!$K$35=Tulokset!$I$34),6,3),MAX(0,6-(ABS('24'!$I$35-Tulokset!$G$34)+ABS('24'!$K$35-Tulokset!$I$34))))))</f>
        <v/>
      </c>
      <c r="AK27" t="str">
        <f>IF(OR(Tulokset!$G$35="",Tulokset!$I$35="",'24'!$I$36="",'24'!$K$36=""),"",IF(SIGN('24'!$I$36-'24'!$K$36)&lt;&gt;SIGN(Tulokset!$G$35-Tulokset!$I$35),0,IF(Tulokset!$G$35=Tulokset!$I$35,IF(AND('24'!$I$36=Tulokset!$G$35,'24'!$K$36=Tulokset!$I$35),6,3),MAX(0,6-(ABS('24'!$I$36-Tulokset!$G$35)+ABS('24'!$K$36-Tulokset!$I$35))))))</f>
        <v/>
      </c>
      <c r="AL27" t="str">
        <f>IF(OR(Tulokset!$G$36="",Tulokset!$I$36="",'24'!$I$37="",'24'!$K$37=""),"",IF(SIGN('24'!$I$37-'24'!$K$37)&lt;&gt;SIGN(Tulokset!$G$36-Tulokset!$I$36),0,IF(Tulokset!$G$36=Tulokset!$I$36,IF(AND('24'!$I$37=Tulokset!$G$36,'24'!$K$37=Tulokset!$I$36),6,3),MAX(0,6-(ABS('24'!$I$37-Tulokset!$G$36)+ABS('24'!$K$37-Tulokset!$I$36))))))</f>
        <v/>
      </c>
      <c r="AM27" t="str">
        <f>IF(OR(Tulokset!$G$37="",Tulokset!$I$37="",'24'!$I$38="",'24'!$K$38=""),"",IF(SIGN('24'!$I$38-'24'!$K$38)&lt;&gt;SIGN(Tulokset!$G$37-Tulokset!$I$37),0,IF(Tulokset!$G$37=Tulokset!$I$37,IF(AND('24'!$I$38=Tulokset!$G$37,'24'!$K$38=Tulokset!$I$37),6,3),MAX(0,6-(ABS('24'!$I$38-Tulokset!$G$37)+ABS('24'!$K$38-Tulokset!$I$37))))))</f>
        <v/>
      </c>
      <c r="AN27" t="str">
        <f>IF(OR(Tulokset!$G$38="",Tulokset!$I$38="",'24'!$I$39="",'24'!$K$39=""),"",IF(SIGN('24'!$I$39-'24'!$K$39)&lt;&gt;SIGN(Tulokset!$G$38-Tulokset!$I$38),0,IF(Tulokset!$G$38=Tulokset!$I$38,IF(AND('24'!$I$39=Tulokset!$G$38,'24'!$K$39=Tulokset!$I$38),6,3),MAX(0,6-(ABS('24'!$I$39-Tulokset!$G$38)+ABS('24'!$K$39-Tulokset!$I$38))))))</f>
        <v/>
      </c>
      <c r="AO27" t="str">
        <f>IF(OR(Tulokset!$G$39="",Tulokset!$I$39="",'24'!$I$40="",'24'!$K$40=""),"",IF(SIGN('24'!$I$40-'24'!$K$40)&lt;&gt;SIGN(Tulokset!$G$39-Tulokset!$I$39),0,IF(Tulokset!$G$39=Tulokset!$I$39,IF(AND('24'!$I$40=Tulokset!$G$39,'24'!$K$40=Tulokset!$I$39),6,3),MAX(0,6-(ABS('24'!$I$40-Tulokset!$G$39)+ABS('24'!$K$40-Tulokset!$I$39))))))</f>
        <v/>
      </c>
      <c r="AP27" t="str">
        <f>IF(OR(Tulokset!$G$40="",Tulokset!$I$40="",'24'!$I$41="",'24'!$K$41=""),"",IF(SIGN('24'!$I$41-'24'!$K$41)&lt;&gt;SIGN(Tulokset!$G$40-Tulokset!$I$40),0,IF(Tulokset!$G$40=Tulokset!$I$40,IF(AND('24'!$I$41=Tulokset!$G$40,'24'!$K$41=Tulokset!$I$40),6,3),MAX(0,6-(ABS('24'!$I$41-Tulokset!$G$40)+ABS('24'!$K$41-Tulokset!$I$40))))))</f>
        <v/>
      </c>
      <c r="AQ27" t="str">
        <f>IF(OR(Tulokset!$G$41="",Tulokset!$I$41="",'24'!$I$42="",'24'!$K$42=""),"",IF(SIGN('24'!$I$42-'24'!$K$42)&lt;&gt;SIGN(Tulokset!$G$41-Tulokset!$I$41),0,IF(Tulokset!$G$41=Tulokset!$I$41,IF(AND('24'!$I$42=Tulokset!$G$41,'24'!$K$42=Tulokset!$I$41),6,3),MAX(0,6-(ABS('24'!$I$42-Tulokset!$G$41)+ABS('24'!$K$42-Tulokset!$I$41))))))</f>
        <v/>
      </c>
      <c r="AR27" t="str">
        <f>IF(OR(Tulokset!$G$42="",Tulokset!$I$42="",'24'!$I$43="",'24'!$K$43=""),"",IF(SIGN('24'!$I$43-'24'!$K$43)&lt;&gt;SIGN(Tulokset!$G$42-Tulokset!$I$42),0,IF(Tulokset!$G$42=Tulokset!$I$42,IF(AND('24'!$I$43=Tulokset!$G$42,'24'!$K$43=Tulokset!$I$42),6,3),MAX(0,6-(ABS('24'!$I$43-Tulokset!$G$42)+ABS('24'!$K$43-Tulokset!$I$42))))))</f>
        <v/>
      </c>
      <c r="AS27" t="str">
        <f>IF(OR(Tulokset!$G$43="",Tulokset!$I$43="",'24'!$I$44="",'24'!$K$44=""),"",IF(SIGN('24'!$I$44-'24'!$K$44)&lt;&gt;SIGN(Tulokset!$G$43-Tulokset!$I$43),0,IF(Tulokset!$G$43=Tulokset!$I$43,IF(AND('24'!$I$44=Tulokset!$G$43,'24'!$K$44=Tulokset!$I$43),6,3),MAX(0,6-(ABS('24'!$I$44-Tulokset!$G$43)+ABS('24'!$K$44-Tulokset!$I$43))))))</f>
        <v/>
      </c>
      <c r="AT27" t="str">
        <f>IF(OR(Tulokset!$G$44="",Tulokset!$I$44="",'24'!$I$45="",'24'!$K$45=""),"",IF(SIGN('24'!$I$45-'24'!$K$45)&lt;&gt;SIGN(Tulokset!$G$44-Tulokset!$I$44),0,IF(Tulokset!$G$44=Tulokset!$I$44,IF(AND('24'!$I$45=Tulokset!$G$44,'24'!$K$45=Tulokset!$I$44),6,3),MAX(0,6-(ABS('24'!$I$45-Tulokset!$G$44)+ABS('24'!$K$45-Tulokset!$I$44))))))</f>
        <v/>
      </c>
      <c r="AU27" t="str">
        <f>IF(OR(Tulokset!$G$45="",Tulokset!$I$45="",'24'!$I$46="",'24'!$K$46=""),"",IF(SIGN('24'!$I$46-'24'!$K$46)&lt;&gt;SIGN(Tulokset!$G$45-Tulokset!$I$45),0,IF(Tulokset!$G$45=Tulokset!$I$45,IF(AND('24'!$I$46=Tulokset!$G$45,'24'!$K$46=Tulokset!$I$45),6,3),MAX(0,6-(ABS('24'!$I$46-Tulokset!$G$45)+ABS('24'!$K$46-Tulokset!$I$45))))))</f>
        <v/>
      </c>
      <c r="AV27" t="str">
        <f>IF(OR(Tulokset!$G$46="",Tulokset!$I$46="",'24'!$I$47="",'24'!$K$47=""),"",IF(SIGN('24'!$I$47-'24'!$K$47)&lt;&gt;SIGN(Tulokset!$G$46-Tulokset!$I$46),0,IF(Tulokset!$G$46=Tulokset!$I$46,IF(AND('24'!$I$47=Tulokset!$G$46,'24'!$K$47=Tulokset!$I$46),6,3),MAX(0,6-(ABS('24'!$I$47-Tulokset!$G$46)+ABS('24'!$K$47-Tulokset!$I$46))))))</f>
        <v/>
      </c>
      <c r="AW27" t="str">
        <f>IF(OR(Tulokset!$G$47="",Tulokset!$I$47="",'24'!$I$48="",'24'!$K$48=""),"",IF(SIGN('24'!$I$48-'24'!$K$48)&lt;&gt;SIGN(Tulokset!$G$47-Tulokset!$I$47),0,IF(Tulokset!$G$47=Tulokset!$I$47,IF(AND('24'!$I$48=Tulokset!$G$47,'24'!$K$48=Tulokset!$I$47),6,3),MAX(0,6-(ABS('24'!$I$48-Tulokset!$G$47)+ABS('24'!$K$48-Tulokset!$I$47))))))</f>
        <v/>
      </c>
      <c r="AX27" t="str">
        <f>IF(OR(Tulokset!$G$48="",Tulokset!$I$48="",'24'!$I$49="",'24'!$K$49=""),"",IF(SIGN('24'!$I$49-'24'!$K$49)&lt;&gt;SIGN(Tulokset!$G$48-Tulokset!$I$48),0,IF(Tulokset!$G$48=Tulokset!$I$48,IF(AND('24'!$I$49=Tulokset!$G$48,'24'!$K$49=Tulokset!$I$48),6,3),MAX(0,6-(ABS('24'!$I$49-Tulokset!$G$48)+ABS('24'!$K$49-Tulokset!$I$48))))))</f>
        <v/>
      </c>
      <c r="AY27" t="str">
        <f>IF(OR(Tulokset!$G$49="",Tulokset!$I$49="",'24'!$I$50="",'24'!$K$50=""),"",IF(SIGN('24'!$I$50-'24'!$K$50)&lt;&gt;SIGN(Tulokset!$G$49-Tulokset!$I$49),0,IF(Tulokset!$G$49=Tulokset!$I$49,IF(AND('24'!$I$50=Tulokset!$G$49,'24'!$K$50=Tulokset!$I$49),6,3),MAX(0,6-(ABS('24'!$I$50-Tulokset!$G$49)+ABS('24'!$K$50-Tulokset!$I$49))))))</f>
        <v/>
      </c>
      <c r="AZ27" t="str">
        <f>IF(OR(Tulokset!$G$50="",Tulokset!$I$50="",'24'!$I$51="",'24'!$K$51=""),"",IF(SIGN('24'!$I$51-'24'!$K$51)&lt;&gt;SIGN(Tulokset!$G$50-Tulokset!$I$50),0,IF(Tulokset!$G$50=Tulokset!$I$50,IF(AND('24'!$I$51=Tulokset!$G$50,'24'!$K$51=Tulokset!$I$50),6,3),MAX(0,6-(ABS('24'!$I$51-Tulokset!$G$50)+ABS('24'!$K$51-Tulokset!$I$50))))))</f>
        <v/>
      </c>
      <c r="BA27" t="str">
        <f>IF(OR(Tulokset!$G$51="",Tulokset!$I$51="",'24'!$I$52="",'24'!$K$52=""),"",IF(SIGN('24'!$I$52-'24'!$K$52)&lt;&gt;SIGN(Tulokset!$G$51-Tulokset!$I$51),0,IF(Tulokset!$G$51=Tulokset!$I$51,IF(AND('24'!$I$52=Tulokset!$G$51,'24'!$K$52=Tulokset!$I$51),6,3),MAX(0,6-(ABS('24'!$I$52-Tulokset!$G$51)+ABS('24'!$K$52-Tulokset!$I$51))))))</f>
        <v/>
      </c>
      <c r="BB27" t="str">
        <f>IF(OR(Tulokset!$G$52="",Tulokset!$I$52="",'24'!$I$53="",'24'!$K$53=""),"",IF(SIGN('24'!$I$53-'24'!$K$53)&lt;&gt;SIGN(Tulokset!$G$52-Tulokset!$I$52),0,IF(Tulokset!$G$52=Tulokset!$I$52,IF(AND('24'!$I$53=Tulokset!$G$52,'24'!$K$53=Tulokset!$I$52),6,3),MAX(0,6-(ABS('24'!$I$53-Tulokset!$G$52)+ABS('24'!$K$53-Tulokset!$I$52))))))</f>
        <v/>
      </c>
      <c r="BC27" t="str">
        <f>IF(OR(Tulokset!$G$53="",Tulokset!$I$53="",'24'!$I$54="",'24'!$K$54=""),"",IF(SIGN('24'!$I$54-'24'!$K$54)&lt;&gt;SIGN(Tulokset!$G$53-Tulokset!$I$53),0,IF(Tulokset!$G$53=Tulokset!$I$53,IF(AND('24'!$I$54=Tulokset!$G$53,'24'!$K$54=Tulokset!$I$53),6,3),MAX(0,6-(ABS('24'!$I$54-Tulokset!$G$53)+ABS('24'!$K$54-Tulokset!$I$53))))))</f>
        <v/>
      </c>
      <c r="BD27" t="str">
        <f>IF(OR(Tulokset!$G$54="",Tulokset!$I$54="",'24'!$I$55="",'24'!$K$55=""),"",IF(SIGN('24'!$I$55-'24'!$K$55)&lt;&gt;SIGN(Tulokset!$G$54-Tulokset!$I$54),0,IF(Tulokset!$G$54=Tulokset!$I$54,IF(AND('24'!$I$55=Tulokset!$G$54,'24'!$K$55=Tulokset!$I$54),6,3),MAX(0,6-(ABS('24'!$I$55-Tulokset!$G$54)+ABS('24'!$K$55-Tulokset!$I$54))))))</f>
        <v/>
      </c>
      <c r="BE27" t="str">
        <f>IF(OR(Tulokset!$G$55="",Tulokset!$I$55="",'24'!$I$56="",'24'!$K$56=""),"",IF(SIGN('24'!$I$56-'24'!$K$56)&lt;&gt;SIGN(Tulokset!$G$55-Tulokset!$I$55),0,IF(Tulokset!$G$55=Tulokset!$I$55,IF(AND('24'!$I$56=Tulokset!$G$55,'24'!$K$56=Tulokset!$I$55),6,3),MAX(0,6-(ABS('24'!$I$56-Tulokset!$G$55)+ABS('24'!$K$56-Tulokset!$I$55))))))</f>
        <v/>
      </c>
      <c r="BF27" t="str">
        <f>IF(OR(Tulokset!$G$56="",Tulokset!$I$56="",'24'!$I$57="",'24'!$K$57=""),"",IF(SIGN('24'!$I$57-'24'!$K$57)&lt;&gt;SIGN(Tulokset!$G$56-Tulokset!$I$56),0,IF(Tulokset!$G$56=Tulokset!$I$56,IF(AND('24'!$I$57=Tulokset!$G$56,'24'!$K$57=Tulokset!$I$56),6,3),MAX(0,6-(ABS('24'!$I$57-Tulokset!$G$56)+ABS('24'!$K$57-Tulokset!$I$56))))))</f>
        <v/>
      </c>
      <c r="BG27" t="str">
        <f>IF(OR(Tulokset!$G$57="",Tulokset!$I$57="",'24'!$I$58="",'24'!$K$58=""),"",IF(SIGN('24'!$I$58-'24'!$K$58)&lt;&gt;SIGN(Tulokset!$G$57-Tulokset!$I$57),0,IF(Tulokset!$G$57=Tulokset!$I$57,IF(AND('24'!$I$58=Tulokset!$G$57,'24'!$K$58=Tulokset!$I$57),6,3),MAX(0,6-(ABS('24'!$I$58-Tulokset!$G$57)+ABS('24'!$K$58-Tulokset!$I$57))))))</f>
        <v/>
      </c>
      <c r="BH27" t="str">
        <f>IF(OR(Tulokset!$G$58="",Tulokset!$I$58="",'24'!$I$59="",'24'!$K$59=""),"",IF(SIGN('24'!$I$59-'24'!$K$59)&lt;&gt;SIGN(Tulokset!$G$58-Tulokset!$I$58),0,IF(Tulokset!$G$58=Tulokset!$I$58,IF(AND('24'!$I$59=Tulokset!$G$58,'24'!$K$59=Tulokset!$I$58),6,3),MAX(0,6-(ABS('24'!$I$59-Tulokset!$G$58)+ABS('24'!$K$59-Tulokset!$I$58))))))</f>
        <v/>
      </c>
      <c r="BI27" t="str">
        <f>IF(OR(Tulokset!$G$59="",Tulokset!$I$59="",'24'!$I$60="",'24'!$K$60=""),"",IF(SIGN('24'!$I$60-'24'!$K$60)&lt;&gt;SIGN(Tulokset!$G$59-Tulokset!$I$59),0,IF(Tulokset!$G$59=Tulokset!$I$59,IF(AND('24'!$I$60=Tulokset!$G$59,'24'!$K$60=Tulokset!$I$59),6,3),MAX(0,6-(ABS('24'!$I$60-Tulokset!$G$59)+ABS('24'!$K$60-Tulokset!$I$59))))))</f>
        <v/>
      </c>
      <c r="BJ27" t="str">
        <f>IF(OR(Tulokset!$G$60="",Tulokset!$I$60="",'24'!$I$61="",'24'!$K$61=""),"",IF(SIGN('24'!$I$61-'24'!$K$61)&lt;&gt;SIGN(Tulokset!$G$60-Tulokset!$I$60),0,IF(Tulokset!$G$60=Tulokset!$I$60,IF(AND('24'!$I$61=Tulokset!$G$60,'24'!$K$61=Tulokset!$I$60),6,3),MAX(0,6-(ABS('24'!$I$61-Tulokset!$G$60)+ABS('24'!$K$61-Tulokset!$I$60))))))</f>
        <v/>
      </c>
      <c r="BK27" t="str">
        <f>IF(OR(Tulokset!$G$61="",Tulokset!$I$61="",'24'!$I$62="",'24'!$K$62=""),"",IF(SIGN('24'!$I$62-'24'!$K$62)&lt;&gt;SIGN(Tulokset!$G$61-Tulokset!$I$61),0,IF(Tulokset!$G$61=Tulokset!$I$61,IF(AND('24'!$I$62=Tulokset!$G$61,'24'!$K$62=Tulokset!$I$61),6,3),MAX(0,6-(ABS('24'!$I$62-Tulokset!$G$61)+ABS('24'!$K$62-Tulokset!$I$61))))))</f>
        <v/>
      </c>
      <c r="BL27" t="str">
        <f>IF(OR(Tulokset!$G$62="",Tulokset!$I$62="",'24'!$I$63="",'24'!$K$63=""),"",IF(SIGN('24'!$I$63-'24'!$K$63)&lt;&gt;SIGN(Tulokset!$G$62-Tulokset!$I$62),0,IF(Tulokset!$G$62=Tulokset!$I$62,IF(AND('24'!$I$63=Tulokset!$G$62,'24'!$K$63=Tulokset!$I$62),6,3),MAX(0,6-(ABS('24'!$I$63-Tulokset!$G$62)+ABS('24'!$K$63-Tulokset!$I$62))))))</f>
        <v/>
      </c>
      <c r="BM27" t="str">
        <f>IF(OR(Tulokset!$G$63="",Tulokset!$I$63="",'24'!$I$64="",'24'!$K$64=""),"",IF(SIGN('24'!$I$64-'24'!$K$64)&lt;&gt;SIGN(Tulokset!$G$63-Tulokset!$I$63),0,IF(Tulokset!$G$63=Tulokset!$I$63,IF(AND('24'!$I$64=Tulokset!$G$63,'24'!$K$64=Tulokset!$I$63),6,3),MAX(0,6-(ABS('24'!$I$64-Tulokset!$G$63)+ABS('24'!$K$64-Tulokset!$I$63))))))</f>
        <v/>
      </c>
      <c r="BN27" t="str">
        <f>IF(OR(Tulokset!$G$64="",Tulokset!$I$64="",'24'!$I$65="",'24'!$K$65=""),"",IF(SIGN('24'!$I$65-'24'!$K$65)&lt;&gt;SIGN(Tulokset!$G$64-Tulokset!$I$64),0,IF(Tulokset!$G$64=Tulokset!$I$64,IF(AND('24'!$I$65=Tulokset!$G$64,'24'!$K$65=Tulokset!$I$64),6,3),MAX(0,6-(ABS('24'!$I$65-Tulokset!$G$64)+ABS('24'!$K$65-Tulokset!$I$64))))))</f>
        <v/>
      </c>
      <c r="BO27" t="str">
        <f>IF(OR(Tulokset!$G$65="",Tulokset!$I$65="",'24'!$I$66="",'24'!$K$66=""),"",IF(SIGN('24'!$I$66-'24'!$K$66)&lt;&gt;SIGN(Tulokset!$G$65-Tulokset!$I$65),0,IF(Tulokset!$G$65=Tulokset!$I$65,IF(AND('24'!$I$66=Tulokset!$G$65,'24'!$K$66=Tulokset!$I$65),6,3),MAX(0,6-(ABS('24'!$I$66-Tulokset!$G$65)+ABS('24'!$K$66-Tulokset!$I$65))))))</f>
        <v/>
      </c>
      <c r="BP27" t="str">
        <f>IF(OR(Tulokset!$G$66="",Tulokset!$I$66="",'24'!$I$67="",'24'!$K$67=""),"",IF(SIGN('24'!$I$67-'24'!$K$67)&lt;&gt;SIGN(Tulokset!$G$66-Tulokset!$I$66),0,IF(Tulokset!$G$66=Tulokset!$I$66,IF(AND('24'!$I$67=Tulokset!$G$66,'24'!$K$67=Tulokset!$I$66),6,3),MAX(0,6-(ABS('24'!$I$67-Tulokset!$G$66)+ABS('24'!$K$67-Tulokset!$I$66))))))</f>
        <v/>
      </c>
      <c r="BQ27" t="str">
        <f>IF(OR(Tulokset!$G$67="",Tulokset!$I$67="",'24'!$I$68="",'24'!$K$68=""),"",IF(SIGN('24'!$I$68-'24'!$K$68)&lt;&gt;SIGN(Tulokset!$G$67-Tulokset!$I$67),0,IF(Tulokset!$G$67=Tulokset!$I$67,IF(AND('24'!$I$68=Tulokset!$G$67,'24'!$K$68=Tulokset!$I$67),6,3),MAX(0,6-(ABS('24'!$I$68-Tulokset!$G$67)+ABS('24'!$K$68-Tulokset!$I$67))))))</f>
        <v/>
      </c>
      <c r="BR27" t="str">
        <f>IF(OR(Tulokset!$G$68="",Tulokset!$I$68="",'24'!$I$69="",'24'!$K$69=""),"",IF(SIGN('24'!$I$69-'24'!$K$69)&lt;&gt;SIGN(Tulokset!$G$68-Tulokset!$I$68),0,IF(Tulokset!$G$68=Tulokset!$I$68,IF(AND('24'!$I$69=Tulokset!$G$68,'24'!$K$69=Tulokset!$I$68),6,3),MAX(0,6-(ABS('24'!$I$69-Tulokset!$G$68)+ABS('24'!$K$69-Tulokset!$I$68))))))</f>
        <v/>
      </c>
      <c r="BS27" t="str">
        <f>IF(OR(Tulokset!$G$69="",Tulokset!$I$69="",'24'!$I$70="",'24'!$K$70=""),"",IF(SIGN('24'!$I$70-'24'!$K$70)&lt;&gt;SIGN(Tulokset!$G$69-Tulokset!$I$69),0,IF(Tulokset!$G$69=Tulokset!$I$69,IF(AND('24'!$I$70=Tulokset!$G$69,'24'!$K$70=Tulokset!$I$69),6,3),MAX(0,6-(ABS('24'!$I$70-Tulokset!$G$69)+ABS('24'!$K$70-Tulokset!$I$69))))))</f>
        <v/>
      </c>
      <c r="BT27" t="str">
        <f>IF(OR(Tulokset!$G$70="",Tulokset!$I$70="",'24'!$I$71="",'24'!$K$71=""),"",IF(SIGN('24'!$I$71-'24'!$K$71)&lt;&gt;SIGN(Tulokset!$G$70-Tulokset!$I$70),0,IF(Tulokset!$G$70=Tulokset!$I$70,IF(AND('24'!$I$71=Tulokset!$G$70,'24'!$K$71=Tulokset!$I$70),6,3),MAX(0,6-(ABS('24'!$I$71-Tulokset!$G$70)+ABS('24'!$K$71-Tulokset!$I$70))))))</f>
        <v/>
      </c>
      <c r="BU27" t="str">
        <f>IF(OR(Tulokset!$G$71="",Tulokset!$I$71="",'24'!$I$72="",'24'!$K$72=""),"",IF(SIGN('24'!$I$72-'24'!$K$72)&lt;&gt;SIGN(Tulokset!$G$71-Tulokset!$I$71),0,IF(Tulokset!$G$71=Tulokset!$I$71,IF(AND('24'!$I$72=Tulokset!$G$71,'24'!$K$72=Tulokset!$I$71),6,3),MAX(0,6-(ABS('24'!$I$72-Tulokset!$G$71)+ABS('24'!$K$72-Tulokset!$I$71))))))</f>
        <v/>
      </c>
      <c r="BV27" t="str">
        <f>IF(OR(Tulokset!$G$72="",Tulokset!$I$72="",'24'!$I$73="",'24'!$K$73=""),"",IF(SIGN('24'!$I$73-'24'!$K$73)&lt;&gt;SIGN(Tulokset!$G$72-Tulokset!$I$72),0,IF(Tulokset!$G$72=Tulokset!$I$72,IF(AND('24'!$I$73=Tulokset!$G$72,'24'!$K$73=Tulokset!$I$72),6,3),MAX(0,6-(ABS('24'!$I$73-Tulokset!$G$72)+ABS('24'!$K$73-Tulokset!$I$72))))))</f>
        <v/>
      </c>
      <c r="BW27" t="str">
        <f>IF(OR(Tulokset!$G$73="",Tulokset!$I$73="",'24'!$I$74="",'24'!$K$74=""),"",IF(SIGN('24'!$I$74-'24'!$K$74)&lt;&gt;SIGN(Tulokset!$G$73-Tulokset!$I$73),0,IF(Tulokset!$G$73=Tulokset!$I$73,IF(AND('24'!$I$74=Tulokset!$G$73,'24'!$K$74=Tulokset!$I$73),6,3),MAX(0,6-(ABS('24'!$I$74-Tulokset!$G$73)+ABS('24'!$K$74-Tulokset!$I$73))))))</f>
        <v/>
      </c>
      <c r="BX27" t="str">
        <f>IF(OR(Tulokset!$G$74="",Tulokset!$I$74="",'24'!$I$75="",'24'!$K$75=""),"",IF(SIGN('24'!$I$75-'24'!$K$75)&lt;&gt;SIGN(Tulokset!$G$74-Tulokset!$I$74),0,IF(Tulokset!$G$74=Tulokset!$I$74,IF(AND('24'!$I$75=Tulokset!$G$74,'24'!$K$75=Tulokset!$I$74),6,3),MAX(0,6-(ABS('24'!$I$75-Tulokset!$G$74)+ABS('24'!$K$75-Tulokset!$I$74))))))</f>
        <v/>
      </c>
      <c r="BY27" t="str">
        <f>IF(OR(Tulokset!$G$75="",Tulokset!$I$75="",'24'!$I$76="",'24'!$K$76=""),"",IF(SIGN('24'!$I$76-'24'!$K$76)&lt;&gt;SIGN(Tulokset!$G$75-Tulokset!$I$75),0,IF(Tulokset!$G$75=Tulokset!$I$75,IF(AND('24'!$I$76=Tulokset!$G$75,'24'!$K$76=Tulokset!$I$75),6,3),MAX(0,6-(ABS('24'!$I$76-Tulokset!$G$75)+ABS('24'!$K$76-Tulokset!$I$75))))))</f>
        <v/>
      </c>
      <c r="BZ27" t="str">
        <f>IF(OR(Tulokset!$G$76="",Tulokset!$I$76="",'24'!$I$77="",'24'!$K$77=""),"",IF(SIGN('24'!$I$77-'24'!$K$77)&lt;&gt;SIGN(Tulokset!$G$76-Tulokset!$I$76),0,IF(Tulokset!$G$76=Tulokset!$I$76,IF(AND('24'!$I$77=Tulokset!$G$76,'24'!$K$77=Tulokset!$I$76),6,3),MAX(0,6-(ABS('24'!$I$77-Tulokset!$G$76)+ABS('24'!$K$77-Tulokset!$I$76))))))</f>
        <v/>
      </c>
      <c r="CA27" t="str">
        <f>IF(OR(Tulokset!$G$77="",Tulokset!$I$77="",'24'!$I$78="",'24'!$K$78=""),"",IF(SIGN('24'!$I$78-'24'!$K$78)&lt;&gt;SIGN(Tulokset!$G$77-Tulokset!$I$77),0,IF(Tulokset!$G$77=Tulokset!$I$77,IF(AND('24'!$I$78=Tulokset!$G$77,'24'!$K$78=Tulokset!$I$77),6,3),MAX(0,6-(ABS('24'!$I$78-Tulokset!$G$77)+ABS('24'!$K$78-Tulokset!$I$77))))))</f>
        <v/>
      </c>
      <c r="CD27" t="str">
        <f ca="1">IF(OR(Tulokset!$M$6="",INDIRECT("'"&amp;$A27&amp;"'!$P$8")=""),"",IF(TRIM(INDIRECT("'"&amp;$A27&amp;"'!$P$8"))=TRIM(Tulokset!$M$6),2,0))</f>
        <v/>
      </c>
      <c r="CE27" t="str">
        <f ca="1">IF(OR(Tulokset!$M$7="",INDIRECT("'"&amp;$A27&amp;"'!$P$9")=""),"",IF(TRIM(INDIRECT("'"&amp;$A27&amp;"'!$P$9"))=TRIM(Tulokset!$M$7),2,0))</f>
        <v/>
      </c>
      <c r="CF27" t="str">
        <f ca="1">IF(OR(Tulokset!$M$8="",INDIRECT("'"&amp;$A27&amp;"'!$P$10")=""),"",IF(TRIM(INDIRECT("'"&amp;$A27&amp;"'!$P$10"))=TRIM(Tulokset!$M$8),2,0))</f>
        <v/>
      </c>
      <c r="CG27" t="str">
        <f ca="1">IF(OR(Tulokset!$M$9="",INDIRECT("'"&amp;$A27&amp;"'!$P$11")=""),"",IF(TRIM(INDIRECT("'"&amp;$A27&amp;"'!$P$11"))=TRIM(Tulokset!$M$9),2,0))</f>
        <v/>
      </c>
      <c r="CH27" t="str">
        <f ca="1">IF(OR(Tulokset!$N$6="",INDIRECT("'"&amp;$A27&amp;"'!$Q$8")=""),"",IF(TRIM(INDIRECT("'"&amp;$A27&amp;"'!$Q$8"))=TRIM(Tulokset!$N$6),2,0))</f>
        <v/>
      </c>
      <c r="CI27" t="str">
        <f ca="1">IF(OR(Tulokset!$N$7="",INDIRECT("'"&amp;$A27&amp;"'!$Q$9")=""),"",IF(TRIM(INDIRECT("'"&amp;$A27&amp;"'!$Q$9"))=TRIM(Tulokset!$N$7),2,0))</f>
        <v/>
      </c>
      <c r="CJ27" t="str">
        <f ca="1">IF(OR(Tulokset!$N$8="",INDIRECT("'"&amp;$A27&amp;"'!$Q$10")=""),"",IF(TRIM(INDIRECT("'"&amp;$A27&amp;"'!$Q$10"))=TRIM(Tulokset!$N$8),2,0))</f>
        <v/>
      </c>
      <c r="CK27" t="str">
        <f ca="1">IF(OR(Tulokset!$N$9="",INDIRECT("'"&amp;$A27&amp;"'!$Q$11")=""),"",IF(TRIM(INDIRECT("'"&amp;$A27&amp;"'!$Q$11"))=TRIM(Tulokset!$N$9),2,0))</f>
        <v/>
      </c>
      <c r="CL27" t="str">
        <f ca="1">IF(OR(Tulokset!$O$6="",INDIRECT("'"&amp;$A27&amp;"'!$R$8")=""),"",IF(TRIM(INDIRECT("'"&amp;$A27&amp;"'!$R$8"))=TRIM(Tulokset!$O$6),2,0))</f>
        <v/>
      </c>
      <c r="CM27" t="str">
        <f ca="1">IF(OR(Tulokset!$O$7="",INDIRECT("'"&amp;$A27&amp;"'!$R$9")=""),"",IF(TRIM(INDIRECT("'"&amp;$A27&amp;"'!$R$9"))=TRIM(Tulokset!$O$7),2,0))</f>
        <v/>
      </c>
      <c r="CN27" t="str">
        <f ca="1">IF(OR(Tulokset!$O$8="",INDIRECT("'"&amp;$A27&amp;"'!$R$10")=""),"",IF(TRIM(INDIRECT("'"&amp;$A27&amp;"'!$R$10"))=TRIM(Tulokset!$O$8),2,0))</f>
        <v/>
      </c>
      <c r="CO27" t="str">
        <f ca="1">IF(OR(Tulokset!$O$9="",INDIRECT("'"&amp;$A27&amp;"'!$R$11")=""),"",IF(TRIM(INDIRECT("'"&amp;$A27&amp;"'!$R$11"))=TRIM(Tulokset!$O$9),2,0))</f>
        <v/>
      </c>
      <c r="CP27" t="str">
        <f ca="1">IF(OR(Tulokset!$P$6="",INDIRECT("'"&amp;$A27&amp;"'!$S$8")=""),"",IF(TRIM(INDIRECT("'"&amp;$A27&amp;"'!$S$8"))=TRIM(Tulokset!$P$6),2,0))</f>
        <v/>
      </c>
      <c r="CQ27" t="str">
        <f ca="1">IF(OR(Tulokset!$P$7="",INDIRECT("'"&amp;$A27&amp;"'!$S$9")=""),"",IF(TRIM(INDIRECT("'"&amp;$A27&amp;"'!$S$9"))=TRIM(Tulokset!$P$7),2,0))</f>
        <v/>
      </c>
      <c r="CR27" t="str">
        <f ca="1">IF(OR(Tulokset!$P$8="",INDIRECT("'"&amp;$A27&amp;"'!$S$10")=""),"",IF(TRIM(INDIRECT("'"&amp;$A27&amp;"'!$S$10"))=TRIM(Tulokset!$P$8),2,0))</f>
        <v/>
      </c>
      <c r="CS27" t="str">
        <f ca="1">IF(OR(Tulokset!$P$9="",INDIRECT("'"&amp;$A27&amp;"'!$S$11")=""),"",IF(TRIM(INDIRECT("'"&amp;$A27&amp;"'!$S$11"))=TRIM(Tulokset!$P$9),2,0))</f>
        <v/>
      </c>
      <c r="CT27" t="str">
        <f ca="1">IF(OR(Tulokset!$Q$6="",INDIRECT("'"&amp;$A27&amp;"'!$T$8")=""),"",IF(TRIM(INDIRECT("'"&amp;$A27&amp;"'!$T$8"))=TRIM(Tulokset!$Q$6),2,0))</f>
        <v/>
      </c>
      <c r="CU27" t="str">
        <f ca="1">IF(OR(Tulokset!$Q$7="",INDIRECT("'"&amp;$A27&amp;"'!$T$9")=""),"",IF(TRIM(INDIRECT("'"&amp;$A27&amp;"'!$T$9"))=TRIM(Tulokset!$Q$7),2,0))</f>
        <v/>
      </c>
      <c r="CV27" t="str">
        <f ca="1">IF(OR(Tulokset!$Q$8="",INDIRECT("'"&amp;$A27&amp;"'!$T$10")=""),"",IF(TRIM(INDIRECT("'"&amp;$A27&amp;"'!$T$10"))=TRIM(Tulokset!$Q$8),2,0))</f>
        <v/>
      </c>
      <c r="CW27" t="str">
        <f ca="1">IF(OR(Tulokset!$Q$9="",INDIRECT("'"&amp;$A27&amp;"'!$T$11")=""),"",IF(TRIM(INDIRECT("'"&amp;$A27&amp;"'!$T$11"))=TRIM(Tulokset!$Q$9),2,0))</f>
        <v/>
      </c>
      <c r="CX27" t="str">
        <f ca="1">IF(OR(Tulokset!$R$6="",INDIRECT("'"&amp;$A27&amp;"'!$U$8")=""),"",IF(TRIM(INDIRECT("'"&amp;$A27&amp;"'!$U$8"))=TRIM(Tulokset!$R$6),2,0))</f>
        <v/>
      </c>
      <c r="CY27" t="str">
        <f ca="1">IF(OR(Tulokset!$R$7="",INDIRECT("'"&amp;$A27&amp;"'!$U$9")=""),"",IF(TRIM(INDIRECT("'"&amp;$A27&amp;"'!$U$9"))=TRIM(Tulokset!$R$7),2,0))</f>
        <v/>
      </c>
      <c r="CZ27" t="str">
        <f ca="1">IF(OR(Tulokset!$R$8="",INDIRECT("'"&amp;$A27&amp;"'!$U$10")=""),"",IF(TRIM(INDIRECT("'"&amp;$A27&amp;"'!$U$10"))=TRIM(Tulokset!$R$8),2,0))</f>
        <v/>
      </c>
      <c r="DA27" t="str">
        <f ca="1">IF(OR(Tulokset!$R$9="",INDIRECT("'"&amp;$A27&amp;"'!$U$11")=""),"",IF(TRIM(INDIRECT("'"&amp;$A27&amp;"'!$U$11"))=TRIM(Tulokset!$R$9),2,0))</f>
        <v/>
      </c>
      <c r="DB27" t="str">
        <f ca="1">IF(OR(Tulokset!$M$12="",INDIRECT("'"&amp;$A27&amp;"'!$P$14")=""),"",IF(TRIM(INDIRECT("'"&amp;$A27&amp;"'!$P$14"))=TRIM(Tulokset!$M$12),2,0))</f>
        <v/>
      </c>
      <c r="DC27" t="str">
        <f ca="1">IF(OR(Tulokset!$M$13="",INDIRECT("'"&amp;$A27&amp;"'!$P$15")=""),"",IF(TRIM(INDIRECT("'"&amp;$A27&amp;"'!$P$15"))=TRIM(Tulokset!$M$13),2,0))</f>
        <v/>
      </c>
      <c r="DD27" t="str">
        <f ca="1">IF(OR(Tulokset!$M$14="",INDIRECT("'"&amp;$A27&amp;"'!$P$16")=""),"",IF(TRIM(INDIRECT("'"&amp;$A27&amp;"'!$P$16"))=TRIM(Tulokset!$M$14),2,0))</f>
        <v/>
      </c>
      <c r="DE27" t="str">
        <f ca="1">IF(OR(Tulokset!$M$15="",INDIRECT("'"&amp;$A27&amp;"'!$P$17")=""),"",IF(TRIM(INDIRECT("'"&amp;$A27&amp;"'!$P$17"))=TRIM(Tulokset!$M$15),2,0))</f>
        <v/>
      </c>
      <c r="DF27" t="str">
        <f ca="1">IF(OR(Tulokset!$N$12="",INDIRECT("'"&amp;$A27&amp;"'!$Q$14")=""),"",IF(TRIM(INDIRECT("'"&amp;$A27&amp;"'!$Q$14"))=TRIM(Tulokset!$N$12),2,0))</f>
        <v/>
      </c>
      <c r="DG27" t="str">
        <f ca="1">IF(OR(Tulokset!$N$13="",INDIRECT("'"&amp;$A27&amp;"'!$Q$15")=""),"",IF(TRIM(INDIRECT("'"&amp;$A27&amp;"'!$Q$15"))=TRIM(Tulokset!$N$13),2,0))</f>
        <v/>
      </c>
      <c r="DH27" t="str">
        <f ca="1">IF(OR(Tulokset!$N$14="",INDIRECT("'"&amp;$A27&amp;"'!$Q$16")=""),"",IF(TRIM(INDIRECT("'"&amp;$A27&amp;"'!$Q$16"))=TRIM(Tulokset!$N$14),2,0))</f>
        <v/>
      </c>
      <c r="DI27" t="str">
        <f ca="1">IF(OR(Tulokset!$N$15="",INDIRECT("'"&amp;$A27&amp;"'!$Q$17")=""),"",IF(TRIM(INDIRECT("'"&amp;$A27&amp;"'!$Q$17"))=TRIM(Tulokset!$N$15),2,0))</f>
        <v/>
      </c>
      <c r="DJ27" t="str">
        <f ca="1">IF(OR(Tulokset!$O$12="",INDIRECT("'"&amp;$A27&amp;"'!$R$14")=""),"",IF(TRIM(INDIRECT("'"&amp;$A27&amp;"'!$R$14"))=TRIM(Tulokset!$O$12),2,0))</f>
        <v/>
      </c>
      <c r="DK27" t="str">
        <f ca="1">IF(OR(Tulokset!$O$13="",INDIRECT("'"&amp;$A27&amp;"'!$R$15")=""),"",IF(TRIM(INDIRECT("'"&amp;$A27&amp;"'!$R$15"))=TRIM(Tulokset!$O$13),2,0))</f>
        <v/>
      </c>
      <c r="DL27" t="str">
        <f ca="1">IF(OR(Tulokset!$O$14="",INDIRECT("'"&amp;$A27&amp;"'!$R$16")=""),"",IF(TRIM(INDIRECT("'"&amp;$A27&amp;"'!$R$16"))=TRIM(Tulokset!$O$14),2,0))</f>
        <v/>
      </c>
      <c r="DM27" t="str">
        <f ca="1">IF(OR(Tulokset!$O$15="",INDIRECT("'"&amp;$A27&amp;"'!$R$17")=""),"",IF(TRIM(INDIRECT("'"&amp;$A27&amp;"'!$R$17"))=TRIM(Tulokset!$O$15),2,0))</f>
        <v/>
      </c>
      <c r="DN27" t="str">
        <f ca="1">IF(OR(Tulokset!$P$12="",INDIRECT("'"&amp;$A27&amp;"'!$S$14")=""),"",IF(TRIM(INDIRECT("'"&amp;$A27&amp;"'!$S$14"))=TRIM(Tulokset!$P$12),2,0))</f>
        <v/>
      </c>
      <c r="DO27" t="str">
        <f ca="1">IF(OR(Tulokset!$P$13="",INDIRECT("'"&amp;$A27&amp;"'!$S$15")=""),"",IF(TRIM(INDIRECT("'"&amp;$A27&amp;"'!$S$15"))=TRIM(Tulokset!$P$13),2,0))</f>
        <v/>
      </c>
      <c r="DP27" t="str">
        <f ca="1">IF(OR(Tulokset!$P$14="",INDIRECT("'"&amp;$A27&amp;"'!$S$16")=""),"",IF(TRIM(INDIRECT("'"&amp;$A27&amp;"'!$S$16"))=TRIM(Tulokset!$P$14),2,0))</f>
        <v/>
      </c>
      <c r="DQ27" t="str">
        <f ca="1">IF(OR(Tulokset!$P$15="",INDIRECT("'"&amp;$A27&amp;"'!$S$17")=""),"",IF(TRIM(INDIRECT("'"&amp;$A27&amp;"'!$S$17"))=TRIM(Tulokset!$P$15),2,0))</f>
        <v/>
      </c>
      <c r="DR27" t="str">
        <f ca="1">IF(OR(Tulokset!$Q$12="",INDIRECT("'"&amp;$A27&amp;"'!$T$14")=""),"",IF(TRIM(INDIRECT("'"&amp;$A27&amp;"'!$T$14"))=TRIM(Tulokset!$Q$12),2,0))</f>
        <v/>
      </c>
      <c r="DS27" t="str">
        <f ca="1">IF(OR(Tulokset!$Q$13="",INDIRECT("'"&amp;$A27&amp;"'!$T$15")=""),"",IF(TRIM(INDIRECT("'"&amp;$A27&amp;"'!$T$15"))=TRIM(Tulokset!$Q$13),2,0))</f>
        <v/>
      </c>
      <c r="DT27" t="str">
        <f ca="1">IF(OR(Tulokset!$Q$14="",INDIRECT("'"&amp;$A27&amp;"'!$T$16")=""),"",IF(TRIM(INDIRECT("'"&amp;$A27&amp;"'!$T$16"))=TRIM(Tulokset!$Q$14),2,0))</f>
        <v/>
      </c>
      <c r="DU27" t="str">
        <f ca="1">IF(OR(Tulokset!$Q$15="",INDIRECT("'"&amp;$A27&amp;"'!$T$17")=""),"",IF(TRIM(INDIRECT("'"&amp;$A27&amp;"'!$T$17"))=TRIM(Tulokset!$Q$15),2,0))</f>
        <v/>
      </c>
      <c r="DV27" t="str">
        <f ca="1">IF(OR(Tulokset!$R$12="",INDIRECT("'"&amp;$A27&amp;"'!$U$14")=""),"",IF(TRIM(INDIRECT("'"&amp;$A27&amp;"'!$U$14"))=TRIM(Tulokset!$R$12),2,0))</f>
        <v/>
      </c>
      <c r="DW27" t="str">
        <f ca="1">IF(OR(Tulokset!$R$13="",INDIRECT("'"&amp;$A27&amp;"'!$U$15")=""),"",IF(TRIM(INDIRECT("'"&amp;$A27&amp;"'!$U$15"))=TRIM(Tulokset!$R$13),2,0))</f>
        <v/>
      </c>
      <c r="DX27" t="str">
        <f ca="1">IF(OR(Tulokset!$R$14="",INDIRECT("'"&amp;$A27&amp;"'!$U$16")=""),"",IF(TRIM(INDIRECT("'"&amp;$A27&amp;"'!$U$16"))=TRIM(Tulokset!$R$14),2,0))</f>
        <v/>
      </c>
      <c r="DY27" t="str">
        <f ca="1">IF(OR(Tulokset!$R$15="",INDIRECT("'"&amp;$A27&amp;"'!$U$17")=""),"",IF(TRIM(INDIRECT("'"&amp;$A27&amp;"'!$U$17"))=TRIM(Tulokset!$R$15),2,0))</f>
        <v/>
      </c>
      <c r="EA27" t="str">
        <f ca="1">IF(OR(INDIRECT("'"&amp;$A27&amp;"'!$E$79")="",COUNTA(Tulokset!$M$20:$M$21)=0),"",IF(COUNTIF(Tulokset!$M$20:$M$21,INDIRECT("'"&amp;$A27&amp;"'!$E$79"))&gt;0,2,0))</f>
        <v/>
      </c>
      <c r="EB27" t="str">
        <f ca="1">IF(OR(INDIRECT("'"&amp;$A27&amp;"'!$G$79")="",COUNTA(Tulokset!$M$20:$M$21)=0),"",IF(COUNTIF(Tulokset!$M$20:$M$21,INDIRECT("'"&amp;$A27&amp;"'!$G$79"))&gt;0,2,0))</f>
        <v/>
      </c>
      <c r="EC27" t="str">
        <f ca="1">IF(OR(INDIRECT("'"&amp;$A27&amp;"'!$E$80")="",COUNTA(Tulokset!$M$23:$M$24)=0),"",IF(COUNTIF(Tulokset!$M$23:$M$24,INDIRECT("'"&amp;$A27&amp;"'!$E$80"))&gt;0,2,0))</f>
        <v/>
      </c>
      <c r="ED27" t="str">
        <f ca="1">IF(OR(INDIRECT("'"&amp;$A27&amp;"'!$G$80")="",COUNTA(Tulokset!$M$23:$M$24)=0),"",IF(COUNTIF(Tulokset!$M$23:$M$24,INDIRECT("'"&amp;$A27&amp;"'!$G$80"))&gt;0,2,0))</f>
        <v/>
      </c>
    </row>
    <row r="28" spans="1:134">
      <c r="A28" t="s">
        <v>320</v>
      </c>
      <c r="B28" t="str">
        <f t="shared" ca="1" si="0"/>
        <v>Carey Lily</v>
      </c>
      <c r="C28" s="95">
        <f t="shared" si="1"/>
        <v>0</v>
      </c>
      <c r="D28" s="95">
        <f t="shared" ca="1" si="2"/>
        <v>0</v>
      </c>
      <c r="E28" s="95">
        <f t="shared" ca="1" si="3"/>
        <v>0</v>
      </c>
      <c r="F28" s="95">
        <f t="shared" ca="1" si="4"/>
        <v>0</v>
      </c>
      <c r="G28" s="95">
        <f t="shared" si="5"/>
        <v>0</v>
      </c>
      <c r="H28" t="str">
        <f>IF(OR(Tulokset!$G$6="",Tulokset!$I$6="",'25'!$I$7="",'25'!$K$7=""),"",IF(SIGN('25'!$I$7-'25'!$K$7)&lt;&gt;SIGN(Tulokset!$G$6-Tulokset!$I$6),0,IF(Tulokset!$G$6=Tulokset!$I$6,IF(AND('25'!$I$7=Tulokset!$G$6,'25'!$K$7=Tulokset!$I$6),6,3),MAX(0,6-(ABS('25'!$I$7-Tulokset!$G$6)+ABS('25'!$K$7-Tulokset!$I$6))))))</f>
        <v/>
      </c>
      <c r="I28" t="str">
        <f>IF(OR(Tulokset!$G$7="",Tulokset!$I$7="",'25'!$I$8="",'25'!$K$8=""),"",IF(SIGN('25'!$I$8-'25'!$K$8)&lt;&gt;SIGN(Tulokset!$G$7-Tulokset!$I$7),0,IF(Tulokset!$G$7=Tulokset!$I$7,IF(AND('25'!$I$8=Tulokset!$G$7,'25'!$K$8=Tulokset!$I$7),6,3),MAX(0,6-(ABS('25'!$I$8-Tulokset!$G$7)+ABS('25'!$K$8-Tulokset!$I$7))))))</f>
        <v/>
      </c>
      <c r="J28" t="str">
        <f>IF(OR(Tulokset!$G$8="",Tulokset!$I$8="",'25'!$I$9="",'25'!$K$9=""),"",IF(SIGN('25'!$I$9-'25'!$K$9)&lt;&gt;SIGN(Tulokset!$G$8-Tulokset!$I$8),0,IF(Tulokset!$G$8=Tulokset!$I$8,IF(AND('25'!$I$9=Tulokset!$G$8,'25'!$K$9=Tulokset!$I$8),6,3),MAX(0,6-(ABS('25'!$I$9-Tulokset!$G$8)+ABS('25'!$K$9-Tulokset!$I$8))))))</f>
        <v/>
      </c>
      <c r="K28" t="str">
        <f>IF(OR(Tulokset!$G$9="",Tulokset!$I$9="",'25'!$I$10="",'25'!$K$10=""),"",IF(SIGN('25'!$I$10-'25'!$K$10)&lt;&gt;SIGN(Tulokset!$G$9-Tulokset!$I$9),0,IF(Tulokset!$G$9=Tulokset!$I$9,IF(AND('25'!$I$10=Tulokset!$G$9,'25'!$K$10=Tulokset!$I$9),6,3),MAX(0,6-(ABS('25'!$I$10-Tulokset!$G$9)+ABS('25'!$K$10-Tulokset!$I$9))))))</f>
        <v/>
      </c>
      <c r="L28" t="str">
        <f>IF(OR(Tulokset!$G$10="",Tulokset!$I$10="",'25'!$I$11="",'25'!$K$11=""),"",IF(SIGN('25'!$I$11-'25'!$K$11)&lt;&gt;SIGN(Tulokset!$G$10-Tulokset!$I$10),0,IF(Tulokset!$G$10=Tulokset!$I$10,IF(AND('25'!$I$11=Tulokset!$G$10,'25'!$K$11=Tulokset!$I$10),6,3),MAX(0,6-(ABS('25'!$I$11-Tulokset!$G$10)+ABS('25'!$K$11-Tulokset!$I$10))))))</f>
        <v/>
      </c>
      <c r="M28" t="str">
        <f>IF(OR(Tulokset!$G$11="",Tulokset!$I$11="",'25'!$I$12="",'25'!$K$12=""),"",IF(SIGN('25'!$I$12-'25'!$K$12)&lt;&gt;SIGN(Tulokset!$G$11-Tulokset!$I$11),0,IF(Tulokset!$G$11=Tulokset!$I$11,IF(AND('25'!$I$12=Tulokset!$G$11,'25'!$K$12=Tulokset!$I$11),6,3),MAX(0,6-(ABS('25'!$I$12-Tulokset!$G$11)+ABS('25'!$K$12-Tulokset!$I$11))))))</f>
        <v/>
      </c>
      <c r="N28" t="str">
        <f>IF(OR(Tulokset!$G$12="",Tulokset!$I$12="",'25'!$I$13="",'25'!$K$13=""),"",IF(SIGN('25'!$I$13-'25'!$K$13)&lt;&gt;SIGN(Tulokset!$G$12-Tulokset!$I$12),0,IF(Tulokset!$G$12=Tulokset!$I$12,IF(AND('25'!$I$13=Tulokset!$G$12,'25'!$K$13=Tulokset!$I$12),6,3),MAX(0,6-(ABS('25'!$I$13-Tulokset!$G$12)+ABS('25'!$K$13-Tulokset!$I$12))))))</f>
        <v/>
      </c>
      <c r="O28" t="str">
        <f>IF(OR(Tulokset!$G$13="",Tulokset!$I$13="",'25'!$I$14="",'25'!$K$14=""),"",IF(SIGN('25'!$I$14-'25'!$K$14)&lt;&gt;SIGN(Tulokset!$G$13-Tulokset!$I$13),0,IF(Tulokset!$G$13=Tulokset!$I$13,IF(AND('25'!$I$14=Tulokset!$G$13,'25'!$K$14=Tulokset!$I$13),6,3),MAX(0,6-(ABS('25'!$I$14-Tulokset!$G$13)+ABS('25'!$K$14-Tulokset!$I$13))))))</f>
        <v/>
      </c>
      <c r="P28" t="str">
        <f>IF(OR(Tulokset!$G$14="",Tulokset!$I$14="",'25'!$I$15="",'25'!$K$15=""),"",IF(SIGN('25'!$I$15-'25'!$K$15)&lt;&gt;SIGN(Tulokset!$G$14-Tulokset!$I$14),0,IF(Tulokset!$G$14=Tulokset!$I$14,IF(AND('25'!$I$15=Tulokset!$G$14,'25'!$K$15=Tulokset!$I$14),6,3),MAX(0,6-(ABS('25'!$I$15-Tulokset!$G$14)+ABS('25'!$K$15-Tulokset!$I$14))))))</f>
        <v/>
      </c>
      <c r="Q28" t="str">
        <f>IF(OR(Tulokset!$G$15="",Tulokset!$I$15="",'25'!$I$16="",'25'!$K$16=""),"",IF(SIGN('25'!$I$16-'25'!$K$16)&lt;&gt;SIGN(Tulokset!$G$15-Tulokset!$I$15),0,IF(Tulokset!$G$15=Tulokset!$I$15,IF(AND('25'!$I$16=Tulokset!$G$15,'25'!$K$16=Tulokset!$I$15),6,3),MAX(0,6-(ABS('25'!$I$16-Tulokset!$G$15)+ABS('25'!$K$16-Tulokset!$I$15))))))</f>
        <v/>
      </c>
      <c r="R28" t="str">
        <f>IF(OR(Tulokset!$G$16="",Tulokset!$I$16="",'25'!$I$17="",'25'!$K$17=""),"",IF(SIGN('25'!$I$17-'25'!$K$17)&lt;&gt;SIGN(Tulokset!$G$16-Tulokset!$I$16),0,IF(Tulokset!$G$16=Tulokset!$I$16,IF(AND('25'!$I$17=Tulokset!$G$16,'25'!$K$17=Tulokset!$I$16),6,3),MAX(0,6-(ABS('25'!$I$17-Tulokset!$G$16)+ABS('25'!$K$17-Tulokset!$I$16))))))</f>
        <v/>
      </c>
      <c r="S28" t="str">
        <f>IF(OR(Tulokset!$G$17="",Tulokset!$I$17="",'25'!$I$18="",'25'!$K$18=""),"",IF(SIGN('25'!$I$18-'25'!$K$18)&lt;&gt;SIGN(Tulokset!$G$17-Tulokset!$I$17),0,IF(Tulokset!$G$17=Tulokset!$I$17,IF(AND('25'!$I$18=Tulokset!$G$17,'25'!$K$18=Tulokset!$I$17),6,3),MAX(0,6-(ABS('25'!$I$18-Tulokset!$G$17)+ABS('25'!$K$18-Tulokset!$I$17))))))</f>
        <v/>
      </c>
      <c r="T28" t="str">
        <f>IF(OR(Tulokset!$G$18="",Tulokset!$I$18="",'25'!$I$19="",'25'!$K$19=""),"",IF(SIGN('25'!$I$19-'25'!$K$19)&lt;&gt;SIGN(Tulokset!$G$18-Tulokset!$I$18),0,IF(Tulokset!$G$18=Tulokset!$I$18,IF(AND('25'!$I$19=Tulokset!$G$18,'25'!$K$19=Tulokset!$I$18),6,3),MAX(0,6-(ABS('25'!$I$19-Tulokset!$G$18)+ABS('25'!$K$19-Tulokset!$I$18))))))</f>
        <v/>
      </c>
      <c r="U28" t="str">
        <f>IF(OR(Tulokset!$G$19="",Tulokset!$I$19="",'25'!$I$20="",'25'!$K$20=""),"",IF(SIGN('25'!$I$20-'25'!$K$20)&lt;&gt;SIGN(Tulokset!$G$19-Tulokset!$I$19),0,IF(Tulokset!$G$19=Tulokset!$I$19,IF(AND('25'!$I$20=Tulokset!$G$19,'25'!$K$20=Tulokset!$I$19),6,3),MAX(0,6-(ABS('25'!$I$20-Tulokset!$G$19)+ABS('25'!$K$20-Tulokset!$I$19))))))</f>
        <v/>
      </c>
      <c r="V28" t="str">
        <f>IF(OR(Tulokset!$G$20="",Tulokset!$I$20="",'25'!$I$21="",'25'!$K$21=""),"",IF(SIGN('25'!$I$21-'25'!$K$21)&lt;&gt;SIGN(Tulokset!$G$20-Tulokset!$I$20),0,IF(Tulokset!$G$20=Tulokset!$I$20,IF(AND('25'!$I$21=Tulokset!$G$20,'25'!$K$21=Tulokset!$I$20),6,3),MAX(0,6-(ABS('25'!$I$21-Tulokset!$G$20)+ABS('25'!$K$21-Tulokset!$I$20))))))</f>
        <v/>
      </c>
      <c r="W28" t="str">
        <f>IF(OR(Tulokset!$G$21="",Tulokset!$I$21="",'25'!$I$22="",'25'!$K$22=""),"",IF(SIGN('25'!$I$22-'25'!$K$22)&lt;&gt;SIGN(Tulokset!$G$21-Tulokset!$I$21),0,IF(Tulokset!$G$21=Tulokset!$I$21,IF(AND('25'!$I$22=Tulokset!$G$21,'25'!$K$22=Tulokset!$I$21),6,3),MAX(0,6-(ABS('25'!$I$22-Tulokset!$G$21)+ABS('25'!$K$22-Tulokset!$I$21))))))</f>
        <v/>
      </c>
      <c r="X28" t="str">
        <f>IF(OR(Tulokset!$G$22="",Tulokset!$I$22="",'25'!$I$23="",'25'!$K$23=""),"",IF(SIGN('25'!$I$23-'25'!$K$23)&lt;&gt;SIGN(Tulokset!$G$22-Tulokset!$I$22),0,IF(Tulokset!$G$22=Tulokset!$I$22,IF(AND('25'!$I$23=Tulokset!$G$22,'25'!$K$23=Tulokset!$I$22),6,3),MAX(0,6-(ABS('25'!$I$23-Tulokset!$G$22)+ABS('25'!$K$23-Tulokset!$I$22))))))</f>
        <v/>
      </c>
      <c r="Y28" t="str">
        <f>IF(OR(Tulokset!$G$23="",Tulokset!$I$23="",'25'!$I$24="",'25'!$K$24=""),"",IF(SIGN('25'!$I$24-'25'!$K$24)&lt;&gt;SIGN(Tulokset!$G$23-Tulokset!$I$23),0,IF(Tulokset!$G$23=Tulokset!$I$23,IF(AND('25'!$I$24=Tulokset!$G$23,'25'!$K$24=Tulokset!$I$23),6,3),MAX(0,6-(ABS('25'!$I$24-Tulokset!$G$23)+ABS('25'!$K$24-Tulokset!$I$23))))))</f>
        <v/>
      </c>
      <c r="Z28" t="str">
        <f>IF(OR(Tulokset!$G$24="",Tulokset!$I$24="",'25'!$I$25="",'25'!$K$25=""),"",IF(SIGN('25'!$I$25-'25'!$K$25)&lt;&gt;SIGN(Tulokset!$G$24-Tulokset!$I$24),0,IF(Tulokset!$G$24=Tulokset!$I$24,IF(AND('25'!$I$25=Tulokset!$G$24,'25'!$K$25=Tulokset!$I$24),6,3),MAX(0,6-(ABS('25'!$I$25-Tulokset!$G$24)+ABS('25'!$K$25-Tulokset!$I$24))))))</f>
        <v/>
      </c>
      <c r="AA28" t="str">
        <f>IF(OR(Tulokset!$G$25="",Tulokset!$I$25="",'25'!$I$26="",'25'!$K$26=""),"",IF(SIGN('25'!$I$26-'25'!$K$26)&lt;&gt;SIGN(Tulokset!$G$25-Tulokset!$I$25),0,IF(Tulokset!$G$25=Tulokset!$I$25,IF(AND('25'!$I$26=Tulokset!$G$25,'25'!$K$26=Tulokset!$I$25),6,3),MAX(0,6-(ABS('25'!$I$26-Tulokset!$G$25)+ABS('25'!$K$26-Tulokset!$I$25))))))</f>
        <v/>
      </c>
      <c r="AB28" t="str">
        <f>IF(OR(Tulokset!$G$26="",Tulokset!$I$26="",'25'!$I$27="",'25'!$K$27=""),"",IF(SIGN('25'!$I$27-'25'!$K$27)&lt;&gt;SIGN(Tulokset!$G$26-Tulokset!$I$26),0,IF(Tulokset!$G$26=Tulokset!$I$26,IF(AND('25'!$I$27=Tulokset!$G$26,'25'!$K$27=Tulokset!$I$26),6,3),MAX(0,6-(ABS('25'!$I$27-Tulokset!$G$26)+ABS('25'!$K$27-Tulokset!$I$26))))))</f>
        <v/>
      </c>
      <c r="AC28" t="str">
        <f>IF(OR(Tulokset!$G$27="",Tulokset!$I$27="",'25'!$I$28="",'25'!$K$28=""),"",IF(SIGN('25'!$I$28-'25'!$K$28)&lt;&gt;SIGN(Tulokset!$G$27-Tulokset!$I$27),0,IF(Tulokset!$G$27=Tulokset!$I$27,IF(AND('25'!$I$28=Tulokset!$G$27,'25'!$K$28=Tulokset!$I$27),6,3),MAX(0,6-(ABS('25'!$I$28-Tulokset!$G$27)+ABS('25'!$K$28-Tulokset!$I$27))))))</f>
        <v/>
      </c>
      <c r="AD28" t="str">
        <f>IF(OR(Tulokset!$G$28="",Tulokset!$I$28="",'25'!$I$29="",'25'!$K$29=""),"",IF(SIGN('25'!$I$29-'25'!$K$29)&lt;&gt;SIGN(Tulokset!$G$28-Tulokset!$I$28),0,IF(Tulokset!$G$28=Tulokset!$I$28,IF(AND('25'!$I$29=Tulokset!$G$28,'25'!$K$29=Tulokset!$I$28),6,3),MAX(0,6-(ABS('25'!$I$29-Tulokset!$G$28)+ABS('25'!$K$29-Tulokset!$I$28))))))</f>
        <v/>
      </c>
      <c r="AE28" t="str">
        <f>IF(OR(Tulokset!$G$29="",Tulokset!$I$29="",'25'!$I$30="",'25'!$K$30=""),"",IF(SIGN('25'!$I$30-'25'!$K$30)&lt;&gt;SIGN(Tulokset!$G$29-Tulokset!$I$29),0,IF(Tulokset!$G$29=Tulokset!$I$29,IF(AND('25'!$I$30=Tulokset!$G$29,'25'!$K$30=Tulokset!$I$29),6,3),MAX(0,6-(ABS('25'!$I$30-Tulokset!$G$29)+ABS('25'!$K$30-Tulokset!$I$29))))))</f>
        <v/>
      </c>
      <c r="AF28" t="str">
        <f>IF(OR(Tulokset!$G$30="",Tulokset!$I$30="",'25'!$I$31="",'25'!$K$31=""),"",IF(SIGN('25'!$I$31-'25'!$K$31)&lt;&gt;SIGN(Tulokset!$G$30-Tulokset!$I$30),0,IF(Tulokset!$G$30=Tulokset!$I$30,IF(AND('25'!$I$31=Tulokset!$G$30,'25'!$K$31=Tulokset!$I$30),6,3),MAX(0,6-(ABS('25'!$I$31-Tulokset!$G$30)+ABS('25'!$K$31-Tulokset!$I$30))))))</f>
        <v/>
      </c>
      <c r="AG28" t="str">
        <f>IF(OR(Tulokset!$G$31="",Tulokset!$I$31="",'25'!$I$32="",'25'!$K$32=""),"",IF(SIGN('25'!$I$32-'25'!$K$32)&lt;&gt;SIGN(Tulokset!$G$31-Tulokset!$I$31),0,IF(Tulokset!$G$31=Tulokset!$I$31,IF(AND('25'!$I$32=Tulokset!$G$31,'25'!$K$32=Tulokset!$I$31),6,3),MAX(0,6-(ABS('25'!$I$32-Tulokset!$G$31)+ABS('25'!$K$32-Tulokset!$I$31))))))</f>
        <v/>
      </c>
      <c r="AH28" t="str">
        <f>IF(OR(Tulokset!$G$32="",Tulokset!$I$32="",'25'!$I$33="",'25'!$K$33=""),"",IF(SIGN('25'!$I$33-'25'!$K$33)&lt;&gt;SIGN(Tulokset!$G$32-Tulokset!$I$32),0,IF(Tulokset!$G$32=Tulokset!$I$32,IF(AND('25'!$I$33=Tulokset!$G$32,'25'!$K$33=Tulokset!$I$32),6,3),MAX(0,6-(ABS('25'!$I$33-Tulokset!$G$32)+ABS('25'!$K$33-Tulokset!$I$32))))))</f>
        <v/>
      </c>
      <c r="AI28" t="str">
        <f>IF(OR(Tulokset!$G$33="",Tulokset!$I$33="",'25'!$I$34="",'25'!$K$34=""),"",IF(SIGN('25'!$I$34-'25'!$K$34)&lt;&gt;SIGN(Tulokset!$G$33-Tulokset!$I$33),0,IF(Tulokset!$G$33=Tulokset!$I$33,IF(AND('25'!$I$34=Tulokset!$G$33,'25'!$K$34=Tulokset!$I$33),6,3),MAX(0,6-(ABS('25'!$I$34-Tulokset!$G$33)+ABS('25'!$K$34-Tulokset!$I$33))))))</f>
        <v/>
      </c>
      <c r="AJ28" t="str">
        <f>IF(OR(Tulokset!$G$34="",Tulokset!$I$34="",'25'!$I$35="",'25'!$K$35=""),"",IF(SIGN('25'!$I$35-'25'!$K$35)&lt;&gt;SIGN(Tulokset!$G$34-Tulokset!$I$34),0,IF(Tulokset!$G$34=Tulokset!$I$34,IF(AND('25'!$I$35=Tulokset!$G$34,'25'!$K$35=Tulokset!$I$34),6,3),MAX(0,6-(ABS('25'!$I$35-Tulokset!$G$34)+ABS('25'!$K$35-Tulokset!$I$34))))))</f>
        <v/>
      </c>
      <c r="AK28" t="str">
        <f>IF(OR(Tulokset!$G$35="",Tulokset!$I$35="",'25'!$I$36="",'25'!$K$36=""),"",IF(SIGN('25'!$I$36-'25'!$K$36)&lt;&gt;SIGN(Tulokset!$G$35-Tulokset!$I$35),0,IF(Tulokset!$G$35=Tulokset!$I$35,IF(AND('25'!$I$36=Tulokset!$G$35,'25'!$K$36=Tulokset!$I$35),6,3),MAX(0,6-(ABS('25'!$I$36-Tulokset!$G$35)+ABS('25'!$K$36-Tulokset!$I$35))))))</f>
        <v/>
      </c>
      <c r="AL28" t="str">
        <f>IF(OR(Tulokset!$G$36="",Tulokset!$I$36="",'25'!$I$37="",'25'!$K$37=""),"",IF(SIGN('25'!$I$37-'25'!$K$37)&lt;&gt;SIGN(Tulokset!$G$36-Tulokset!$I$36),0,IF(Tulokset!$G$36=Tulokset!$I$36,IF(AND('25'!$I$37=Tulokset!$G$36,'25'!$K$37=Tulokset!$I$36),6,3),MAX(0,6-(ABS('25'!$I$37-Tulokset!$G$36)+ABS('25'!$K$37-Tulokset!$I$36))))))</f>
        <v/>
      </c>
      <c r="AM28" t="str">
        <f>IF(OR(Tulokset!$G$37="",Tulokset!$I$37="",'25'!$I$38="",'25'!$K$38=""),"",IF(SIGN('25'!$I$38-'25'!$K$38)&lt;&gt;SIGN(Tulokset!$G$37-Tulokset!$I$37),0,IF(Tulokset!$G$37=Tulokset!$I$37,IF(AND('25'!$I$38=Tulokset!$G$37,'25'!$K$38=Tulokset!$I$37),6,3),MAX(0,6-(ABS('25'!$I$38-Tulokset!$G$37)+ABS('25'!$K$38-Tulokset!$I$37))))))</f>
        <v/>
      </c>
      <c r="AN28" t="str">
        <f>IF(OR(Tulokset!$G$38="",Tulokset!$I$38="",'25'!$I$39="",'25'!$K$39=""),"",IF(SIGN('25'!$I$39-'25'!$K$39)&lt;&gt;SIGN(Tulokset!$G$38-Tulokset!$I$38),0,IF(Tulokset!$G$38=Tulokset!$I$38,IF(AND('25'!$I$39=Tulokset!$G$38,'25'!$K$39=Tulokset!$I$38),6,3),MAX(0,6-(ABS('25'!$I$39-Tulokset!$G$38)+ABS('25'!$K$39-Tulokset!$I$38))))))</f>
        <v/>
      </c>
      <c r="AO28" t="str">
        <f>IF(OR(Tulokset!$G$39="",Tulokset!$I$39="",'25'!$I$40="",'25'!$K$40=""),"",IF(SIGN('25'!$I$40-'25'!$K$40)&lt;&gt;SIGN(Tulokset!$G$39-Tulokset!$I$39),0,IF(Tulokset!$G$39=Tulokset!$I$39,IF(AND('25'!$I$40=Tulokset!$G$39,'25'!$K$40=Tulokset!$I$39),6,3),MAX(0,6-(ABS('25'!$I$40-Tulokset!$G$39)+ABS('25'!$K$40-Tulokset!$I$39))))))</f>
        <v/>
      </c>
      <c r="AP28" t="str">
        <f>IF(OR(Tulokset!$G$40="",Tulokset!$I$40="",'25'!$I$41="",'25'!$K$41=""),"",IF(SIGN('25'!$I$41-'25'!$K$41)&lt;&gt;SIGN(Tulokset!$G$40-Tulokset!$I$40),0,IF(Tulokset!$G$40=Tulokset!$I$40,IF(AND('25'!$I$41=Tulokset!$G$40,'25'!$K$41=Tulokset!$I$40),6,3),MAX(0,6-(ABS('25'!$I$41-Tulokset!$G$40)+ABS('25'!$K$41-Tulokset!$I$40))))))</f>
        <v/>
      </c>
      <c r="AQ28" t="str">
        <f>IF(OR(Tulokset!$G$41="",Tulokset!$I$41="",'25'!$I$42="",'25'!$K$42=""),"",IF(SIGN('25'!$I$42-'25'!$K$42)&lt;&gt;SIGN(Tulokset!$G$41-Tulokset!$I$41),0,IF(Tulokset!$G$41=Tulokset!$I$41,IF(AND('25'!$I$42=Tulokset!$G$41,'25'!$K$42=Tulokset!$I$41),6,3),MAX(0,6-(ABS('25'!$I$42-Tulokset!$G$41)+ABS('25'!$K$42-Tulokset!$I$41))))))</f>
        <v/>
      </c>
      <c r="AR28" t="str">
        <f>IF(OR(Tulokset!$G$42="",Tulokset!$I$42="",'25'!$I$43="",'25'!$K$43=""),"",IF(SIGN('25'!$I$43-'25'!$K$43)&lt;&gt;SIGN(Tulokset!$G$42-Tulokset!$I$42),0,IF(Tulokset!$G$42=Tulokset!$I$42,IF(AND('25'!$I$43=Tulokset!$G$42,'25'!$K$43=Tulokset!$I$42),6,3),MAX(0,6-(ABS('25'!$I$43-Tulokset!$G$42)+ABS('25'!$K$43-Tulokset!$I$42))))))</f>
        <v/>
      </c>
      <c r="AS28" t="str">
        <f>IF(OR(Tulokset!$G$43="",Tulokset!$I$43="",'25'!$I$44="",'25'!$K$44=""),"",IF(SIGN('25'!$I$44-'25'!$K$44)&lt;&gt;SIGN(Tulokset!$G$43-Tulokset!$I$43),0,IF(Tulokset!$G$43=Tulokset!$I$43,IF(AND('25'!$I$44=Tulokset!$G$43,'25'!$K$44=Tulokset!$I$43),6,3),MAX(0,6-(ABS('25'!$I$44-Tulokset!$G$43)+ABS('25'!$K$44-Tulokset!$I$43))))))</f>
        <v/>
      </c>
      <c r="AT28" t="str">
        <f>IF(OR(Tulokset!$G$44="",Tulokset!$I$44="",'25'!$I$45="",'25'!$K$45=""),"",IF(SIGN('25'!$I$45-'25'!$K$45)&lt;&gt;SIGN(Tulokset!$G$44-Tulokset!$I$44),0,IF(Tulokset!$G$44=Tulokset!$I$44,IF(AND('25'!$I$45=Tulokset!$G$44,'25'!$K$45=Tulokset!$I$44),6,3),MAX(0,6-(ABS('25'!$I$45-Tulokset!$G$44)+ABS('25'!$K$45-Tulokset!$I$44))))))</f>
        <v/>
      </c>
      <c r="AU28" t="str">
        <f>IF(OR(Tulokset!$G$45="",Tulokset!$I$45="",'25'!$I$46="",'25'!$K$46=""),"",IF(SIGN('25'!$I$46-'25'!$K$46)&lt;&gt;SIGN(Tulokset!$G$45-Tulokset!$I$45),0,IF(Tulokset!$G$45=Tulokset!$I$45,IF(AND('25'!$I$46=Tulokset!$G$45,'25'!$K$46=Tulokset!$I$45),6,3),MAX(0,6-(ABS('25'!$I$46-Tulokset!$G$45)+ABS('25'!$K$46-Tulokset!$I$45))))))</f>
        <v/>
      </c>
      <c r="AV28" t="str">
        <f>IF(OR(Tulokset!$G$46="",Tulokset!$I$46="",'25'!$I$47="",'25'!$K$47=""),"",IF(SIGN('25'!$I$47-'25'!$K$47)&lt;&gt;SIGN(Tulokset!$G$46-Tulokset!$I$46),0,IF(Tulokset!$G$46=Tulokset!$I$46,IF(AND('25'!$I$47=Tulokset!$G$46,'25'!$K$47=Tulokset!$I$46),6,3),MAX(0,6-(ABS('25'!$I$47-Tulokset!$G$46)+ABS('25'!$K$47-Tulokset!$I$46))))))</f>
        <v/>
      </c>
      <c r="AW28" t="str">
        <f>IF(OR(Tulokset!$G$47="",Tulokset!$I$47="",'25'!$I$48="",'25'!$K$48=""),"",IF(SIGN('25'!$I$48-'25'!$K$48)&lt;&gt;SIGN(Tulokset!$G$47-Tulokset!$I$47),0,IF(Tulokset!$G$47=Tulokset!$I$47,IF(AND('25'!$I$48=Tulokset!$G$47,'25'!$K$48=Tulokset!$I$47),6,3),MAX(0,6-(ABS('25'!$I$48-Tulokset!$G$47)+ABS('25'!$K$48-Tulokset!$I$47))))))</f>
        <v/>
      </c>
      <c r="AX28" t="str">
        <f>IF(OR(Tulokset!$G$48="",Tulokset!$I$48="",'25'!$I$49="",'25'!$K$49=""),"",IF(SIGN('25'!$I$49-'25'!$K$49)&lt;&gt;SIGN(Tulokset!$G$48-Tulokset!$I$48),0,IF(Tulokset!$G$48=Tulokset!$I$48,IF(AND('25'!$I$49=Tulokset!$G$48,'25'!$K$49=Tulokset!$I$48),6,3),MAX(0,6-(ABS('25'!$I$49-Tulokset!$G$48)+ABS('25'!$K$49-Tulokset!$I$48))))))</f>
        <v/>
      </c>
      <c r="AY28" t="str">
        <f>IF(OR(Tulokset!$G$49="",Tulokset!$I$49="",'25'!$I$50="",'25'!$K$50=""),"",IF(SIGN('25'!$I$50-'25'!$K$50)&lt;&gt;SIGN(Tulokset!$G$49-Tulokset!$I$49),0,IF(Tulokset!$G$49=Tulokset!$I$49,IF(AND('25'!$I$50=Tulokset!$G$49,'25'!$K$50=Tulokset!$I$49),6,3),MAX(0,6-(ABS('25'!$I$50-Tulokset!$G$49)+ABS('25'!$K$50-Tulokset!$I$49))))))</f>
        <v/>
      </c>
      <c r="AZ28" t="str">
        <f>IF(OR(Tulokset!$G$50="",Tulokset!$I$50="",'25'!$I$51="",'25'!$K$51=""),"",IF(SIGN('25'!$I$51-'25'!$K$51)&lt;&gt;SIGN(Tulokset!$G$50-Tulokset!$I$50),0,IF(Tulokset!$G$50=Tulokset!$I$50,IF(AND('25'!$I$51=Tulokset!$G$50,'25'!$K$51=Tulokset!$I$50),6,3),MAX(0,6-(ABS('25'!$I$51-Tulokset!$G$50)+ABS('25'!$K$51-Tulokset!$I$50))))))</f>
        <v/>
      </c>
      <c r="BA28" t="str">
        <f>IF(OR(Tulokset!$G$51="",Tulokset!$I$51="",'25'!$I$52="",'25'!$K$52=""),"",IF(SIGN('25'!$I$52-'25'!$K$52)&lt;&gt;SIGN(Tulokset!$G$51-Tulokset!$I$51),0,IF(Tulokset!$G$51=Tulokset!$I$51,IF(AND('25'!$I$52=Tulokset!$G$51,'25'!$K$52=Tulokset!$I$51),6,3),MAX(0,6-(ABS('25'!$I$52-Tulokset!$G$51)+ABS('25'!$K$52-Tulokset!$I$51))))))</f>
        <v/>
      </c>
      <c r="BB28" t="str">
        <f>IF(OR(Tulokset!$G$52="",Tulokset!$I$52="",'25'!$I$53="",'25'!$K$53=""),"",IF(SIGN('25'!$I$53-'25'!$K$53)&lt;&gt;SIGN(Tulokset!$G$52-Tulokset!$I$52),0,IF(Tulokset!$G$52=Tulokset!$I$52,IF(AND('25'!$I$53=Tulokset!$G$52,'25'!$K$53=Tulokset!$I$52),6,3),MAX(0,6-(ABS('25'!$I$53-Tulokset!$G$52)+ABS('25'!$K$53-Tulokset!$I$52))))))</f>
        <v/>
      </c>
      <c r="BC28" t="str">
        <f>IF(OR(Tulokset!$G$53="",Tulokset!$I$53="",'25'!$I$54="",'25'!$K$54=""),"",IF(SIGN('25'!$I$54-'25'!$K$54)&lt;&gt;SIGN(Tulokset!$G$53-Tulokset!$I$53),0,IF(Tulokset!$G$53=Tulokset!$I$53,IF(AND('25'!$I$54=Tulokset!$G$53,'25'!$K$54=Tulokset!$I$53),6,3),MAX(0,6-(ABS('25'!$I$54-Tulokset!$G$53)+ABS('25'!$K$54-Tulokset!$I$53))))))</f>
        <v/>
      </c>
      <c r="BD28" t="str">
        <f>IF(OR(Tulokset!$G$54="",Tulokset!$I$54="",'25'!$I$55="",'25'!$K$55=""),"",IF(SIGN('25'!$I$55-'25'!$K$55)&lt;&gt;SIGN(Tulokset!$G$54-Tulokset!$I$54),0,IF(Tulokset!$G$54=Tulokset!$I$54,IF(AND('25'!$I$55=Tulokset!$G$54,'25'!$K$55=Tulokset!$I$54),6,3),MAX(0,6-(ABS('25'!$I$55-Tulokset!$G$54)+ABS('25'!$K$55-Tulokset!$I$54))))))</f>
        <v/>
      </c>
      <c r="BE28" t="str">
        <f>IF(OR(Tulokset!$G$55="",Tulokset!$I$55="",'25'!$I$56="",'25'!$K$56=""),"",IF(SIGN('25'!$I$56-'25'!$K$56)&lt;&gt;SIGN(Tulokset!$G$55-Tulokset!$I$55),0,IF(Tulokset!$G$55=Tulokset!$I$55,IF(AND('25'!$I$56=Tulokset!$G$55,'25'!$K$56=Tulokset!$I$55),6,3),MAX(0,6-(ABS('25'!$I$56-Tulokset!$G$55)+ABS('25'!$K$56-Tulokset!$I$55))))))</f>
        <v/>
      </c>
      <c r="BF28" t="str">
        <f>IF(OR(Tulokset!$G$56="",Tulokset!$I$56="",'25'!$I$57="",'25'!$K$57=""),"",IF(SIGN('25'!$I$57-'25'!$K$57)&lt;&gt;SIGN(Tulokset!$G$56-Tulokset!$I$56),0,IF(Tulokset!$G$56=Tulokset!$I$56,IF(AND('25'!$I$57=Tulokset!$G$56,'25'!$K$57=Tulokset!$I$56),6,3),MAX(0,6-(ABS('25'!$I$57-Tulokset!$G$56)+ABS('25'!$K$57-Tulokset!$I$56))))))</f>
        <v/>
      </c>
      <c r="BG28" t="str">
        <f>IF(OR(Tulokset!$G$57="",Tulokset!$I$57="",'25'!$I$58="",'25'!$K$58=""),"",IF(SIGN('25'!$I$58-'25'!$K$58)&lt;&gt;SIGN(Tulokset!$G$57-Tulokset!$I$57),0,IF(Tulokset!$G$57=Tulokset!$I$57,IF(AND('25'!$I$58=Tulokset!$G$57,'25'!$K$58=Tulokset!$I$57),6,3),MAX(0,6-(ABS('25'!$I$58-Tulokset!$G$57)+ABS('25'!$K$58-Tulokset!$I$57))))))</f>
        <v/>
      </c>
      <c r="BH28" t="str">
        <f>IF(OR(Tulokset!$G$58="",Tulokset!$I$58="",'25'!$I$59="",'25'!$K$59=""),"",IF(SIGN('25'!$I$59-'25'!$K$59)&lt;&gt;SIGN(Tulokset!$G$58-Tulokset!$I$58),0,IF(Tulokset!$G$58=Tulokset!$I$58,IF(AND('25'!$I$59=Tulokset!$G$58,'25'!$K$59=Tulokset!$I$58),6,3),MAX(0,6-(ABS('25'!$I$59-Tulokset!$G$58)+ABS('25'!$K$59-Tulokset!$I$58))))))</f>
        <v/>
      </c>
      <c r="BI28" t="str">
        <f>IF(OR(Tulokset!$G$59="",Tulokset!$I$59="",'25'!$I$60="",'25'!$K$60=""),"",IF(SIGN('25'!$I$60-'25'!$K$60)&lt;&gt;SIGN(Tulokset!$G$59-Tulokset!$I$59),0,IF(Tulokset!$G$59=Tulokset!$I$59,IF(AND('25'!$I$60=Tulokset!$G$59,'25'!$K$60=Tulokset!$I$59),6,3),MAX(0,6-(ABS('25'!$I$60-Tulokset!$G$59)+ABS('25'!$K$60-Tulokset!$I$59))))))</f>
        <v/>
      </c>
      <c r="BJ28" t="str">
        <f>IF(OR(Tulokset!$G$60="",Tulokset!$I$60="",'25'!$I$61="",'25'!$K$61=""),"",IF(SIGN('25'!$I$61-'25'!$K$61)&lt;&gt;SIGN(Tulokset!$G$60-Tulokset!$I$60),0,IF(Tulokset!$G$60=Tulokset!$I$60,IF(AND('25'!$I$61=Tulokset!$G$60,'25'!$K$61=Tulokset!$I$60),6,3),MAX(0,6-(ABS('25'!$I$61-Tulokset!$G$60)+ABS('25'!$K$61-Tulokset!$I$60))))))</f>
        <v/>
      </c>
      <c r="BK28" t="str">
        <f>IF(OR(Tulokset!$G$61="",Tulokset!$I$61="",'25'!$I$62="",'25'!$K$62=""),"",IF(SIGN('25'!$I$62-'25'!$K$62)&lt;&gt;SIGN(Tulokset!$G$61-Tulokset!$I$61),0,IF(Tulokset!$G$61=Tulokset!$I$61,IF(AND('25'!$I$62=Tulokset!$G$61,'25'!$K$62=Tulokset!$I$61),6,3),MAX(0,6-(ABS('25'!$I$62-Tulokset!$G$61)+ABS('25'!$K$62-Tulokset!$I$61))))))</f>
        <v/>
      </c>
      <c r="BL28" t="str">
        <f>IF(OR(Tulokset!$G$62="",Tulokset!$I$62="",'25'!$I$63="",'25'!$K$63=""),"",IF(SIGN('25'!$I$63-'25'!$K$63)&lt;&gt;SIGN(Tulokset!$G$62-Tulokset!$I$62),0,IF(Tulokset!$G$62=Tulokset!$I$62,IF(AND('25'!$I$63=Tulokset!$G$62,'25'!$K$63=Tulokset!$I$62),6,3),MAX(0,6-(ABS('25'!$I$63-Tulokset!$G$62)+ABS('25'!$K$63-Tulokset!$I$62))))))</f>
        <v/>
      </c>
      <c r="BM28" t="str">
        <f>IF(OR(Tulokset!$G$63="",Tulokset!$I$63="",'25'!$I$64="",'25'!$K$64=""),"",IF(SIGN('25'!$I$64-'25'!$K$64)&lt;&gt;SIGN(Tulokset!$G$63-Tulokset!$I$63),0,IF(Tulokset!$G$63=Tulokset!$I$63,IF(AND('25'!$I$64=Tulokset!$G$63,'25'!$K$64=Tulokset!$I$63),6,3),MAX(0,6-(ABS('25'!$I$64-Tulokset!$G$63)+ABS('25'!$K$64-Tulokset!$I$63))))))</f>
        <v/>
      </c>
      <c r="BN28" t="str">
        <f>IF(OR(Tulokset!$G$64="",Tulokset!$I$64="",'25'!$I$65="",'25'!$K$65=""),"",IF(SIGN('25'!$I$65-'25'!$K$65)&lt;&gt;SIGN(Tulokset!$G$64-Tulokset!$I$64),0,IF(Tulokset!$G$64=Tulokset!$I$64,IF(AND('25'!$I$65=Tulokset!$G$64,'25'!$K$65=Tulokset!$I$64),6,3),MAX(0,6-(ABS('25'!$I$65-Tulokset!$G$64)+ABS('25'!$K$65-Tulokset!$I$64))))))</f>
        <v/>
      </c>
      <c r="BO28" t="str">
        <f>IF(OR(Tulokset!$G$65="",Tulokset!$I$65="",'25'!$I$66="",'25'!$K$66=""),"",IF(SIGN('25'!$I$66-'25'!$K$66)&lt;&gt;SIGN(Tulokset!$G$65-Tulokset!$I$65),0,IF(Tulokset!$G$65=Tulokset!$I$65,IF(AND('25'!$I$66=Tulokset!$G$65,'25'!$K$66=Tulokset!$I$65),6,3),MAX(0,6-(ABS('25'!$I$66-Tulokset!$G$65)+ABS('25'!$K$66-Tulokset!$I$65))))))</f>
        <v/>
      </c>
      <c r="BP28" t="str">
        <f>IF(OR(Tulokset!$G$66="",Tulokset!$I$66="",'25'!$I$67="",'25'!$K$67=""),"",IF(SIGN('25'!$I$67-'25'!$K$67)&lt;&gt;SIGN(Tulokset!$G$66-Tulokset!$I$66),0,IF(Tulokset!$G$66=Tulokset!$I$66,IF(AND('25'!$I$67=Tulokset!$G$66,'25'!$K$67=Tulokset!$I$66),6,3),MAX(0,6-(ABS('25'!$I$67-Tulokset!$G$66)+ABS('25'!$K$67-Tulokset!$I$66))))))</f>
        <v/>
      </c>
      <c r="BQ28" t="str">
        <f>IF(OR(Tulokset!$G$67="",Tulokset!$I$67="",'25'!$I$68="",'25'!$K$68=""),"",IF(SIGN('25'!$I$68-'25'!$K$68)&lt;&gt;SIGN(Tulokset!$G$67-Tulokset!$I$67),0,IF(Tulokset!$G$67=Tulokset!$I$67,IF(AND('25'!$I$68=Tulokset!$G$67,'25'!$K$68=Tulokset!$I$67),6,3),MAX(0,6-(ABS('25'!$I$68-Tulokset!$G$67)+ABS('25'!$K$68-Tulokset!$I$67))))))</f>
        <v/>
      </c>
      <c r="BR28" t="str">
        <f>IF(OR(Tulokset!$G$68="",Tulokset!$I$68="",'25'!$I$69="",'25'!$K$69=""),"",IF(SIGN('25'!$I$69-'25'!$K$69)&lt;&gt;SIGN(Tulokset!$G$68-Tulokset!$I$68),0,IF(Tulokset!$G$68=Tulokset!$I$68,IF(AND('25'!$I$69=Tulokset!$G$68,'25'!$K$69=Tulokset!$I$68),6,3),MAX(0,6-(ABS('25'!$I$69-Tulokset!$G$68)+ABS('25'!$K$69-Tulokset!$I$68))))))</f>
        <v/>
      </c>
      <c r="BS28" t="str">
        <f>IF(OR(Tulokset!$G$69="",Tulokset!$I$69="",'25'!$I$70="",'25'!$K$70=""),"",IF(SIGN('25'!$I$70-'25'!$K$70)&lt;&gt;SIGN(Tulokset!$G$69-Tulokset!$I$69),0,IF(Tulokset!$G$69=Tulokset!$I$69,IF(AND('25'!$I$70=Tulokset!$G$69,'25'!$K$70=Tulokset!$I$69),6,3),MAX(0,6-(ABS('25'!$I$70-Tulokset!$G$69)+ABS('25'!$K$70-Tulokset!$I$69))))))</f>
        <v/>
      </c>
      <c r="BT28" t="str">
        <f>IF(OR(Tulokset!$G$70="",Tulokset!$I$70="",'25'!$I$71="",'25'!$K$71=""),"",IF(SIGN('25'!$I$71-'25'!$K$71)&lt;&gt;SIGN(Tulokset!$G$70-Tulokset!$I$70),0,IF(Tulokset!$G$70=Tulokset!$I$70,IF(AND('25'!$I$71=Tulokset!$G$70,'25'!$K$71=Tulokset!$I$70),6,3),MAX(0,6-(ABS('25'!$I$71-Tulokset!$G$70)+ABS('25'!$K$71-Tulokset!$I$70))))))</f>
        <v/>
      </c>
      <c r="BU28" t="str">
        <f>IF(OR(Tulokset!$G$71="",Tulokset!$I$71="",'25'!$I$72="",'25'!$K$72=""),"",IF(SIGN('25'!$I$72-'25'!$K$72)&lt;&gt;SIGN(Tulokset!$G$71-Tulokset!$I$71),0,IF(Tulokset!$G$71=Tulokset!$I$71,IF(AND('25'!$I$72=Tulokset!$G$71,'25'!$K$72=Tulokset!$I$71),6,3),MAX(0,6-(ABS('25'!$I$72-Tulokset!$G$71)+ABS('25'!$K$72-Tulokset!$I$71))))))</f>
        <v/>
      </c>
      <c r="BV28" t="str">
        <f>IF(OR(Tulokset!$G$72="",Tulokset!$I$72="",'25'!$I$73="",'25'!$K$73=""),"",IF(SIGN('25'!$I$73-'25'!$K$73)&lt;&gt;SIGN(Tulokset!$G$72-Tulokset!$I$72),0,IF(Tulokset!$G$72=Tulokset!$I$72,IF(AND('25'!$I$73=Tulokset!$G$72,'25'!$K$73=Tulokset!$I$72),6,3),MAX(0,6-(ABS('25'!$I$73-Tulokset!$G$72)+ABS('25'!$K$73-Tulokset!$I$72))))))</f>
        <v/>
      </c>
      <c r="BW28" t="str">
        <f>IF(OR(Tulokset!$G$73="",Tulokset!$I$73="",'25'!$I$74="",'25'!$K$74=""),"",IF(SIGN('25'!$I$74-'25'!$K$74)&lt;&gt;SIGN(Tulokset!$G$73-Tulokset!$I$73),0,IF(Tulokset!$G$73=Tulokset!$I$73,IF(AND('25'!$I$74=Tulokset!$G$73,'25'!$K$74=Tulokset!$I$73),6,3),MAX(0,6-(ABS('25'!$I$74-Tulokset!$G$73)+ABS('25'!$K$74-Tulokset!$I$73))))))</f>
        <v/>
      </c>
      <c r="BX28" t="str">
        <f>IF(OR(Tulokset!$G$74="",Tulokset!$I$74="",'25'!$I$75="",'25'!$K$75=""),"",IF(SIGN('25'!$I$75-'25'!$K$75)&lt;&gt;SIGN(Tulokset!$G$74-Tulokset!$I$74),0,IF(Tulokset!$G$74=Tulokset!$I$74,IF(AND('25'!$I$75=Tulokset!$G$74,'25'!$K$75=Tulokset!$I$74),6,3),MAX(0,6-(ABS('25'!$I$75-Tulokset!$G$74)+ABS('25'!$K$75-Tulokset!$I$74))))))</f>
        <v/>
      </c>
      <c r="BY28" t="str">
        <f>IF(OR(Tulokset!$G$75="",Tulokset!$I$75="",'25'!$I$76="",'25'!$K$76=""),"",IF(SIGN('25'!$I$76-'25'!$K$76)&lt;&gt;SIGN(Tulokset!$G$75-Tulokset!$I$75),0,IF(Tulokset!$G$75=Tulokset!$I$75,IF(AND('25'!$I$76=Tulokset!$G$75,'25'!$K$76=Tulokset!$I$75),6,3),MAX(0,6-(ABS('25'!$I$76-Tulokset!$G$75)+ABS('25'!$K$76-Tulokset!$I$75))))))</f>
        <v/>
      </c>
      <c r="BZ28" t="str">
        <f>IF(OR(Tulokset!$G$76="",Tulokset!$I$76="",'25'!$I$77="",'25'!$K$77=""),"",IF(SIGN('25'!$I$77-'25'!$K$77)&lt;&gt;SIGN(Tulokset!$G$76-Tulokset!$I$76),0,IF(Tulokset!$G$76=Tulokset!$I$76,IF(AND('25'!$I$77=Tulokset!$G$76,'25'!$K$77=Tulokset!$I$76),6,3),MAX(0,6-(ABS('25'!$I$77-Tulokset!$G$76)+ABS('25'!$K$77-Tulokset!$I$76))))))</f>
        <v/>
      </c>
      <c r="CA28" t="str">
        <f>IF(OR(Tulokset!$G$77="",Tulokset!$I$77="",'25'!$I$78="",'25'!$K$78=""),"",IF(SIGN('25'!$I$78-'25'!$K$78)&lt;&gt;SIGN(Tulokset!$G$77-Tulokset!$I$77),0,IF(Tulokset!$G$77=Tulokset!$I$77,IF(AND('25'!$I$78=Tulokset!$G$77,'25'!$K$78=Tulokset!$I$77),6,3),MAX(0,6-(ABS('25'!$I$78-Tulokset!$G$77)+ABS('25'!$K$78-Tulokset!$I$77))))))</f>
        <v/>
      </c>
      <c r="CD28" t="str">
        <f ca="1">IF(OR(Tulokset!$M$6="",INDIRECT("'"&amp;$A28&amp;"'!$P$8")=""),"",IF(TRIM(INDIRECT("'"&amp;$A28&amp;"'!$P$8"))=TRIM(Tulokset!$M$6),2,0))</f>
        <v/>
      </c>
      <c r="CE28" t="str">
        <f ca="1">IF(OR(Tulokset!$M$7="",INDIRECT("'"&amp;$A28&amp;"'!$P$9")=""),"",IF(TRIM(INDIRECT("'"&amp;$A28&amp;"'!$P$9"))=TRIM(Tulokset!$M$7),2,0))</f>
        <v/>
      </c>
      <c r="CF28" t="str">
        <f ca="1">IF(OR(Tulokset!$M$8="",INDIRECT("'"&amp;$A28&amp;"'!$P$10")=""),"",IF(TRIM(INDIRECT("'"&amp;$A28&amp;"'!$P$10"))=TRIM(Tulokset!$M$8),2,0))</f>
        <v/>
      </c>
      <c r="CG28" t="str">
        <f ca="1">IF(OR(Tulokset!$M$9="",INDIRECT("'"&amp;$A28&amp;"'!$P$11")=""),"",IF(TRIM(INDIRECT("'"&amp;$A28&amp;"'!$P$11"))=TRIM(Tulokset!$M$9),2,0))</f>
        <v/>
      </c>
      <c r="CH28" t="str">
        <f ca="1">IF(OR(Tulokset!$N$6="",INDIRECT("'"&amp;$A28&amp;"'!$Q$8")=""),"",IF(TRIM(INDIRECT("'"&amp;$A28&amp;"'!$Q$8"))=TRIM(Tulokset!$N$6),2,0))</f>
        <v/>
      </c>
      <c r="CI28" t="str">
        <f ca="1">IF(OR(Tulokset!$N$7="",INDIRECT("'"&amp;$A28&amp;"'!$Q$9")=""),"",IF(TRIM(INDIRECT("'"&amp;$A28&amp;"'!$Q$9"))=TRIM(Tulokset!$N$7),2,0))</f>
        <v/>
      </c>
      <c r="CJ28" t="str">
        <f ca="1">IF(OR(Tulokset!$N$8="",INDIRECT("'"&amp;$A28&amp;"'!$Q$10")=""),"",IF(TRIM(INDIRECT("'"&amp;$A28&amp;"'!$Q$10"))=TRIM(Tulokset!$N$8),2,0))</f>
        <v/>
      </c>
      <c r="CK28" t="str">
        <f ca="1">IF(OR(Tulokset!$N$9="",INDIRECT("'"&amp;$A28&amp;"'!$Q$11")=""),"",IF(TRIM(INDIRECT("'"&amp;$A28&amp;"'!$Q$11"))=TRIM(Tulokset!$N$9),2,0))</f>
        <v/>
      </c>
      <c r="CL28" t="str">
        <f ca="1">IF(OR(Tulokset!$O$6="",INDIRECT("'"&amp;$A28&amp;"'!$R$8")=""),"",IF(TRIM(INDIRECT("'"&amp;$A28&amp;"'!$R$8"))=TRIM(Tulokset!$O$6),2,0))</f>
        <v/>
      </c>
      <c r="CM28" t="str">
        <f ca="1">IF(OR(Tulokset!$O$7="",INDIRECT("'"&amp;$A28&amp;"'!$R$9")=""),"",IF(TRIM(INDIRECT("'"&amp;$A28&amp;"'!$R$9"))=TRIM(Tulokset!$O$7),2,0))</f>
        <v/>
      </c>
      <c r="CN28" t="str">
        <f ca="1">IF(OR(Tulokset!$O$8="",INDIRECT("'"&amp;$A28&amp;"'!$R$10")=""),"",IF(TRIM(INDIRECT("'"&amp;$A28&amp;"'!$R$10"))=TRIM(Tulokset!$O$8),2,0))</f>
        <v/>
      </c>
      <c r="CO28" t="str">
        <f ca="1">IF(OR(Tulokset!$O$9="",INDIRECT("'"&amp;$A28&amp;"'!$R$11")=""),"",IF(TRIM(INDIRECT("'"&amp;$A28&amp;"'!$R$11"))=TRIM(Tulokset!$O$9),2,0))</f>
        <v/>
      </c>
      <c r="CP28" t="str">
        <f ca="1">IF(OR(Tulokset!$P$6="",INDIRECT("'"&amp;$A28&amp;"'!$S$8")=""),"",IF(TRIM(INDIRECT("'"&amp;$A28&amp;"'!$S$8"))=TRIM(Tulokset!$P$6),2,0))</f>
        <v/>
      </c>
      <c r="CQ28" t="str">
        <f ca="1">IF(OR(Tulokset!$P$7="",INDIRECT("'"&amp;$A28&amp;"'!$S$9")=""),"",IF(TRIM(INDIRECT("'"&amp;$A28&amp;"'!$S$9"))=TRIM(Tulokset!$P$7),2,0))</f>
        <v/>
      </c>
      <c r="CR28" t="str">
        <f ca="1">IF(OR(Tulokset!$P$8="",INDIRECT("'"&amp;$A28&amp;"'!$S$10")=""),"",IF(TRIM(INDIRECT("'"&amp;$A28&amp;"'!$S$10"))=TRIM(Tulokset!$P$8),2,0))</f>
        <v/>
      </c>
      <c r="CS28" t="str">
        <f ca="1">IF(OR(Tulokset!$P$9="",INDIRECT("'"&amp;$A28&amp;"'!$S$11")=""),"",IF(TRIM(INDIRECT("'"&amp;$A28&amp;"'!$S$11"))=TRIM(Tulokset!$P$9),2,0))</f>
        <v/>
      </c>
      <c r="CT28" t="str">
        <f ca="1">IF(OR(Tulokset!$Q$6="",INDIRECT("'"&amp;$A28&amp;"'!$T$8")=""),"",IF(TRIM(INDIRECT("'"&amp;$A28&amp;"'!$T$8"))=TRIM(Tulokset!$Q$6),2,0))</f>
        <v/>
      </c>
      <c r="CU28" t="str">
        <f ca="1">IF(OR(Tulokset!$Q$7="",INDIRECT("'"&amp;$A28&amp;"'!$T$9")=""),"",IF(TRIM(INDIRECT("'"&amp;$A28&amp;"'!$T$9"))=TRIM(Tulokset!$Q$7),2,0))</f>
        <v/>
      </c>
      <c r="CV28" t="str">
        <f ca="1">IF(OR(Tulokset!$Q$8="",INDIRECT("'"&amp;$A28&amp;"'!$T$10")=""),"",IF(TRIM(INDIRECT("'"&amp;$A28&amp;"'!$T$10"))=TRIM(Tulokset!$Q$8),2,0))</f>
        <v/>
      </c>
      <c r="CW28" t="str">
        <f ca="1">IF(OR(Tulokset!$Q$9="",INDIRECT("'"&amp;$A28&amp;"'!$T$11")=""),"",IF(TRIM(INDIRECT("'"&amp;$A28&amp;"'!$T$11"))=TRIM(Tulokset!$Q$9),2,0))</f>
        <v/>
      </c>
      <c r="CX28" t="str">
        <f ca="1">IF(OR(Tulokset!$R$6="",INDIRECT("'"&amp;$A28&amp;"'!$U$8")=""),"",IF(TRIM(INDIRECT("'"&amp;$A28&amp;"'!$U$8"))=TRIM(Tulokset!$R$6),2,0))</f>
        <v/>
      </c>
      <c r="CY28" t="str">
        <f ca="1">IF(OR(Tulokset!$R$7="",INDIRECT("'"&amp;$A28&amp;"'!$U$9")=""),"",IF(TRIM(INDIRECT("'"&amp;$A28&amp;"'!$U$9"))=TRIM(Tulokset!$R$7),2,0))</f>
        <v/>
      </c>
      <c r="CZ28" t="str">
        <f ca="1">IF(OR(Tulokset!$R$8="",INDIRECT("'"&amp;$A28&amp;"'!$U$10")=""),"",IF(TRIM(INDIRECT("'"&amp;$A28&amp;"'!$U$10"))=TRIM(Tulokset!$R$8),2,0))</f>
        <v/>
      </c>
      <c r="DA28" t="str">
        <f ca="1">IF(OR(Tulokset!$R$9="",INDIRECT("'"&amp;$A28&amp;"'!$U$11")=""),"",IF(TRIM(INDIRECT("'"&amp;$A28&amp;"'!$U$11"))=TRIM(Tulokset!$R$9),2,0))</f>
        <v/>
      </c>
      <c r="DB28" t="str">
        <f ca="1">IF(OR(Tulokset!$M$12="",INDIRECT("'"&amp;$A28&amp;"'!$P$14")=""),"",IF(TRIM(INDIRECT("'"&amp;$A28&amp;"'!$P$14"))=TRIM(Tulokset!$M$12),2,0))</f>
        <v/>
      </c>
      <c r="DC28" t="str">
        <f ca="1">IF(OR(Tulokset!$M$13="",INDIRECT("'"&amp;$A28&amp;"'!$P$15")=""),"",IF(TRIM(INDIRECT("'"&amp;$A28&amp;"'!$P$15"))=TRIM(Tulokset!$M$13),2,0))</f>
        <v/>
      </c>
      <c r="DD28" t="str">
        <f ca="1">IF(OR(Tulokset!$M$14="",INDIRECT("'"&amp;$A28&amp;"'!$P$16")=""),"",IF(TRIM(INDIRECT("'"&amp;$A28&amp;"'!$P$16"))=TRIM(Tulokset!$M$14),2,0))</f>
        <v/>
      </c>
      <c r="DE28" t="str">
        <f ca="1">IF(OR(Tulokset!$M$15="",INDIRECT("'"&amp;$A28&amp;"'!$P$17")=""),"",IF(TRIM(INDIRECT("'"&amp;$A28&amp;"'!$P$17"))=TRIM(Tulokset!$M$15),2,0))</f>
        <v/>
      </c>
      <c r="DF28" t="str">
        <f ca="1">IF(OR(Tulokset!$N$12="",INDIRECT("'"&amp;$A28&amp;"'!$Q$14")=""),"",IF(TRIM(INDIRECT("'"&amp;$A28&amp;"'!$Q$14"))=TRIM(Tulokset!$N$12),2,0))</f>
        <v/>
      </c>
      <c r="DG28" t="str">
        <f ca="1">IF(OR(Tulokset!$N$13="",INDIRECT("'"&amp;$A28&amp;"'!$Q$15")=""),"",IF(TRIM(INDIRECT("'"&amp;$A28&amp;"'!$Q$15"))=TRIM(Tulokset!$N$13),2,0))</f>
        <v/>
      </c>
      <c r="DH28" t="str">
        <f ca="1">IF(OR(Tulokset!$N$14="",INDIRECT("'"&amp;$A28&amp;"'!$Q$16")=""),"",IF(TRIM(INDIRECT("'"&amp;$A28&amp;"'!$Q$16"))=TRIM(Tulokset!$N$14),2,0))</f>
        <v/>
      </c>
      <c r="DI28" t="str">
        <f ca="1">IF(OR(Tulokset!$N$15="",INDIRECT("'"&amp;$A28&amp;"'!$Q$17")=""),"",IF(TRIM(INDIRECT("'"&amp;$A28&amp;"'!$Q$17"))=TRIM(Tulokset!$N$15),2,0))</f>
        <v/>
      </c>
      <c r="DJ28" t="str">
        <f ca="1">IF(OR(Tulokset!$O$12="",INDIRECT("'"&amp;$A28&amp;"'!$R$14")=""),"",IF(TRIM(INDIRECT("'"&amp;$A28&amp;"'!$R$14"))=TRIM(Tulokset!$O$12),2,0))</f>
        <v/>
      </c>
      <c r="DK28" t="str">
        <f ca="1">IF(OR(Tulokset!$O$13="",INDIRECT("'"&amp;$A28&amp;"'!$R$15")=""),"",IF(TRIM(INDIRECT("'"&amp;$A28&amp;"'!$R$15"))=TRIM(Tulokset!$O$13),2,0))</f>
        <v/>
      </c>
      <c r="DL28" t="str">
        <f ca="1">IF(OR(Tulokset!$O$14="",INDIRECT("'"&amp;$A28&amp;"'!$R$16")=""),"",IF(TRIM(INDIRECT("'"&amp;$A28&amp;"'!$R$16"))=TRIM(Tulokset!$O$14),2,0))</f>
        <v/>
      </c>
      <c r="DM28" t="str">
        <f ca="1">IF(OR(Tulokset!$O$15="",INDIRECT("'"&amp;$A28&amp;"'!$R$17")=""),"",IF(TRIM(INDIRECT("'"&amp;$A28&amp;"'!$R$17"))=TRIM(Tulokset!$O$15),2,0))</f>
        <v/>
      </c>
      <c r="DN28" t="str">
        <f ca="1">IF(OR(Tulokset!$P$12="",INDIRECT("'"&amp;$A28&amp;"'!$S$14")=""),"",IF(TRIM(INDIRECT("'"&amp;$A28&amp;"'!$S$14"))=TRIM(Tulokset!$P$12),2,0))</f>
        <v/>
      </c>
      <c r="DO28" t="str">
        <f ca="1">IF(OR(Tulokset!$P$13="",INDIRECT("'"&amp;$A28&amp;"'!$S$15")=""),"",IF(TRIM(INDIRECT("'"&amp;$A28&amp;"'!$S$15"))=TRIM(Tulokset!$P$13),2,0))</f>
        <v/>
      </c>
      <c r="DP28" t="str">
        <f ca="1">IF(OR(Tulokset!$P$14="",INDIRECT("'"&amp;$A28&amp;"'!$S$16")=""),"",IF(TRIM(INDIRECT("'"&amp;$A28&amp;"'!$S$16"))=TRIM(Tulokset!$P$14),2,0))</f>
        <v/>
      </c>
      <c r="DQ28" t="str">
        <f ca="1">IF(OR(Tulokset!$P$15="",INDIRECT("'"&amp;$A28&amp;"'!$S$17")=""),"",IF(TRIM(INDIRECT("'"&amp;$A28&amp;"'!$S$17"))=TRIM(Tulokset!$P$15),2,0))</f>
        <v/>
      </c>
      <c r="DR28" t="str">
        <f ca="1">IF(OR(Tulokset!$Q$12="",INDIRECT("'"&amp;$A28&amp;"'!$T$14")=""),"",IF(TRIM(INDIRECT("'"&amp;$A28&amp;"'!$T$14"))=TRIM(Tulokset!$Q$12),2,0))</f>
        <v/>
      </c>
      <c r="DS28" t="str">
        <f ca="1">IF(OR(Tulokset!$Q$13="",INDIRECT("'"&amp;$A28&amp;"'!$T$15")=""),"",IF(TRIM(INDIRECT("'"&amp;$A28&amp;"'!$T$15"))=TRIM(Tulokset!$Q$13),2,0))</f>
        <v/>
      </c>
      <c r="DT28" t="str">
        <f ca="1">IF(OR(Tulokset!$Q$14="",INDIRECT("'"&amp;$A28&amp;"'!$T$16")=""),"",IF(TRIM(INDIRECT("'"&amp;$A28&amp;"'!$T$16"))=TRIM(Tulokset!$Q$14),2,0))</f>
        <v/>
      </c>
      <c r="DU28" t="str">
        <f ca="1">IF(OR(Tulokset!$Q$15="",INDIRECT("'"&amp;$A28&amp;"'!$T$17")=""),"",IF(TRIM(INDIRECT("'"&amp;$A28&amp;"'!$T$17"))=TRIM(Tulokset!$Q$15),2,0))</f>
        <v/>
      </c>
      <c r="DV28" t="str">
        <f ca="1">IF(OR(Tulokset!$R$12="",INDIRECT("'"&amp;$A28&amp;"'!$U$14")=""),"",IF(TRIM(INDIRECT("'"&amp;$A28&amp;"'!$U$14"))=TRIM(Tulokset!$R$12),2,0))</f>
        <v/>
      </c>
      <c r="DW28" t="str">
        <f ca="1">IF(OR(Tulokset!$R$13="",INDIRECT("'"&amp;$A28&amp;"'!$U$15")=""),"",IF(TRIM(INDIRECT("'"&amp;$A28&amp;"'!$U$15"))=TRIM(Tulokset!$R$13),2,0))</f>
        <v/>
      </c>
      <c r="DX28" t="str">
        <f ca="1">IF(OR(Tulokset!$R$14="",INDIRECT("'"&amp;$A28&amp;"'!$U$16")=""),"",IF(TRIM(INDIRECT("'"&amp;$A28&amp;"'!$U$16"))=TRIM(Tulokset!$R$14),2,0))</f>
        <v/>
      </c>
      <c r="DY28" t="str">
        <f ca="1">IF(OR(Tulokset!$R$15="",INDIRECT("'"&amp;$A28&amp;"'!$U$17")=""),"",IF(TRIM(INDIRECT("'"&amp;$A28&amp;"'!$U$17"))=TRIM(Tulokset!$R$15),2,0))</f>
        <v/>
      </c>
      <c r="EA28" t="str">
        <f ca="1">IF(OR(INDIRECT("'"&amp;$A28&amp;"'!$E$79")="",COUNTA(Tulokset!$M$20:$M$21)=0),"",IF(COUNTIF(Tulokset!$M$20:$M$21,INDIRECT("'"&amp;$A28&amp;"'!$E$79"))&gt;0,2,0))</f>
        <v/>
      </c>
      <c r="EB28" t="str">
        <f ca="1">IF(OR(INDIRECT("'"&amp;$A28&amp;"'!$G$79")="",COUNTA(Tulokset!$M$20:$M$21)=0),"",IF(COUNTIF(Tulokset!$M$20:$M$21,INDIRECT("'"&amp;$A28&amp;"'!$G$79"))&gt;0,2,0))</f>
        <v/>
      </c>
      <c r="EC28" t="str">
        <f ca="1">IF(OR(INDIRECT("'"&amp;$A28&amp;"'!$E$80")="",COUNTA(Tulokset!$M$23:$M$24)=0),"",IF(COUNTIF(Tulokset!$M$23:$M$24,INDIRECT("'"&amp;$A28&amp;"'!$E$80"))&gt;0,2,0))</f>
        <v/>
      </c>
      <c r="ED28" t="str">
        <f ca="1">IF(OR(INDIRECT("'"&amp;$A28&amp;"'!$G$80")="",COUNTA(Tulokset!$M$23:$M$24)=0),"",IF(COUNTIF(Tulokset!$M$23:$M$24,INDIRECT("'"&amp;$A28&amp;"'!$G$80"))&gt;0,2,0))</f>
        <v/>
      </c>
    </row>
    <row r="29" spans="1:134">
      <c r="A29" t="s">
        <v>321</v>
      </c>
      <c r="B29" t="str">
        <f t="shared" ca="1" si="0"/>
        <v>Drent</v>
      </c>
      <c r="C29" s="95">
        <f t="shared" si="1"/>
        <v>0</v>
      </c>
      <c r="D29" s="95">
        <f t="shared" ca="1" si="2"/>
        <v>0</v>
      </c>
      <c r="E29" s="95">
        <f t="shared" ca="1" si="3"/>
        <v>0</v>
      </c>
      <c r="F29" s="95">
        <f t="shared" ca="1" si="4"/>
        <v>0</v>
      </c>
      <c r="G29" s="95">
        <f t="shared" si="5"/>
        <v>0</v>
      </c>
      <c r="H29" t="str">
        <f>IF(OR(Tulokset!$G$6="",Tulokset!$I$6="",'26'!$I$7="",'26'!$K$7=""),"",IF(SIGN('26'!$I$7-'26'!$K$7)&lt;&gt;SIGN(Tulokset!$G$6-Tulokset!$I$6),0,IF(Tulokset!$G$6=Tulokset!$I$6,IF(AND('26'!$I$7=Tulokset!$G$6,'26'!$K$7=Tulokset!$I$6),6,3),MAX(0,6-(ABS('26'!$I$7-Tulokset!$G$6)+ABS('26'!$K$7-Tulokset!$I$6))))))</f>
        <v/>
      </c>
      <c r="I29" t="str">
        <f>IF(OR(Tulokset!$G$7="",Tulokset!$I$7="",'26'!$I$8="",'26'!$K$8=""),"",IF(SIGN('26'!$I$8-'26'!$K$8)&lt;&gt;SIGN(Tulokset!$G$7-Tulokset!$I$7),0,IF(Tulokset!$G$7=Tulokset!$I$7,IF(AND('26'!$I$8=Tulokset!$G$7,'26'!$K$8=Tulokset!$I$7),6,3),MAX(0,6-(ABS('26'!$I$8-Tulokset!$G$7)+ABS('26'!$K$8-Tulokset!$I$7))))))</f>
        <v/>
      </c>
      <c r="J29" t="str">
        <f>IF(OR(Tulokset!$G$8="",Tulokset!$I$8="",'26'!$I$9="",'26'!$K$9=""),"",IF(SIGN('26'!$I$9-'26'!$K$9)&lt;&gt;SIGN(Tulokset!$G$8-Tulokset!$I$8),0,IF(Tulokset!$G$8=Tulokset!$I$8,IF(AND('26'!$I$9=Tulokset!$G$8,'26'!$K$9=Tulokset!$I$8),6,3),MAX(0,6-(ABS('26'!$I$9-Tulokset!$G$8)+ABS('26'!$K$9-Tulokset!$I$8))))))</f>
        <v/>
      </c>
      <c r="K29" t="str">
        <f>IF(OR(Tulokset!$G$9="",Tulokset!$I$9="",'26'!$I$10="",'26'!$K$10=""),"",IF(SIGN('26'!$I$10-'26'!$K$10)&lt;&gt;SIGN(Tulokset!$G$9-Tulokset!$I$9),0,IF(Tulokset!$G$9=Tulokset!$I$9,IF(AND('26'!$I$10=Tulokset!$G$9,'26'!$K$10=Tulokset!$I$9),6,3),MAX(0,6-(ABS('26'!$I$10-Tulokset!$G$9)+ABS('26'!$K$10-Tulokset!$I$9))))))</f>
        <v/>
      </c>
      <c r="L29" t="str">
        <f>IF(OR(Tulokset!$G$10="",Tulokset!$I$10="",'26'!$I$11="",'26'!$K$11=""),"",IF(SIGN('26'!$I$11-'26'!$K$11)&lt;&gt;SIGN(Tulokset!$G$10-Tulokset!$I$10),0,IF(Tulokset!$G$10=Tulokset!$I$10,IF(AND('26'!$I$11=Tulokset!$G$10,'26'!$K$11=Tulokset!$I$10),6,3),MAX(0,6-(ABS('26'!$I$11-Tulokset!$G$10)+ABS('26'!$K$11-Tulokset!$I$10))))))</f>
        <v/>
      </c>
      <c r="M29" t="str">
        <f>IF(OR(Tulokset!$G$11="",Tulokset!$I$11="",'26'!$I$12="",'26'!$K$12=""),"",IF(SIGN('26'!$I$12-'26'!$K$12)&lt;&gt;SIGN(Tulokset!$G$11-Tulokset!$I$11),0,IF(Tulokset!$G$11=Tulokset!$I$11,IF(AND('26'!$I$12=Tulokset!$G$11,'26'!$K$12=Tulokset!$I$11),6,3),MAX(0,6-(ABS('26'!$I$12-Tulokset!$G$11)+ABS('26'!$K$12-Tulokset!$I$11))))))</f>
        <v/>
      </c>
      <c r="N29" t="str">
        <f>IF(OR(Tulokset!$G$12="",Tulokset!$I$12="",'26'!$I$13="",'26'!$K$13=""),"",IF(SIGN('26'!$I$13-'26'!$K$13)&lt;&gt;SIGN(Tulokset!$G$12-Tulokset!$I$12),0,IF(Tulokset!$G$12=Tulokset!$I$12,IF(AND('26'!$I$13=Tulokset!$G$12,'26'!$K$13=Tulokset!$I$12),6,3),MAX(0,6-(ABS('26'!$I$13-Tulokset!$G$12)+ABS('26'!$K$13-Tulokset!$I$12))))))</f>
        <v/>
      </c>
      <c r="O29" t="str">
        <f>IF(OR(Tulokset!$G$13="",Tulokset!$I$13="",'26'!$I$14="",'26'!$K$14=""),"",IF(SIGN('26'!$I$14-'26'!$K$14)&lt;&gt;SIGN(Tulokset!$G$13-Tulokset!$I$13),0,IF(Tulokset!$G$13=Tulokset!$I$13,IF(AND('26'!$I$14=Tulokset!$G$13,'26'!$K$14=Tulokset!$I$13),6,3),MAX(0,6-(ABS('26'!$I$14-Tulokset!$G$13)+ABS('26'!$K$14-Tulokset!$I$13))))))</f>
        <v/>
      </c>
      <c r="P29" t="str">
        <f>IF(OR(Tulokset!$G$14="",Tulokset!$I$14="",'26'!$I$15="",'26'!$K$15=""),"",IF(SIGN('26'!$I$15-'26'!$K$15)&lt;&gt;SIGN(Tulokset!$G$14-Tulokset!$I$14),0,IF(Tulokset!$G$14=Tulokset!$I$14,IF(AND('26'!$I$15=Tulokset!$G$14,'26'!$K$15=Tulokset!$I$14),6,3),MAX(0,6-(ABS('26'!$I$15-Tulokset!$G$14)+ABS('26'!$K$15-Tulokset!$I$14))))))</f>
        <v/>
      </c>
      <c r="Q29" t="str">
        <f>IF(OR(Tulokset!$G$15="",Tulokset!$I$15="",'26'!$I$16="",'26'!$K$16=""),"",IF(SIGN('26'!$I$16-'26'!$K$16)&lt;&gt;SIGN(Tulokset!$G$15-Tulokset!$I$15),0,IF(Tulokset!$G$15=Tulokset!$I$15,IF(AND('26'!$I$16=Tulokset!$G$15,'26'!$K$16=Tulokset!$I$15),6,3),MAX(0,6-(ABS('26'!$I$16-Tulokset!$G$15)+ABS('26'!$K$16-Tulokset!$I$15))))))</f>
        <v/>
      </c>
      <c r="R29" t="str">
        <f>IF(OR(Tulokset!$G$16="",Tulokset!$I$16="",'26'!$I$17="",'26'!$K$17=""),"",IF(SIGN('26'!$I$17-'26'!$K$17)&lt;&gt;SIGN(Tulokset!$G$16-Tulokset!$I$16),0,IF(Tulokset!$G$16=Tulokset!$I$16,IF(AND('26'!$I$17=Tulokset!$G$16,'26'!$K$17=Tulokset!$I$16),6,3),MAX(0,6-(ABS('26'!$I$17-Tulokset!$G$16)+ABS('26'!$K$17-Tulokset!$I$16))))))</f>
        <v/>
      </c>
      <c r="S29" t="str">
        <f>IF(OR(Tulokset!$G$17="",Tulokset!$I$17="",'26'!$I$18="",'26'!$K$18=""),"",IF(SIGN('26'!$I$18-'26'!$K$18)&lt;&gt;SIGN(Tulokset!$G$17-Tulokset!$I$17),0,IF(Tulokset!$G$17=Tulokset!$I$17,IF(AND('26'!$I$18=Tulokset!$G$17,'26'!$K$18=Tulokset!$I$17),6,3),MAX(0,6-(ABS('26'!$I$18-Tulokset!$G$17)+ABS('26'!$K$18-Tulokset!$I$17))))))</f>
        <v/>
      </c>
      <c r="T29" t="str">
        <f>IF(OR(Tulokset!$G$18="",Tulokset!$I$18="",'26'!$I$19="",'26'!$K$19=""),"",IF(SIGN('26'!$I$19-'26'!$K$19)&lt;&gt;SIGN(Tulokset!$G$18-Tulokset!$I$18),0,IF(Tulokset!$G$18=Tulokset!$I$18,IF(AND('26'!$I$19=Tulokset!$G$18,'26'!$K$19=Tulokset!$I$18),6,3),MAX(0,6-(ABS('26'!$I$19-Tulokset!$G$18)+ABS('26'!$K$19-Tulokset!$I$18))))))</f>
        <v/>
      </c>
      <c r="U29" t="str">
        <f>IF(OR(Tulokset!$G$19="",Tulokset!$I$19="",'26'!$I$20="",'26'!$K$20=""),"",IF(SIGN('26'!$I$20-'26'!$K$20)&lt;&gt;SIGN(Tulokset!$G$19-Tulokset!$I$19),0,IF(Tulokset!$G$19=Tulokset!$I$19,IF(AND('26'!$I$20=Tulokset!$G$19,'26'!$K$20=Tulokset!$I$19),6,3),MAX(0,6-(ABS('26'!$I$20-Tulokset!$G$19)+ABS('26'!$K$20-Tulokset!$I$19))))))</f>
        <v/>
      </c>
      <c r="V29" t="str">
        <f>IF(OR(Tulokset!$G$20="",Tulokset!$I$20="",'26'!$I$21="",'26'!$K$21=""),"",IF(SIGN('26'!$I$21-'26'!$K$21)&lt;&gt;SIGN(Tulokset!$G$20-Tulokset!$I$20),0,IF(Tulokset!$G$20=Tulokset!$I$20,IF(AND('26'!$I$21=Tulokset!$G$20,'26'!$K$21=Tulokset!$I$20),6,3),MAX(0,6-(ABS('26'!$I$21-Tulokset!$G$20)+ABS('26'!$K$21-Tulokset!$I$20))))))</f>
        <v/>
      </c>
      <c r="W29" t="str">
        <f>IF(OR(Tulokset!$G$21="",Tulokset!$I$21="",'26'!$I$22="",'26'!$K$22=""),"",IF(SIGN('26'!$I$22-'26'!$K$22)&lt;&gt;SIGN(Tulokset!$G$21-Tulokset!$I$21),0,IF(Tulokset!$G$21=Tulokset!$I$21,IF(AND('26'!$I$22=Tulokset!$G$21,'26'!$K$22=Tulokset!$I$21),6,3),MAX(0,6-(ABS('26'!$I$22-Tulokset!$G$21)+ABS('26'!$K$22-Tulokset!$I$21))))))</f>
        <v/>
      </c>
      <c r="X29" t="str">
        <f>IF(OR(Tulokset!$G$22="",Tulokset!$I$22="",'26'!$I$23="",'26'!$K$23=""),"",IF(SIGN('26'!$I$23-'26'!$K$23)&lt;&gt;SIGN(Tulokset!$G$22-Tulokset!$I$22),0,IF(Tulokset!$G$22=Tulokset!$I$22,IF(AND('26'!$I$23=Tulokset!$G$22,'26'!$K$23=Tulokset!$I$22),6,3),MAX(0,6-(ABS('26'!$I$23-Tulokset!$G$22)+ABS('26'!$K$23-Tulokset!$I$22))))))</f>
        <v/>
      </c>
      <c r="Y29" t="str">
        <f>IF(OR(Tulokset!$G$23="",Tulokset!$I$23="",'26'!$I$24="",'26'!$K$24=""),"",IF(SIGN('26'!$I$24-'26'!$K$24)&lt;&gt;SIGN(Tulokset!$G$23-Tulokset!$I$23),0,IF(Tulokset!$G$23=Tulokset!$I$23,IF(AND('26'!$I$24=Tulokset!$G$23,'26'!$K$24=Tulokset!$I$23),6,3),MAX(0,6-(ABS('26'!$I$24-Tulokset!$G$23)+ABS('26'!$K$24-Tulokset!$I$23))))))</f>
        <v/>
      </c>
      <c r="Z29" t="str">
        <f>IF(OR(Tulokset!$G$24="",Tulokset!$I$24="",'26'!$I$25="",'26'!$K$25=""),"",IF(SIGN('26'!$I$25-'26'!$K$25)&lt;&gt;SIGN(Tulokset!$G$24-Tulokset!$I$24),0,IF(Tulokset!$G$24=Tulokset!$I$24,IF(AND('26'!$I$25=Tulokset!$G$24,'26'!$K$25=Tulokset!$I$24),6,3),MAX(0,6-(ABS('26'!$I$25-Tulokset!$G$24)+ABS('26'!$K$25-Tulokset!$I$24))))))</f>
        <v/>
      </c>
      <c r="AA29" t="str">
        <f>IF(OR(Tulokset!$G$25="",Tulokset!$I$25="",'26'!$I$26="",'26'!$K$26=""),"",IF(SIGN('26'!$I$26-'26'!$K$26)&lt;&gt;SIGN(Tulokset!$G$25-Tulokset!$I$25),0,IF(Tulokset!$G$25=Tulokset!$I$25,IF(AND('26'!$I$26=Tulokset!$G$25,'26'!$K$26=Tulokset!$I$25),6,3),MAX(0,6-(ABS('26'!$I$26-Tulokset!$G$25)+ABS('26'!$K$26-Tulokset!$I$25))))))</f>
        <v/>
      </c>
      <c r="AB29" t="str">
        <f>IF(OR(Tulokset!$G$26="",Tulokset!$I$26="",'26'!$I$27="",'26'!$K$27=""),"",IF(SIGN('26'!$I$27-'26'!$K$27)&lt;&gt;SIGN(Tulokset!$G$26-Tulokset!$I$26),0,IF(Tulokset!$G$26=Tulokset!$I$26,IF(AND('26'!$I$27=Tulokset!$G$26,'26'!$K$27=Tulokset!$I$26),6,3),MAX(0,6-(ABS('26'!$I$27-Tulokset!$G$26)+ABS('26'!$K$27-Tulokset!$I$26))))))</f>
        <v/>
      </c>
      <c r="AC29" t="str">
        <f>IF(OR(Tulokset!$G$27="",Tulokset!$I$27="",'26'!$I$28="",'26'!$K$28=""),"",IF(SIGN('26'!$I$28-'26'!$K$28)&lt;&gt;SIGN(Tulokset!$G$27-Tulokset!$I$27),0,IF(Tulokset!$G$27=Tulokset!$I$27,IF(AND('26'!$I$28=Tulokset!$G$27,'26'!$K$28=Tulokset!$I$27),6,3),MAX(0,6-(ABS('26'!$I$28-Tulokset!$G$27)+ABS('26'!$K$28-Tulokset!$I$27))))))</f>
        <v/>
      </c>
      <c r="AD29" t="str">
        <f>IF(OR(Tulokset!$G$28="",Tulokset!$I$28="",'26'!$I$29="",'26'!$K$29=""),"",IF(SIGN('26'!$I$29-'26'!$K$29)&lt;&gt;SIGN(Tulokset!$G$28-Tulokset!$I$28),0,IF(Tulokset!$G$28=Tulokset!$I$28,IF(AND('26'!$I$29=Tulokset!$G$28,'26'!$K$29=Tulokset!$I$28),6,3),MAX(0,6-(ABS('26'!$I$29-Tulokset!$G$28)+ABS('26'!$K$29-Tulokset!$I$28))))))</f>
        <v/>
      </c>
      <c r="AE29" t="str">
        <f>IF(OR(Tulokset!$G$29="",Tulokset!$I$29="",'26'!$I$30="",'26'!$K$30=""),"",IF(SIGN('26'!$I$30-'26'!$K$30)&lt;&gt;SIGN(Tulokset!$G$29-Tulokset!$I$29),0,IF(Tulokset!$G$29=Tulokset!$I$29,IF(AND('26'!$I$30=Tulokset!$G$29,'26'!$K$30=Tulokset!$I$29),6,3),MAX(0,6-(ABS('26'!$I$30-Tulokset!$G$29)+ABS('26'!$K$30-Tulokset!$I$29))))))</f>
        <v/>
      </c>
      <c r="AF29" t="str">
        <f>IF(OR(Tulokset!$G$30="",Tulokset!$I$30="",'26'!$I$31="",'26'!$K$31=""),"",IF(SIGN('26'!$I$31-'26'!$K$31)&lt;&gt;SIGN(Tulokset!$G$30-Tulokset!$I$30),0,IF(Tulokset!$G$30=Tulokset!$I$30,IF(AND('26'!$I$31=Tulokset!$G$30,'26'!$K$31=Tulokset!$I$30),6,3),MAX(0,6-(ABS('26'!$I$31-Tulokset!$G$30)+ABS('26'!$K$31-Tulokset!$I$30))))))</f>
        <v/>
      </c>
      <c r="AG29" t="str">
        <f>IF(OR(Tulokset!$G$31="",Tulokset!$I$31="",'26'!$I$32="",'26'!$K$32=""),"",IF(SIGN('26'!$I$32-'26'!$K$32)&lt;&gt;SIGN(Tulokset!$G$31-Tulokset!$I$31),0,IF(Tulokset!$G$31=Tulokset!$I$31,IF(AND('26'!$I$32=Tulokset!$G$31,'26'!$K$32=Tulokset!$I$31),6,3),MAX(0,6-(ABS('26'!$I$32-Tulokset!$G$31)+ABS('26'!$K$32-Tulokset!$I$31))))))</f>
        <v/>
      </c>
      <c r="AH29" t="str">
        <f>IF(OR(Tulokset!$G$32="",Tulokset!$I$32="",'26'!$I$33="",'26'!$K$33=""),"",IF(SIGN('26'!$I$33-'26'!$K$33)&lt;&gt;SIGN(Tulokset!$G$32-Tulokset!$I$32),0,IF(Tulokset!$G$32=Tulokset!$I$32,IF(AND('26'!$I$33=Tulokset!$G$32,'26'!$K$33=Tulokset!$I$32),6,3),MAX(0,6-(ABS('26'!$I$33-Tulokset!$G$32)+ABS('26'!$K$33-Tulokset!$I$32))))))</f>
        <v/>
      </c>
      <c r="AI29" t="str">
        <f>IF(OR(Tulokset!$G$33="",Tulokset!$I$33="",'26'!$I$34="",'26'!$K$34=""),"",IF(SIGN('26'!$I$34-'26'!$K$34)&lt;&gt;SIGN(Tulokset!$G$33-Tulokset!$I$33),0,IF(Tulokset!$G$33=Tulokset!$I$33,IF(AND('26'!$I$34=Tulokset!$G$33,'26'!$K$34=Tulokset!$I$33),6,3),MAX(0,6-(ABS('26'!$I$34-Tulokset!$G$33)+ABS('26'!$K$34-Tulokset!$I$33))))))</f>
        <v/>
      </c>
      <c r="AJ29" t="str">
        <f>IF(OR(Tulokset!$G$34="",Tulokset!$I$34="",'26'!$I$35="",'26'!$K$35=""),"",IF(SIGN('26'!$I$35-'26'!$K$35)&lt;&gt;SIGN(Tulokset!$G$34-Tulokset!$I$34),0,IF(Tulokset!$G$34=Tulokset!$I$34,IF(AND('26'!$I$35=Tulokset!$G$34,'26'!$K$35=Tulokset!$I$34),6,3),MAX(0,6-(ABS('26'!$I$35-Tulokset!$G$34)+ABS('26'!$K$35-Tulokset!$I$34))))))</f>
        <v/>
      </c>
      <c r="AK29" t="str">
        <f>IF(OR(Tulokset!$G$35="",Tulokset!$I$35="",'26'!$I$36="",'26'!$K$36=""),"",IF(SIGN('26'!$I$36-'26'!$K$36)&lt;&gt;SIGN(Tulokset!$G$35-Tulokset!$I$35),0,IF(Tulokset!$G$35=Tulokset!$I$35,IF(AND('26'!$I$36=Tulokset!$G$35,'26'!$K$36=Tulokset!$I$35),6,3),MAX(0,6-(ABS('26'!$I$36-Tulokset!$G$35)+ABS('26'!$K$36-Tulokset!$I$35))))))</f>
        <v/>
      </c>
      <c r="AL29" t="str">
        <f>IF(OR(Tulokset!$G$36="",Tulokset!$I$36="",'26'!$I$37="",'26'!$K$37=""),"",IF(SIGN('26'!$I$37-'26'!$K$37)&lt;&gt;SIGN(Tulokset!$G$36-Tulokset!$I$36),0,IF(Tulokset!$G$36=Tulokset!$I$36,IF(AND('26'!$I$37=Tulokset!$G$36,'26'!$K$37=Tulokset!$I$36),6,3),MAX(0,6-(ABS('26'!$I$37-Tulokset!$G$36)+ABS('26'!$K$37-Tulokset!$I$36))))))</f>
        <v/>
      </c>
      <c r="AM29" t="str">
        <f>IF(OR(Tulokset!$G$37="",Tulokset!$I$37="",'26'!$I$38="",'26'!$K$38=""),"",IF(SIGN('26'!$I$38-'26'!$K$38)&lt;&gt;SIGN(Tulokset!$G$37-Tulokset!$I$37),0,IF(Tulokset!$G$37=Tulokset!$I$37,IF(AND('26'!$I$38=Tulokset!$G$37,'26'!$K$38=Tulokset!$I$37),6,3),MAX(0,6-(ABS('26'!$I$38-Tulokset!$G$37)+ABS('26'!$K$38-Tulokset!$I$37))))))</f>
        <v/>
      </c>
      <c r="AN29" t="str">
        <f>IF(OR(Tulokset!$G$38="",Tulokset!$I$38="",'26'!$I$39="",'26'!$K$39=""),"",IF(SIGN('26'!$I$39-'26'!$K$39)&lt;&gt;SIGN(Tulokset!$G$38-Tulokset!$I$38),0,IF(Tulokset!$G$38=Tulokset!$I$38,IF(AND('26'!$I$39=Tulokset!$G$38,'26'!$K$39=Tulokset!$I$38),6,3),MAX(0,6-(ABS('26'!$I$39-Tulokset!$G$38)+ABS('26'!$K$39-Tulokset!$I$38))))))</f>
        <v/>
      </c>
      <c r="AO29" t="str">
        <f>IF(OR(Tulokset!$G$39="",Tulokset!$I$39="",'26'!$I$40="",'26'!$K$40=""),"",IF(SIGN('26'!$I$40-'26'!$K$40)&lt;&gt;SIGN(Tulokset!$G$39-Tulokset!$I$39),0,IF(Tulokset!$G$39=Tulokset!$I$39,IF(AND('26'!$I$40=Tulokset!$G$39,'26'!$K$40=Tulokset!$I$39),6,3),MAX(0,6-(ABS('26'!$I$40-Tulokset!$G$39)+ABS('26'!$K$40-Tulokset!$I$39))))))</f>
        <v/>
      </c>
      <c r="AP29" t="str">
        <f>IF(OR(Tulokset!$G$40="",Tulokset!$I$40="",'26'!$I$41="",'26'!$K$41=""),"",IF(SIGN('26'!$I$41-'26'!$K$41)&lt;&gt;SIGN(Tulokset!$G$40-Tulokset!$I$40),0,IF(Tulokset!$G$40=Tulokset!$I$40,IF(AND('26'!$I$41=Tulokset!$G$40,'26'!$K$41=Tulokset!$I$40),6,3),MAX(0,6-(ABS('26'!$I$41-Tulokset!$G$40)+ABS('26'!$K$41-Tulokset!$I$40))))))</f>
        <v/>
      </c>
      <c r="AQ29" t="str">
        <f>IF(OR(Tulokset!$G$41="",Tulokset!$I$41="",'26'!$I$42="",'26'!$K$42=""),"",IF(SIGN('26'!$I$42-'26'!$K$42)&lt;&gt;SIGN(Tulokset!$G$41-Tulokset!$I$41),0,IF(Tulokset!$G$41=Tulokset!$I$41,IF(AND('26'!$I$42=Tulokset!$G$41,'26'!$K$42=Tulokset!$I$41),6,3),MAX(0,6-(ABS('26'!$I$42-Tulokset!$G$41)+ABS('26'!$K$42-Tulokset!$I$41))))))</f>
        <v/>
      </c>
      <c r="AR29" t="str">
        <f>IF(OR(Tulokset!$G$42="",Tulokset!$I$42="",'26'!$I$43="",'26'!$K$43=""),"",IF(SIGN('26'!$I$43-'26'!$K$43)&lt;&gt;SIGN(Tulokset!$G$42-Tulokset!$I$42),0,IF(Tulokset!$G$42=Tulokset!$I$42,IF(AND('26'!$I$43=Tulokset!$G$42,'26'!$K$43=Tulokset!$I$42),6,3),MAX(0,6-(ABS('26'!$I$43-Tulokset!$G$42)+ABS('26'!$K$43-Tulokset!$I$42))))))</f>
        <v/>
      </c>
      <c r="AS29" t="str">
        <f>IF(OR(Tulokset!$G$43="",Tulokset!$I$43="",'26'!$I$44="",'26'!$K$44=""),"",IF(SIGN('26'!$I$44-'26'!$K$44)&lt;&gt;SIGN(Tulokset!$G$43-Tulokset!$I$43),0,IF(Tulokset!$G$43=Tulokset!$I$43,IF(AND('26'!$I$44=Tulokset!$G$43,'26'!$K$44=Tulokset!$I$43),6,3),MAX(0,6-(ABS('26'!$I$44-Tulokset!$G$43)+ABS('26'!$K$44-Tulokset!$I$43))))))</f>
        <v/>
      </c>
      <c r="AT29" t="str">
        <f>IF(OR(Tulokset!$G$44="",Tulokset!$I$44="",'26'!$I$45="",'26'!$K$45=""),"",IF(SIGN('26'!$I$45-'26'!$K$45)&lt;&gt;SIGN(Tulokset!$G$44-Tulokset!$I$44),0,IF(Tulokset!$G$44=Tulokset!$I$44,IF(AND('26'!$I$45=Tulokset!$G$44,'26'!$K$45=Tulokset!$I$44),6,3),MAX(0,6-(ABS('26'!$I$45-Tulokset!$G$44)+ABS('26'!$K$45-Tulokset!$I$44))))))</f>
        <v/>
      </c>
      <c r="AU29" t="str">
        <f>IF(OR(Tulokset!$G$45="",Tulokset!$I$45="",'26'!$I$46="",'26'!$K$46=""),"",IF(SIGN('26'!$I$46-'26'!$K$46)&lt;&gt;SIGN(Tulokset!$G$45-Tulokset!$I$45),0,IF(Tulokset!$G$45=Tulokset!$I$45,IF(AND('26'!$I$46=Tulokset!$G$45,'26'!$K$46=Tulokset!$I$45),6,3),MAX(0,6-(ABS('26'!$I$46-Tulokset!$G$45)+ABS('26'!$K$46-Tulokset!$I$45))))))</f>
        <v/>
      </c>
      <c r="AV29" t="str">
        <f>IF(OR(Tulokset!$G$46="",Tulokset!$I$46="",'26'!$I$47="",'26'!$K$47=""),"",IF(SIGN('26'!$I$47-'26'!$K$47)&lt;&gt;SIGN(Tulokset!$G$46-Tulokset!$I$46),0,IF(Tulokset!$G$46=Tulokset!$I$46,IF(AND('26'!$I$47=Tulokset!$G$46,'26'!$K$47=Tulokset!$I$46),6,3),MAX(0,6-(ABS('26'!$I$47-Tulokset!$G$46)+ABS('26'!$K$47-Tulokset!$I$46))))))</f>
        <v/>
      </c>
      <c r="AW29" t="str">
        <f>IF(OR(Tulokset!$G$47="",Tulokset!$I$47="",'26'!$I$48="",'26'!$K$48=""),"",IF(SIGN('26'!$I$48-'26'!$K$48)&lt;&gt;SIGN(Tulokset!$G$47-Tulokset!$I$47),0,IF(Tulokset!$G$47=Tulokset!$I$47,IF(AND('26'!$I$48=Tulokset!$G$47,'26'!$K$48=Tulokset!$I$47),6,3),MAX(0,6-(ABS('26'!$I$48-Tulokset!$G$47)+ABS('26'!$K$48-Tulokset!$I$47))))))</f>
        <v/>
      </c>
      <c r="AX29" t="str">
        <f>IF(OR(Tulokset!$G$48="",Tulokset!$I$48="",'26'!$I$49="",'26'!$K$49=""),"",IF(SIGN('26'!$I$49-'26'!$K$49)&lt;&gt;SIGN(Tulokset!$G$48-Tulokset!$I$48),0,IF(Tulokset!$G$48=Tulokset!$I$48,IF(AND('26'!$I$49=Tulokset!$G$48,'26'!$K$49=Tulokset!$I$48),6,3),MAX(0,6-(ABS('26'!$I$49-Tulokset!$G$48)+ABS('26'!$K$49-Tulokset!$I$48))))))</f>
        <v/>
      </c>
      <c r="AY29" t="str">
        <f>IF(OR(Tulokset!$G$49="",Tulokset!$I$49="",'26'!$I$50="",'26'!$K$50=""),"",IF(SIGN('26'!$I$50-'26'!$K$50)&lt;&gt;SIGN(Tulokset!$G$49-Tulokset!$I$49),0,IF(Tulokset!$G$49=Tulokset!$I$49,IF(AND('26'!$I$50=Tulokset!$G$49,'26'!$K$50=Tulokset!$I$49),6,3),MAX(0,6-(ABS('26'!$I$50-Tulokset!$G$49)+ABS('26'!$K$50-Tulokset!$I$49))))))</f>
        <v/>
      </c>
      <c r="AZ29" t="str">
        <f>IF(OR(Tulokset!$G$50="",Tulokset!$I$50="",'26'!$I$51="",'26'!$K$51=""),"",IF(SIGN('26'!$I$51-'26'!$K$51)&lt;&gt;SIGN(Tulokset!$G$50-Tulokset!$I$50),0,IF(Tulokset!$G$50=Tulokset!$I$50,IF(AND('26'!$I$51=Tulokset!$G$50,'26'!$K$51=Tulokset!$I$50),6,3),MAX(0,6-(ABS('26'!$I$51-Tulokset!$G$50)+ABS('26'!$K$51-Tulokset!$I$50))))))</f>
        <v/>
      </c>
      <c r="BA29" t="str">
        <f>IF(OR(Tulokset!$G$51="",Tulokset!$I$51="",'26'!$I$52="",'26'!$K$52=""),"",IF(SIGN('26'!$I$52-'26'!$K$52)&lt;&gt;SIGN(Tulokset!$G$51-Tulokset!$I$51),0,IF(Tulokset!$G$51=Tulokset!$I$51,IF(AND('26'!$I$52=Tulokset!$G$51,'26'!$K$52=Tulokset!$I$51),6,3),MAX(0,6-(ABS('26'!$I$52-Tulokset!$G$51)+ABS('26'!$K$52-Tulokset!$I$51))))))</f>
        <v/>
      </c>
      <c r="BB29" t="str">
        <f>IF(OR(Tulokset!$G$52="",Tulokset!$I$52="",'26'!$I$53="",'26'!$K$53=""),"",IF(SIGN('26'!$I$53-'26'!$K$53)&lt;&gt;SIGN(Tulokset!$G$52-Tulokset!$I$52),0,IF(Tulokset!$G$52=Tulokset!$I$52,IF(AND('26'!$I$53=Tulokset!$G$52,'26'!$K$53=Tulokset!$I$52),6,3),MAX(0,6-(ABS('26'!$I$53-Tulokset!$G$52)+ABS('26'!$K$53-Tulokset!$I$52))))))</f>
        <v/>
      </c>
      <c r="BC29" t="str">
        <f>IF(OR(Tulokset!$G$53="",Tulokset!$I$53="",'26'!$I$54="",'26'!$K$54=""),"",IF(SIGN('26'!$I$54-'26'!$K$54)&lt;&gt;SIGN(Tulokset!$G$53-Tulokset!$I$53),0,IF(Tulokset!$G$53=Tulokset!$I$53,IF(AND('26'!$I$54=Tulokset!$G$53,'26'!$K$54=Tulokset!$I$53),6,3),MAX(0,6-(ABS('26'!$I$54-Tulokset!$G$53)+ABS('26'!$K$54-Tulokset!$I$53))))))</f>
        <v/>
      </c>
      <c r="BD29" t="str">
        <f>IF(OR(Tulokset!$G$54="",Tulokset!$I$54="",'26'!$I$55="",'26'!$K$55=""),"",IF(SIGN('26'!$I$55-'26'!$K$55)&lt;&gt;SIGN(Tulokset!$G$54-Tulokset!$I$54),0,IF(Tulokset!$G$54=Tulokset!$I$54,IF(AND('26'!$I$55=Tulokset!$G$54,'26'!$K$55=Tulokset!$I$54),6,3),MAX(0,6-(ABS('26'!$I$55-Tulokset!$G$54)+ABS('26'!$K$55-Tulokset!$I$54))))))</f>
        <v/>
      </c>
      <c r="BE29" t="str">
        <f>IF(OR(Tulokset!$G$55="",Tulokset!$I$55="",'26'!$I$56="",'26'!$K$56=""),"",IF(SIGN('26'!$I$56-'26'!$K$56)&lt;&gt;SIGN(Tulokset!$G$55-Tulokset!$I$55),0,IF(Tulokset!$G$55=Tulokset!$I$55,IF(AND('26'!$I$56=Tulokset!$G$55,'26'!$K$56=Tulokset!$I$55),6,3),MAX(0,6-(ABS('26'!$I$56-Tulokset!$G$55)+ABS('26'!$K$56-Tulokset!$I$55))))))</f>
        <v/>
      </c>
      <c r="BF29" t="str">
        <f>IF(OR(Tulokset!$G$56="",Tulokset!$I$56="",'26'!$I$57="",'26'!$K$57=""),"",IF(SIGN('26'!$I$57-'26'!$K$57)&lt;&gt;SIGN(Tulokset!$G$56-Tulokset!$I$56),0,IF(Tulokset!$G$56=Tulokset!$I$56,IF(AND('26'!$I$57=Tulokset!$G$56,'26'!$K$57=Tulokset!$I$56),6,3),MAX(0,6-(ABS('26'!$I$57-Tulokset!$G$56)+ABS('26'!$K$57-Tulokset!$I$56))))))</f>
        <v/>
      </c>
      <c r="BG29" t="str">
        <f>IF(OR(Tulokset!$G$57="",Tulokset!$I$57="",'26'!$I$58="",'26'!$K$58=""),"",IF(SIGN('26'!$I$58-'26'!$K$58)&lt;&gt;SIGN(Tulokset!$G$57-Tulokset!$I$57),0,IF(Tulokset!$G$57=Tulokset!$I$57,IF(AND('26'!$I$58=Tulokset!$G$57,'26'!$K$58=Tulokset!$I$57),6,3),MAX(0,6-(ABS('26'!$I$58-Tulokset!$G$57)+ABS('26'!$K$58-Tulokset!$I$57))))))</f>
        <v/>
      </c>
      <c r="BH29" t="str">
        <f>IF(OR(Tulokset!$G$58="",Tulokset!$I$58="",'26'!$I$59="",'26'!$K$59=""),"",IF(SIGN('26'!$I$59-'26'!$K$59)&lt;&gt;SIGN(Tulokset!$G$58-Tulokset!$I$58),0,IF(Tulokset!$G$58=Tulokset!$I$58,IF(AND('26'!$I$59=Tulokset!$G$58,'26'!$K$59=Tulokset!$I$58),6,3),MAX(0,6-(ABS('26'!$I$59-Tulokset!$G$58)+ABS('26'!$K$59-Tulokset!$I$58))))))</f>
        <v/>
      </c>
      <c r="BI29" t="str">
        <f>IF(OR(Tulokset!$G$59="",Tulokset!$I$59="",'26'!$I$60="",'26'!$K$60=""),"",IF(SIGN('26'!$I$60-'26'!$K$60)&lt;&gt;SIGN(Tulokset!$G$59-Tulokset!$I$59),0,IF(Tulokset!$G$59=Tulokset!$I$59,IF(AND('26'!$I$60=Tulokset!$G$59,'26'!$K$60=Tulokset!$I$59),6,3),MAX(0,6-(ABS('26'!$I$60-Tulokset!$G$59)+ABS('26'!$K$60-Tulokset!$I$59))))))</f>
        <v/>
      </c>
      <c r="BJ29" t="str">
        <f>IF(OR(Tulokset!$G$60="",Tulokset!$I$60="",'26'!$I$61="",'26'!$K$61=""),"",IF(SIGN('26'!$I$61-'26'!$K$61)&lt;&gt;SIGN(Tulokset!$G$60-Tulokset!$I$60),0,IF(Tulokset!$G$60=Tulokset!$I$60,IF(AND('26'!$I$61=Tulokset!$G$60,'26'!$K$61=Tulokset!$I$60),6,3),MAX(0,6-(ABS('26'!$I$61-Tulokset!$G$60)+ABS('26'!$K$61-Tulokset!$I$60))))))</f>
        <v/>
      </c>
      <c r="BK29" t="str">
        <f>IF(OR(Tulokset!$G$61="",Tulokset!$I$61="",'26'!$I$62="",'26'!$K$62=""),"",IF(SIGN('26'!$I$62-'26'!$K$62)&lt;&gt;SIGN(Tulokset!$G$61-Tulokset!$I$61),0,IF(Tulokset!$G$61=Tulokset!$I$61,IF(AND('26'!$I$62=Tulokset!$G$61,'26'!$K$62=Tulokset!$I$61),6,3),MAX(0,6-(ABS('26'!$I$62-Tulokset!$G$61)+ABS('26'!$K$62-Tulokset!$I$61))))))</f>
        <v/>
      </c>
      <c r="BL29" t="str">
        <f>IF(OR(Tulokset!$G$62="",Tulokset!$I$62="",'26'!$I$63="",'26'!$K$63=""),"",IF(SIGN('26'!$I$63-'26'!$K$63)&lt;&gt;SIGN(Tulokset!$G$62-Tulokset!$I$62),0,IF(Tulokset!$G$62=Tulokset!$I$62,IF(AND('26'!$I$63=Tulokset!$G$62,'26'!$K$63=Tulokset!$I$62),6,3),MAX(0,6-(ABS('26'!$I$63-Tulokset!$G$62)+ABS('26'!$K$63-Tulokset!$I$62))))))</f>
        <v/>
      </c>
      <c r="BM29" t="str">
        <f>IF(OR(Tulokset!$G$63="",Tulokset!$I$63="",'26'!$I$64="",'26'!$K$64=""),"",IF(SIGN('26'!$I$64-'26'!$K$64)&lt;&gt;SIGN(Tulokset!$G$63-Tulokset!$I$63),0,IF(Tulokset!$G$63=Tulokset!$I$63,IF(AND('26'!$I$64=Tulokset!$G$63,'26'!$K$64=Tulokset!$I$63),6,3),MAX(0,6-(ABS('26'!$I$64-Tulokset!$G$63)+ABS('26'!$K$64-Tulokset!$I$63))))))</f>
        <v/>
      </c>
      <c r="BN29" t="str">
        <f>IF(OR(Tulokset!$G$64="",Tulokset!$I$64="",'26'!$I$65="",'26'!$K$65=""),"",IF(SIGN('26'!$I$65-'26'!$K$65)&lt;&gt;SIGN(Tulokset!$G$64-Tulokset!$I$64),0,IF(Tulokset!$G$64=Tulokset!$I$64,IF(AND('26'!$I$65=Tulokset!$G$64,'26'!$K$65=Tulokset!$I$64),6,3),MAX(0,6-(ABS('26'!$I$65-Tulokset!$G$64)+ABS('26'!$K$65-Tulokset!$I$64))))))</f>
        <v/>
      </c>
      <c r="BO29" t="str">
        <f>IF(OR(Tulokset!$G$65="",Tulokset!$I$65="",'26'!$I$66="",'26'!$K$66=""),"",IF(SIGN('26'!$I$66-'26'!$K$66)&lt;&gt;SIGN(Tulokset!$G$65-Tulokset!$I$65),0,IF(Tulokset!$G$65=Tulokset!$I$65,IF(AND('26'!$I$66=Tulokset!$G$65,'26'!$K$66=Tulokset!$I$65),6,3),MAX(0,6-(ABS('26'!$I$66-Tulokset!$G$65)+ABS('26'!$K$66-Tulokset!$I$65))))))</f>
        <v/>
      </c>
      <c r="BP29" t="str">
        <f>IF(OR(Tulokset!$G$66="",Tulokset!$I$66="",'26'!$I$67="",'26'!$K$67=""),"",IF(SIGN('26'!$I$67-'26'!$K$67)&lt;&gt;SIGN(Tulokset!$G$66-Tulokset!$I$66),0,IF(Tulokset!$G$66=Tulokset!$I$66,IF(AND('26'!$I$67=Tulokset!$G$66,'26'!$K$67=Tulokset!$I$66),6,3),MAX(0,6-(ABS('26'!$I$67-Tulokset!$G$66)+ABS('26'!$K$67-Tulokset!$I$66))))))</f>
        <v/>
      </c>
      <c r="BQ29" t="str">
        <f>IF(OR(Tulokset!$G$67="",Tulokset!$I$67="",'26'!$I$68="",'26'!$K$68=""),"",IF(SIGN('26'!$I$68-'26'!$K$68)&lt;&gt;SIGN(Tulokset!$G$67-Tulokset!$I$67),0,IF(Tulokset!$G$67=Tulokset!$I$67,IF(AND('26'!$I$68=Tulokset!$G$67,'26'!$K$68=Tulokset!$I$67),6,3),MAX(0,6-(ABS('26'!$I$68-Tulokset!$G$67)+ABS('26'!$K$68-Tulokset!$I$67))))))</f>
        <v/>
      </c>
      <c r="BR29" t="str">
        <f>IF(OR(Tulokset!$G$68="",Tulokset!$I$68="",'26'!$I$69="",'26'!$K$69=""),"",IF(SIGN('26'!$I$69-'26'!$K$69)&lt;&gt;SIGN(Tulokset!$G$68-Tulokset!$I$68),0,IF(Tulokset!$G$68=Tulokset!$I$68,IF(AND('26'!$I$69=Tulokset!$G$68,'26'!$K$69=Tulokset!$I$68),6,3),MAX(0,6-(ABS('26'!$I$69-Tulokset!$G$68)+ABS('26'!$K$69-Tulokset!$I$68))))))</f>
        <v/>
      </c>
      <c r="BS29" t="str">
        <f>IF(OR(Tulokset!$G$69="",Tulokset!$I$69="",'26'!$I$70="",'26'!$K$70=""),"",IF(SIGN('26'!$I$70-'26'!$K$70)&lt;&gt;SIGN(Tulokset!$G$69-Tulokset!$I$69),0,IF(Tulokset!$G$69=Tulokset!$I$69,IF(AND('26'!$I$70=Tulokset!$G$69,'26'!$K$70=Tulokset!$I$69),6,3),MAX(0,6-(ABS('26'!$I$70-Tulokset!$G$69)+ABS('26'!$K$70-Tulokset!$I$69))))))</f>
        <v/>
      </c>
      <c r="BT29" t="str">
        <f>IF(OR(Tulokset!$G$70="",Tulokset!$I$70="",'26'!$I$71="",'26'!$K$71=""),"",IF(SIGN('26'!$I$71-'26'!$K$71)&lt;&gt;SIGN(Tulokset!$G$70-Tulokset!$I$70),0,IF(Tulokset!$G$70=Tulokset!$I$70,IF(AND('26'!$I$71=Tulokset!$G$70,'26'!$K$71=Tulokset!$I$70),6,3),MAX(0,6-(ABS('26'!$I$71-Tulokset!$G$70)+ABS('26'!$K$71-Tulokset!$I$70))))))</f>
        <v/>
      </c>
      <c r="BU29" t="str">
        <f>IF(OR(Tulokset!$G$71="",Tulokset!$I$71="",'26'!$I$72="",'26'!$K$72=""),"",IF(SIGN('26'!$I$72-'26'!$K$72)&lt;&gt;SIGN(Tulokset!$G$71-Tulokset!$I$71),0,IF(Tulokset!$G$71=Tulokset!$I$71,IF(AND('26'!$I$72=Tulokset!$G$71,'26'!$K$72=Tulokset!$I$71),6,3),MAX(0,6-(ABS('26'!$I$72-Tulokset!$G$71)+ABS('26'!$K$72-Tulokset!$I$71))))))</f>
        <v/>
      </c>
      <c r="BV29" t="str">
        <f>IF(OR(Tulokset!$G$72="",Tulokset!$I$72="",'26'!$I$73="",'26'!$K$73=""),"",IF(SIGN('26'!$I$73-'26'!$K$73)&lt;&gt;SIGN(Tulokset!$G$72-Tulokset!$I$72),0,IF(Tulokset!$G$72=Tulokset!$I$72,IF(AND('26'!$I$73=Tulokset!$G$72,'26'!$K$73=Tulokset!$I$72),6,3),MAX(0,6-(ABS('26'!$I$73-Tulokset!$G$72)+ABS('26'!$K$73-Tulokset!$I$72))))))</f>
        <v/>
      </c>
      <c r="BW29" t="str">
        <f>IF(OR(Tulokset!$G$73="",Tulokset!$I$73="",'26'!$I$74="",'26'!$K$74=""),"",IF(SIGN('26'!$I$74-'26'!$K$74)&lt;&gt;SIGN(Tulokset!$G$73-Tulokset!$I$73),0,IF(Tulokset!$G$73=Tulokset!$I$73,IF(AND('26'!$I$74=Tulokset!$G$73,'26'!$K$74=Tulokset!$I$73),6,3),MAX(0,6-(ABS('26'!$I$74-Tulokset!$G$73)+ABS('26'!$K$74-Tulokset!$I$73))))))</f>
        <v/>
      </c>
      <c r="BX29" t="str">
        <f>IF(OR(Tulokset!$G$74="",Tulokset!$I$74="",'26'!$I$75="",'26'!$K$75=""),"",IF(SIGN('26'!$I$75-'26'!$K$75)&lt;&gt;SIGN(Tulokset!$G$74-Tulokset!$I$74),0,IF(Tulokset!$G$74=Tulokset!$I$74,IF(AND('26'!$I$75=Tulokset!$G$74,'26'!$K$75=Tulokset!$I$74),6,3),MAX(0,6-(ABS('26'!$I$75-Tulokset!$G$74)+ABS('26'!$K$75-Tulokset!$I$74))))))</f>
        <v/>
      </c>
      <c r="BY29" t="str">
        <f>IF(OR(Tulokset!$G$75="",Tulokset!$I$75="",'26'!$I$76="",'26'!$K$76=""),"",IF(SIGN('26'!$I$76-'26'!$K$76)&lt;&gt;SIGN(Tulokset!$G$75-Tulokset!$I$75),0,IF(Tulokset!$G$75=Tulokset!$I$75,IF(AND('26'!$I$76=Tulokset!$G$75,'26'!$K$76=Tulokset!$I$75),6,3),MAX(0,6-(ABS('26'!$I$76-Tulokset!$G$75)+ABS('26'!$K$76-Tulokset!$I$75))))))</f>
        <v/>
      </c>
      <c r="BZ29" t="str">
        <f>IF(OR(Tulokset!$G$76="",Tulokset!$I$76="",'26'!$I$77="",'26'!$K$77=""),"",IF(SIGN('26'!$I$77-'26'!$K$77)&lt;&gt;SIGN(Tulokset!$G$76-Tulokset!$I$76),0,IF(Tulokset!$G$76=Tulokset!$I$76,IF(AND('26'!$I$77=Tulokset!$G$76,'26'!$K$77=Tulokset!$I$76),6,3),MAX(0,6-(ABS('26'!$I$77-Tulokset!$G$76)+ABS('26'!$K$77-Tulokset!$I$76))))))</f>
        <v/>
      </c>
      <c r="CA29" t="str">
        <f>IF(OR(Tulokset!$G$77="",Tulokset!$I$77="",'26'!$I$78="",'26'!$K$78=""),"",IF(SIGN('26'!$I$78-'26'!$K$78)&lt;&gt;SIGN(Tulokset!$G$77-Tulokset!$I$77),0,IF(Tulokset!$G$77=Tulokset!$I$77,IF(AND('26'!$I$78=Tulokset!$G$77,'26'!$K$78=Tulokset!$I$77),6,3),MAX(0,6-(ABS('26'!$I$78-Tulokset!$G$77)+ABS('26'!$K$78-Tulokset!$I$77))))))</f>
        <v/>
      </c>
      <c r="CD29" t="str">
        <f ca="1">IF(OR(Tulokset!$M$6="",INDIRECT("'"&amp;$A29&amp;"'!$P$8")=""),"",IF(TRIM(INDIRECT("'"&amp;$A29&amp;"'!$P$8"))=TRIM(Tulokset!$M$6),2,0))</f>
        <v/>
      </c>
      <c r="CE29" t="str">
        <f ca="1">IF(OR(Tulokset!$M$7="",INDIRECT("'"&amp;$A29&amp;"'!$P$9")=""),"",IF(TRIM(INDIRECT("'"&amp;$A29&amp;"'!$P$9"))=TRIM(Tulokset!$M$7),2,0))</f>
        <v/>
      </c>
      <c r="CF29" t="str">
        <f ca="1">IF(OR(Tulokset!$M$8="",INDIRECT("'"&amp;$A29&amp;"'!$P$10")=""),"",IF(TRIM(INDIRECT("'"&amp;$A29&amp;"'!$P$10"))=TRIM(Tulokset!$M$8),2,0))</f>
        <v/>
      </c>
      <c r="CG29" t="str">
        <f ca="1">IF(OR(Tulokset!$M$9="",INDIRECT("'"&amp;$A29&amp;"'!$P$11")=""),"",IF(TRIM(INDIRECT("'"&amp;$A29&amp;"'!$P$11"))=TRIM(Tulokset!$M$9),2,0))</f>
        <v/>
      </c>
      <c r="CH29" t="str">
        <f ca="1">IF(OR(Tulokset!$N$6="",INDIRECT("'"&amp;$A29&amp;"'!$Q$8")=""),"",IF(TRIM(INDIRECT("'"&amp;$A29&amp;"'!$Q$8"))=TRIM(Tulokset!$N$6),2,0))</f>
        <v/>
      </c>
      <c r="CI29" t="str">
        <f ca="1">IF(OR(Tulokset!$N$7="",INDIRECT("'"&amp;$A29&amp;"'!$Q$9")=""),"",IF(TRIM(INDIRECT("'"&amp;$A29&amp;"'!$Q$9"))=TRIM(Tulokset!$N$7),2,0))</f>
        <v/>
      </c>
      <c r="CJ29" t="str">
        <f ca="1">IF(OR(Tulokset!$N$8="",INDIRECT("'"&amp;$A29&amp;"'!$Q$10")=""),"",IF(TRIM(INDIRECT("'"&amp;$A29&amp;"'!$Q$10"))=TRIM(Tulokset!$N$8),2,0))</f>
        <v/>
      </c>
      <c r="CK29" t="str">
        <f ca="1">IF(OR(Tulokset!$N$9="",INDIRECT("'"&amp;$A29&amp;"'!$Q$11")=""),"",IF(TRIM(INDIRECT("'"&amp;$A29&amp;"'!$Q$11"))=TRIM(Tulokset!$N$9),2,0))</f>
        <v/>
      </c>
      <c r="CL29" t="str">
        <f ca="1">IF(OR(Tulokset!$O$6="",INDIRECT("'"&amp;$A29&amp;"'!$R$8")=""),"",IF(TRIM(INDIRECT("'"&amp;$A29&amp;"'!$R$8"))=TRIM(Tulokset!$O$6),2,0))</f>
        <v/>
      </c>
      <c r="CM29" t="str">
        <f ca="1">IF(OR(Tulokset!$O$7="",INDIRECT("'"&amp;$A29&amp;"'!$R$9")=""),"",IF(TRIM(INDIRECT("'"&amp;$A29&amp;"'!$R$9"))=TRIM(Tulokset!$O$7),2,0))</f>
        <v/>
      </c>
      <c r="CN29" t="str">
        <f ca="1">IF(OR(Tulokset!$O$8="",INDIRECT("'"&amp;$A29&amp;"'!$R$10")=""),"",IF(TRIM(INDIRECT("'"&amp;$A29&amp;"'!$R$10"))=TRIM(Tulokset!$O$8),2,0))</f>
        <v/>
      </c>
      <c r="CO29" t="str">
        <f ca="1">IF(OR(Tulokset!$O$9="",INDIRECT("'"&amp;$A29&amp;"'!$R$11")=""),"",IF(TRIM(INDIRECT("'"&amp;$A29&amp;"'!$R$11"))=TRIM(Tulokset!$O$9),2,0))</f>
        <v/>
      </c>
      <c r="CP29" t="str">
        <f ca="1">IF(OR(Tulokset!$P$6="",INDIRECT("'"&amp;$A29&amp;"'!$S$8")=""),"",IF(TRIM(INDIRECT("'"&amp;$A29&amp;"'!$S$8"))=TRIM(Tulokset!$P$6),2,0))</f>
        <v/>
      </c>
      <c r="CQ29" t="str">
        <f ca="1">IF(OR(Tulokset!$P$7="",INDIRECT("'"&amp;$A29&amp;"'!$S$9")=""),"",IF(TRIM(INDIRECT("'"&amp;$A29&amp;"'!$S$9"))=TRIM(Tulokset!$P$7),2,0))</f>
        <v/>
      </c>
      <c r="CR29" t="str">
        <f ca="1">IF(OR(Tulokset!$P$8="",INDIRECT("'"&amp;$A29&amp;"'!$S$10")=""),"",IF(TRIM(INDIRECT("'"&amp;$A29&amp;"'!$S$10"))=TRIM(Tulokset!$P$8),2,0))</f>
        <v/>
      </c>
      <c r="CS29" t="str">
        <f ca="1">IF(OR(Tulokset!$P$9="",INDIRECT("'"&amp;$A29&amp;"'!$S$11")=""),"",IF(TRIM(INDIRECT("'"&amp;$A29&amp;"'!$S$11"))=TRIM(Tulokset!$P$9),2,0))</f>
        <v/>
      </c>
      <c r="CT29" t="str">
        <f ca="1">IF(OR(Tulokset!$Q$6="",INDIRECT("'"&amp;$A29&amp;"'!$T$8")=""),"",IF(TRIM(INDIRECT("'"&amp;$A29&amp;"'!$T$8"))=TRIM(Tulokset!$Q$6),2,0))</f>
        <v/>
      </c>
      <c r="CU29" t="str">
        <f ca="1">IF(OR(Tulokset!$Q$7="",INDIRECT("'"&amp;$A29&amp;"'!$T$9")=""),"",IF(TRIM(INDIRECT("'"&amp;$A29&amp;"'!$T$9"))=TRIM(Tulokset!$Q$7),2,0))</f>
        <v/>
      </c>
      <c r="CV29" t="str">
        <f ca="1">IF(OR(Tulokset!$Q$8="",INDIRECT("'"&amp;$A29&amp;"'!$T$10")=""),"",IF(TRIM(INDIRECT("'"&amp;$A29&amp;"'!$T$10"))=TRIM(Tulokset!$Q$8),2,0))</f>
        <v/>
      </c>
      <c r="CW29" t="str">
        <f ca="1">IF(OR(Tulokset!$Q$9="",INDIRECT("'"&amp;$A29&amp;"'!$T$11")=""),"",IF(TRIM(INDIRECT("'"&amp;$A29&amp;"'!$T$11"))=TRIM(Tulokset!$Q$9),2,0))</f>
        <v/>
      </c>
      <c r="CX29" t="str">
        <f ca="1">IF(OR(Tulokset!$R$6="",INDIRECT("'"&amp;$A29&amp;"'!$U$8")=""),"",IF(TRIM(INDIRECT("'"&amp;$A29&amp;"'!$U$8"))=TRIM(Tulokset!$R$6),2,0))</f>
        <v/>
      </c>
      <c r="CY29" t="str">
        <f ca="1">IF(OR(Tulokset!$R$7="",INDIRECT("'"&amp;$A29&amp;"'!$U$9")=""),"",IF(TRIM(INDIRECT("'"&amp;$A29&amp;"'!$U$9"))=TRIM(Tulokset!$R$7),2,0))</f>
        <v/>
      </c>
      <c r="CZ29" t="str">
        <f ca="1">IF(OR(Tulokset!$R$8="",INDIRECT("'"&amp;$A29&amp;"'!$U$10")=""),"",IF(TRIM(INDIRECT("'"&amp;$A29&amp;"'!$U$10"))=TRIM(Tulokset!$R$8),2,0))</f>
        <v/>
      </c>
      <c r="DA29" t="str">
        <f ca="1">IF(OR(Tulokset!$R$9="",INDIRECT("'"&amp;$A29&amp;"'!$U$11")=""),"",IF(TRIM(INDIRECT("'"&amp;$A29&amp;"'!$U$11"))=TRIM(Tulokset!$R$9),2,0))</f>
        <v/>
      </c>
      <c r="DB29" t="str">
        <f ca="1">IF(OR(Tulokset!$M$12="",INDIRECT("'"&amp;$A29&amp;"'!$P$14")=""),"",IF(TRIM(INDIRECT("'"&amp;$A29&amp;"'!$P$14"))=TRIM(Tulokset!$M$12),2,0))</f>
        <v/>
      </c>
      <c r="DC29" t="str">
        <f ca="1">IF(OR(Tulokset!$M$13="",INDIRECT("'"&amp;$A29&amp;"'!$P$15")=""),"",IF(TRIM(INDIRECT("'"&amp;$A29&amp;"'!$P$15"))=TRIM(Tulokset!$M$13),2,0))</f>
        <v/>
      </c>
      <c r="DD29" t="str">
        <f ca="1">IF(OR(Tulokset!$M$14="",INDIRECT("'"&amp;$A29&amp;"'!$P$16")=""),"",IF(TRIM(INDIRECT("'"&amp;$A29&amp;"'!$P$16"))=TRIM(Tulokset!$M$14),2,0))</f>
        <v/>
      </c>
      <c r="DE29" t="str">
        <f ca="1">IF(OR(Tulokset!$M$15="",INDIRECT("'"&amp;$A29&amp;"'!$P$17")=""),"",IF(TRIM(INDIRECT("'"&amp;$A29&amp;"'!$P$17"))=TRIM(Tulokset!$M$15),2,0))</f>
        <v/>
      </c>
      <c r="DF29" t="str">
        <f ca="1">IF(OR(Tulokset!$N$12="",INDIRECT("'"&amp;$A29&amp;"'!$Q$14")=""),"",IF(TRIM(INDIRECT("'"&amp;$A29&amp;"'!$Q$14"))=TRIM(Tulokset!$N$12),2,0))</f>
        <v/>
      </c>
      <c r="DG29" t="str">
        <f ca="1">IF(OR(Tulokset!$N$13="",INDIRECT("'"&amp;$A29&amp;"'!$Q$15")=""),"",IF(TRIM(INDIRECT("'"&amp;$A29&amp;"'!$Q$15"))=TRIM(Tulokset!$N$13),2,0))</f>
        <v/>
      </c>
      <c r="DH29" t="str">
        <f ca="1">IF(OR(Tulokset!$N$14="",INDIRECT("'"&amp;$A29&amp;"'!$Q$16")=""),"",IF(TRIM(INDIRECT("'"&amp;$A29&amp;"'!$Q$16"))=TRIM(Tulokset!$N$14),2,0))</f>
        <v/>
      </c>
      <c r="DI29" t="str">
        <f ca="1">IF(OR(Tulokset!$N$15="",INDIRECT("'"&amp;$A29&amp;"'!$Q$17")=""),"",IF(TRIM(INDIRECT("'"&amp;$A29&amp;"'!$Q$17"))=TRIM(Tulokset!$N$15),2,0))</f>
        <v/>
      </c>
      <c r="DJ29" t="str">
        <f ca="1">IF(OR(Tulokset!$O$12="",INDIRECT("'"&amp;$A29&amp;"'!$R$14")=""),"",IF(TRIM(INDIRECT("'"&amp;$A29&amp;"'!$R$14"))=TRIM(Tulokset!$O$12),2,0))</f>
        <v/>
      </c>
      <c r="DK29" t="str">
        <f ca="1">IF(OR(Tulokset!$O$13="",INDIRECT("'"&amp;$A29&amp;"'!$R$15")=""),"",IF(TRIM(INDIRECT("'"&amp;$A29&amp;"'!$R$15"))=TRIM(Tulokset!$O$13),2,0))</f>
        <v/>
      </c>
      <c r="DL29" t="str">
        <f ca="1">IF(OR(Tulokset!$O$14="",INDIRECT("'"&amp;$A29&amp;"'!$R$16")=""),"",IF(TRIM(INDIRECT("'"&amp;$A29&amp;"'!$R$16"))=TRIM(Tulokset!$O$14),2,0))</f>
        <v/>
      </c>
      <c r="DM29" t="str">
        <f ca="1">IF(OR(Tulokset!$O$15="",INDIRECT("'"&amp;$A29&amp;"'!$R$17")=""),"",IF(TRIM(INDIRECT("'"&amp;$A29&amp;"'!$R$17"))=TRIM(Tulokset!$O$15),2,0))</f>
        <v/>
      </c>
      <c r="DN29" t="str">
        <f ca="1">IF(OR(Tulokset!$P$12="",INDIRECT("'"&amp;$A29&amp;"'!$S$14")=""),"",IF(TRIM(INDIRECT("'"&amp;$A29&amp;"'!$S$14"))=TRIM(Tulokset!$P$12),2,0))</f>
        <v/>
      </c>
      <c r="DO29" t="str">
        <f ca="1">IF(OR(Tulokset!$P$13="",INDIRECT("'"&amp;$A29&amp;"'!$S$15")=""),"",IF(TRIM(INDIRECT("'"&amp;$A29&amp;"'!$S$15"))=TRIM(Tulokset!$P$13),2,0))</f>
        <v/>
      </c>
      <c r="DP29" t="str">
        <f ca="1">IF(OR(Tulokset!$P$14="",INDIRECT("'"&amp;$A29&amp;"'!$S$16")=""),"",IF(TRIM(INDIRECT("'"&amp;$A29&amp;"'!$S$16"))=TRIM(Tulokset!$P$14),2,0))</f>
        <v/>
      </c>
      <c r="DQ29" t="str">
        <f ca="1">IF(OR(Tulokset!$P$15="",INDIRECT("'"&amp;$A29&amp;"'!$S$17")=""),"",IF(TRIM(INDIRECT("'"&amp;$A29&amp;"'!$S$17"))=TRIM(Tulokset!$P$15),2,0))</f>
        <v/>
      </c>
      <c r="DR29" t="str">
        <f ca="1">IF(OR(Tulokset!$Q$12="",INDIRECT("'"&amp;$A29&amp;"'!$T$14")=""),"",IF(TRIM(INDIRECT("'"&amp;$A29&amp;"'!$T$14"))=TRIM(Tulokset!$Q$12),2,0))</f>
        <v/>
      </c>
      <c r="DS29" t="str">
        <f ca="1">IF(OR(Tulokset!$Q$13="",INDIRECT("'"&amp;$A29&amp;"'!$T$15")=""),"",IF(TRIM(INDIRECT("'"&amp;$A29&amp;"'!$T$15"))=TRIM(Tulokset!$Q$13),2,0))</f>
        <v/>
      </c>
      <c r="DT29" t="str">
        <f ca="1">IF(OR(Tulokset!$Q$14="",INDIRECT("'"&amp;$A29&amp;"'!$T$16")=""),"",IF(TRIM(INDIRECT("'"&amp;$A29&amp;"'!$T$16"))=TRIM(Tulokset!$Q$14),2,0))</f>
        <v/>
      </c>
      <c r="DU29" t="str">
        <f ca="1">IF(OR(Tulokset!$Q$15="",INDIRECT("'"&amp;$A29&amp;"'!$T$17")=""),"",IF(TRIM(INDIRECT("'"&amp;$A29&amp;"'!$T$17"))=TRIM(Tulokset!$Q$15),2,0))</f>
        <v/>
      </c>
      <c r="DV29" t="str">
        <f ca="1">IF(OR(Tulokset!$R$12="",INDIRECT("'"&amp;$A29&amp;"'!$U$14")=""),"",IF(TRIM(INDIRECT("'"&amp;$A29&amp;"'!$U$14"))=TRIM(Tulokset!$R$12),2,0))</f>
        <v/>
      </c>
      <c r="DW29" t="str">
        <f ca="1">IF(OR(Tulokset!$R$13="",INDIRECT("'"&amp;$A29&amp;"'!$U$15")=""),"",IF(TRIM(INDIRECT("'"&amp;$A29&amp;"'!$U$15"))=TRIM(Tulokset!$R$13),2,0))</f>
        <v/>
      </c>
      <c r="DX29" t="str">
        <f ca="1">IF(OR(Tulokset!$R$14="",INDIRECT("'"&amp;$A29&amp;"'!$U$16")=""),"",IF(TRIM(INDIRECT("'"&amp;$A29&amp;"'!$U$16"))=TRIM(Tulokset!$R$14),2,0))</f>
        <v/>
      </c>
      <c r="DY29" t="str">
        <f ca="1">IF(OR(Tulokset!$R$15="",INDIRECT("'"&amp;$A29&amp;"'!$U$17")=""),"",IF(TRIM(INDIRECT("'"&amp;$A29&amp;"'!$U$17"))=TRIM(Tulokset!$R$15),2,0))</f>
        <v/>
      </c>
      <c r="EA29" t="str">
        <f ca="1">IF(OR(INDIRECT("'"&amp;$A29&amp;"'!$E$79")="",COUNTA(Tulokset!$M$20:$M$21)=0),"",IF(COUNTIF(Tulokset!$M$20:$M$21,INDIRECT("'"&amp;$A29&amp;"'!$E$79"))&gt;0,2,0))</f>
        <v/>
      </c>
      <c r="EB29" t="str">
        <f ca="1">IF(OR(INDIRECT("'"&amp;$A29&amp;"'!$G$79")="",COUNTA(Tulokset!$M$20:$M$21)=0),"",IF(COUNTIF(Tulokset!$M$20:$M$21,INDIRECT("'"&amp;$A29&amp;"'!$G$79"))&gt;0,2,0))</f>
        <v/>
      </c>
      <c r="EC29" t="str">
        <f ca="1">IF(OR(INDIRECT("'"&amp;$A29&amp;"'!$E$80")="",COUNTA(Tulokset!$M$23:$M$24)=0),"",IF(COUNTIF(Tulokset!$M$23:$M$24,INDIRECT("'"&amp;$A29&amp;"'!$E$80"))&gt;0,2,0))</f>
        <v/>
      </c>
      <c r="ED29" t="str">
        <f ca="1">IF(OR(INDIRECT("'"&amp;$A29&amp;"'!$G$80")="",COUNTA(Tulokset!$M$23:$M$24)=0),"",IF(COUNTIF(Tulokset!$M$23:$M$24,INDIRECT("'"&amp;$A29&amp;"'!$G$80"))&gt;0,2,0))</f>
        <v/>
      </c>
    </row>
    <row r="30" spans="1:134">
      <c r="A30" t="s">
        <v>322</v>
      </c>
      <c r="B30" t="str">
        <f t="shared" ca="1" si="0"/>
        <v>Esko</v>
      </c>
      <c r="C30" s="95">
        <f t="shared" si="1"/>
        <v>0</v>
      </c>
      <c r="D30" s="95">
        <f t="shared" ca="1" si="2"/>
        <v>0</v>
      </c>
      <c r="E30" s="95">
        <f t="shared" ca="1" si="3"/>
        <v>0</v>
      </c>
      <c r="F30" s="95">
        <f t="shared" ca="1" si="4"/>
        <v>0</v>
      </c>
      <c r="G30" s="95">
        <f t="shared" si="5"/>
        <v>0</v>
      </c>
      <c r="H30" t="str">
        <f>IF(OR(Tulokset!$G$6="",Tulokset!$I$6="",'27'!$I$7="",'27'!$K$7=""),"",IF(SIGN('27'!$I$7-'27'!$K$7)&lt;&gt;SIGN(Tulokset!$G$6-Tulokset!$I$6),0,IF(Tulokset!$G$6=Tulokset!$I$6,IF(AND('27'!$I$7=Tulokset!$G$6,'27'!$K$7=Tulokset!$I$6),6,3),MAX(0,6-(ABS('27'!$I$7-Tulokset!$G$6)+ABS('27'!$K$7-Tulokset!$I$6))))))</f>
        <v/>
      </c>
      <c r="I30" t="str">
        <f>IF(OR(Tulokset!$G$7="",Tulokset!$I$7="",'27'!$I$8="",'27'!$K$8=""),"",IF(SIGN('27'!$I$8-'27'!$K$8)&lt;&gt;SIGN(Tulokset!$G$7-Tulokset!$I$7),0,IF(Tulokset!$G$7=Tulokset!$I$7,IF(AND('27'!$I$8=Tulokset!$G$7,'27'!$K$8=Tulokset!$I$7),6,3),MAX(0,6-(ABS('27'!$I$8-Tulokset!$G$7)+ABS('27'!$K$8-Tulokset!$I$7))))))</f>
        <v/>
      </c>
      <c r="J30" t="str">
        <f>IF(OR(Tulokset!$G$8="",Tulokset!$I$8="",'27'!$I$9="",'27'!$K$9=""),"",IF(SIGN('27'!$I$9-'27'!$K$9)&lt;&gt;SIGN(Tulokset!$G$8-Tulokset!$I$8),0,IF(Tulokset!$G$8=Tulokset!$I$8,IF(AND('27'!$I$9=Tulokset!$G$8,'27'!$K$9=Tulokset!$I$8),6,3),MAX(0,6-(ABS('27'!$I$9-Tulokset!$G$8)+ABS('27'!$K$9-Tulokset!$I$8))))))</f>
        <v/>
      </c>
      <c r="K30" t="str">
        <f>IF(OR(Tulokset!$G$9="",Tulokset!$I$9="",'27'!$I$10="",'27'!$K$10=""),"",IF(SIGN('27'!$I$10-'27'!$K$10)&lt;&gt;SIGN(Tulokset!$G$9-Tulokset!$I$9),0,IF(Tulokset!$G$9=Tulokset!$I$9,IF(AND('27'!$I$10=Tulokset!$G$9,'27'!$K$10=Tulokset!$I$9),6,3),MAX(0,6-(ABS('27'!$I$10-Tulokset!$G$9)+ABS('27'!$K$10-Tulokset!$I$9))))))</f>
        <v/>
      </c>
      <c r="L30" t="str">
        <f>IF(OR(Tulokset!$G$10="",Tulokset!$I$10="",'27'!$I$11="",'27'!$K$11=""),"",IF(SIGN('27'!$I$11-'27'!$K$11)&lt;&gt;SIGN(Tulokset!$G$10-Tulokset!$I$10),0,IF(Tulokset!$G$10=Tulokset!$I$10,IF(AND('27'!$I$11=Tulokset!$G$10,'27'!$K$11=Tulokset!$I$10),6,3),MAX(0,6-(ABS('27'!$I$11-Tulokset!$G$10)+ABS('27'!$K$11-Tulokset!$I$10))))))</f>
        <v/>
      </c>
      <c r="M30" t="str">
        <f>IF(OR(Tulokset!$G$11="",Tulokset!$I$11="",'27'!$I$12="",'27'!$K$12=""),"",IF(SIGN('27'!$I$12-'27'!$K$12)&lt;&gt;SIGN(Tulokset!$G$11-Tulokset!$I$11),0,IF(Tulokset!$G$11=Tulokset!$I$11,IF(AND('27'!$I$12=Tulokset!$G$11,'27'!$K$12=Tulokset!$I$11),6,3),MAX(0,6-(ABS('27'!$I$12-Tulokset!$G$11)+ABS('27'!$K$12-Tulokset!$I$11))))))</f>
        <v/>
      </c>
      <c r="N30" t="str">
        <f>IF(OR(Tulokset!$G$12="",Tulokset!$I$12="",'27'!$I$13="",'27'!$K$13=""),"",IF(SIGN('27'!$I$13-'27'!$K$13)&lt;&gt;SIGN(Tulokset!$G$12-Tulokset!$I$12),0,IF(Tulokset!$G$12=Tulokset!$I$12,IF(AND('27'!$I$13=Tulokset!$G$12,'27'!$K$13=Tulokset!$I$12),6,3),MAX(0,6-(ABS('27'!$I$13-Tulokset!$G$12)+ABS('27'!$K$13-Tulokset!$I$12))))))</f>
        <v/>
      </c>
      <c r="O30" t="str">
        <f>IF(OR(Tulokset!$G$13="",Tulokset!$I$13="",'27'!$I$14="",'27'!$K$14=""),"",IF(SIGN('27'!$I$14-'27'!$K$14)&lt;&gt;SIGN(Tulokset!$G$13-Tulokset!$I$13),0,IF(Tulokset!$G$13=Tulokset!$I$13,IF(AND('27'!$I$14=Tulokset!$G$13,'27'!$K$14=Tulokset!$I$13),6,3),MAX(0,6-(ABS('27'!$I$14-Tulokset!$G$13)+ABS('27'!$K$14-Tulokset!$I$13))))))</f>
        <v/>
      </c>
      <c r="P30" t="str">
        <f>IF(OR(Tulokset!$G$14="",Tulokset!$I$14="",'27'!$I$15="",'27'!$K$15=""),"",IF(SIGN('27'!$I$15-'27'!$K$15)&lt;&gt;SIGN(Tulokset!$G$14-Tulokset!$I$14),0,IF(Tulokset!$G$14=Tulokset!$I$14,IF(AND('27'!$I$15=Tulokset!$G$14,'27'!$K$15=Tulokset!$I$14),6,3),MAX(0,6-(ABS('27'!$I$15-Tulokset!$G$14)+ABS('27'!$K$15-Tulokset!$I$14))))))</f>
        <v/>
      </c>
      <c r="Q30" t="str">
        <f>IF(OR(Tulokset!$G$15="",Tulokset!$I$15="",'27'!$I$16="",'27'!$K$16=""),"",IF(SIGN('27'!$I$16-'27'!$K$16)&lt;&gt;SIGN(Tulokset!$G$15-Tulokset!$I$15),0,IF(Tulokset!$G$15=Tulokset!$I$15,IF(AND('27'!$I$16=Tulokset!$G$15,'27'!$K$16=Tulokset!$I$15),6,3),MAX(0,6-(ABS('27'!$I$16-Tulokset!$G$15)+ABS('27'!$K$16-Tulokset!$I$15))))))</f>
        <v/>
      </c>
      <c r="R30" t="str">
        <f>IF(OR(Tulokset!$G$16="",Tulokset!$I$16="",'27'!$I$17="",'27'!$K$17=""),"",IF(SIGN('27'!$I$17-'27'!$K$17)&lt;&gt;SIGN(Tulokset!$G$16-Tulokset!$I$16),0,IF(Tulokset!$G$16=Tulokset!$I$16,IF(AND('27'!$I$17=Tulokset!$G$16,'27'!$K$17=Tulokset!$I$16),6,3),MAX(0,6-(ABS('27'!$I$17-Tulokset!$G$16)+ABS('27'!$K$17-Tulokset!$I$16))))))</f>
        <v/>
      </c>
      <c r="S30" t="str">
        <f>IF(OR(Tulokset!$G$17="",Tulokset!$I$17="",'27'!$I$18="",'27'!$K$18=""),"",IF(SIGN('27'!$I$18-'27'!$K$18)&lt;&gt;SIGN(Tulokset!$G$17-Tulokset!$I$17),0,IF(Tulokset!$G$17=Tulokset!$I$17,IF(AND('27'!$I$18=Tulokset!$G$17,'27'!$K$18=Tulokset!$I$17),6,3),MAX(0,6-(ABS('27'!$I$18-Tulokset!$G$17)+ABS('27'!$K$18-Tulokset!$I$17))))))</f>
        <v/>
      </c>
      <c r="T30" t="str">
        <f>IF(OR(Tulokset!$G$18="",Tulokset!$I$18="",'27'!$I$19="",'27'!$K$19=""),"",IF(SIGN('27'!$I$19-'27'!$K$19)&lt;&gt;SIGN(Tulokset!$G$18-Tulokset!$I$18),0,IF(Tulokset!$G$18=Tulokset!$I$18,IF(AND('27'!$I$19=Tulokset!$G$18,'27'!$K$19=Tulokset!$I$18),6,3),MAX(0,6-(ABS('27'!$I$19-Tulokset!$G$18)+ABS('27'!$K$19-Tulokset!$I$18))))))</f>
        <v/>
      </c>
      <c r="U30" t="str">
        <f>IF(OR(Tulokset!$G$19="",Tulokset!$I$19="",'27'!$I$20="",'27'!$K$20=""),"",IF(SIGN('27'!$I$20-'27'!$K$20)&lt;&gt;SIGN(Tulokset!$G$19-Tulokset!$I$19),0,IF(Tulokset!$G$19=Tulokset!$I$19,IF(AND('27'!$I$20=Tulokset!$G$19,'27'!$K$20=Tulokset!$I$19),6,3),MAX(0,6-(ABS('27'!$I$20-Tulokset!$G$19)+ABS('27'!$K$20-Tulokset!$I$19))))))</f>
        <v/>
      </c>
      <c r="V30" t="str">
        <f>IF(OR(Tulokset!$G$20="",Tulokset!$I$20="",'27'!$I$21="",'27'!$K$21=""),"",IF(SIGN('27'!$I$21-'27'!$K$21)&lt;&gt;SIGN(Tulokset!$G$20-Tulokset!$I$20),0,IF(Tulokset!$G$20=Tulokset!$I$20,IF(AND('27'!$I$21=Tulokset!$G$20,'27'!$K$21=Tulokset!$I$20),6,3),MAX(0,6-(ABS('27'!$I$21-Tulokset!$G$20)+ABS('27'!$K$21-Tulokset!$I$20))))))</f>
        <v/>
      </c>
      <c r="W30" t="str">
        <f>IF(OR(Tulokset!$G$21="",Tulokset!$I$21="",'27'!$I$22="",'27'!$K$22=""),"",IF(SIGN('27'!$I$22-'27'!$K$22)&lt;&gt;SIGN(Tulokset!$G$21-Tulokset!$I$21),0,IF(Tulokset!$G$21=Tulokset!$I$21,IF(AND('27'!$I$22=Tulokset!$G$21,'27'!$K$22=Tulokset!$I$21),6,3),MAX(0,6-(ABS('27'!$I$22-Tulokset!$G$21)+ABS('27'!$K$22-Tulokset!$I$21))))))</f>
        <v/>
      </c>
      <c r="X30" t="str">
        <f>IF(OR(Tulokset!$G$22="",Tulokset!$I$22="",'27'!$I$23="",'27'!$K$23=""),"",IF(SIGN('27'!$I$23-'27'!$K$23)&lt;&gt;SIGN(Tulokset!$G$22-Tulokset!$I$22),0,IF(Tulokset!$G$22=Tulokset!$I$22,IF(AND('27'!$I$23=Tulokset!$G$22,'27'!$K$23=Tulokset!$I$22),6,3),MAX(0,6-(ABS('27'!$I$23-Tulokset!$G$22)+ABS('27'!$K$23-Tulokset!$I$22))))))</f>
        <v/>
      </c>
      <c r="Y30" t="str">
        <f>IF(OR(Tulokset!$G$23="",Tulokset!$I$23="",'27'!$I$24="",'27'!$K$24=""),"",IF(SIGN('27'!$I$24-'27'!$K$24)&lt;&gt;SIGN(Tulokset!$G$23-Tulokset!$I$23),0,IF(Tulokset!$G$23=Tulokset!$I$23,IF(AND('27'!$I$24=Tulokset!$G$23,'27'!$K$24=Tulokset!$I$23),6,3),MAX(0,6-(ABS('27'!$I$24-Tulokset!$G$23)+ABS('27'!$K$24-Tulokset!$I$23))))))</f>
        <v/>
      </c>
      <c r="Z30" t="str">
        <f>IF(OR(Tulokset!$G$24="",Tulokset!$I$24="",'27'!$I$25="",'27'!$K$25=""),"",IF(SIGN('27'!$I$25-'27'!$K$25)&lt;&gt;SIGN(Tulokset!$G$24-Tulokset!$I$24),0,IF(Tulokset!$G$24=Tulokset!$I$24,IF(AND('27'!$I$25=Tulokset!$G$24,'27'!$K$25=Tulokset!$I$24),6,3),MAX(0,6-(ABS('27'!$I$25-Tulokset!$G$24)+ABS('27'!$K$25-Tulokset!$I$24))))))</f>
        <v/>
      </c>
      <c r="AA30" t="str">
        <f>IF(OR(Tulokset!$G$25="",Tulokset!$I$25="",'27'!$I$26="",'27'!$K$26=""),"",IF(SIGN('27'!$I$26-'27'!$K$26)&lt;&gt;SIGN(Tulokset!$G$25-Tulokset!$I$25),0,IF(Tulokset!$G$25=Tulokset!$I$25,IF(AND('27'!$I$26=Tulokset!$G$25,'27'!$K$26=Tulokset!$I$25),6,3),MAX(0,6-(ABS('27'!$I$26-Tulokset!$G$25)+ABS('27'!$K$26-Tulokset!$I$25))))))</f>
        <v/>
      </c>
      <c r="AB30" t="str">
        <f>IF(OR(Tulokset!$G$26="",Tulokset!$I$26="",'27'!$I$27="",'27'!$K$27=""),"",IF(SIGN('27'!$I$27-'27'!$K$27)&lt;&gt;SIGN(Tulokset!$G$26-Tulokset!$I$26),0,IF(Tulokset!$G$26=Tulokset!$I$26,IF(AND('27'!$I$27=Tulokset!$G$26,'27'!$K$27=Tulokset!$I$26),6,3),MAX(0,6-(ABS('27'!$I$27-Tulokset!$G$26)+ABS('27'!$K$27-Tulokset!$I$26))))))</f>
        <v/>
      </c>
      <c r="AC30" t="str">
        <f>IF(OR(Tulokset!$G$27="",Tulokset!$I$27="",'27'!$I$28="",'27'!$K$28=""),"",IF(SIGN('27'!$I$28-'27'!$K$28)&lt;&gt;SIGN(Tulokset!$G$27-Tulokset!$I$27),0,IF(Tulokset!$G$27=Tulokset!$I$27,IF(AND('27'!$I$28=Tulokset!$G$27,'27'!$K$28=Tulokset!$I$27),6,3),MAX(0,6-(ABS('27'!$I$28-Tulokset!$G$27)+ABS('27'!$K$28-Tulokset!$I$27))))))</f>
        <v/>
      </c>
      <c r="AD30" t="str">
        <f>IF(OR(Tulokset!$G$28="",Tulokset!$I$28="",'27'!$I$29="",'27'!$K$29=""),"",IF(SIGN('27'!$I$29-'27'!$K$29)&lt;&gt;SIGN(Tulokset!$G$28-Tulokset!$I$28),0,IF(Tulokset!$G$28=Tulokset!$I$28,IF(AND('27'!$I$29=Tulokset!$G$28,'27'!$K$29=Tulokset!$I$28),6,3),MAX(0,6-(ABS('27'!$I$29-Tulokset!$G$28)+ABS('27'!$K$29-Tulokset!$I$28))))))</f>
        <v/>
      </c>
      <c r="AE30" t="str">
        <f>IF(OR(Tulokset!$G$29="",Tulokset!$I$29="",'27'!$I$30="",'27'!$K$30=""),"",IF(SIGN('27'!$I$30-'27'!$K$30)&lt;&gt;SIGN(Tulokset!$G$29-Tulokset!$I$29),0,IF(Tulokset!$G$29=Tulokset!$I$29,IF(AND('27'!$I$30=Tulokset!$G$29,'27'!$K$30=Tulokset!$I$29),6,3),MAX(0,6-(ABS('27'!$I$30-Tulokset!$G$29)+ABS('27'!$K$30-Tulokset!$I$29))))))</f>
        <v/>
      </c>
      <c r="AF30" t="str">
        <f>IF(OR(Tulokset!$G$30="",Tulokset!$I$30="",'27'!$I$31="",'27'!$K$31=""),"",IF(SIGN('27'!$I$31-'27'!$K$31)&lt;&gt;SIGN(Tulokset!$G$30-Tulokset!$I$30),0,IF(Tulokset!$G$30=Tulokset!$I$30,IF(AND('27'!$I$31=Tulokset!$G$30,'27'!$K$31=Tulokset!$I$30),6,3),MAX(0,6-(ABS('27'!$I$31-Tulokset!$G$30)+ABS('27'!$K$31-Tulokset!$I$30))))))</f>
        <v/>
      </c>
      <c r="AG30" t="str">
        <f>IF(OR(Tulokset!$G$31="",Tulokset!$I$31="",'27'!$I$32="",'27'!$K$32=""),"",IF(SIGN('27'!$I$32-'27'!$K$32)&lt;&gt;SIGN(Tulokset!$G$31-Tulokset!$I$31),0,IF(Tulokset!$G$31=Tulokset!$I$31,IF(AND('27'!$I$32=Tulokset!$G$31,'27'!$K$32=Tulokset!$I$31),6,3),MAX(0,6-(ABS('27'!$I$32-Tulokset!$G$31)+ABS('27'!$K$32-Tulokset!$I$31))))))</f>
        <v/>
      </c>
      <c r="AH30" t="str">
        <f>IF(OR(Tulokset!$G$32="",Tulokset!$I$32="",'27'!$I$33="",'27'!$K$33=""),"",IF(SIGN('27'!$I$33-'27'!$K$33)&lt;&gt;SIGN(Tulokset!$G$32-Tulokset!$I$32),0,IF(Tulokset!$G$32=Tulokset!$I$32,IF(AND('27'!$I$33=Tulokset!$G$32,'27'!$K$33=Tulokset!$I$32),6,3),MAX(0,6-(ABS('27'!$I$33-Tulokset!$G$32)+ABS('27'!$K$33-Tulokset!$I$32))))))</f>
        <v/>
      </c>
      <c r="AI30" t="str">
        <f>IF(OR(Tulokset!$G$33="",Tulokset!$I$33="",'27'!$I$34="",'27'!$K$34=""),"",IF(SIGN('27'!$I$34-'27'!$K$34)&lt;&gt;SIGN(Tulokset!$G$33-Tulokset!$I$33),0,IF(Tulokset!$G$33=Tulokset!$I$33,IF(AND('27'!$I$34=Tulokset!$G$33,'27'!$K$34=Tulokset!$I$33),6,3),MAX(0,6-(ABS('27'!$I$34-Tulokset!$G$33)+ABS('27'!$K$34-Tulokset!$I$33))))))</f>
        <v/>
      </c>
      <c r="AJ30" t="str">
        <f>IF(OR(Tulokset!$G$34="",Tulokset!$I$34="",'27'!$I$35="",'27'!$K$35=""),"",IF(SIGN('27'!$I$35-'27'!$K$35)&lt;&gt;SIGN(Tulokset!$G$34-Tulokset!$I$34),0,IF(Tulokset!$G$34=Tulokset!$I$34,IF(AND('27'!$I$35=Tulokset!$G$34,'27'!$K$35=Tulokset!$I$34),6,3),MAX(0,6-(ABS('27'!$I$35-Tulokset!$G$34)+ABS('27'!$K$35-Tulokset!$I$34))))))</f>
        <v/>
      </c>
      <c r="AK30" t="str">
        <f>IF(OR(Tulokset!$G$35="",Tulokset!$I$35="",'27'!$I$36="",'27'!$K$36=""),"",IF(SIGN('27'!$I$36-'27'!$K$36)&lt;&gt;SIGN(Tulokset!$G$35-Tulokset!$I$35),0,IF(Tulokset!$G$35=Tulokset!$I$35,IF(AND('27'!$I$36=Tulokset!$G$35,'27'!$K$36=Tulokset!$I$35),6,3),MAX(0,6-(ABS('27'!$I$36-Tulokset!$G$35)+ABS('27'!$K$36-Tulokset!$I$35))))))</f>
        <v/>
      </c>
      <c r="AL30" t="str">
        <f>IF(OR(Tulokset!$G$36="",Tulokset!$I$36="",'27'!$I$37="",'27'!$K$37=""),"",IF(SIGN('27'!$I$37-'27'!$K$37)&lt;&gt;SIGN(Tulokset!$G$36-Tulokset!$I$36),0,IF(Tulokset!$G$36=Tulokset!$I$36,IF(AND('27'!$I$37=Tulokset!$G$36,'27'!$K$37=Tulokset!$I$36),6,3),MAX(0,6-(ABS('27'!$I$37-Tulokset!$G$36)+ABS('27'!$K$37-Tulokset!$I$36))))))</f>
        <v/>
      </c>
      <c r="AM30" t="str">
        <f>IF(OR(Tulokset!$G$37="",Tulokset!$I$37="",'27'!$I$38="",'27'!$K$38=""),"",IF(SIGN('27'!$I$38-'27'!$K$38)&lt;&gt;SIGN(Tulokset!$G$37-Tulokset!$I$37),0,IF(Tulokset!$G$37=Tulokset!$I$37,IF(AND('27'!$I$38=Tulokset!$G$37,'27'!$K$38=Tulokset!$I$37),6,3),MAX(0,6-(ABS('27'!$I$38-Tulokset!$G$37)+ABS('27'!$K$38-Tulokset!$I$37))))))</f>
        <v/>
      </c>
      <c r="AN30" t="str">
        <f>IF(OR(Tulokset!$G$38="",Tulokset!$I$38="",'27'!$I$39="",'27'!$K$39=""),"",IF(SIGN('27'!$I$39-'27'!$K$39)&lt;&gt;SIGN(Tulokset!$G$38-Tulokset!$I$38),0,IF(Tulokset!$G$38=Tulokset!$I$38,IF(AND('27'!$I$39=Tulokset!$G$38,'27'!$K$39=Tulokset!$I$38),6,3),MAX(0,6-(ABS('27'!$I$39-Tulokset!$G$38)+ABS('27'!$K$39-Tulokset!$I$38))))))</f>
        <v/>
      </c>
      <c r="AO30" t="str">
        <f>IF(OR(Tulokset!$G$39="",Tulokset!$I$39="",'27'!$I$40="",'27'!$K$40=""),"",IF(SIGN('27'!$I$40-'27'!$K$40)&lt;&gt;SIGN(Tulokset!$G$39-Tulokset!$I$39),0,IF(Tulokset!$G$39=Tulokset!$I$39,IF(AND('27'!$I$40=Tulokset!$G$39,'27'!$K$40=Tulokset!$I$39),6,3),MAX(0,6-(ABS('27'!$I$40-Tulokset!$G$39)+ABS('27'!$K$40-Tulokset!$I$39))))))</f>
        <v/>
      </c>
      <c r="AP30" t="str">
        <f>IF(OR(Tulokset!$G$40="",Tulokset!$I$40="",'27'!$I$41="",'27'!$K$41=""),"",IF(SIGN('27'!$I$41-'27'!$K$41)&lt;&gt;SIGN(Tulokset!$G$40-Tulokset!$I$40),0,IF(Tulokset!$G$40=Tulokset!$I$40,IF(AND('27'!$I$41=Tulokset!$G$40,'27'!$K$41=Tulokset!$I$40),6,3),MAX(0,6-(ABS('27'!$I$41-Tulokset!$G$40)+ABS('27'!$K$41-Tulokset!$I$40))))))</f>
        <v/>
      </c>
      <c r="AQ30" t="str">
        <f>IF(OR(Tulokset!$G$41="",Tulokset!$I$41="",'27'!$I$42="",'27'!$K$42=""),"",IF(SIGN('27'!$I$42-'27'!$K$42)&lt;&gt;SIGN(Tulokset!$G$41-Tulokset!$I$41),0,IF(Tulokset!$G$41=Tulokset!$I$41,IF(AND('27'!$I$42=Tulokset!$G$41,'27'!$K$42=Tulokset!$I$41),6,3),MAX(0,6-(ABS('27'!$I$42-Tulokset!$G$41)+ABS('27'!$K$42-Tulokset!$I$41))))))</f>
        <v/>
      </c>
      <c r="AR30" t="str">
        <f>IF(OR(Tulokset!$G$42="",Tulokset!$I$42="",'27'!$I$43="",'27'!$K$43=""),"",IF(SIGN('27'!$I$43-'27'!$K$43)&lt;&gt;SIGN(Tulokset!$G$42-Tulokset!$I$42),0,IF(Tulokset!$G$42=Tulokset!$I$42,IF(AND('27'!$I$43=Tulokset!$G$42,'27'!$K$43=Tulokset!$I$42),6,3),MAX(0,6-(ABS('27'!$I$43-Tulokset!$G$42)+ABS('27'!$K$43-Tulokset!$I$42))))))</f>
        <v/>
      </c>
      <c r="AS30" t="str">
        <f>IF(OR(Tulokset!$G$43="",Tulokset!$I$43="",'27'!$I$44="",'27'!$K$44=""),"",IF(SIGN('27'!$I$44-'27'!$K$44)&lt;&gt;SIGN(Tulokset!$G$43-Tulokset!$I$43),0,IF(Tulokset!$G$43=Tulokset!$I$43,IF(AND('27'!$I$44=Tulokset!$G$43,'27'!$K$44=Tulokset!$I$43),6,3),MAX(0,6-(ABS('27'!$I$44-Tulokset!$G$43)+ABS('27'!$K$44-Tulokset!$I$43))))))</f>
        <v/>
      </c>
      <c r="AT30" t="str">
        <f>IF(OR(Tulokset!$G$44="",Tulokset!$I$44="",'27'!$I$45="",'27'!$K$45=""),"",IF(SIGN('27'!$I$45-'27'!$K$45)&lt;&gt;SIGN(Tulokset!$G$44-Tulokset!$I$44),0,IF(Tulokset!$G$44=Tulokset!$I$44,IF(AND('27'!$I$45=Tulokset!$G$44,'27'!$K$45=Tulokset!$I$44),6,3),MAX(0,6-(ABS('27'!$I$45-Tulokset!$G$44)+ABS('27'!$K$45-Tulokset!$I$44))))))</f>
        <v/>
      </c>
      <c r="AU30" t="str">
        <f>IF(OR(Tulokset!$G$45="",Tulokset!$I$45="",'27'!$I$46="",'27'!$K$46=""),"",IF(SIGN('27'!$I$46-'27'!$K$46)&lt;&gt;SIGN(Tulokset!$G$45-Tulokset!$I$45),0,IF(Tulokset!$G$45=Tulokset!$I$45,IF(AND('27'!$I$46=Tulokset!$G$45,'27'!$K$46=Tulokset!$I$45),6,3),MAX(0,6-(ABS('27'!$I$46-Tulokset!$G$45)+ABS('27'!$K$46-Tulokset!$I$45))))))</f>
        <v/>
      </c>
      <c r="AV30" t="str">
        <f>IF(OR(Tulokset!$G$46="",Tulokset!$I$46="",'27'!$I$47="",'27'!$K$47=""),"",IF(SIGN('27'!$I$47-'27'!$K$47)&lt;&gt;SIGN(Tulokset!$G$46-Tulokset!$I$46),0,IF(Tulokset!$G$46=Tulokset!$I$46,IF(AND('27'!$I$47=Tulokset!$G$46,'27'!$K$47=Tulokset!$I$46),6,3),MAX(0,6-(ABS('27'!$I$47-Tulokset!$G$46)+ABS('27'!$K$47-Tulokset!$I$46))))))</f>
        <v/>
      </c>
      <c r="AW30" t="str">
        <f>IF(OR(Tulokset!$G$47="",Tulokset!$I$47="",'27'!$I$48="",'27'!$K$48=""),"",IF(SIGN('27'!$I$48-'27'!$K$48)&lt;&gt;SIGN(Tulokset!$G$47-Tulokset!$I$47),0,IF(Tulokset!$G$47=Tulokset!$I$47,IF(AND('27'!$I$48=Tulokset!$G$47,'27'!$K$48=Tulokset!$I$47),6,3),MAX(0,6-(ABS('27'!$I$48-Tulokset!$G$47)+ABS('27'!$K$48-Tulokset!$I$47))))))</f>
        <v/>
      </c>
      <c r="AX30" t="str">
        <f>IF(OR(Tulokset!$G$48="",Tulokset!$I$48="",'27'!$I$49="",'27'!$K$49=""),"",IF(SIGN('27'!$I$49-'27'!$K$49)&lt;&gt;SIGN(Tulokset!$G$48-Tulokset!$I$48),0,IF(Tulokset!$G$48=Tulokset!$I$48,IF(AND('27'!$I$49=Tulokset!$G$48,'27'!$K$49=Tulokset!$I$48),6,3),MAX(0,6-(ABS('27'!$I$49-Tulokset!$G$48)+ABS('27'!$K$49-Tulokset!$I$48))))))</f>
        <v/>
      </c>
      <c r="AY30" t="str">
        <f>IF(OR(Tulokset!$G$49="",Tulokset!$I$49="",'27'!$I$50="",'27'!$K$50=""),"",IF(SIGN('27'!$I$50-'27'!$K$50)&lt;&gt;SIGN(Tulokset!$G$49-Tulokset!$I$49),0,IF(Tulokset!$G$49=Tulokset!$I$49,IF(AND('27'!$I$50=Tulokset!$G$49,'27'!$K$50=Tulokset!$I$49),6,3),MAX(0,6-(ABS('27'!$I$50-Tulokset!$G$49)+ABS('27'!$K$50-Tulokset!$I$49))))))</f>
        <v/>
      </c>
      <c r="AZ30" t="str">
        <f>IF(OR(Tulokset!$G$50="",Tulokset!$I$50="",'27'!$I$51="",'27'!$K$51=""),"",IF(SIGN('27'!$I$51-'27'!$K$51)&lt;&gt;SIGN(Tulokset!$G$50-Tulokset!$I$50),0,IF(Tulokset!$G$50=Tulokset!$I$50,IF(AND('27'!$I$51=Tulokset!$G$50,'27'!$K$51=Tulokset!$I$50),6,3),MAX(0,6-(ABS('27'!$I$51-Tulokset!$G$50)+ABS('27'!$K$51-Tulokset!$I$50))))))</f>
        <v/>
      </c>
      <c r="BA30" t="str">
        <f>IF(OR(Tulokset!$G$51="",Tulokset!$I$51="",'27'!$I$52="",'27'!$K$52=""),"",IF(SIGN('27'!$I$52-'27'!$K$52)&lt;&gt;SIGN(Tulokset!$G$51-Tulokset!$I$51),0,IF(Tulokset!$G$51=Tulokset!$I$51,IF(AND('27'!$I$52=Tulokset!$G$51,'27'!$K$52=Tulokset!$I$51),6,3),MAX(0,6-(ABS('27'!$I$52-Tulokset!$G$51)+ABS('27'!$K$52-Tulokset!$I$51))))))</f>
        <v/>
      </c>
      <c r="BB30" t="str">
        <f>IF(OR(Tulokset!$G$52="",Tulokset!$I$52="",'27'!$I$53="",'27'!$K$53=""),"",IF(SIGN('27'!$I$53-'27'!$K$53)&lt;&gt;SIGN(Tulokset!$G$52-Tulokset!$I$52),0,IF(Tulokset!$G$52=Tulokset!$I$52,IF(AND('27'!$I$53=Tulokset!$G$52,'27'!$K$53=Tulokset!$I$52),6,3),MAX(0,6-(ABS('27'!$I$53-Tulokset!$G$52)+ABS('27'!$K$53-Tulokset!$I$52))))))</f>
        <v/>
      </c>
      <c r="BC30" t="str">
        <f>IF(OR(Tulokset!$G$53="",Tulokset!$I$53="",'27'!$I$54="",'27'!$K$54=""),"",IF(SIGN('27'!$I$54-'27'!$K$54)&lt;&gt;SIGN(Tulokset!$G$53-Tulokset!$I$53),0,IF(Tulokset!$G$53=Tulokset!$I$53,IF(AND('27'!$I$54=Tulokset!$G$53,'27'!$K$54=Tulokset!$I$53),6,3),MAX(0,6-(ABS('27'!$I$54-Tulokset!$G$53)+ABS('27'!$K$54-Tulokset!$I$53))))))</f>
        <v/>
      </c>
      <c r="BD30" t="str">
        <f>IF(OR(Tulokset!$G$54="",Tulokset!$I$54="",'27'!$I$55="",'27'!$K$55=""),"",IF(SIGN('27'!$I$55-'27'!$K$55)&lt;&gt;SIGN(Tulokset!$G$54-Tulokset!$I$54),0,IF(Tulokset!$G$54=Tulokset!$I$54,IF(AND('27'!$I$55=Tulokset!$G$54,'27'!$K$55=Tulokset!$I$54),6,3),MAX(0,6-(ABS('27'!$I$55-Tulokset!$G$54)+ABS('27'!$K$55-Tulokset!$I$54))))))</f>
        <v/>
      </c>
      <c r="BE30" t="str">
        <f>IF(OR(Tulokset!$G$55="",Tulokset!$I$55="",'27'!$I$56="",'27'!$K$56=""),"",IF(SIGN('27'!$I$56-'27'!$K$56)&lt;&gt;SIGN(Tulokset!$G$55-Tulokset!$I$55),0,IF(Tulokset!$G$55=Tulokset!$I$55,IF(AND('27'!$I$56=Tulokset!$G$55,'27'!$K$56=Tulokset!$I$55),6,3),MAX(0,6-(ABS('27'!$I$56-Tulokset!$G$55)+ABS('27'!$K$56-Tulokset!$I$55))))))</f>
        <v/>
      </c>
      <c r="BF30" t="str">
        <f>IF(OR(Tulokset!$G$56="",Tulokset!$I$56="",'27'!$I$57="",'27'!$K$57=""),"",IF(SIGN('27'!$I$57-'27'!$K$57)&lt;&gt;SIGN(Tulokset!$G$56-Tulokset!$I$56),0,IF(Tulokset!$G$56=Tulokset!$I$56,IF(AND('27'!$I$57=Tulokset!$G$56,'27'!$K$57=Tulokset!$I$56),6,3),MAX(0,6-(ABS('27'!$I$57-Tulokset!$G$56)+ABS('27'!$K$57-Tulokset!$I$56))))))</f>
        <v/>
      </c>
      <c r="BG30" t="str">
        <f>IF(OR(Tulokset!$G$57="",Tulokset!$I$57="",'27'!$I$58="",'27'!$K$58=""),"",IF(SIGN('27'!$I$58-'27'!$K$58)&lt;&gt;SIGN(Tulokset!$G$57-Tulokset!$I$57),0,IF(Tulokset!$G$57=Tulokset!$I$57,IF(AND('27'!$I$58=Tulokset!$G$57,'27'!$K$58=Tulokset!$I$57),6,3),MAX(0,6-(ABS('27'!$I$58-Tulokset!$G$57)+ABS('27'!$K$58-Tulokset!$I$57))))))</f>
        <v/>
      </c>
      <c r="BH30" t="str">
        <f>IF(OR(Tulokset!$G$58="",Tulokset!$I$58="",'27'!$I$59="",'27'!$K$59=""),"",IF(SIGN('27'!$I$59-'27'!$K$59)&lt;&gt;SIGN(Tulokset!$G$58-Tulokset!$I$58),0,IF(Tulokset!$G$58=Tulokset!$I$58,IF(AND('27'!$I$59=Tulokset!$G$58,'27'!$K$59=Tulokset!$I$58),6,3),MAX(0,6-(ABS('27'!$I$59-Tulokset!$G$58)+ABS('27'!$K$59-Tulokset!$I$58))))))</f>
        <v/>
      </c>
      <c r="BI30" t="str">
        <f>IF(OR(Tulokset!$G$59="",Tulokset!$I$59="",'27'!$I$60="",'27'!$K$60=""),"",IF(SIGN('27'!$I$60-'27'!$K$60)&lt;&gt;SIGN(Tulokset!$G$59-Tulokset!$I$59),0,IF(Tulokset!$G$59=Tulokset!$I$59,IF(AND('27'!$I$60=Tulokset!$G$59,'27'!$K$60=Tulokset!$I$59),6,3),MAX(0,6-(ABS('27'!$I$60-Tulokset!$G$59)+ABS('27'!$K$60-Tulokset!$I$59))))))</f>
        <v/>
      </c>
      <c r="BJ30" t="str">
        <f>IF(OR(Tulokset!$G$60="",Tulokset!$I$60="",'27'!$I$61="",'27'!$K$61=""),"",IF(SIGN('27'!$I$61-'27'!$K$61)&lt;&gt;SIGN(Tulokset!$G$60-Tulokset!$I$60),0,IF(Tulokset!$G$60=Tulokset!$I$60,IF(AND('27'!$I$61=Tulokset!$G$60,'27'!$K$61=Tulokset!$I$60),6,3),MAX(0,6-(ABS('27'!$I$61-Tulokset!$G$60)+ABS('27'!$K$61-Tulokset!$I$60))))))</f>
        <v/>
      </c>
      <c r="BK30" t="str">
        <f>IF(OR(Tulokset!$G$61="",Tulokset!$I$61="",'27'!$I$62="",'27'!$K$62=""),"",IF(SIGN('27'!$I$62-'27'!$K$62)&lt;&gt;SIGN(Tulokset!$G$61-Tulokset!$I$61),0,IF(Tulokset!$G$61=Tulokset!$I$61,IF(AND('27'!$I$62=Tulokset!$G$61,'27'!$K$62=Tulokset!$I$61),6,3),MAX(0,6-(ABS('27'!$I$62-Tulokset!$G$61)+ABS('27'!$K$62-Tulokset!$I$61))))))</f>
        <v/>
      </c>
      <c r="BL30" t="str">
        <f>IF(OR(Tulokset!$G$62="",Tulokset!$I$62="",'27'!$I$63="",'27'!$K$63=""),"",IF(SIGN('27'!$I$63-'27'!$K$63)&lt;&gt;SIGN(Tulokset!$G$62-Tulokset!$I$62),0,IF(Tulokset!$G$62=Tulokset!$I$62,IF(AND('27'!$I$63=Tulokset!$G$62,'27'!$K$63=Tulokset!$I$62),6,3),MAX(0,6-(ABS('27'!$I$63-Tulokset!$G$62)+ABS('27'!$K$63-Tulokset!$I$62))))))</f>
        <v/>
      </c>
      <c r="BM30" t="str">
        <f>IF(OR(Tulokset!$G$63="",Tulokset!$I$63="",'27'!$I$64="",'27'!$K$64=""),"",IF(SIGN('27'!$I$64-'27'!$K$64)&lt;&gt;SIGN(Tulokset!$G$63-Tulokset!$I$63),0,IF(Tulokset!$G$63=Tulokset!$I$63,IF(AND('27'!$I$64=Tulokset!$G$63,'27'!$K$64=Tulokset!$I$63),6,3),MAX(0,6-(ABS('27'!$I$64-Tulokset!$G$63)+ABS('27'!$K$64-Tulokset!$I$63))))))</f>
        <v/>
      </c>
      <c r="BN30" t="str">
        <f>IF(OR(Tulokset!$G$64="",Tulokset!$I$64="",'27'!$I$65="",'27'!$K$65=""),"",IF(SIGN('27'!$I$65-'27'!$K$65)&lt;&gt;SIGN(Tulokset!$G$64-Tulokset!$I$64),0,IF(Tulokset!$G$64=Tulokset!$I$64,IF(AND('27'!$I$65=Tulokset!$G$64,'27'!$K$65=Tulokset!$I$64),6,3),MAX(0,6-(ABS('27'!$I$65-Tulokset!$G$64)+ABS('27'!$K$65-Tulokset!$I$64))))))</f>
        <v/>
      </c>
      <c r="BO30" t="str">
        <f>IF(OR(Tulokset!$G$65="",Tulokset!$I$65="",'27'!$I$66="",'27'!$K$66=""),"",IF(SIGN('27'!$I$66-'27'!$K$66)&lt;&gt;SIGN(Tulokset!$G$65-Tulokset!$I$65),0,IF(Tulokset!$G$65=Tulokset!$I$65,IF(AND('27'!$I$66=Tulokset!$G$65,'27'!$K$66=Tulokset!$I$65),6,3),MAX(0,6-(ABS('27'!$I$66-Tulokset!$G$65)+ABS('27'!$K$66-Tulokset!$I$65))))))</f>
        <v/>
      </c>
      <c r="BP30" t="str">
        <f>IF(OR(Tulokset!$G$66="",Tulokset!$I$66="",'27'!$I$67="",'27'!$K$67=""),"",IF(SIGN('27'!$I$67-'27'!$K$67)&lt;&gt;SIGN(Tulokset!$G$66-Tulokset!$I$66),0,IF(Tulokset!$G$66=Tulokset!$I$66,IF(AND('27'!$I$67=Tulokset!$G$66,'27'!$K$67=Tulokset!$I$66),6,3),MAX(0,6-(ABS('27'!$I$67-Tulokset!$G$66)+ABS('27'!$K$67-Tulokset!$I$66))))))</f>
        <v/>
      </c>
      <c r="BQ30" t="str">
        <f>IF(OR(Tulokset!$G$67="",Tulokset!$I$67="",'27'!$I$68="",'27'!$K$68=""),"",IF(SIGN('27'!$I$68-'27'!$K$68)&lt;&gt;SIGN(Tulokset!$G$67-Tulokset!$I$67),0,IF(Tulokset!$G$67=Tulokset!$I$67,IF(AND('27'!$I$68=Tulokset!$G$67,'27'!$K$68=Tulokset!$I$67),6,3),MAX(0,6-(ABS('27'!$I$68-Tulokset!$G$67)+ABS('27'!$K$68-Tulokset!$I$67))))))</f>
        <v/>
      </c>
      <c r="BR30" t="str">
        <f>IF(OR(Tulokset!$G$68="",Tulokset!$I$68="",'27'!$I$69="",'27'!$K$69=""),"",IF(SIGN('27'!$I$69-'27'!$K$69)&lt;&gt;SIGN(Tulokset!$G$68-Tulokset!$I$68),0,IF(Tulokset!$G$68=Tulokset!$I$68,IF(AND('27'!$I$69=Tulokset!$G$68,'27'!$K$69=Tulokset!$I$68),6,3),MAX(0,6-(ABS('27'!$I$69-Tulokset!$G$68)+ABS('27'!$K$69-Tulokset!$I$68))))))</f>
        <v/>
      </c>
      <c r="BS30" t="str">
        <f>IF(OR(Tulokset!$G$69="",Tulokset!$I$69="",'27'!$I$70="",'27'!$K$70=""),"",IF(SIGN('27'!$I$70-'27'!$K$70)&lt;&gt;SIGN(Tulokset!$G$69-Tulokset!$I$69),0,IF(Tulokset!$G$69=Tulokset!$I$69,IF(AND('27'!$I$70=Tulokset!$G$69,'27'!$K$70=Tulokset!$I$69),6,3),MAX(0,6-(ABS('27'!$I$70-Tulokset!$G$69)+ABS('27'!$K$70-Tulokset!$I$69))))))</f>
        <v/>
      </c>
      <c r="BT30" t="str">
        <f>IF(OR(Tulokset!$G$70="",Tulokset!$I$70="",'27'!$I$71="",'27'!$K$71=""),"",IF(SIGN('27'!$I$71-'27'!$K$71)&lt;&gt;SIGN(Tulokset!$G$70-Tulokset!$I$70),0,IF(Tulokset!$G$70=Tulokset!$I$70,IF(AND('27'!$I$71=Tulokset!$G$70,'27'!$K$71=Tulokset!$I$70),6,3),MAX(0,6-(ABS('27'!$I$71-Tulokset!$G$70)+ABS('27'!$K$71-Tulokset!$I$70))))))</f>
        <v/>
      </c>
      <c r="BU30" t="str">
        <f>IF(OR(Tulokset!$G$71="",Tulokset!$I$71="",'27'!$I$72="",'27'!$K$72=""),"",IF(SIGN('27'!$I$72-'27'!$K$72)&lt;&gt;SIGN(Tulokset!$G$71-Tulokset!$I$71),0,IF(Tulokset!$G$71=Tulokset!$I$71,IF(AND('27'!$I$72=Tulokset!$G$71,'27'!$K$72=Tulokset!$I$71),6,3),MAX(0,6-(ABS('27'!$I$72-Tulokset!$G$71)+ABS('27'!$K$72-Tulokset!$I$71))))))</f>
        <v/>
      </c>
      <c r="BV30" t="str">
        <f>IF(OR(Tulokset!$G$72="",Tulokset!$I$72="",'27'!$I$73="",'27'!$K$73=""),"",IF(SIGN('27'!$I$73-'27'!$K$73)&lt;&gt;SIGN(Tulokset!$G$72-Tulokset!$I$72),0,IF(Tulokset!$G$72=Tulokset!$I$72,IF(AND('27'!$I$73=Tulokset!$G$72,'27'!$K$73=Tulokset!$I$72),6,3),MAX(0,6-(ABS('27'!$I$73-Tulokset!$G$72)+ABS('27'!$K$73-Tulokset!$I$72))))))</f>
        <v/>
      </c>
      <c r="BW30" t="str">
        <f>IF(OR(Tulokset!$G$73="",Tulokset!$I$73="",'27'!$I$74="",'27'!$K$74=""),"",IF(SIGN('27'!$I$74-'27'!$K$74)&lt;&gt;SIGN(Tulokset!$G$73-Tulokset!$I$73),0,IF(Tulokset!$G$73=Tulokset!$I$73,IF(AND('27'!$I$74=Tulokset!$G$73,'27'!$K$74=Tulokset!$I$73),6,3),MAX(0,6-(ABS('27'!$I$74-Tulokset!$G$73)+ABS('27'!$K$74-Tulokset!$I$73))))))</f>
        <v/>
      </c>
      <c r="BX30" t="str">
        <f>IF(OR(Tulokset!$G$74="",Tulokset!$I$74="",'27'!$I$75="",'27'!$K$75=""),"",IF(SIGN('27'!$I$75-'27'!$K$75)&lt;&gt;SIGN(Tulokset!$G$74-Tulokset!$I$74),0,IF(Tulokset!$G$74=Tulokset!$I$74,IF(AND('27'!$I$75=Tulokset!$G$74,'27'!$K$75=Tulokset!$I$74),6,3),MAX(0,6-(ABS('27'!$I$75-Tulokset!$G$74)+ABS('27'!$K$75-Tulokset!$I$74))))))</f>
        <v/>
      </c>
      <c r="BY30" t="str">
        <f>IF(OR(Tulokset!$G$75="",Tulokset!$I$75="",'27'!$I$76="",'27'!$K$76=""),"",IF(SIGN('27'!$I$76-'27'!$K$76)&lt;&gt;SIGN(Tulokset!$G$75-Tulokset!$I$75),0,IF(Tulokset!$G$75=Tulokset!$I$75,IF(AND('27'!$I$76=Tulokset!$G$75,'27'!$K$76=Tulokset!$I$75),6,3),MAX(0,6-(ABS('27'!$I$76-Tulokset!$G$75)+ABS('27'!$K$76-Tulokset!$I$75))))))</f>
        <v/>
      </c>
      <c r="BZ30" t="str">
        <f>IF(OR(Tulokset!$G$76="",Tulokset!$I$76="",'27'!$I$77="",'27'!$K$77=""),"",IF(SIGN('27'!$I$77-'27'!$K$77)&lt;&gt;SIGN(Tulokset!$G$76-Tulokset!$I$76),0,IF(Tulokset!$G$76=Tulokset!$I$76,IF(AND('27'!$I$77=Tulokset!$G$76,'27'!$K$77=Tulokset!$I$76),6,3),MAX(0,6-(ABS('27'!$I$77-Tulokset!$G$76)+ABS('27'!$K$77-Tulokset!$I$76))))))</f>
        <v/>
      </c>
      <c r="CA30" t="str">
        <f>IF(OR(Tulokset!$G$77="",Tulokset!$I$77="",'27'!$I$78="",'27'!$K$78=""),"",IF(SIGN('27'!$I$78-'27'!$K$78)&lt;&gt;SIGN(Tulokset!$G$77-Tulokset!$I$77),0,IF(Tulokset!$G$77=Tulokset!$I$77,IF(AND('27'!$I$78=Tulokset!$G$77,'27'!$K$78=Tulokset!$I$77),6,3),MAX(0,6-(ABS('27'!$I$78-Tulokset!$G$77)+ABS('27'!$K$78-Tulokset!$I$77))))))</f>
        <v/>
      </c>
      <c r="CD30" t="str">
        <f ca="1">IF(OR(Tulokset!$M$6="",INDIRECT("'"&amp;$A30&amp;"'!$P$8")=""),"",IF(TRIM(INDIRECT("'"&amp;$A30&amp;"'!$P$8"))=TRIM(Tulokset!$M$6),2,0))</f>
        <v/>
      </c>
      <c r="CE30" t="str">
        <f ca="1">IF(OR(Tulokset!$M$7="",INDIRECT("'"&amp;$A30&amp;"'!$P$9")=""),"",IF(TRIM(INDIRECT("'"&amp;$A30&amp;"'!$P$9"))=TRIM(Tulokset!$M$7),2,0))</f>
        <v/>
      </c>
      <c r="CF30" t="str">
        <f ca="1">IF(OR(Tulokset!$M$8="",INDIRECT("'"&amp;$A30&amp;"'!$P$10")=""),"",IF(TRIM(INDIRECT("'"&amp;$A30&amp;"'!$P$10"))=TRIM(Tulokset!$M$8),2,0))</f>
        <v/>
      </c>
      <c r="CG30" t="str">
        <f ca="1">IF(OR(Tulokset!$M$9="",INDIRECT("'"&amp;$A30&amp;"'!$P$11")=""),"",IF(TRIM(INDIRECT("'"&amp;$A30&amp;"'!$P$11"))=TRIM(Tulokset!$M$9),2,0))</f>
        <v/>
      </c>
      <c r="CH30" t="str">
        <f ca="1">IF(OR(Tulokset!$N$6="",INDIRECT("'"&amp;$A30&amp;"'!$Q$8")=""),"",IF(TRIM(INDIRECT("'"&amp;$A30&amp;"'!$Q$8"))=TRIM(Tulokset!$N$6),2,0))</f>
        <v/>
      </c>
      <c r="CI30" t="str">
        <f ca="1">IF(OR(Tulokset!$N$7="",INDIRECT("'"&amp;$A30&amp;"'!$Q$9")=""),"",IF(TRIM(INDIRECT("'"&amp;$A30&amp;"'!$Q$9"))=TRIM(Tulokset!$N$7),2,0))</f>
        <v/>
      </c>
      <c r="CJ30" t="str">
        <f ca="1">IF(OR(Tulokset!$N$8="",INDIRECT("'"&amp;$A30&amp;"'!$Q$10")=""),"",IF(TRIM(INDIRECT("'"&amp;$A30&amp;"'!$Q$10"))=TRIM(Tulokset!$N$8),2,0))</f>
        <v/>
      </c>
      <c r="CK30" t="str">
        <f ca="1">IF(OR(Tulokset!$N$9="",INDIRECT("'"&amp;$A30&amp;"'!$Q$11")=""),"",IF(TRIM(INDIRECT("'"&amp;$A30&amp;"'!$Q$11"))=TRIM(Tulokset!$N$9),2,0))</f>
        <v/>
      </c>
      <c r="CL30" t="str">
        <f ca="1">IF(OR(Tulokset!$O$6="",INDIRECT("'"&amp;$A30&amp;"'!$R$8")=""),"",IF(TRIM(INDIRECT("'"&amp;$A30&amp;"'!$R$8"))=TRIM(Tulokset!$O$6),2,0))</f>
        <v/>
      </c>
      <c r="CM30" t="str">
        <f ca="1">IF(OR(Tulokset!$O$7="",INDIRECT("'"&amp;$A30&amp;"'!$R$9")=""),"",IF(TRIM(INDIRECT("'"&amp;$A30&amp;"'!$R$9"))=TRIM(Tulokset!$O$7),2,0))</f>
        <v/>
      </c>
      <c r="CN30" t="str">
        <f ca="1">IF(OR(Tulokset!$O$8="",INDIRECT("'"&amp;$A30&amp;"'!$R$10")=""),"",IF(TRIM(INDIRECT("'"&amp;$A30&amp;"'!$R$10"))=TRIM(Tulokset!$O$8),2,0))</f>
        <v/>
      </c>
      <c r="CO30" t="str">
        <f ca="1">IF(OR(Tulokset!$O$9="",INDIRECT("'"&amp;$A30&amp;"'!$R$11")=""),"",IF(TRIM(INDIRECT("'"&amp;$A30&amp;"'!$R$11"))=TRIM(Tulokset!$O$9),2,0))</f>
        <v/>
      </c>
      <c r="CP30" t="str">
        <f ca="1">IF(OR(Tulokset!$P$6="",INDIRECT("'"&amp;$A30&amp;"'!$S$8")=""),"",IF(TRIM(INDIRECT("'"&amp;$A30&amp;"'!$S$8"))=TRIM(Tulokset!$P$6),2,0))</f>
        <v/>
      </c>
      <c r="CQ30" t="str">
        <f ca="1">IF(OR(Tulokset!$P$7="",INDIRECT("'"&amp;$A30&amp;"'!$S$9")=""),"",IF(TRIM(INDIRECT("'"&amp;$A30&amp;"'!$S$9"))=TRIM(Tulokset!$P$7),2,0))</f>
        <v/>
      </c>
      <c r="CR30" t="str">
        <f ca="1">IF(OR(Tulokset!$P$8="",INDIRECT("'"&amp;$A30&amp;"'!$S$10")=""),"",IF(TRIM(INDIRECT("'"&amp;$A30&amp;"'!$S$10"))=TRIM(Tulokset!$P$8),2,0))</f>
        <v/>
      </c>
      <c r="CS30" t="str">
        <f ca="1">IF(OR(Tulokset!$P$9="",INDIRECT("'"&amp;$A30&amp;"'!$S$11")=""),"",IF(TRIM(INDIRECT("'"&amp;$A30&amp;"'!$S$11"))=TRIM(Tulokset!$P$9),2,0))</f>
        <v/>
      </c>
      <c r="CT30" t="str">
        <f ca="1">IF(OR(Tulokset!$Q$6="",INDIRECT("'"&amp;$A30&amp;"'!$T$8")=""),"",IF(TRIM(INDIRECT("'"&amp;$A30&amp;"'!$T$8"))=TRIM(Tulokset!$Q$6),2,0))</f>
        <v/>
      </c>
      <c r="CU30" t="str">
        <f ca="1">IF(OR(Tulokset!$Q$7="",INDIRECT("'"&amp;$A30&amp;"'!$T$9")=""),"",IF(TRIM(INDIRECT("'"&amp;$A30&amp;"'!$T$9"))=TRIM(Tulokset!$Q$7),2,0))</f>
        <v/>
      </c>
      <c r="CV30" t="str">
        <f ca="1">IF(OR(Tulokset!$Q$8="",INDIRECT("'"&amp;$A30&amp;"'!$T$10")=""),"",IF(TRIM(INDIRECT("'"&amp;$A30&amp;"'!$T$10"))=TRIM(Tulokset!$Q$8),2,0))</f>
        <v/>
      </c>
      <c r="CW30" t="str">
        <f ca="1">IF(OR(Tulokset!$Q$9="",INDIRECT("'"&amp;$A30&amp;"'!$T$11")=""),"",IF(TRIM(INDIRECT("'"&amp;$A30&amp;"'!$T$11"))=TRIM(Tulokset!$Q$9),2,0))</f>
        <v/>
      </c>
      <c r="CX30" t="str">
        <f ca="1">IF(OR(Tulokset!$R$6="",INDIRECT("'"&amp;$A30&amp;"'!$U$8")=""),"",IF(TRIM(INDIRECT("'"&amp;$A30&amp;"'!$U$8"))=TRIM(Tulokset!$R$6),2,0))</f>
        <v/>
      </c>
      <c r="CY30" t="str">
        <f ca="1">IF(OR(Tulokset!$R$7="",INDIRECT("'"&amp;$A30&amp;"'!$U$9")=""),"",IF(TRIM(INDIRECT("'"&amp;$A30&amp;"'!$U$9"))=TRIM(Tulokset!$R$7),2,0))</f>
        <v/>
      </c>
      <c r="CZ30" t="str">
        <f ca="1">IF(OR(Tulokset!$R$8="",INDIRECT("'"&amp;$A30&amp;"'!$U$10")=""),"",IF(TRIM(INDIRECT("'"&amp;$A30&amp;"'!$U$10"))=TRIM(Tulokset!$R$8),2,0))</f>
        <v/>
      </c>
      <c r="DA30" t="str">
        <f ca="1">IF(OR(Tulokset!$R$9="",INDIRECT("'"&amp;$A30&amp;"'!$U$11")=""),"",IF(TRIM(INDIRECT("'"&amp;$A30&amp;"'!$U$11"))=TRIM(Tulokset!$R$9),2,0))</f>
        <v/>
      </c>
      <c r="DB30" t="str">
        <f ca="1">IF(OR(Tulokset!$M$12="",INDIRECT("'"&amp;$A30&amp;"'!$P$14")=""),"",IF(TRIM(INDIRECT("'"&amp;$A30&amp;"'!$P$14"))=TRIM(Tulokset!$M$12),2,0))</f>
        <v/>
      </c>
      <c r="DC30" t="str">
        <f ca="1">IF(OR(Tulokset!$M$13="",INDIRECT("'"&amp;$A30&amp;"'!$P$15")=""),"",IF(TRIM(INDIRECT("'"&amp;$A30&amp;"'!$P$15"))=TRIM(Tulokset!$M$13),2,0))</f>
        <v/>
      </c>
      <c r="DD30" t="str">
        <f ca="1">IF(OR(Tulokset!$M$14="",INDIRECT("'"&amp;$A30&amp;"'!$P$16")=""),"",IF(TRIM(INDIRECT("'"&amp;$A30&amp;"'!$P$16"))=TRIM(Tulokset!$M$14),2,0))</f>
        <v/>
      </c>
      <c r="DE30" t="str">
        <f ca="1">IF(OR(Tulokset!$M$15="",INDIRECT("'"&amp;$A30&amp;"'!$P$17")=""),"",IF(TRIM(INDIRECT("'"&amp;$A30&amp;"'!$P$17"))=TRIM(Tulokset!$M$15),2,0))</f>
        <v/>
      </c>
      <c r="DF30" t="str">
        <f ca="1">IF(OR(Tulokset!$N$12="",INDIRECT("'"&amp;$A30&amp;"'!$Q$14")=""),"",IF(TRIM(INDIRECT("'"&amp;$A30&amp;"'!$Q$14"))=TRIM(Tulokset!$N$12),2,0))</f>
        <v/>
      </c>
      <c r="DG30" t="str">
        <f ca="1">IF(OR(Tulokset!$N$13="",INDIRECT("'"&amp;$A30&amp;"'!$Q$15")=""),"",IF(TRIM(INDIRECT("'"&amp;$A30&amp;"'!$Q$15"))=TRIM(Tulokset!$N$13),2,0))</f>
        <v/>
      </c>
      <c r="DH30" t="str">
        <f ca="1">IF(OR(Tulokset!$N$14="",INDIRECT("'"&amp;$A30&amp;"'!$Q$16")=""),"",IF(TRIM(INDIRECT("'"&amp;$A30&amp;"'!$Q$16"))=TRIM(Tulokset!$N$14),2,0))</f>
        <v/>
      </c>
      <c r="DI30" t="str">
        <f ca="1">IF(OR(Tulokset!$N$15="",INDIRECT("'"&amp;$A30&amp;"'!$Q$17")=""),"",IF(TRIM(INDIRECT("'"&amp;$A30&amp;"'!$Q$17"))=TRIM(Tulokset!$N$15),2,0))</f>
        <v/>
      </c>
      <c r="DJ30" t="str">
        <f ca="1">IF(OR(Tulokset!$O$12="",INDIRECT("'"&amp;$A30&amp;"'!$R$14")=""),"",IF(TRIM(INDIRECT("'"&amp;$A30&amp;"'!$R$14"))=TRIM(Tulokset!$O$12),2,0))</f>
        <v/>
      </c>
      <c r="DK30" t="str">
        <f ca="1">IF(OR(Tulokset!$O$13="",INDIRECT("'"&amp;$A30&amp;"'!$R$15")=""),"",IF(TRIM(INDIRECT("'"&amp;$A30&amp;"'!$R$15"))=TRIM(Tulokset!$O$13),2,0))</f>
        <v/>
      </c>
      <c r="DL30" t="str">
        <f ca="1">IF(OR(Tulokset!$O$14="",INDIRECT("'"&amp;$A30&amp;"'!$R$16")=""),"",IF(TRIM(INDIRECT("'"&amp;$A30&amp;"'!$R$16"))=TRIM(Tulokset!$O$14),2,0))</f>
        <v/>
      </c>
      <c r="DM30" t="str">
        <f ca="1">IF(OR(Tulokset!$O$15="",INDIRECT("'"&amp;$A30&amp;"'!$R$17")=""),"",IF(TRIM(INDIRECT("'"&amp;$A30&amp;"'!$R$17"))=TRIM(Tulokset!$O$15),2,0))</f>
        <v/>
      </c>
      <c r="DN30" t="str">
        <f ca="1">IF(OR(Tulokset!$P$12="",INDIRECT("'"&amp;$A30&amp;"'!$S$14")=""),"",IF(TRIM(INDIRECT("'"&amp;$A30&amp;"'!$S$14"))=TRIM(Tulokset!$P$12),2,0))</f>
        <v/>
      </c>
      <c r="DO30" t="str">
        <f ca="1">IF(OR(Tulokset!$P$13="",INDIRECT("'"&amp;$A30&amp;"'!$S$15")=""),"",IF(TRIM(INDIRECT("'"&amp;$A30&amp;"'!$S$15"))=TRIM(Tulokset!$P$13),2,0))</f>
        <v/>
      </c>
      <c r="DP30" t="str">
        <f ca="1">IF(OR(Tulokset!$P$14="",INDIRECT("'"&amp;$A30&amp;"'!$S$16")=""),"",IF(TRIM(INDIRECT("'"&amp;$A30&amp;"'!$S$16"))=TRIM(Tulokset!$P$14),2,0))</f>
        <v/>
      </c>
      <c r="DQ30" t="str">
        <f ca="1">IF(OR(Tulokset!$P$15="",INDIRECT("'"&amp;$A30&amp;"'!$S$17")=""),"",IF(TRIM(INDIRECT("'"&amp;$A30&amp;"'!$S$17"))=TRIM(Tulokset!$P$15),2,0))</f>
        <v/>
      </c>
      <c r="DR30" t="str">
        <f ca="1">IF(OR(Tulokset!$Q$12="",INDIRECT("'"&amp;$A30&amp;"'!$T$14")=""),"",IF(TRIM(INDIRECT("'"&amp;$A30&amp;"'!$T$14"))=TRIM(Tulokset!$Q$12),2,0))</f>
        <v/>
      </c>
      <c r="DS30" t="str">
        <f ca="1">IF(OR(Tulokset!$Q$13="",INDIRECT("'"&amp;$A30&amp;"'!$T$15")=""),"",IF(TRIM(INDIRECT("'"&amp;$A30&amp;"'!$T$15"))=TRIM(Tulokset!$Q$13),2,0))</f>
        <v/>
      </c>
      <c r="DT30" t="str">
        <f ca="1">IF(OR(Tulokset!$Q$14="",INDIRECT("'"&amp;$A30&amp;"'!$T$16")=""),"",IF(TRIM(INDIRECT("'"&amp;$A30&amp;"'!$T$16"))=TRIM(Tulokset!$Q$14),2,0))</f>
        <v/>
      </c>
      <c r="DU30" t="str">
        <f ca="1">IF(OR(Tulokset!$Q$15="",INDIRECT("'"&amp;$A30&amp;"'!$T$17")=""),"",IF(TRIM(INDIRECT("'"&amp;$A30&amp;"'!$T$17"))=TRIM(Tulokset!$Q$15),2,0))</f>
        <v/>
      </c>
      <c r="DV30" t="str">
        <f ca="1">IF(OR(Tulokset!$R$12="",INDIRECT("'"&amp;$A30&amp;"'!$U$14")=""),"",IF(TRIM(INDIRECT("'"&amp;$A30&amp;"'!$U$14"))=TRIM(Tulokset!$R$12),2,0))</f>
        <v/>
      </c>
      <c r="DW30" t="str">
        <f ca="1">IF(OR(Tulokset!$R$13="",INDIRECT("'"&amp;$A30&amp;"'!$U$15")=""),"",IF(TRIM(INDIRECT("'"&amp;$A30&amp;"'!$U$15"))=TRIM(Tulokset!$R$13),2,0))</f>
        <v/>
      </c>
      <c r="DX30" t="str">
        <f ca="1">IF(OR(Tulokset!$R$14="",INDIRECT("'"&amp;$A30&amp;"'!$U$16")=""),"",IF(TRIM(INDIRECT("'"&amp;$A30&amp;"'!$U$16"))=TRIM(Tulokset!$R$14),2,0))</f>
        <v/>
      </c>
      <c r="DY30" t="str">
        <f ca="1">IF(OR(Tulokset!$R$15="",INDIRECT("'"&amp;$A30&amp;"'!$U$17")=""),"",IF(TRIM(INDIRECT("'"&amp;$A30&amp;"'!$U$17"))=TRIM(Tulokset!$R$15),2,0))</f>
        <v/>
      </c>
      <c r="EA30" t="str">
        <f ca="1">IF(OR(INDIRECT("'"&amp;$A30&amp;"'!$E$79")="",COUNTA(Tulokset!$M$20:$M$21)=0),"",IF(COUNTIF(Tulokset!$M$20:$M$21,INDIRECT("'"&amp;$A30&amp;"'!$E$79"))&gt;0,2,0))</f>
        <v/>
      </c>
      <c r="EB30" t="str">
        <f ca="1">IF(OR(INDIRECT("'"&amp;$A30&amp;"'!$G$79")="",COUNTA(Tulokset!$M$20:$M$21)=0),"",IF(COUNTIF(Tulokset!$M$20:$M$21,INDIRECT("'"&amp;$A30&amp;"'!$G$79"))&gt;0,2,0))</f>
        <v/>
      </c>
      <c r="EC30" t="str">
        <f ca="1">IF(OR(INDIRECT("'"&amp;$A30&amp;"'!$E$80")="",COUNTA(Tulokset!$M$23:$M$24)=0),"",IF(COUNTIF(Tulokset!$M$23:$M$24,INDIRECT("'"&amp;$A30&amp;"'!$E$80"))&gt;0,2,0))</f>
        <v/>
      </c>
      <c r="ED30" t="str">
        <f ca="1">IF(OR(INDIRECT("'"&amp;$A30&amp;"'!$G$80")="",COUNTA(Tulokset!$M$23:$M$24)=0),"",IF(COUNTIF(Tulokset!$M$23:$M$24,INDIRECT("'"&amp;$A30&amp;"'!$G$80"))&gt;0,2,0))</f>
        <v/>
      </c>
    </row>
    <row r="31" spans="1:134">
      <c r="A31" t="s">
        <v>323</v>
      </c>
      <c r="B31" t="str">
        <f t="shared" ca="1" si="0"/>
        <v>Jossu</v>
      </c>
      <c r="C31" s="95">
        <f t="shared" si="1"/>
        <v>0</v>
      </c>
      <c r="D31" s="95">
        <f t="shared" ca="1" si="2"/>
        <v>0</v>
      </c>
      <c r="E31" s="95">
        <f t="shared" ca="1" si="3"/>
        <v>0</v>
      </c>
      <c r="F31" s="95">
        <f t="shared" ca="1" si="4"/>
        <v>0</v>
      </c>
      <c r="G31" s="95">
        <f t="shared" si="5"/>
        <v>0</v>
      </c>
      <c r="H31" t="str">
        <f>IF(OR(Tulokset!$G$6="",Tulokset!$I$6="",'28'!$I$7="",'28'!$K$7=""),"",IF(SIGN('28'!$I$7-'28'!$K$7)&lt;&gt;SIGN(Tulokset!$G$6-Tulokset!$I$6),0,IF(Tulokset!$G$6=Tulokset!$I$6,IF(AND('28'!$I$7=Tulokset!$G$6,'28'!$K$7=Tulokset!$I$6),6,3),MAX(0,6-(ABS('28'!$I$7-Tulokset!$G$6)+ABS('28'!$K$7-Tulokset!$I$6))))))</f>
        <v/>
      </c>
      <c r="I31" t="str">
        <f>IF(OR(Tulokset!$G$7="",Tulokset!$I$7="",'28'!$I$8="",'28'!$K$8=""),"",IF(SIGN('28'!$I$8-'28'!$K$8)&lt;&gt;SIGN(Tulokset!$G$7-Tulokset!$I$7),0,IF(Tulokset!$G$7=Tulokset!$I$7,IF(AND('28'!$I$8=Tulokset!$G$7,'28'!$K$8=Tulokset!$I$7),6,3),MAX(0,6-(ABS('28'!$I$8-Tulokset!$G$7)+ABS('28'!$K$8-Tulokset!$I$7))))))</f>
        <v/>
      </c>
      <c r="J31" t="str">
        <f>IF(OR(Tulokset!$G$8="",Tulokset!$I$8="",'28'!$I$9="",'28'!$K$9=""),"",IF(SIGN('28'!$I$9-'28'!$K$9)&lt;&gt;SIGN(Tulokset!$G$8-Tulokset!$I$8),0,IF(Tulokset!$G$8=Tulokset!$I$8,IF(AND('28'!$I$9=Tulokset!$G$8,'28'!$K$9=Tulokset!$I$8),6,3),MAX(0,6-(ABS('28'!$I$9-Tulokset!$G$8)+ABS('28'!$K$9-Tulokset!$I$8))))))</f>
        <v/>
      </c>
      <c r="K31" t="str">
        <f>IF(OR(Tulokset!$G$9="",Tulokset!$I$9="",'28'!$I$10="",'28'!$K$10=""),"",IF(SIGN('28'!$I$10-'28'!$K$10)&lt;&gt;SIGN(Tulokset!$G$9-Tulokset!$I$9),0,IF(Tulokset!$G$9=Tulokset!$I$9,IF(AND('28'!$I$10=Tulokset!$G$9,'28'!$K$10=Tulokset!$I$9),6,3),MAX(0,6-(ABS('28'!$I$10-Tulokset!$G$9)+ABS('28'!$K$10-Tulokset!$I$9))))))</f>
        <v/>
      </c>
      <c r="L31" t="str">
        <f>IF(OR(Tulokset!$G$10="",Tulokset!$I$10="",'28'!$I$11="",'28'!$K$11=""),"",IF(SIGN('28'!$I$11-'28'!$K$11)&lt;&gt;SIGN(Tulokset!$G$10-Tulokset!$I$10),0,IF(Tulokset!$G$10=Tulokset!$I$10,IF(AND('28'!$I$11=Tulokset!$G$10,'28'!$K$11=Tulokset!$I$10),6,3),MAX(0,6-(ABS('28'!$I$11-Tulokset!$G$10)+ABS('28'!$K$11-Tulokset!$I$10))))))</f>
        <v/>
      </c>
      <c r="M31" t="str">
        <f>IF(OR(Tulokset!$G$11="",Tulokset!$I$11="",'28'!$I$12="",'28'!$K$12=""),"",IF(SIGN('28'!$I$12-'28'!$K$12)&lt;&gt;SIGN(Tulokset!$G$11-Tulokset!$I$11),0,IF(Tulokset!$G$11=Tulokset!$I$11,IF(AND('28'!$I$12=Tulokset!$G$11,'28'!$K$12=Tulokset!$I$11),6,3),MAX(0,6-(ABS('28'!$I$12-Tulokset!$G$11)+ABS('28'!$K$12-Tulokset!$I$11))))))</f>
        <v/>
      </c>
      <c r="N31" t="str">
        <f>IF(OR(Tulokset!$G$12="",Tulokset!$I$12="",'28'!$I$13="",'28'!$K$13=""),"",IF(SIGN('28'!$I$13-'28'!$K$13)&lt;&gt;SIGN(Tulokset!$G$12-Tulokset!$I$12),0,IF(Tulokset!$G$12=Tulokset!$I$12,IF(AND('28'!$I$13=Tulokset!$G$12,'28'!$K$13=Tulokset!$I$12),6,3),MAX(0,6-(ABS('28'!$I$13-Tulokset!$G$12)+ABS('28'!$K$13-Tulokset!$I$12))))))</f>
        <v/>
      </c>
      <c r="O31" t="str">
        <f>IF(OR(Tulokset!$G$13="",Tulokset!$I$13="",'28'!$I$14="",'28'!$K$14=""),"",IF(SIGN('28'!$I$14-'28'!$K$14)&lt;&gt;SIGN(Tulokset!$G$13-Tulokset!$I$13),0,IF(Tulokset!$G$13=Tulokset!$I$13,IF(AND('28'!$I$14=Tulokset!$G$13,'28'!$K$14=Tulokset!$I$13),6,3),MAX(0,6-(ABS('28'!$I$14-Tulokset!$G$13)+ABS('28'!$K$14-Tulokset!$I$13))))))</f>
        <v/>
      </c>
      <c r="P31" t="str">
        <f>IF(OR(Tulokset!$G$14="",Tulokset!$I$14="",'28'!$I$15="",'28'!$K$15=""),"",IF(SIGN('28'!$I$15-'28'!$K$15)&lt;&gt;SIGN(Tulokset!$G$14-Tulokset!$I$14),0,IF(Tulokset!$G$14=Tulokset!$I$14,IF(AND('28'!$I$15=Tulokset!$G$14,'28'!$K$15=Tulokset!$I$14),6,3),MAX(0,6-(ABS('28'!$I$15-Tulokset!$G$14)+ABS('28'!$K$15-Tulokset!$I$14))))))</f>
        <v/>
      </c>
      <c r="Q31" t="str">
        <f>IF(OR(Tulokset!$G$15="",Tulokset!$I$15="",'28'!$I$16="",'28'!$K$16=""),"",IF(SIGN('28'!$I$16-'28'!$K$16)&lt;&gt;SIGN(Tulokset!$G$15-Tulokset!$I$15),0,IF(Tulokset!$G$15=Tulokset!$I$15,IF(AND('28'!$I$16=Tulokset!$G$15,'28'!$K$16=Tulokset!$I$15),6,3),MAX(0,6-(ABS('28'!$I$16-Tulokset!$G$15)+ABS('28'!$K$16-Tulokset!$I$15))))))</f>
        <v/>
      </c>
      <c r="R31" t="str">
        <f>IF(OR(Tulokset!$G$16="",Tulokset!$I$16="",'28'!$I$17="",'28'!$K$17=""),"",IF(SIGN('28'!$I$17-'28'!$K$17)&lt;&gt;SIGN(Tulokset!$G$16-Tulokset!$I$16),0,IF(Tulokset!$G$16=Tulokset!$I$16,IF(AND('28'!$I$17=Tulokset!$G$16,'28'!$K$17=Tulokset!$I$16),6,3),MAX(0,6-(ABS('28'!$I$17-Tulokset!$G$16)+ABS('28'!$K$17-Tulokset!$I$16))))))</f>
        <v/>
      </c>
      <c r="S31" t="str">
        <f>IF(OR(Tulokset!$G$17="",Tulokset!$I$17="",'28'!$I$18="",'28'!$K$18=""),"",IF(SIGN('28'!$I$18-'28'!$K$18)&lt;&gt;SIGN(Tulokset!$G$17-Tulokset!$I$17),0,IF(Tulokset!$G$17=Tulokset!$I$17,IF(AND('28'!$I$18=Tulokset!$G$17,'28'!$K$18=Tulokset!$I$17),6,3),MAX(0,6-(ABS('28'!$I$18-Tulokset!$G$17)+ABS('28'!$K$18-Tulokset!$I$17))))))</f>
        <v/>
      </c>
      <c r="T31" t="str">
        <f>IF(OR(Tulokset!$G$18="",Tulokset!$I$18="",'28'!$I$19="",'28'!$K$19=""),"",IF(SIGN('28'!$I$19-'28'!$K$19)&lt;&gt;SIGN(Tulokset!$G$18-Tulokset!$I$18),0,IF(Tulokset!$G$18=Tulokset!$I$18,IF(AND('28'!$I$19=Tulokset!$G$18,'28'!$K$19=Tulokset!$I$18),6,3),MAX(0,6-(ABS('28'!$I$19-Tulokset!$G$18)+ABS('28'!$K$19-Tulokset!$I$18))))))</f>
        <v/>
      </c>
      <c r="U31" t="str">
        <f>IF(OR(Tulokset!$G$19="",Tulokset!$I$19="",'28'!$I$20="",'28'!$K$20=""),"",IF(SIGN('28'!$I$20-'28'!$K$20)&lt;&gt;SIGN(Tulokset!$G$19-Tulokset!$I$19),0,IF(Tulokset!$G$19=Tulokset!$I$19,IF(AND('28'!$I$20=Tulokset!$G$19,'28'!$K$20=Tulokset!$I$19),6,3),MAX(0,6-(ABS('28'!$I$20-Tulokset!$G$19)+ABS('28'!$K$20-Tulokset!$I$19))))))</f>
        <v/>
      </c>
      <c r="V31" t="str">
        <f>IF(OR(Tulokset!$G$20="",Tulokset!$I$20="",'28'!$I$21="",'28'!$K$21=""),"",IF(SIGN('28'!$I$21-'28'!$K$21)&lt;&gt;SIGN(Tulokset!$G$20-Tulokset!$I$20),0,IF(Tulokset!$G$20=Tulokset!$I$20,IF(AND('28'!$I$21=Tulokset!$G$20,'28'!$K$21=Tulokset!$I$20),6,3),MAX(0,6-(ABS('28'!$I$21-Tulokset!$G$20)+ABS('28'!$K$21-Tulokset!$I$20))))))</f>
        <v/>
      </c>
      <c r="W31" t="str">
        <f>IF(OR(Tulokset!$G$21="",Tulokset!$I$21="",'28'!$I$22="",'28'!$K$22=""),"",IF(SIGN('28'!$I$22-'28'!$K$22)&lt;&gt;SIGN(Tulokset!$G$21-Tulokset!$I$21),0,IF(Tulokset!$G$21=Tulokset!$I$21,IF(AND('28'!$I$22=Tulokset!$G$21,'28'!$K$22=Tulokset!$I$21),6,3),MAX(0,6-(ABS('28'!$I$22-Tulokset!$G$21)+ABS('28'!$K$22-Tulokset!$I$21))))))</f>
        <v/>
      </c>
      <c r="X31" t="str">
        <f>IF(OR(Tulokset!$G$22="",Tulokset!$I$22="",'28'!$I$23="",'28'!$K$23=""),"",IF(SIGN('28'!$I$23-'28'!$K$23)&lt;&gt;SIGN(Tulokset!$G$22-Tulokset!$I$22),0,IF(Tulokset!$G$22=Tulokset!$I$22,IF(AND('28'!$I$23=Tulokset!$G$22,'28'!$K$23=Tulokset!$I$22),6,3),MAX(0,6-(ABS('28'!$I$23-Tulokset!$G$22)+ABS('28'!$K$23-Tulokset!$I$22))))))</f>
        <v/>
      </c>
      <c r="Y31" t="str">
        <f>IF(OR(Tulokset!$G$23="",Tulokset!$I$23="",'28'!$I$24="",'28'!$K$24=""),"",IF(SIGN('28'!$I$24-'28'!$K$24)&lt;&gt;SIGN(Tulokset!$G$23-Tulokset!$I$23),0,IF(Tulokset!$G$23=Tulokset!$I$23,IF(AND('28'!$I$24=Tulokset!$G$23,'28'!$K$24=Tulokset!$I$23),6,3),MAX(0,6-(ABS('28'!$I$24-Tulokset!$G$23)+ABS('28'!$K$24-Tulokset!$I$23))))))</f>
        <v/>
      </c>
      <c r="Z31" t="str">
        <f>IF(OR(Tulokset!$G$24="",Tulokset!$I$24="",'28'!$I$25="",'28'!$K$25=""),"",IF(SIGN('28'!$I$25-'28'!$K$25)&lt;&gt;SIGN(Tulokset!$G$24-Tulokset!$I$24),0,IF(Tulokset!$G$24=Tulokset!$I$24,IF(AND('28'!$I$25=Tulokset!$G$24,'28'!$K$25=Tulokset!$I$24),6,3),MAX(0,6-(ABS('28'!$I$25-Tulokset!$G$24)+ABS('28'!$K$25-Tulokset!$I$24))))))</f>
        <v/>
      </c>
      <c r="AA31" t="str">
        <f>IF(OR(Tulokset!$G$25="",Tulokset!$I$25="",'28'!$I$26="",'28'!$K$26=""),"",IF(SIGN('28'!$I$26-'28'!$K$26)&lt;&gt;SIGN(Tulokset!$G$25-Tulokset!$I$25),0,IF(Tulokset!$G$25=Tulokset!$I$25,IF(AND('28'!$I$26=Tulokset!$G$25,'28'!$K$26=Tulokset!$I$25),6,3),MAX(0,6-(ABS('28'!$I$26-Tulokset!$G$25)+ABS('28'!$K$26-Tulokset!$I$25))))))</f>
        <v/>
      </c>
      <c r="AB31" t="str">
        <f>IF(OR(Tulokset!$G$26="",Tulokset!$I$26="",'28'!$I$27="",'28'!$K$27=""),"",IF(SIGN('28'!$I$27-'28'!$K$27)&lt;&gt;SIGN(Tulokset!$G$26-Tulokset!$I$26),0,IF(Tulokset!$G$26=Tulokset!$I$26,IF(AND('28'!$I$27=Tulokset!$G$26,'28'!$K$27=Tulokset!$I$26),6,3),MAX(0,6-(ABS('28'!$I$27-Tulokset!$G$26)+ABS('28'!$K$27-Tulokset!$I$26))))))</f>
        <v/>
      </c>
      <c r="AC31" t="str">
        <f>IF(OR(Tulokset!$G$27="",Tulokset!$I$27="",'28'!$I$28="",'28'!$K$28=""),"",IF(SIGN('28'!$I$28-'28'!$K$28)&lt;&gt;SIGN(Tulokset!$G$27-Tulokset!$I$27),0,IF(Tulokset!$G$27=Tulokset!$I$27,IF(AND('28'!$I$28=Tulokset!$G$27,'28'!$K$28=Tulokset!$I$27),6,3),MAX(0,6-(ABS('28'!$I$28-Tulokset!$G$27)+ABS('28'!$K$28-Tulokset!$I$27))))))</f>
        <v/>
      </c>
      <c r="AD31" t="str">
        <f>IF(OR(Tulokset!$G$28="",Tulokset!$I$28="",'28'!$I$29="",'28'!$K$29=""),"",IF(SIGN('28'!$I$29-'28'!$K$29)&lt;&gt;SIGN(Tulokset!$G$28-Tulokset!$I$28),0,IF(Tulokset!$G$28=Tulokset!$I$28,IF(AND('28'!$I$29=Tulokset!$G$28,'28'!$K$29=Tulokset!$I$28),6,3),MAX(0,6-(ABS('28'!$I$29-Tulokset!$G$28)+ABS('28'!$K$29-Tulokset!$I$28))))))</f>
        <v/>
      </c>
      <c r="AE31" t="str">
        <f>IF(OR(Tulokset!$G$29="",Tulokset!$I$29="",'28'!$I$30="",'28'!$K$30=""),"",IF(SIGN('28'!$I$30-'28'!$K$30)&lt;&gt;SIGN(Tulokset!$G$29-Tulokset!$I$29),0,IF(Tulokset!$G$29=Tulokset!$I$29,IF(AND('28'!$I$30=Tulokset!$G$29,'28'!$K$30=Tulokset!$I$29),6,3),MAX(0,6-(ABS('28'!$I$30-Tulokset!$G$29)+ABS('28'!$K$30-Tulokset!$I$29))))))</f>
        <v/>
      </c>
      <c r="AF31" t="str">
        <f>IF(OR(Tulokset!$G$30="",Tulokset!$I$30="",'28'!$I$31="",'28'!$K$31=""),"",IF(SIGN('28'!$I$31-'28'!$K$31)&lt;&gt;SIGN(Tulokset!$G$30-Tulokset!$I$30),0,IF(Tulokset!$G$30=Tulokset!$I$30,IF(AND('28'!$I$31=Tulokset!$G$30,'28'!$K$31=Tulokset!$I$30),6,3),MAX(0,6-(ABS('28'!$I$31-Tulokset!$G$30)+ABS('28'!$K$31-Tulokset!$I$30))))))</f>
        <v/>
      </c>
      <c r="AG31" t="str">
        <f>IF(OR(Tulokset!$G$31="",Tulokset!$I$31="",'28'!$I$32="",'28'!$K$32=""),"",IF(SIGN('28'!$I$32-'28'!$K$32)&lt;&gt;SIGN(Tulokset!$G$31-Tulokset!$I$31),0,IF(Tulokset!$G$31=Tulokset!$I$31,IF(AND('28'!$I$32=Tulokset!$G$31,'28'!$K$32=Tulokset!$I$31),6,3),MAX(0,6-(ABS('28'!$I$32-Tulokset!$G$31)+ABS('28'!$K$32-Tulokset!$I$31))))))</f>
        <v/>
      </c>
      <c r="AH31" t="str">
        <f>IF(OR(Tulokset!$G$32="",Tulokset!$I$32="",'28'!$I$33="",'28'!$K$33=""),"",IF(SIGN('28'!$I$33-'28'!$K$33)&lt;&gt;SIGN(Tulokset!$G$32-Tulokset!$I$32),0,IF(Tulokset!$G$32=Tulokset!$I$32,IF(AND('28'!$I$33=Tulokset!$G$32,'28'!$K$33=Tulokset!$I$32),6,3),MAX(0,6-(ABS('28'!$I$33-Tulokset!$G$32)+ABS('28'!$K$33-Tulokset!$I$32))))))</f>
        <v/>
      </c>
      <c r="AI31" t="str">
        <f>IF(OR(Tulokset!$G$33="",Tulokset!$I$33="",'28'!$I$34="",'28'!$K$34=""),"",IF(SIGN('28'!$I$34-'28'!$K$34)&lt;&gt;SIGN(Tulokset!$G$33-Tulokset!$I$33),0,IF(Tulokset!$G$33=Tulokset!$I$33,IF(AND('28'!$I$34=Tulokset!$G$33,'28'!$K$34=Tulokset!$I$33),6,3),MAX(0,6-(ABS('28'!$I$34-Tulokset!$G$33)+ABS('28'!$K$34-Tulokset!$I$33))))))</f>
        <v/>
      </c>
      <c r="AJ31" t="str">
        <f>IF(OR(Tulokset!$G$34="",Tulokset!$I$34="",'28'!$I$35="",'28'!$K$35=""),"",IF(SIGN('28'!$I$35-'28'!$K$35)&lt;&gt;SIGN(Tulokset!$G$34-Tulokset!$I$34),0,IF(Tulokset!$G$34=Tulokset!$I$34,IF(AND('28'!$I$35=Tulokset!$G$34,'28'!$K$35=Tulokset!$I$34),6,3),MAX(0,6-(ABS('28'!$I$35-Tulokset!$G$34)+ABS('28'!$K$35-Tulokset!$I$34))))))</f>
        <v/>
      </c>
      <c r="AK31" t="str">
        <f>IF(OR(Tulokset!$G$35="",Tulokset!$I$35="",'28'!$I$36="",'28'!$K$36=""),"",IF(SIGN('28'!$I$36-'28'!$K$36)&lt;&gt;SIGN(Tulokset!$G$35-Tulokset!$I$35),0,IF(Tulokset!$G$35=Tulokset!$I$35,IF(AND('28'!$I$36=Tulokset!$G$35,'28'!$K$36=Tulokset!$I$35),6,3),MAX(0,6-(ABS('28'!$I$36-Tulokset!$G$35)+ABS('28'!$K$36-Tulokset!$I$35))))))</f>
        <v/>
      </c>
      <c r="AL31" t="str">
        <f>IF(OR(Tulokset!$G$36="",Tulokset!$I$36="",'28'!$I$37="",'28'!$K$37=""),"",IF(SIGN('28'!$I$37-'28'!$K$37)&lt;&gt;SIGN(Tulokset!$G$36-Tulokset!$I$36),0,IF(Tulokset!$G$36=Tulokset!$I$36,IF(AND('28'!$I$37=Tulokset!$G$36,'28'!$K$37=Tulokset!$I$36),6,3),MAX(0,6-(ABS('28'!$I$37-Tulokset!$G$36)+ABS('28'!$K$37-Tulokset!$I$36))))))</f>
        <v/>
      </c>
      <c r="AM31" t="str">
        <f>IF(OR(Tulokset!$G$37="",Tulokset!$I$37="",'28'!$I$38="",'28'!$K$38=""),"",IF(SIGN('28'!$I$38-'28'!$K$38)&lt;&gt;SIGN(Tulokset!$G$37-Tulokset!$I$37),0,IF(Tulokset!$G$37=Tulokset!$I$37,IF(AND('28'!$I$38=Tulokset!$G$37,'28'!$K$38=Tulokset!$I$37),6,3),MAX(0,6-(ABS('28'!$I$38-Tulokset!$G$37)+ABS('28'!$K$38-Tulokset!$I$37))))))</f>
        <v/>
      </c>
      <c r="AN31" t="str">
        <f>IF(OR(Tulokset!$G$38="",Tulokset!$I$38="",'28'!$I$39="",'28'!$K$39=""),"",IF(SIGN('28'!$I$39-'28'!$K$39)&lt;&gt;SIGN(Tulokset!$G$38-Tulokset!$I$38),0,IF(Tulokset!$G$38=Tulokset!$I$38,IF(AND('28'!$I$39=Tulokset!$G$38,'28'!$K$39=Tulokset!$I$38),6,3),MAX(0,6-(ABS('28'!$I$39-Tulokset!$G$38)+ABS('28'!$K$39-Tulokset!$I$38))))))</f>
        <v/>
      </c>
      <c r="AO31" t="str">
        <f>IF(OR(Tulokset!$G$39="",Tulokset!$I$39="",'28'!$I$40="",'28'!$K$40=""),"",IF(SIGN('28'!$I$40-'28'!$K$40)&lt;&gt;SIGN(Tulokset!$G$39-Tulokset!$I$39),0,IF(Tulokset!$G$39=Tulokset!$I$39,IF(AND('28'!$I$40=Tulokset!$G$39,'28'!$K$40=Tulokset!$I$39),6,3),MAX(0,6-(ABS('28'!$I$40-Tulokset!$G$39)+ABS('28'!$K$40-Tulokset!$I$39))))))</f>
        <v/>
      </c>
      <c r="AP31" t="str">
        <f>IF(OR(Tulokset!$G$40="",Tulokset!$I$40="",'28'!$I$41="",'28'!$K$41=""),"",IF(SIGN('28'!$I$41-'28'!$K$41)&lt;&gt;SIGN(Tulokset!$G$40-Tulokset!$I$40),0,IF(Tulokset!$G$40=Tulokset!$I$40,IF(AND('28'!$I$41=Tulokset!$G$40,'28'!$K$41=Tulokset!$I$40),6,3),MAX(0,6-(ABS('28'!$I$41-Tulokset!$G$40)+ABS('28'!$K$41-Tulokset!$I$40))))))</f>
        <v/>
      </c>
      <c r="AQ31" t="str">
        <f>IF(OR(Tulokset!$G$41="",Tulokset!$I$41="",'28'!$I$42="",'28'!$K$42=""),"",IF(SIGN('28'!$I$42-'28'!$K$42)&lt;&gt;SIGN(Tulokset!$G$41-Tulokset!$I$41),0,IF(Tulokset!$G$41=Tulokset!$I$41,IF(AND('28'!$I$42=Tulokset!$G$41,'28'!$K$42=Tulokset!$I$41),6,3),MAX(0,6-(ABS('28'!$I$42-Tulokset!$G$41)+ABS('28'!$K$42-Tulokset!$I$41))))))</f>
        <v/>
      </c>
      <c r="AR31" t="str">
        <f>IF(OR(Tulokset!$G$42="",Tulokset!$I$42="",'28'!$I$43="",'28'!$K$43=""),"",IF(SIGN('28'!$I$43-'28'!$K$43)&lt;&gt;SIGN(Tulokset!$G$42-Tulokset!$I$42),0,IF(Tulokset!$G$42=Tulokset!$I$42,IF(AND('28'!$I$43=Tulokset!$G$42,'28'!$K$43=Tulokset!$I$42),6,3),MAX(0,6-(ABS('28'!$I$43-Tulokset!$G$42)+ABS('28'!$K$43-Tulokset!$I$42))))))</f>
        <v/>
      </c>
      <c r="AS31" t="str">
        <f>IF(OR(Tulokset!$G$43="",Tulokset!$I$43="",'28'!$I$44="",'28'!$K$44=""),"",IF(SIGN('28'!$I$44-'28'!$K$44)&lt;&gt;SIGN(Tulokset!$G$43-Tulokset!$I$43),0,IF(Tulokset!$G$43=Tulokset!$I$43,IF(AND('28'!$I$44=Tulokset!$G$43,'28'!$K$44=Tulokset!$I$43),6,3),MAX(0,6-(ABS('28'!$I$44-Tulokset!$G$43)+ABS('28'!$K$44-Tulokset!$I$43))))))</f>
        <v/>
      </c>
      <c r="AT31" t="str">
        <f>IF(OR(Tulokset!$G$44="",Tulokset!$I$44="",'28'!$I$45="",'28'!$K$45=""),"",IF(SIGN('28'!$I$45-'28'!$K$45)&lt;&gt;SIGN(Tulokset!$G$44-Tulokset!$I$44),0,IF(Tulokset!$G$44=Tulokset!$I$44,IF(AND('28'!$I$45=Tulokset!$G$44,'28'!$K$45=Tulokset!$I$44),6,3),MAX(0,6-(ABS('28'!$I$45-Tulokset!$G$44)+ABS('28'!$K$45-Tulokset!$I$44))))))</f>
        <v/>
      </c>
      <c r="AU31" t="str">
        <f>IF(OR(Tulokset!$G$45="",Tulokset!$I$45="",'28'!$I$46="",'28'!$K$46=""),"",IF(SIGN('28'!$I$46-'28'!$K$46)&lt;&gt;SIGN(Tulokset!$G$45-Tulokset!$I$45),0,IF(Tulokset!$G$45=Tulokset!$I$45,IF(AND('28'!$I$46=Tulokset!$G$45,'28'!$K$46=Tulokset!$I$45),6,3),MAX(0,6-(ABS('28'!$I$46-Tulokset!$G$45)+ABS('28'!$K$46-Tulokset!$I$45))))))</f>
        <v/>
      </c>
      <c r="AV31" t="str">
        <f>IF(OR(Tulokset!$G$46="",Tulokset!$I$46="",'28'!$I$47="",'28'!$K$47=""),"",IF(SIGN('28'!$I$47-'28'!$K$47)&lt;&gt;SIGN(Tulokset!$G$46-Tulokset!$I$46),0,IF(Tulokset!$G$46=Tulokset!$I$46,IF(AND('28'!$I$47=Tulokset!$G$46,'28'!$K$47=Tulokset!$I$46),6,3),MAX(0,6-(ABS('28'!$I$47-Tulokset!$G$46)+ABS('28'!$K$47-Tulokset!$I$46))))))</f>
        <v/>
      </c>
      <c r="AW31" t="str">
        <f>IF(OR(Tulokset!$G$47="",Tulokset!$I$47="",'28'!$I$48="",'28'!$K$48=""),"",IF(SIGN('28'!$I$48-'28'!$K$48)&lt;&gt;SIGN(Tulokset!$G$47-Tulokset!$I$47),0,IF(Tulokset!$G$47=Tulokset!$I$47,IF(AND('28'!$I$48=Tulokset!$G$47,'28'!$K$48=Tulokset!$I$47),6,3),MAX(0,6-(ABS('28'!$I$48-Tulokset!$G$47)+ABS('28'!$K$48-Tulokset!$I$47))))))</f>
        <v/>
      </c>
      <c r="AX31" t="str">
        <f>IF(OR(Tulokset!$G$48="",Tulokset!$I$48="",'28'!$I$49="",'28'!$K$49=""),"",IF(SIGN('28'!$I$49-'28'!$K$49)&lt;&gt;SIGN(Tulokset!$G$48-Tulokset!$I$48),0,IF(Tulokset!$G$48=Tulokset!$I$48,IF(AND('28'!$I$49=Tulokset!$G$48,'28'!$K$49=Tulokset!$I$48),6,3),MAX(0,6-(ABS('28'!$I$49-Tulokset!$G$48)+ABS('28'!$K$49-Tulokset!$I$48))))))</f>
        <v/>
      </c>
      <c r="AY31" t="str">
        <f>IF(OR(Tulokset!$G$49="",Tulokset!$I$49="",'28'!$I$50="",'28'!$K$50=""),"",IF(SIGN('28'!$I$50-'28'!$K$50)&lt;&gt;SIGN(Tulokset!$G$49-Tulokset!$I$49),0,IF(Tulokset!$G$49=Tulokset!$I$49,IF(AND('28'!$I$50=Tulokset!$G$49,'28'!$K$50=Tulokset!$I$49),6,3),MAX(0,6-(ABS('28'!$I$50-Tulokset!$G$49)+ABS('28'!$K$50-Tulokset!$I$49))))))</f>
        <v/>
      </c>
      <c r="AZ31" t="str">
        <f>IF(OR(Tulokset!$G$50="",Tulokset!$I$50="",'28'!$I$51="",'28'!$K$51=""),"",IF(SIGN('28'!$I$51-'28'!$K$51)&lt;&gt;SIGN(Tulokset!$G$50-Tulokset!$I$50),0,IF(Tulokset!$G$50=Tulokset!$I$50,IF(AND('28'!$I$51=Tulokset!$G$50,'28'!$K$51=Tulokset!$I$50),6,3),MAX(0,6-(ABS('28'!$I$51-Tulokset!$G$50)+ABS('28'!$K$51-Tulokset!$I$50))))))</f>
        <v/>
      </c>
      <c r="BA31" t="str">
        <f>IF(OR(Tulokset!$G$51="",Tulokset!$I$51="",'28'!$I$52="",'28'!$K$52=""),"",IF(SIGN('28'!$I$52-'28'!$K$52)&lt;&gt;SIGN(Tulokset!$G$51-Tulokset!$I$51),0,IF(Tulokset!$G$51=Tulokset!$I$51,IF(AND('28'!$I$52=Tulokset!$G$51,'28'!$K$52=Tulokset!$I$51),6,3),MAX(0,6-(ABS('28'!$I$52-Tulokset!$G$51)+ABS('28'!$K$52-Tulokset!$I$51))))))</f>
        <v/>
      </c>
      <c r="BB31" t="str">
        <f>IF(OR(Tulokset!$G$52="",Tulokset!$I$52="",'28'!$I$53="",'28'!$K$53=""),"",IF(SIGN('28'!$I$53-'28'!$K$53)&lt;&gt;SIGN(Tulokset!$G$52-Tulokset!$I$52),0,IF(Tulokset!$G$52=Tulokset!$I$52,IF(AND('28'!$I$53=Tulokset!$G$52,'28'!$K$53=Tulokset!$I$52),6,3),MAX(0,6-(ABS('28'!$I$53-Tulokset!$G$52)+ABS('28'!$K$53-Tulokset!$I$52))))))</f>
        <v/>
      </c>
      <c r="BC31" t="str">
        <f>IF(OR(Tulokset!$G$53="",Tulokset!$I$53="",'28'!$I$54="",'28'!$K$54=""),"",IF(SIGN('28'!$I$54-'28'!$K$54)&lt;&gt;SIGN(Tulokset!$G$53-Tulokset!$I$53),0,IF(Tulokset!$G$53=Tulokset!$I$53,IF(AND('28'!$I$54=Tulokset!$G$53,'28'!$K$54=Tulokset!$I$53),6,3),MAX(0,6-(ABS('28'!$I$54-Tulokset!$G$53)+ABS('28'!$K$54-Tulokset!$I$53))))))</f>
        <v/>
      </c>
      <c r="BD31" t="str">
        <f>IF(OR(Tulokset!$G$54="",Tulokset!$I$54="",'28'!$I$55="",'28'!$K$55=""),"",IF(SIGN('28'!$I$55-'28'!$K$55)&lt;&gt;SIGN(Tulokset!$G$54-Tulokset!$I$54),0,IF(Tulokset!$G$54=Tulokset!$I$54,IF(AND('28'!$I$55=Tulokset!$G$54,'28'!$K$55=Tulokset!$I$54),6,3),MAX(0,6-(ABS('28'!$I$55-Tulokset!$G$54)+ABS('28'!$K$55-Tulokset!$I$54))))))</f>
        <v/>
      </c>
      <c r="BE31" t="str">
        <f>IF(OR(Tulokset!$G$55="",Tulokset!$I$55="",'28'!$I$56="",'28'!$K$56=""),"",IF(SIGN('28'!$I$56-'28'!$K$56)&lt;&gt;SIGN(Tulokset!$G$55-Tulokset!$I$55),0,IF(Tulokset!$G$55=Tulokset!$I$55,IF(AND('28'!$I$56=Tulokset!$G$55,'28'!$K$56=Tulokset!$I$55),6,3),MAX(0,6-(ABS('28'!$I$56-Tulokset!$G$55)+ABS('28'!$K$56-Tulokset!$I$55))))))</f>
        <v/>
      </c>
      <c r="BF31" t="str">
        <f>IF(OR(Tulokset!$G$56="",Tulokset!$I$56="",'28'!$I$57="",'28'!$K$57=""),"",IF(SIGN('28'!$I$57-'28'!$K$57)&lt;&gt;SIGN(Tulokset!$G$56-Tulokset!$I$56),0,IF(Tulokset!$G$56=Tulokset!$I$56,IF(AND('28'!$I$57=Tulokset!$G$56,'28'!$K$57=Tulokset!$I$56),6,3),MAX(0,6-(ABS('28'!$I$57-Tulokset!$G$56)+ABS('28'!$K$57-Tulokset!$I$56))))))</f>
        <v/>
      </c>
      <c r="BG31" t="str">
        <f>IF(OR(Tulokset!$G$57="",Tulokset!$I$57="",'28'!$I$58="",'28'!$K$58=""),"",IF(SIGN('28'!$I$58-'28'!$K$58)&lt;&gt;SIGN(Tulokset!$G$57-Tulokset!$I$57),0,IF(Tulokset!$G$57=Tulokset!$I$57,IF(AND('28'!$I$58=Tulokset!$G$57,'28'!$K$58=Tulokset!$I$57),6,3),MAX(0,6-(ABS('28'!$I$58-Tulokset!$G$57)+ABS('28'!$K$58-Tulokset!$I$57))))))</f>
        <v/>
      </c>
      <c r="BH31" t="str">
        <f>IF(OR(Tulokset!$G$58="",Tulokset!$I$58="",'28'!$I$59="",'28'!$K$59=""),"",IF(SIGN('28'!$I$59-'28'!$K$59)&lt;&gt;SIGN(Tulokset!$G$58-Tulokset!$I$58),0,IF(Tulokset!$G$58=Tulokset!$I$58,IF(AND('28'!$I$59=Tulokset!$G$58,'28'!$K$59=Tulokset!$I$58),6,3),MAX(0,6-(ABS('28'!$I$59-Tulokset!$G$58)+ABS('28'!$K$59-Tulokset!$I$58))))))</f>
        <v/>
      </c>
      <c r="BI31" t="str">
        <f>IF(OR(Tulokset!$G$59="",Tulokset!$I$59="",'28'!$I$60="",'28'!$K$60=""),"",IF(SIGN('28'!$I$60-'28'!$K$60)&lt;&gt;SIGN(Tulokset!$G$59-Tulokset!$I$59),0,IF(Tulokset!$G$59=Tulokset!$I$59,IF(AND('28'!$I$60=Tulokset!$G$59,'28'!$K$60=Tulokset!$I$59),6,3),MAX(0,6-(ABS('28'!$I$60-Tulokset!$G$59)+ABS('28'!$K$60-Tulokset!$I$59))))))</f>
        <v/>
      </c>
      <c r="BJ31" t="str">
        <f>IF(OR(Tulokset!$G$60="",Tulokset!$I$60="",'28'!$I$61="",'28'!$K$61=""),"",IF(SIGN('28'!$I$61-'28'!$K$61)&lt;&gt;SIGN(Tulokset!$G$60-Tulokset!$I$60),0,IF(Tulokset!$G$60=Tulokset!$I$60,IF(AND('28'!$I$61=Tulokset!$G$60,'28'!$K$61=Tulokset!$I$60),6,3),MAX(0,6-(ABS('28'!$I$61-Tulokset!$G$60)+ABS('28'!$K$61-Tulokset!$I$60))))))</f>
        <v/>
      </c>
      <c r="BK31" t="str">
        <f>IF(OR(Tulokset!$G$61="",Tulokset!$I$61="",'28'!$I$62="",'28'!$K$62=""),"",IF(SIGN('28'!$I$62-'28'!$K$62)&lt;&gt;SIGN(Tulokset!$G$61-Tulokset!$I$61),0,IF(Tulokset!$G$61=Tulokset!$I$61,IF(AND('28'!$I$62=Tulokset!$G$61,'28'!$K$62=Tulokset!$I$61),6,3),MAX(0,6-(ABS('28'!$I$62-Tulokset!$G$61)+ABS('28'!$K$62-Tulokset!$I$61))))))</f>
        <v/>
      </c>
      <c r="BL31" t="str">
        <f>IF(OR(Tulokset!$G$62="",Tulokset!$I$62="",'28'!$I$63="",'28'!$K$63=""),"",IF(SIGN('28'!$I$63-'28'!$K$63)&lt;&gt;SIGN(Tulokset!$G$62-Tulokset!$I$62),0,IF(Tulokset!$G$62=Tulokset!$I$62,IF(AND('28'!$I$63=Tulokset!$G$62,'28'!$K$63=Tulokset!$I$62),6,3),MAX(0,6-(ABS('28'!$I$63-Tulokset!$G$62)+ABS('28'!$K$63-Tulokset!$I$62))))))</f>
        <v/>
      </c>
      <c r="BM31" t="str">
        <f>IF(OR(Tulokset!$G$63="",Tulokset!$I$63="",'28'!$I$64="",'28'!$K$64=""),"",IF(SIGN('28'!$I$64-'28'!$K$64)&lt;&gt;SIGN(Tulokset!$G$63-Tulokset!$I$63),0,IF(Tulokset!$G$63=Tulokset!$I$63,IF(AND('28'!$I$64=Tulokset!$G$63,'28'!$K$64=Tulokset!$I$63),6,3),MAX(0,6-(ABS('28'!$I$64-Tulokset!$G$63)+ABS('28'!$K$64-Tulokset!$I$63))))))</f>
        <v/>
      </c>
      <c r="BN31" t="str">
        <f>IF(OR(Tulokset!$G$64="",Tulokset!$I$64="",'28'!$I$65="",'28'!$K$65=""),"",IF(SIGN('28'!$I$65-'28'!$K$65)&lt;&gt;SIGN(Tulokset!$G$64-Tulokset!$I$64),0,IF(Tulokset!$G$64=Tulokset!$I$64,IF(AND('28'!$I$65=Tulokset!$G$64,'28'!$K$65=Tulokset!$I$64),6,3),MAX(0,6-(ABS('28'!$I$65-Tulokset!$G$64)+ABS('28'!$K$65-Tulokset!$I$64))))))</f>
        <v/>
      </c>
      <c r="BO31" t="str">
        <f>IF(OR(Tulokset!$G$65="",Tulokset!$I$65="",'28'!$I$66="",'28'!$K$66=""),"",IF(SIGN('28'!$I$66-'28'!$K$66)&lt;&gt;SIGN(Tulokset!$G$65-Tulokset!$I$65),0,IF(Tulokset!$G$65=Tulokset!$I$65,IF(AND('28'!$I$66=Tulokset!$G$65,'28'!$K$66=Tulokset!$I$65),6,3),MAX(0,6-(ABS('28'!$I$66-Tulokset!$G$65)+ABS('28'!$K$66-Tulokset!$I$65))))))</f>
        <v/>
      </c>
      <c r="BP31" t="str">
        <f>IF(OR(Tulokset!$G$66="",Tulokset!$I$66="",'28'!$I$67="",'28'!$K$67=""),"",IF(SIGN('28'!$I$67-'28'!$K$67)&lt;&gt;SIGN(Tulokset!$G$66-Tulokset!$I$66),0,IF(Tulokset!$G$66=Tulokset!$I$66,IF(AND('28'!$I$67=Tulokset!$G$66,'28'!$K$67=Tulokset!$I$66),6,3),MAX(0,6-(ABS('28'!$I$67-Tulokset!$G$66)+ABS('28'!$K$67-Tulokset!$I$66))))))</f>
        <v/>
      </c>
      <c r="BQ31" t="str">
        <f>IF(OR(Tulokset!$G$67="",Tulokset!$I$67="",'28'!$I$68="",'28'!$K$68=""),"",IF(SIGN('28'!$I$68-'28'!$K$68)&lt;&gt;SIGN(Tulokset!$G$67-Tulokset!$I$67),0,IF(Tulokset!$G$67=Tulokset!$I$67,IF(AND('28'!$I$68=Tulokset!$G$67,'28'!$K$68=Tulokset!$I$67),6,3),MAX(0,6-(ABS('28'!$I$68-Tulokset!$G$67)+ABS('28'!$K$68-Tulokset!$I$67))))))</f>
        <v/>
      </c>
      <c r="BR31" t="str">
        <f>IF(OR(Tulokset!$G$68="",Tulokset!$I$68="",'28'!$I$69="",'28'!$K$69=""),"",IF(SIGN('28'!$I$69-'28'!$K$69)&lt;&gt;SIGN(Tulokset!$G$68-Tulokset!$I$68),0,IF(Tulokset!$G$68=Tulokset!$I$68,IF(AND('28'!$I$69=Tulokset!$G$68,'28'!$K$69=Tulokset!$I$68),6,3),MAX(0,6-(ABS('28'!$I$69-Tulokset!$G$68)+ABS('28'!$K$69-Tulokset!$I$68))))))</f>
        <v/>
      </c>
      <c r="BS31" t="str">
        <f>IF(OR(Tulokset!$G$69="",Tulokset!$I$69="",'28'!$I$70="",'28'!$K$70=""),"",IF(SIGN('28'!$I$70-'28'!$K$70)&lt;&gt;SIGN(Tulokset!$G$69-Tulokset!$I$69),0,IF(Tulokset!$G$69=Tulokset!$I$69,IF(AND('28'!$I$70=Tulokset!$G$69,'28'!$K$70=Tulokset!$I$69),6,3),MAX(0,6-(ABS('28'!$I$70-Tulokset!$G$69)+ABS('28'!$K$70-Tulokset!$I$69))))))</f>
        <v/>
      </c>
      <c r="BT31" t="str">
        <f>IF(OR(Tulokset!$G$70="",Tulokset!$I$70="",'28'!$I$71="",'28'!$K$71=""),"",IF(SIGN('28'!$I$71-'28'!$K$71)&lt;&gt;SIGN(Tulokset!$G$70-Tulokset!$I$70),0,IF(Tulokset!$G$70=Tulokset!$I$70,IF(AND('28'!$I$71=Tulokset!$G$70,'28'!$K$71=Tulokset!$I$70),6,3),MAX(0,6-(ABS('28'!$I$71-Tulokset!$G$70)+ABS('28'!$K$71-Tulokset!$I$70))))))</f>
        <v/>
      </c>
      <c r="BU31" t="str">
        <f>IF(OR(Tulokset!$G$71="",Tulokset!$I$71="",'28'!$I$72="",'28'!$K$72=""),"",IF(SIGN('28'!$I$72-'28'!$K$72)&lt;&gt;SIGN(Tulokset!$G$71-Tulokset!$I$71),0,IF(Tulokset!$G$71=Tulokset!$I$71,IF(AND('28'!$I$72=Tulokset!$G$71,'28'!$K$72=Tulokset!$I$71),6,3),MAX(0,6-(ABS('28'!$I$72-Tulokset!$G$71)+ABS('28'!$K$72-Tulokset!$I$71))))))</f>
        <v/>
      </c>
      <c r="BV31" t="str">
        <f>IF(OR(Tulokset!$G$72="",Tulokset!$I$72="",'28'!$I$73="",'28'!$K$73=""),"",IF(SIGN('28'!$I$73-'28'!$K$73)&lt;&gt;SIGN(Tulokset!$G$72-Tulokset!$I$72),0,IF(Tulokset!$G$72=Tulokset!$I$72,IF(AND('28'!$I$73=Tulokset!$G$72,'28'!$K$73=Tulokset!$I$72),6,3),MAX(0,6-(ABS('28'!$I$73-Tulokset!$G$72)+ABS('28'!$K$73-Tulokset!$I$72))))))</f>
        <v/>
      </c>
      <c r="BW31" t="str">
        <f>IF(OR(Tulokset!$G$73="",Tulokset!$I$73="",'28'!$I$74="",'28'!$K$74=""),"",IF(SIGN('28'!$I$74-'28'!$K$74)&lt;&gt;SIGN(Tulokset!$G$73-Tulokset!$I$73),0,IF(Tulokset!$G$73=Tulokset!$I$73,IF(AND('28'!$I$74=Tulokset!$G$73,'28'!$K$74=Tulokset!$I$73),6,3),MAX(0,6-(ABS('28'!$I$74-Tulokset!$G$73)+ABS('28'!$K$74-Tulokset!$I$73))))))</f>
        <v/>
      </c>
      <c r="BX31" t="str">
        <f>IF(OR(Tulokset!$G$74="",Tulokset!$I$74="",'28'!$I$75="",'28'!$K$75=""),"",IF(SIGN('28'!$I$75-'28'!$K$75)&lt;&gt;SIGN(Tulokset!$G$74-Tulokset!$I$74),0,IF(Tulokset!$G$74=Tulokset!$I$74,IF(AND('28'!$I$75=Tulokset!$G$74,'28'!$K$75=Tulokset!$I$74),6,3),MAX(0,6-(ABS('28'!$I$75-Tulokset!$G$74)+ABS('28'!$K$75-Tulokset!$I$74))))))</f>
        <v/>
      </c>
      <c r="BY31" t="str">
        <f>IF(OR(Tulokset!$G$75="",Tulokset!$I$75="",'28'!$I$76="",'28'!$K$76=""),"",IF(SIGN('28'!$I$76-'28'!$K$76)&lt;&gt;SIGN(Tulokset!$G$75-Tulokset!$I$75),0,IF(Tulokset!$G$75=Tulokset!$I$75,IF(AND('28'!$I$76=Tulokset!$G$75,'28'!$K$76=Tulokset!$I$75),6,3),MAX(0,6-(ABS('28'!$I$76-Tulokset!$G$75)+ABS('28'!$K$76-Tulokset!$I$75))))))</f>
        <v/>
      </c>
      <c r="BZ31" t="str">
        <f>IF(OR(Tulokset!$G$76="",Tulokset!$I$76="",'28'!$I$77="",'28'!$K$77=""),"",IF(SIGN('28'!$I$77-'28'!$K$77)&lt;&gt;SIGN(Tulokset!$G$76-Tulokset!$I$76),0,IF(Tulokset!$G$76=Tulokset!$I$76,IF(AND('28'!$I$77=Tulokset!$G$76,'28'!$K$77=Tulokset!$I$76),6,3),MAX(0,6-(ABS('28'!$I$77-Tulokset!$G$76)+ABS('28'!$K$77-Tulokset!$I$76))))))</f>
        <v/>
      </c>
      <c r="CA31" t="str">
        <f>IF(OR(Tulokset!$G$77="",Tulokset!$I$77="",'28'!$I$78="",'28'!$K$78=""),"",IF(SIGN('28'!$I$78-'28'!$K$78)&lt;&gt;SIGN(Tulokset!$G$77-Tulokset!$I$77),0,IF(Tulokset!$G$77=Tulokset!$I$77,IF(AND('28'!$I$78=Tulokset!$G$77,'28'!$K$78=Tulokset!$I$77),6,3),MAX(0,6-(ABS('28'!$I$78-Tulokset!$G$77)+ABS('28'!$K$78-Tulokset!$I$77))))))</f>
        <v/>
      </c>
      <c r="CD31" t="str">
        <f ca="1">IF(OR(Tulokset!$M$6="",INDIRECT("'"&amp;$A31&amp;"'!$P$8")=""),"",IF(TRIM(INDIRECT("'"&amp;$A31&amp;"'!$P$8"))=TRIM(Tulokset!$M$6),2,0))</f>
        <v/>
      </c>
      <c r="CE31" t="str">
        <f ca="1">IF(OR(Tulokset!$M$7="",INDIRECT("'"&amp;$A31&amp;"'!$P$9")=""),"",IF(TRIM(INDIRECT("'"&amp;$A31&amp;"'!$P$9"))=TRIM(Tulokset!$M$7),2,0))</f>
        <v/>
      </c>
      <c r="CF31" t="str">
        <f ca="1">IF(OR(Tulokset!$M$8="",INDIRECT("'"&amp;$A31&amp;"'!$P$10")=""),"",IF(TRIM(INDIRECT("'"&amp;$A31&amp;"'!$P$10"))=TRIM(Tulokset!$M$8),2,0))</f>
        <v/>
      </c>
      <c r="CG31" t="str">
        <f ca="1">IF(OR(Tulokset!$M$9="",INDIRECT("'"&amp;$A31&amp;"'!$P$11")=""),"",IF(TRIM(INDIRECT("'"&amp;$A31&amp;"'!$P$11"))=TRIM(Tulokset!$M$9),2,0))</f>
        <v/>
      </c>
      <c r="CH31" t="str">
        <f ca="1">IF(OR(Tulokset!$N$6="",INDIRECT("'"&amp;$A31&amp;"'!$Q$8")=""),"",IF(TRIM(INDIRECT("'"&amp;$A31&amp;"'!$Q$8"))=TRIM(Tulokset!$N$6),2,0))</f>
        <v/>
      </c>
      <c r="CI31" t="str">
        <f ca="1">IF(OR(Tulokset!$N$7="",INDIRECT("'"&amp;$A31&amp;"'!$Q$9")=""),"",IF(TRIM(INDIRECT("'"&amp;$A31&amp;"'!$Q$9"))=TRIM(Tulokset!$N$7),2,0))</f>
        <v/>
      </c>
      <c r="CJ31" t="str">
        <f ca="1">IF(OR(Tulokset!$N$8="",INDIRECT("'"&amp;$A31&amp;"'!$Q$10")=""),"",IF(TRIM(INDIRECT("'"&amp;$A31&amp;"'!$Q$10"))=TRIM(Tulokset!$N$8),2,0))</f>
        <v/>
      </c>
      <c r="CK31" t="str">
        <f ca="1">IF(OR(Tulokset!$N$9="",INDIRECT("'"&amp;$A31&amp;"'!$Q$11")=""),"",IF(TRIM(INDIRECT("'"&amp;$A31&amp;"'!$Q$11"))=TRIM(Tulokset!$N$9),2,0))</f>
        <v/>
      </c>
      <c r="CL31" t="str">
        <f ca="1">IF(OR(Tulokset!$O$6="",INDIRECT("'"&amp;$A31&amp;"'!$R$8")=""),"",IF(TRIM(INDIRECT("'"&amp;$A31&amp;"'!$R$8"))=TRIM(Tulokset!$O$6),2,0))</f>
        <v/>
      </c>
      <c r="CM31" t="str">
        <f ca="1">IF(OR(Tulokset!$O$7="",INDIRECT("'"&amp;$A31&amp;"'!$R$9")=""),"",IF(TRIM(INDIRECT("'"&amp;$A31&amp;"'!$R$9"))=TRIM(Tulokset!$O$7),2,0))</f>
        <v/>
      </c>
      <c r="CN31" t="str">
        <f ca="1">IF(OR(Tulokset!$O$8="",INDIRECT("'"&amp;$A31&amp;"'!$R$10")=""),"",IF(TRIM(INDIRECT("'"&amp;$A31&amp;"'!$R$10"))=TRIM(Tulokset!$O$8),2,0))</f>
        <v/>
      </c>
      <c r="CO31" t="str">
        <f ca="1">IF(OR(Tulokset!$O$9="",INDIRECT("'"&amp;$A31&amp;"'!$R$11")=""),"",IF(TRIM(INDIRECT("'"&amp;$A31&amp;"'!$R$11"))=TRIM(Tulokset!$O$9),2,0))</f>
        <v/>
      </c>
      <c r="CP31" t="str">
        <f ca="1">IF(OR(Tulokset!$P$6="",INDIRECT("'"&amp;$A31&amp;"'!$S$8")=""),"",IF(TRIM(INDIRECT("'"&amp;$A31&amp;"'!$S$8"))=TRIM(Tulokset!$P$6),2,0))</f>
        <v/>
      </c>
      <c r="CQ31" t="str">
        <f ca="1">IF(OR(Tulokset!$P$7="",INDIRECT("'"&amp;$A31&amp;"'!$S$9")=""),"",IF(TRIM(INDIRECT("'"&amp;$A31&amp;"'!$S$9"))=TRIM(Tulokset!$P$7),2,0))</f>
        <v/>
      </c>
      <c r="CR31" t="str">
        <f ca="1">IF(OR(Tulokset!$P$8="",INDIRECT("'"&amp;$A31&amp;"'!$S$10")=""),"",IF(TRIM(INDIRECT("'"&amp;$A31&amp;"'!$S$10"))=TRIM(Tulokset!$P$8),2,0))</f>
        <v/>
      </c>
      <c r="CS31" t="str">
        <f ca="1">IF(OR(Tulokset!$P$9="",INDIRECT("'"&amp;$A31&amp;"'!$S$11")=""),"",IF(TRIM(INDIRECT("'"&amp;$A31&amp;"'!$S$11"))=TRIM(Tulokset!$P$9),2,0))</f>
        <v/>
      </c>
      <c r="CT31" t="str">
        <f ca="1">IF(OR(Tulokset!$Q$6="",INDIRECT("'"&amp;$A31&amp;"'!$T$8")=""),"",IF(TRIM(INDIRECT("'"&amp;$A31&amp;"'!$T$8"))=TRIM(Tulokset!$Q$6),2,0))</f>
        <v/>
      </c>
      <c r="CU31" t="str">
        <f ca="1">IF(OR(Tulokset!$Q$7="",INDIRECT("'"&amp;$A31&amp;"'!$T$9")=""),"",IF(TRIM(INDIRECT("'"&amp;$A31&amp;"'!$T$9"))=TRIM(Tulokset!$Q$7),2,0))</f>
        <v/>
      </c>
      <c r="CV31" t="str">
        <f ca="1">IF(OR(Tulokset!$Q$8="",INDIRECT("'"&amp;$A31&amp;"'!$T$10")=""),"",IF(TRIM(INDIRECT("'"&amp;$A31&amp;"'!$T$10"))=TRIM(Tulokset!$Q$8),2,0))</f>
        <v/>
      </c>
      <c r="CW31" t="str">
        <f ca="1">IF(OR(Tulokset!$Q$9="",INDIRECT("'"&amp;$A31&amp;"'!$T$11")=""),"",IF(TRIM(INDIRECT("'"&amp;$A31&amp;"'!$T$11"))=TRIM(Tulokset!$Q$9),2,0))</f>
        <v/>
      </c>
      <c r="CX31" t="str">
        <f ca="1">IF(OR(Tulokset!$R$6="",INDIRECT("'"&amp;$A31&amp;"'!$U$8")=""),"",IF(TRIM(INDIRECT("'"&amp;$A31&amp;"'!$U$8"))=TRIM(Tulokset!$R$6),2,0))</f>
        <v/>
      </c>
      <c r="CY31" t="str">
        <f ca="1">IF(OR(Tulokset!$R$7="",INDIRECT("'"&amp;$A31&amp;"'!$U$9")=""),"",IF(TRIM(INDIRECT("'"&amp;$A31&amp;"'!$U$9"))=TRIM(Tulokset!$R$7),2,0))</f>
        <v/>
      </c>
      <c r="CZ31" t="str">
        <f ca="1">IF(OR(Tulokset!$R$8="",INDIRECT("'"&amp;$A31&amp;"'!$U$10")=""),"",IF(TRIM(INDIRECT("'"&amp;$A31&amp;"'!$U$10"))=TRIM(Tulokset!$R$8),2,0))</f>
        <v/>
      </c>
      <c r="DA31" t="str">
        <f ca="1">IF(OR(Tulokset!$R$9="",INDIRECT("'"&amp;$A31&amp;"'!$U$11")=""),"",IF(TRIM(INDIRECT("'"&amp;$A31&amp;"'!$U$11"))=TRIM(Tulokset!$R$9),2,0))</f>
        <v/>
      </c>
      <c r="DB31" t="str">
        <f ca="1">IF(OR(Tulokset!$M$12="",INDIRECT("'"&amp;$A31&amp;"'!$P$14")=""),"",IF(TRIM(INDIRECT("'"&amp;$A31&amp;"'!$P$14"))=TRIM(Tulokset!$M$12),2,0))</f>
        <v/>
      </c>
      <c r="DC31" t="str">
        <f ca="1">IF(OR(Tulokset!$M$13="",INDIRECT("'"&amp;$A31&amp;"'!$P$15")=""),"",IF(TRIM(INDIRECT("'"&amp;$A31&amp;"'!$P$15"))=TRIM(Tulokset!$M$13),2,0))</f>
        <v/>
      </c>
      <c r="DD31" t="str">
        <f ca="1">IF(OR(Tulokset!$M$14="",INDIRECT("'"&amp;$A31&amp;"'!$P$16")=""),"",IF(TRIM(INDIRECT("'"&amp;$A31&amp;"'!$P$16"))=TRIM(Tulokset!$M$14),2,0))</f>
        <v/>
      </c>
      <c r="DE31" t="str">
        <f ca="1">IF(OR(Tulokset!$M$15="",INDIRECT("'"&amp;$A31&amp;"'!$P$17")=""),"",IF(TRIM(INDIRECT("'"&amp;$A31&amp;"'!$P$17"))=TRIM(Tulokset!$M$15),2,0))</f>
        <v/>
      </c>
      <c r="DF31" t="str">
        <f ca="1">IF(OR(Tulokset!$N$12="",INDIRECT("'"&amp;$A31&amp;"'!$Q$14")=""),"",IF(TRIM(INDIRECT("'"&amp;$A31&amp;"'!$Q$14"))=TRIM(Tulokset!$N$12),2,0))</f>
        <v/>
      </c>
      <c r="DG31" t="str">
        <f ca="1">IF(OR(Tulokset!$N$13="",INDIRECT("'"&amp;$A31&amp;"'!$Q$15")=""),"",IF(TRIM(INDIRECT("'"&amp;$A31&amp;"'!$Q$15"))=TRIM(Tulokset!$N$13),2,0))</f>
        <v/>
      </c>
      <c r="DH31" t="str">
        <f ca="1">IF(OR(Tulokset!$N$14="",INDIRECT("'"&amp;$A31&amp;"'!$Q$16")=""),"",IF(TRIM(INDIRECT("'"&amp;$A31&amp;"'!$Q$16"))=TRIM(Tulokset!$N$14),2,0))</f>
        <v/>
      </c>
      <c r="DI31" t="str">
        <f ca="1">IF(OR(Tulokset!$N$15="",INDIRECT("'"&amp;$A31&amp;"'!$Q$17")=""),"",IF(TRIM(INDIRECT("'"&amp;$A31&amp;"'!$Q$17"))=TRIM(Tulokset!$N$15),2,0))</f>
        <v/>
      </c>
      <c r="DJ31" t="str">
        <f ca="1">IF(OR(Tulokset!$O$12="",INDIRECT("'"&amp;$A31&amp;"'!$R$14")=""),"",IF(TRIM(INDIRECT("'"&amp;$A31&amp;"'!$R$14"))=TRIM(Tulokset!$O$12),2,0))</f>
        <v/>
      </c>
      <c r="DK31" t="str">
        <f ca="1">IF(OR(Tulokset!$O$13="",INDIRECT("'"&amp;$A31&amp;"'!$R$15")=""),"",IF(TRIM(INDIRECT("'"&amp;$A31&amp;"'!$R$15"))=TRIM(Tulokset!$O$13),2,0))</f>
        <v/>
      </c>
      <c r="DL31" t="str">
        <f ca="1">IF(OR(Tulokset!$O$14="",INDIRECT("'"&amp;$A31&amp;"'!$R$16")=""),"",IF(TRIM(INDIRECT("'"&amp;$A31&amp;"'!$R$16"))=TRIM(Tulokset!$O$14),2,0))</f>
        <v/>
      </c>
      <c r="DM31" t="str">
        <f ca="1">IF(OR(Tulokset!$O$15="",INDIRECT("'"&amp;$A31&amp;"'!$R$17")=""),"",IF(TRIM(INDIRECT("'"&amp;$A31&amp;"'!$R$17"))=TRIM(Tulokset!$O$15),2,0))</f>
        <v/>
      </c>
      <c r="DN31" t="str">
        <f ca="1">IF(OR(Tulokset!$P$12="",INDIRECT("'"&amp;$A31&amp;"'!$S$14")=""),"",IF(TRIM(INDIRECT("'"&amp;$A31&amp;"'!$S$14"))=TRIM(Tulokset!$P$12),2,0))</f>
        <v/>
      </c>
      <c r="DO31" t="str">
        <f ca="1">IF(OR(Tulokset!$P$13="",INDIRECT("'"&amp;$A31&amp;"'!$S$15")=""),"",IF(TRIM(INDIRECT("'"&amp;$A31&amp;"'!$S$15"))=TRIM(Tulokset!$P$13),2,0))</f>
        <v/>
      </c>
      <c r="DP31" t="str">
        <f ca="1">IF(OR(Tulokset!$P$14="",INDIRECT("'"&amp;$A31&amp;"'!$S$16")=""),"",IF(TRIM(INDIRECT("'"&amp;$A31&amp;"'!$S$16"))=TRIM(Tulokset!$P$14),2,0))</f>
        <v/>
      </c>
      <c r="DQ31" t="str">
        <f ca="1">IF(OR(Tulokset!$P$15="",INDIRECT("'"&amp;$A31&amp;"'!$S$17")=""),"",IF(TRIM(INDIRECT("'"&amp;$A31&amp;"'!$S$17"))=TRIM(Tulokset!$P$15),2,0))</f>
        <v/>
      </c>
      <c r="DR31" t="str">
        <f ca="1">IF(OR(Tulokset!$Q$12="",INDIRECT("'"&amp;$A31&amp;"'!$T$14")=""),"",IF(TRIM(INDIRECT("'"&amp;$A31&amp;"'!$T$14"))=TRIM(Tulokset!$Q$12),2,0))</f>
        <v/>
      </c>
      <c r="DS31" t="str">
        <f ca="1">IF(OR(Tulokset!$Q$13="",INDIRECT("'"&amp;$A31&amp;"'!$T$15")=""),"",IF(TRIM(INDIRECT("'"&amp;$A31&amp;"'!$T$15"))=TRIM(Tulokset!$Q$13),2,0))</f>
        <v/>
      </c>
      <c r="DT31" t="str">
        <f ca="1">IF(OR(Tulokset!$Q$14="",INDIRECT("'"&amp;$A31&amp;"'!$T$16")=""),"",IF(TRIM(INDIRECT("'"&amp;$A31&amp;"'!$T$16"))=TRIM(Tulokset!$Q$14),2,0))</f>
        <v/>
      </c>
      <c r="DU31" t="str">
        <f ca="1">IF(OR(Tulokset!$Q$15="",INDIRECT("'"&amp;$A31&amp;"'!$T$17")=""),"",IF(TRIM(INDIRECT("'"&amp;$A31&amp;"'!$T$17"))=TRIM(Tulokset!$Q$15),2,0))</f>
        <v/>
      </c>
      <c r="DV31" t="str">
        <f ca="1">IF(OR(Tulokset!$R$12="",INDIRECT("'"&amp;$A31&amp;"'!$U$14")=""),"",IF(TRIM(INDIRECT("'"&amp;$A31&amp;"'!$U$14"))=TRIM(Tulokset!$R$12),2,0))</f>
        <v/>
      </c>
      <c r="DW31" t="str">
        <f ca="1">IF(OR(Tulokset!$R$13="",INDIRECT("'"&amp;$A31&amp;"'!$U$15")=""),"",IF(TRIM(INDIRECT("'"&amp;$A31&amp;"'!$U$15"))=TRIM(Tulokset!$R$13),2,0))</f>
        <v/>
      </c>
      <c r="DX31" t="str">
        <f ca="1">IF(OR(Tulokset!$R$14="",INDIRECT("'"&amp;$A31&amp;"'!$U$16")=""),"",IF(TRIM(INDIRECT("'"&amp;$A31&amp;"'!$U$16"))=TRIM(Tulokset!$R$14),2,0))</f>
        <v/>
      </c>
      <c r="DY31" t="str">
        <f ca="1">IF(OR(Tulokset!$R$15="",INDIRECT("'"&amp;$A31&amp;"'!$U$17")=""),"",IF(TRIM(INDIRECT("'"&amp;$A31&amp;"'!$U$17"))=TRIM(Tulokset!$R$15),2,0))</f>
        <v/>
      </c>
      <c r="EA31" t="str">
        <f ca="1">IF(OR(INDIRECT("'"&amp;$A31&amp;"'!$E$79")="",COUNTA(Tulokset!$M$20:$M$21)=0),"",IF(COUNTIF(Tulokset!$M$20:$M$21,INDIRECT("'"&amp;$A31&amp;"'!$E$79"))&gt;0,2,0))</f>
        <v/>
      </c>
      <c r="EB31" t="str">
        <f ca="1">IF(OR(INDIRECT("'"&amp;$A31&amp;"'!$G$79")="",COUNTA(Tulokset!$M$20:$M$21)=0),"",IF(COUNTIF(Tulokset!$M$20:$M$21,INDIRECT("'"&amp;$A31&amp;"'!$G$79"))&gt;0,2,0))</f>
        <v/>
      </c>
      <c r="EC31" t="str">
        <f ca="1">IF(OR(INDIRECT("'"&amp;$A31&amp;"'!$E$80")="",COUNTA(Tulokset!$M$23:$M$24)=0),"",IF(COUNTIF(Tulokset!$M$23:$M$24,INDIRECT("'"&amp;$A31&amp;"'!$E$80"))&gt;0,2,0))</f>
        <v/>
      </c>
      <c r="ED31" t="str">
        <f ca="1">IF(OR(INDIRECT("'"&amp;$A31&amp;"'!$G$80")="",COUNTA(Tulokset!$M$23:$M$24)=0),"",IF(COUNTIF(Tulokset!$M$23:$M$24,INDIRECT("'"&amp;$A31&amp;"'!$G$80"))&gt;0,2,0))</f>
        <v/>
      </c>
    </row>
    <row r="32" spans="1:134">
      <c r="A32" t="s">
        <v>324</v>
      </c>
      <c r="B32" t="str">
        <f t="shared" ca="1" si="0"/>
        <v>Repetti</v>
      </c>
      <c r="C32" s="95">
        <f t="shared" si="1"/>
        <v>0</v>
      </c>
      <c r="D32" s="95">
        <f t="shared" ca="1" si="2"/>
        <v>0</v>
      </c>
      <c r="E32" s="95">
        <f t="shared" ca="1" si="3"/>
        <v>0</v>
      </c>
      <c r="F32" s="95">
        <f t="shared" ca="1" si="4"/>
        <v>0</v>
      </c>
      <c r="G32" s="95">
        <f t="shared" si="5"/>
        <v>0</v>
      </c>
      <c r="H32" t="str">
        <f>IF(OR(Tulokset!$G$6="",Tulokset!$I$6="",'29'!$I$7="",'29'!$K$7=""),"",IF(SIGN('29'!$I$7-'29'!$K$7)&lt;&gt;SIGN(Tulokset!$G$6-Tulokset!$I$6),0,IF(Tulokset!$G$6=Tulokset!$I$6,IF(AND('29'!$I$7=Tulokset!$G$6,'29'!$K$7=Tulokset!$I$6),6,3),MAX(0,6-(ABS('29'!$I$7-Tulokset!$G$6)+ABS('29'!$K$7-Tulokset!$I$6))))))</f>
        <v/>
      </c>
      <c r="I32" t="str">
        <f>IF(OR(Tulokset!$G$7="",Tulokset!$I$7="",'29'!$I$8="",'29'!$K$8=""),"",IF(SIGN('29'!$I$8-'29'!$K$8)&lt;&gt;SIGN(Tulokset!$G$7-Tulokset!$I$7),0,IF(Tulokset!$G$7=Tulokset!$I$7,IF(AND('29'!$I$8=Tulokset!$G$7,'29'!$K$8=Tulokset!$I$7),6,3),MAX(0,6-(ABS('29'!$I$8-Tulokset!$G$7)+ABS('29'!$K$8-Tulokset!$I$7))))))</f>
        <v/>
      </c>
      <c r="J32" t="str">
        <f>IF(OR(Tulokset!$G$8="",Tulokset!$I$8="",'29'!$I$9="",'29'!$K$9=""),"",IF(SIGN('29'!$I$9-'29'!$K$9)&lt;&gt;SIGN(Tulokset!$G$8-Tulokset!$I$8),0,IF(Tulokset!$G$8=Tulokset!$I$8,IF(AND('29'!$I$9=Tulokset!$G$8,'29'!$K$9=Tulokset!$I$8),6,3),MAX(0,6-(ABS('29'!$I$9-Tulokset!$G$8)+ABS('29'!$K$9-Tulokset!$I$8))))))</f>
        <v/>
      </c>
      <c r="K32" t="str">
        <f>IF(OR(Tulokset!$G$9="",Tulokset!$I$9="",'29'!$I$10="",'29'!$K$10=""),"",IF(SIGN('29'!$I$10-'29'!$K$10)&lt;&gt;SIGN(Tulokset!$G$9-Tulokset!$I$9),0,IF(Tulokset!$G$9=Tulokset!$I$9,IF(AND('29'!$I$10=Tulokset!$G$9,'29'!$K$10=Tulokset!$I$9),6,3),MAX(0,6-(ABS('29'!$I$10-Tulokset!$G$9)+ABS('29'!$K$10-Tulokset!$I$9))))))</f>
        <v/>
      </c>
      <c r="L32" t="str">
        <f>IF(OR(Tulokset!$G$10="",Tulokset!$I$10="",'29'!$I$11="",'29'!$K$11=""),"",IF(SIGN('29'!$I$11-'29'!$K$11)&lt;&gt;SIGN(Tulokset!$G$10-Tulokset!$I$10),0,IF(Tulokset!$G$10=Tulokset!$I$10,IF(AND('29'!$I$11=Tulokset!$G$10,'29'!$K$11=Tulokset!$I$10),6,3),MAX(0,6-(ABS('29'!$I$11-Tulokset!$G$10)+ABS('29'!$K$11-Tulokset!$I$10))))))</f>
        <v/>
      </c>
      <c r="M32" t="str">
        <f>IF(OR(Tulokset!$G$11="",Tulokset!$I$11="",'29'!$I$12="",'29'!$K$12=""),"",IF(SIGN('29'!$I$12-'29'!$K$12)&lt;&gt;SIGN(Tulokset!$G$11-Tulokset!$I$11),0,IF(Tulokset!$G$11=Tulokset!$I$11,IF(AND('29'!$I$12=Tulokset!$G$11,'29'!$K$12=Tulokset!$I$11),6,3),MAX(0,6-(ABS('29'!$I$12-Tulokset!$G$11)+ABS('29'!$K$12-Tulokset!$I$11))))))</f>
        <v/>
      </c>
      <c r="N32" t="str">
        <f>IF(OR(Tulokset!$G$12="",Tulokset!$I$12="",'29'!$I$13="",'29'!$K$13=""),"",IF(SIGN('29'!$I$13-'29'!$K$13)&lt;&gt;SIGN(Tulokset!$G$12-Tulokset!$I$12),0,IF(Tulokset!$G$12=Tulokset!$I$12,IF(AND('29'!$I$13=Tulokset!$G$12,'29'!$K$13=Tulokset!$I$12),6,3),MAX(0,6-(ABS('29'!$I$13-Tulokset!$G$12)+ABS('29'!$K$13-Tulokset!$I$12))))))</f>
        <v/>
      </c>
      <c r="O32" t="str">
        <f>IF(OR(Tulokset!$G$13="",Tulokset!$I$13="",'29'!$I$14="",'29'!$K$14=""),"",IF(SIGN('29'!$I$14-'29'!$K$14)&lt;&gt;SIGN(Tulokset!$G$13-Tulokset!$I$13),0,IF(Tulokset!$G$13=Tulokset!$I$13,IF(AND('29'!$I$14=Tulokset!$G$13,'29'!$K$14=Tulokset!$I$13),6,3),MAX(0,6-(ABS('29'!$I$14-Tulokset!$G$13)+ABS('29'!$K$14-Tulokset!$I$13))))))</f>
        <v/>
      </c>
      <c r="P32" t="str">
        <f>IF(OR(Tulokset!$G$14="",Tulokset!$I$14="",'29'!$I$15="",'29'!$K$15=""),"",IF(SIGN('29'!$I$15-'29'!$K$15)&lt;&gt;SIGN(Tulokset!$G$14-Tulokset!$I$14),0,IF(Tulokset!$G$14=Tulokset!$I$14,IF(AND('29'!$I$15=Tulokset!$G$14,'29'!$K$15=Tulokset!$I$14),6,3),MAX(0,6-(ABS('29'!$I$15-Tulokset!$G$14)+ABS('29'!$K$15-Tulokset!$I$14))))))</f>
        <v/>
      </c>
      <c r="Q32" t="str">
        <f>IF(OR(Tulokset!$G$15="",Tulokset!$I$15="",'29'!$I$16="",'29'!$K$16=""),"",IF(SIGN('29'!$I$16-'29'!$K$16)&lt;&gt;SIGN(Tulokset!$G$15-Tulokset!$I$15),0,IF(Tulokset!$G$15=Tulokset!$I$15,IF(AND('29'!$I$16=Tulokset!$G$15,'29'!$K$16=Tulokset!$I$15),6,3),MAX(0,6-(ABS('29'!$I$16-Tulokset!$G$15)+ABS('29'!$K$16-Tulokset!$I$15))))))</f>
        <v/>
      </c>
      <c r="R32" t="str">
        <f>IF(OR(Tulokset!$G$16="",Tulokset!$I$16="",'29'!$I$17="",'29'!$K$17=""),"",IF(SIGN('29'!$I$17-'29'!$K$17)&lt;&gt;SIGN(Tulokset!$G$16-Tulokset!$I$16),0,IF(Tulokset!$G$16=Tulokset!$I$16,IF(AND('29'!$I$17=Tulokset!$G$16,'29'!$K$17=Tulokset!$I$16),6,3),MAX(0,6-(ABS('29'!$I$17-Tulokset!$G$16)+ABS('29'!$K$17-Tulokset!$I$16))))))</f>
        <v/>
      </c>
      <c r="S32" t="str">
        <f>IF(OR(Tulokset!$G$17="",Tulokset!$I$17="",'29'!$I$18="",'29'!$K$18=""),"",IF(SIGN('29'!$I$18-'29'!$K$18)&lt;&gt;SIGN(Tulokset!$G$17-Tulokset!$I$17),0,IF(Tulokset!$G$17=Tulokset!$I$17,IF(AND('29'!$I$18=Tulokset!$G$17,'29'!$K$18=Tulokset!$I$17),6,3),MAX(0,6-(ABS('29'!$I$18-Tulokset!$G$17)+ABS('29'!$K$18-Tulokset!$I$17))))))</f>
        <v/>
      </c>
      <c r="T32" t="str">
        <f>IF(OR(Tulokset!$G$18="",Tulokset!$I$18="",'29'!$I$19="",'29'!$K$19=""),"",IF(SIGN('29'!$I$19-'29'!$K$19)&lt;&gt;SIGN(Tulokset!$G$18-Tulokset!$I$18),0,IF(Tulokset!$G$18=Tulokset!$I$18,IF(AND('29'!$I$19=Tulokset!$G$18,'29'!$K$19=Tulokset!$I$18),6,3),MAX(0,6-(ABS('29'!$I$19-Tulokset!$G$18)+ABS('29'!$K$19-Tulokset!$I$18))))))</f>
        <v/>
      </c>
      <c r="U32" t="str">
        <f>IF(OR(Tulokset!$G$19="",Tulokset!$I$19="",'29'!$I$20="",'29'!$K$20=""),"",IF(SIGN('29'!$I$20-'29'!$K$20)&lt;&gt;SIGN(Tulokset!$G$19-Tulokset!$I$19),0,IF(Tulokset!$G$19=Tulokset!$I$19,IF(AND('29'!$I$20=Tulokset!$G$19,'29'!$K$20=Tulokset!$I$19),6,3),MAX(0,6-(ABS('29'!$I$20-Tulokset!$G$19)+ABS('29'!$K$20-Tulokset!$I$19))))))</f>
        <v/>
      </c>
      <c r="V32" t="str">
        <f>IF(OR(Tulokset!$G$20="",Tulokset!$I$20="",'29'!$I$21="",'29'!$K$21=""),"",IF(SIGN('29'!$I$21-'29'!$K$21)&lt;&gt;SIGN(Tulokset!$G$20-Tulokset!$I$20),0,IF(Tulokset!$G$20=Tulokset!$I$20,IF(AND('29'!$I$21=Tulokset!$G$20,'29'!$K$21=Tulokset!$I$20),6,3),MAX(0,6-(ABS('29'!$I$21-Tulokset!$G$20)+ABS('29'!$K$21-Tulokset!$I$20))))))</f>
        <v/>
      </c>
      <c r="W32" t="str">
        <f>IF(OR(Tulokset!$G$21="",Tulokset!$I$21="",'29'!$I$22="",'29'!$K$22=""),"",IF(SIGN('29'!$I$22-'29'!$K$22)&lt;&gt;SIGN(Tulokset!$G$21-Tulokset!$I$21),0,IF(Tulokset!$G$21=Tulokset!$I$21,IF(AND('29'!$I$22=Tulokset!$G$21,'29'!$K$22=Tulokset!$I$21),6,3),MAX(0,6-(ABS('29'!$I$22-Tulokset!$G$21)+ABS('29'!$K$22-Tulokset!$I$21))))))</f>
        <v/>
      </c>
      <c r="X32" t="str">
        <f>IF(OR(Tulokset!$G$22="",Tulokset!$I$22="",'29'!$I$23="",'29'!$K$23=""),"",IF(SIGN('29'!$I$23-'29'!$K$23)&lt;&gt;SIGN(Tulokset!$G$22-Tulokset!$I$22),0,IF(Tulokset!$G$22=Tulokset!$I$22,IF(AND('29'!$I$23=Tulokset!$G$22,'29'!$K$23=Tulokset!$I$22),6,3),MAX(0,6-(ABS('29'!$I$23-Tulokset!$G$22)+ABS('29'!$K$23-Tulokset!$I$22))))))</f>
        <v/>
      </c>
      <c r="Y32" t="str">
        <f>IF(OR(Tulokset!$G$23="",Tulokset!$I$23="",'29'!$I$24="",'29'!$K$24=""),"",IF(SIGN('29'!$I$24-'29'!$K$24)&lt;&gt;SIGN(Tulokset!$G$23-Tulokset!$I$23),0,IF(Tulokset!$G$23=Tulokset!$I$23,IF(AND('29'!$I$24=Tulokset!$G$23,'29'!$K$24=Tulokset!$I$23),6,3),MAX(0,6-(ABS('29'!$I$24-Tulokset!$G$23)+ABS('29'!$K$24-Tulokset!$I$23))))))</f>
        <v/>
      </c>
      <c r="Z32" t="str">
        <f>IF(OR(Tulokset!$G$24="",Tulokset!$I$24="",'29'!$I$25="",'29'!$K$25=""),"",IF(SIGN('29'!$I$25-'29'!$K$25)&lt;&gt;SIGN(Tulokset!$G$24-Tulokset!$I$24),0,IF(Tulokset!$G$24=Tulokset!$I$24,IF(AND('29'!$I$25=Tulokset!$G$24,'29'!$K$25=Tulokset!$I$24),6,3),MAX(0,6-(ABS('29'!$I$25-Tulokset!$G$24)+ABS('29'!$K$25-Tulokset!$I$24))))))</f>
        <v/>
      </c>
      <c r="AA32" t="str">
        <f>IF(OR(Tulokset!$G$25="",Tulokset!$I$25="",'29'!$I$26="",'29'!$K$26=""),"",IF(SIGN('29'!$I$26-'29'!$K$26)&lt;&gt;SIGN(Tulokset!$G$25-Tulokset!$I$25),0,IF(Tulokset!$G$25=Tulokset!$I$25,IF(AND('29'!$I$26=Tulokset!$G$25,'29'!$K$26=Tulokset!$I$25),6,3),MAX(0,6-(ABS('29'!$I$26-Tulokset!$G$25)+ABS('29'!$K$26-Tulokset!$I$25))))))</f>
        <v/>
      </c>
      <c r="AB32" t="str">
        <f>IF(OR(Tulokset!$G$26="",Tulokset!$I$26="",'29'!$I$27="",'29'!$K$27=""),"",IF(SIGN('29'!$I$27-'29'!$K$27)&lt;&gt;SIGN(Tulokset!$G$26-Tulokset!$I$26),0,IF(Tulokset!$G$26=Tulokset!$I$26,IF(AND('29'!$I$27=Tulokset!$G$26,'29'!$K$27=Tulokset!$I$26),6,3),MAX(0,6-(ABS('29'!$I$27-Tulokset!$G$26)+ABS('29'!$K$27-Tulokset!$I$26))))))</f>
        <v/>
      </c>
      <c r="AC32" t="str">
        <f>IF(OR(Tulokset!$G$27="",Tulokset!$I$27="",'29'!$I$28="",'29'!$K$28=""),"",IF(SIGN('29'!$I$28-'29'!$K$28)&lt;&gt;SIGN(Tulokset!$G$27-Tulokset!$I$27),0,IF(Tulokset!$G$27=Tulokset!$I$27,IF(AND('29'!$I$28=Tulokset!$G$27,'29'!$K$28=Tulokset!$I$27),6,3),MAX(0,6-(ABS('29'!$I$28-Tulokset!$G$27)+ABS('29'!$K$28-Tulokset!$I$27))))))</f>
        <v/>
      </c>
      <c r="AD32" t="str">
        <f>IF(OR(Tulokset!$G$28="",Tulokset!$I$28="",'29'!$I$29="",'29'!$K$29=""),"",IF(SIGN('29'!$I$29-'29'!$K$29)&lt;&gt;SIGN(Tulokset!$G$28-Tulokset!$I$28),0,IF(Tulokset!$G$28=Tulokset!$I$28,IF(AND('29'!$I$29=Tulokset!$G$28,'29'!$K$29=Tulokset!$I$28),6,3),MAX(0,6-(ABS('29'!$I$29-Tulokset!$G$28)+ABS('29'!$K$29-Tulokset!$I$28))))))</f>
        <v/>
      </c>
      <c r="AE32" t="str">
        <f>IF(OR(Tulokset!$G$29="",Tulokset!$I$29="",'29'!$I$30="",'29'!$K$30=""),"",IF(SIGN('29'!$I$30-'29'!$K$30)&lt;&gt;SIGN(Tulokset!$G$29-Tulokset!$I$29),0,IF(Tulokset!$G$29=Tulokset!$I$29,IF(AND('29'!$I$30=Tulokset!$G$29,'29'!$K$30=Tulokset!$I$29),6,3),MAX(0,6-(ABS('29'!$I$30-Tulokset!$G$29)+ABS('29'!$K$30-Tulokset!$I$29))))))</f>
        <v/>
      </c>
      <c r="AF32" t="str">
        <f>IF(OR(Tulokset!$G$30="",Tulokset!$I$30="",'29'!$I$31="",'29'!$K$31=""),"",IF(SIGN('29'!$I$31-'29'!$K$31)&lt;&gt;SIGN(Tulokset!$G$30-Tulokset!$I$30),0,IF(Tulokset!$G$30=Tulokset!$I$30,IF(AND('29'!$I$31=Tulokset!$G$30,'29'!$K$31=Tulokset!$I$30),6,3),MAX(0,6-(ABS('29'!$I$31-Tulokset!$G$30)+ABS('29'!$K$31-Tulokset!$I$30))))))</f>
        <v/>
      </c>
      <c r="AG32" t="str">
        <f>IF(OR(Tulokset!$G$31="",Tulokset!$I$31="",'29'!$I$32="",'29'!$K$32=""),"",IF(SIGN('29'!$I$32-'29'!$K$32)&lt;&gt;SIGN(Tulokset!$G$31-Tulokset!$I$31),0,IF(Tulokset!$G$31=Tulokset!$I$31,IF(AND('29'!$I$32=Tulokset!$G$31,'29'!$K$32=Tulokset!$I$31),6,3),MAX(0,6-(ABS('29'!$I$32-Tulokset!$G$31)+ABS('29'!$K$32-Tulokset!$I$31))))))</f>
        <v/>
      </c>
      <c r="AH32" t="str">
        <f>IF(OR(Tulokset!$G$32="",Tulokset!$I$32="",'29'!$I$33="",'29'!$K$33=""),"",IF(SIGN('29'!$I$33-'29'!$K$33)&lt;&gt;SIGN(Tulokset!$G$32-Tulokset!$I$32),0,IF(Tulokset!$G$32=Tulokset!$I$32,IF(AND('29'!$I$33=Tulokset!$G$32,'29'!$K$33=Tulokset!$I$32),6,3),MAX(0,6-(ABS('29'!$I$33-Tulokset!$G$32)+ABS('29'!$K$33-Tulokset!$I$32))))))</f>
        <v/>
      </c>
      <c r="AI32" t="str">
        <f>IF(OR(Tulokset!$G$33="",Tulokset!$I$33="",'29'!$I$34="",'29'!$K$34=""),"",IF(SIGN('29'!$I$34-'29'!$K$34)&lt;&gt;SIGN(Tulokset!$G$33-Tulokset!$I$33),0,IF(Tulokset!$G$33=Tulokset!$I$33,IF(AND('29'!$I$34=Tulokset!$G$33,'29'!$K$34=Tulokset!$I$33),6,3),MAX(0,6-(ABS('29'!$I$34-Tulokset!$G$33)+ABS('29'!$K$34-Tulokset!$I$33))))))</f>
        <v/>
      </c>
      <c r="AJ32" t="str">
        <f>IF(OR(Tulokset!$G$34="",Tulokset!$I$34="",'29'!$I$35="",'29'!$K$35=""),"",IF(SIGN('29'!$I$35-'29'!$K$35)&lt;&gt;SIGN(Tulokset!$G$34-Tulokset!$I$34),0,IF(Tulokset!$G$34=Tulokset!$I$34,IF(AND('29'!$I$35=Tulokset!$G$34,'29'!$K$35=Tulokset!$I$34),6,3),MAX(0,6-(ABS('29'!$I$35-Tulokset!$G$34)+ABS('29'!$K$35-Tulokset!$I$34))))))</f>
        <v/>
      </c>
      <c r="AK32" t="str">
        <f>IF(OR(Tulokset!$G$35="",Tulokset!$I$35="",'29'!$I$36="",'29'!$K$36=""),"",IF(SIGN('29'!$I$36-'29'!$K$36)&lt;&gt;SIGN(Tulokset!$G$35-Tulokset!$I$35),0,IF(Tulokset!$G$35=Tulokset!$I$35,IF(AND('29'!$I$36=Tulokset!$G$35,'29'!$K$36=Tulokset!$I$35),6,3),MAX(0,6-(ABS('29'!$I$36-Tulokset!$G$35)+ABS('29'!$K$36-Tulokset!$I$35))))))</f>
        <v/>
      </c>
      <c r="AL32" t="str">
        <f>IF(OR(Tulokset!$G$36="",Tulokset!$I$36="",'29'!$I$37="",'29'!$K$37=""),"",IF(SIGN('29'!$I$37-'29'!$K$37)&lt;&gt;SIGN(Tulokset!$G$36-Tulokset!$I$36),0,IF(Tulokset!$G$36=Tulokset!$I$36,IF(AND('29'!$I$37=Tulokset!$G$36,'29'!$K$37=Tulokset!$I$36),6,3),MAX(0,6-(ABS('29'!$I$37-Tulokset!$G$36)+ABS('29'!$K$37-Tulokset!$I$36))))))</f>
        <v/>
      </c>
      <c r="AM32" t="str">
        <f>IF(OR(Tulokset!$G$37="",Tulokset!$I$37="",'29'!$I$38="",'29'!$K$38=""),"",IF(SIGN('29'!$I$38-'29'!$K$38)&lt;&gt;SIGN(Tulokset!$G$37-Tulokset!$I$37),0,IF(Tulokset!$G$37=Tulokset!$I$37,IF(AND('29'!$I$38=Tulokset!$G$37,'29'!$K$38=Tulokset!$I$37),6,3),MAX(0,6-(ABS('29'!$I$38-Tulokset!$G$37)+ABS('29'!$K$38-Tulokset!$I$37))))))</f>
        <v/>
      </c>
      <c r="AN32" t="str">
        <f>IF(OR(Tulokset!$G$38="",Tulokset!$I$38="",'29'!$I$39="",'29'!$K$39=""),"",IF(SIGN('29'!$I$39-'29'!$K$39)&lt;&gt;SIGN(Tulokset!$G$38-Tulokset!$I$38),0,IF(Tulokset!$G$38=Tulokset!$I$38,IF(AND('29'!$I$39=Tulokset!$G$38,'29'!$K$39=Tulokset!$I$38),6,3),MAX(0,6-(ABS('29'!$I$39-Tulokset!$G$38)+ABS('29'!$K$39-Tulokset!$I$38))))))</f>
        <v/>
      </c>
      <c r="AO32" t="str">
        <f>IF(OR(Tulokset!$G$39="",Tulokset!$I$39="",'29'!$I$40="",'29'!$K$40=""),"",IF(SIGN('29'!$I$40-'29'!$K$40)&lt;&gt;SIGN(Tulokset!$G$39-Tulokset!$I$39),0,IF(Tulokset!$G$39=Tulokset!$I$39,IF(AND('29'!$I$40=Tulokset!$G$39,'29'!$K$40=Tulokset!$I$39),6,3),MAX(0,6-(ABS('29'!$I$40-Tulokset!$G$39)+ABS('29'!$K$40-Tulokset!$I$39))))))</f>
        <v/>
      </c>
      <c r="AP32" t="str">
        <f>IF(OR(Tulokset!$G$40="",Tulokset!$I$40="",'29'!$I$41="",'29'!$K$41=""),"",IF(SIGN('29'!$I$41-'29'!$K$41)&lt;&gt;SIGN(Tulokset!$G$40-Tulokset!$I$40),0,IF(Tulokset!$G$40=Tulokset!$I$40,IF(AND('29'!$I$41=Tulokset!$G$40,'29'!$K$41=Tulokset!$I$40),6,3),MAX(0,6-(ABS('29'!$I$41-Tulokset!$G$40)+ABS('29'!$K$41-Tulokset!$I$40))))))</f>
        <v/>
      </c>
      <c r="AQ32" t="str">
        <f>IF(OR(Tulokset!$G$41="",Tulokset!$I$41="",'29'!$I$42="",'29'!$K$42=""),"",IF(SIGN('29'!$I$42-'29'!$K$42)&lt;&gt;SIGN(Tulokset!$G$41-Tulokset!$I$41),0,IF(Tulokset!$G$41=Tulokset!$I$41,IF(AND('29'!$I$42=Tulokset!$G$41,'29'!$K$42=Tulokset!$I$41),6,3),MAX(0,6-(ABS('29'!$I$42-Tulokset!$G$41)+ABS('29'!$K$42-Tulokset!$I$41))))))</f>
        <v/>
      </c>
      <c r="AR32" t="str">
        <f>IF(OR(Tulokset!$G$42="",Tulokset!$I$42="",'29'!$I$43="",'29'!$K$43=""),"",IF(SIGN('29'!$I$43-'29'!$K$43)&lt;&gt;SIGN(Tulokset!$G$42-Tulokset!$I$42),0,IF(Tulokset!$G$42=Tulokset!$I$42,IF(AND('29'!$I$43=Tulokset!$G$42,'29'!$K$43=Tulokset!$I$42),6,3),MAX(0,6-(ABS('29'!$I$43-Tulokset!$G$42)+ABS('29'!$K$43-Tulokset!$I$42))))))</f>
        <v/>
      </c>
      <c r="AS32" t="str">
        <f>IF(OR(Tulokset!$G$43="",Tulokset!$I$43="",'29'!$I$44="",'29'!$K$44=""),"",IF(SIGN('29'!$I$44-'29'!$K$44)&lt;&gt;SIGN(Tulokset!$G$43-Tulokset!$I$43),0,IF(Tulokset!$G$43=Tulokset!$I$43,IF(AND('29'!$I$44=Tulokset!$G$43,'29'!$K$44=Tulokset!$I$43),6,3),MAX(0,6-(ABS('29'!$I$44-Tulokset!$G$43)+ABS('29'!$K$44-Tulokset!$I$43))))))</f>
        <v/>
      </c>
      <c r="AT32" t="str">
        <f>IF(OR(Tulokset!$G$44="",Tulokset!$I$44="",'29'!$I$45="",'29'!$K$45=""),"",IF(SIGN('29'!$I$45-'29'!$K$45)&lt;&gt;SIGN(Tulokset!$G$44-Tulokset!$I$44),0,IF(Tulokset!$G$44=Tulokset!$I$44,IF(AND('29'!$I$45=Tulokset!$G$44,'29'!$K$45=Tulokset!$I$44),6,3),MAX(0,6-(ABS('29'!$I$45-Tulokset!$G$44)+ABS('29'!$K$45-Tulokset!$I$44))))))</f>
        <v/>
      </c>
      <c r="AU32" t="str">
        <f>IF(OR(Tulokset!$G$45="",Tulokset!$I$45="",'29'!$I$46="",'29'!$K$46=""),"",IF(SIGN('29'!$I$46-'29'!$K$46)&lt;&gt;SIGN(Tulokset!$G$45-Tulokset!$I$45),0,IF(Tulokset!$G$45=Tulokset!$I$45,IF(AND('29'!$I$46=Tulokset!$G$45,'29'!$K$46=Tulokset!$I$45),6,3),MAX(0,6-(ABS('29'!$I$46-Tulokset!$G$45)+ABS('29'!$K$46-Tulokset!$I$45))))))</f>
        <v/>
      </c>
      <c r="AV32" t="str">
        <f>IF(OR(Tulokset!$G$46="",Tulokset!$I$46="",'29'!$I$47="",'29'!$K$47=""),"",IF(SIGN('29'!$I$47-'29'!$K$47)&lt;&gt;SIGN(Tulokset!$G$46-Tulokset!$I$46),0,IF(Tulokset!$G$46=Tulokset!$I$46,IF(AND('29'!$I$47=Tulokset!$G$46,'29'!$K$47=Tulokset!$I$46),6,3),MAX(0,6-(ABS('29'!$I$47-Tulokset!$G$46)+ABS('29'!$K$47-Tulokset!$I$46))))))</f>
        <v/>
      </c>
      <c r="AW32" t="str">
        <f>IF(OR(Tulokset!$G$47="",Tulokset!$I$47="",'29'!$I$48="",'29'!$K$48=""),"",IF(SIGN('29'!$I$48-'29'!$K$48)&lt;&gt;SIGN(Tulokset!$G$47-Tulokset!$I$47),0,IF(Tulokset!$G$47=Tulokset!$I$47,IF(AND('29'!$I$48=Tulokset!$G$47,'29'!$K$48=Tulokset!$I$47),6,3),MAX(0,6-(ABS('29'!$I$48-Tulokset!$G$47)+ABS('29'!$K$48-Tulokset!$I$47))))))</f>
        <v/>
      </c>
      <c r="AX32" t="str">
        <f>IF(OR(Tulokset!$G$48="",Tulokset!$I$48="",'29'!$I$49="",'29'!$K$49=""),"",IF(SIGN('29'!$I$49-'29'!$K$49)&lt;&gt;SIGN(Tulokset!$G$48-Tulokset!$I$48),0,IF(Tulokset!$G$48=Tulokset!$I$48,IF(AND('29'!$I$49=Tulokset!$G$48,'29'!$K$49=Tulokset!$I$48),6,3),MAX(0,6-(ABS('29'!$I$49-Tulokset!$G$48)+ABS('29'!$K$49-Tulokset!$I$48))))))</f>
        <v/>
      </c>
      <c r="AY32" t="str">
        <f>IF(OR(Tulokset!$G$49="",Tulokset!$I$49="",'29'!$I$50="",'29'!$K$50=""),"",IF(SIGN('29'!$I$50-'29'!$K$50)&lt;&gt;SIGN(Tulokset!$G$49-Tulokset!$I$49),0,IF(Tulokset!$G$49=Tulokset!$I$49,IF(AND('29'!$I$50=Tulokset!$G$49,'29'!$K$50=Tulokset!$I$49),6,3),MAX(0,6-(ABS('29'!$I$50-Tulokset!$G$49)+ABS('29'!$K$50-Tulokset!$I$49))))))</f>
        <v/>
      </c>
      <c r="AZ32" t="str">
        <f>IF(OR(Tulokset!$G$50="",Tulokset!$I$50="",'29'!$I$51="",'29'!$K$51=""),"",IF(SIGN('29'!$I$51-'29'!$K$51)&lt;&gt;SIGN(Tulokset!$G$50-Tulokset!$I$50),0,IF(Tulokset!$G$50=Tulokset!$I$50,IF(AND('29'!$I$51=Tulokset!$G$50,'29'!$K$51=Tulokset!$I$50),6,3),MAX(0,6-(ABS('29'!$I$51-Tulokset!$G$50)+ABS('29'!$K$51-Tulokset!$I$50))))))</f>
        <v/>
      </c>
      <c r="BA32" t="str">
        <f>IF(OR(Tulokset!$G$51="",Tulokset!$I$51="",'29'!$I$52="",'29'!$K$52=""),"",IF(SIGN('29'!$I$52-'29'!$K$52)&lt;&gt;SIGN(Tulokset!$G$51-Tulokset!$I$51),0,IF(Tulokset!$G$51=Tulokset!$I$51,IF(AND('29'!$I$52=Tulokset!$G$51,'29'!$K$52=Tulokset!$I$51),6,3),MAX(0,6-(ABS('29'!$I$52-Tulokset!$G$51)+ABS('29'!$K$52-Tulokset!$I$51))))))</f>
        <v/>
      </c>
      <c r="BB32" t="str">
        <f>IF(OR(Tulokset!$G$52="",Tulokset!$I$52="",'29'!$I$53="",'29'!$K$53=""),"",IF(SIGN('29'!$I$53-'29'!$K$53)&lt;&gt;SIGN(Tulokset!$G$52-Tulokset!$I$52),0,IF(Tulokset!$G$52=Tulokset!$I$52,IF(AND('29'!$I$53=Tulokset!$G$52,'29'!$K$53=Tulokset!$I$52),6,3),MAX(0,6-(ABS('29'!$I$53-Tulokset!$G$52)+ABS('29'!$K$53-Tulokset!$I$52))))))</f>
        <v/>
      </c>
      <c r="BC32" t="str">
        <f>IF(OR(Tulokset!$G$53="",Tulokset!$I$53="",'29'!$I$54="",'29'!$K$54=""),"",IF(SIGN('29'!$I$54-'29'!$K$54)&lt;&gt;SIGN(Tulokset!$G$53-Tulokset!$I$53),0,IF(Tulokset!$G$53=Tulokset!$I$53,IF(AND('29'!$I$54=Tulokset!$G$53,'29'!$K$54=Tulokset!$I$53),6,3),MAX(0,6-(ABS('29'!$I$54-Tulokset!$G$53)+ABS('29'!$K$54-Tulokset!$I$53))))))</f>
        <v/>
      </c>
      <c r="BD32" t="str">
        <f>IF(OR(Tulokset!$G$54="",Tulokset!$I$54="",'29'!$I$55="",'29'!$K$55=""),"",IF(SIGN('29'!$I$55-'29'!$K$55)&lt;&gt;SIGN(Tulokset!$G$54-Tulokset!$I$54),0,IF(Tulokset!$G$54=Tulokset!$I$54,IF(AND('29'!$I$55=Tulokset!$G$54,'29'!$K$55=Tulokset!$I$54),6,3),MAX(0,6-(ABS('29'!$I$55-Tulokset!$G$54)+ABS('29'!$K$55-Tulokset!$I$54))))))</f>
        <v/>
      </c>
      <c r="BE32" t="str">
        <f>IF(OR(Tulokset!$G$55="",Tulokset!$I$55="",'29'!$I$56="",'29'!$K$56=""),"",IF(SIGN('29'!$I$56-'29'!$K$56)&lt;&gt;SIGN(Tulokset!$G$55-Tulokset!$I$55),0,IF(Tulokset!$G$55=Tulokset!$I$55,IF(AND('29'!$I$56=Tulokset!$G$55,'29'!$K$56=Tulokset!$I$55),6,3),MAX(0,6-(ABS('29'!$I$56-Tulokset!$G$55)+ABS('29'!$K$56-Tulokset!$I$55))))))</f>
        <v/>
      </c>
      <c r="BF32" t="str">
        <f>IF(OR(Tulokset!$G$56="",Tulokset!$I$56="",'29'!$I$57="",'29'!$K$57=""),"",IF(SIGN('29'!$I$57-'29'!$K$57)&lt;&gt;SIGN(Tulokset!$G$56-Tulokset!$I$56),0,IF(Tulokset!$G$56=Tulokset!$I$56,IF(AND('29'!$I$57=Tulokset!$G$56,'29'!$K$57=Tulokset!$I$56),6,3),MAX(0,6-(ABS('29'!$I$57-Tulokset!$G$56)+ABS('29'!$K$57-Tulokset!$I$56))))))</f>
        <v/>
      </c>
      <c r="BG32" t="str">
        <f>IF(OR(Tulokset!$G$57="",Tulokset!$I$57="",'29'!$I$58="",'29'!$K$58=""),"",IF(SIGN('29'!$I$58-'29'!$K$58)&lt;&gt;SIGN(Tulokset!$G$57-Tulokset!$I$57),0,IF(Tulokset!$G$57=Tulokset!$I$57,IF(AND('29'!$I$58=Tulokset!$G$57,'29'!$K$58=Tulokset!$I$57),6,3),MAX(0,6-(ABS('29'!$I$58-Tulokset!$G$57)+ABS('29'!$K$58-Tulokset!$I$57))))))</f>
        <v/>
      </c>
      <c r="BH32" t="str">
        <f>IF(OR(Tulokset!$G$58="",Tulokset!$I$58="",'29'!$I$59="",'29'!$K$59=""),"",IF(SIGN('29'!$I$59-'29'!$K$59)&lt;&gt;SIGN(Tulokset!$G$58-Tulokset!$I$58),0,IF(Tulokset!$G$58=Tulokset!$I$58,IF(AND('29'!$I$59=Tulokset!$G$58,'29'!$K$59=Tulokset!$I$58),6,3),MAX(0,6-(ABS('29'!$I$59-Tulokset!$G$58)+ABS('29'!$K$59-Tulokset!$I$58))))))</f>
        <v/>
      </c>
      <c r="BI32" t="str">
        <f>IF(OR(Tulokset!$G$59="",Tulokset!$I$59="",'29'!$I$60="",'29'!$K$60=""),"",IF(SIGN('29'!$I$60-'29'!$K$60)&lt;&gt;SIGN(Tulokset!$G$59-Tulokset!$I$59),0,IF(Tulokset!$G$59=Tulokset!$I$59,IF(AND('29'!$I$60=Tulokset!$G$59,'29'!$K$60=Tulokset!$I$59),6,3),MAX(0,6-(ABS('29'!$I$60-Tulokset!$G$59)+ABS('29'!$K$60-Tulokset!$I$59))))))</f>
        <v/>
      </c>
      <c r="BJ32" t="str">
        <f>IF(OR(Tulokset!$G$60="",Tulokset!$I$60="",'29'!$I$61="",'29'!$K$61=""),"",IF(SIGN('29'!$I$61-'29'!$K$61)&lt;&gt;SIGN(Tulokset!$G$60-Tulokset!$I$60),0,IF(Tulokset!$G$60=Tulokset!$I$60,IF(AND('29'!$I$61=Tulokset!$G$60,'29'!$K$61=Tulokset!$I$60),6,3),MAX(0,6-(ABS('29'!$I$61-Tulokset!$G$60)+ABS('29'!$K$61-Tulokset!$I$60))))))</f>
        <v/>
      </c>
      <c r="BK32" t="str">
        <f>IF(OR(Tulokset!$G$61="",Tulokset!$I$61="",'29'!$I$62="",'29'!$K$62=""),"",IF(SIGN('29'!$I$62-'29'!$K$62)&lt;&gt;SIGN(Tulokset!$G$61-Tulokset!$I$61),0,IF(Tulokset!$G$61=Tulokset!$I$61,IF(AND('29'!$I$62=Tulokset!$G$61,'29'!$K$62=Tulokset!$I$61),6,3),MAX(0,6-(ABS('29'!$I$62-Tulokset!$G$61)+ABS('29'!$K$62-Tulokset!$I$61))))))</f>
        <v/>
      </c>
      <c r="BL32" t="str">
        <f>IF(OR(Tulokset!$G$62="",Tulokset!$I$62="",'29'!$I$63="",'29'!$K$63=""),"",IF(SIGN('29'!$I$63-'29'!$K$63)&lt;&gt;SIGN(Tulokset!$G$62-Tulokset!$I$62),0,IF(Tulokset!$G$62=Tulokset!$I$62,IF(AND('29'!$I$63=Tulokset!$G$62,'29'!$K$63=Tulokset!$I$62),6,3),MAX(0,6-(ABS('29'!$I$63-Tulokset!$G$62)+ABS('29'!$K$63-Tulokset!$I$62))))))</f>
        <v/>
      </c>
      <c r="BM32" t="str">
        <f>IF(OR(Tulokset!$G$63="",Tulokset!$I$63="",'29'!$I$64="",'29'!$K$64=""),"",IF(SIGN('29'!$I$64-'29'!$K$64)&lt;&gt;SIGN(Tulokset!$G$63-Tulokset!$I$63),0,IF(Tulokset!$G$63=Tulokset!$I$63,IF(AND('29'!$I$64=Tulokset!$G$63,'29'!$K$64=Tulokset!$I$63),6,3),MAX(0,6-(ABS('29'!$I$64-Tulokset!$G$63)+ABS('29'!$K$64-Tulokset!$I$63))))))</f>
        <v/>
      </c>
      <c r="BN32" t="str">
        <f>IF(OR(Tulokset!$G$64="",Tulokset!$I$64="",'29'!$I$65="",'29'!$K$65=""),"",IF(SIGN('29'!$I$65-'29'!$K$65)&lt;&gt;SIGN(Tulokset!$G$64-Tulokset!$I$64),0,IF(Tulokset!$G$64=Tulokset!$I$64,IF(AND('29'!$I$65=Tulokset!$G$64,'29'!$K$65=Tulokset!$I$64),6,3),MAX(0,6-(ABS('29'!$I$65-Tulokset!$G$64)+ABS('29'!$K$65-Tulokset!$I$64))))))</f>
        <v/>
      </c>
      <c r="BO32" t="str">
        <f>IF(OR(Tulokset!$G$65="",Tulokset!$I$65="",'29'!$I$66="",'29'!$K$66=""),"",IF(SIGN('29'!$I$66-'29'!$K$66)&lt;&gt;SIGN(Tulokset!$G$65-Tulokset!$I$65),0,IF(Tulokset!$G$65=Tulokset!$I$65,IF(AND('29'!$I$66=Tulokset!$G$65,'29'!$K$66=Tulokset!$I$65),6,3),MAX(0,6-(ABS('29'!$I$66-Tulokset!$G$65)+ABS('29'!$K$66-Tulokset!$I$65))))))</f>
        <v/>
      </c>
      <c r="BP32" t="str">
        <f>IF(OR(Tulokset!$G$66="",Tulokset!$I$66="",'29'!$I$67="",'29'!$K$67=""),"",IF(SIGN('29'!$I$67-'29'!$K$67)&lt;&gt;SIGN(Tulokset!$G$66-Tulokset!$I$66),0,IF(Tulokset!$G$66=Tulokset!$I$66,IF(AND('29'!$I$67=Tulokset!$G$66,'29'!$K$67=Tulokset!$I$66),6,3),MAX(0,6-(ABS('29'!$I$67-Tulokset!$G$66)+ABS('29'!$K$67-Tulokset!$I$66))))))</f>
        <v/>
      </c>
      <c r="BQ32" t="str">
        <f>IF(OR(Tulokset!$G$67="",Tulokset!$I$67="",'29'!$I$68="",'29'!$K$68=""),"",IF(SIGN('29'!$I$68-'29'!$K$68)&lt;&gt;SIGN(Tulokset!$G$67-Tulokset!$I$67),0,IF(Tulokset!$G$67=Tulokset!$I$67,IF(AND('29'!$I$68=Tulokset!$G$67,'29'!$K$68=Tulokset!$I$67),6,3),MAX(0,6-(ABS('29'!$I$68-Tulokset!$G$67)+ABS('29'!$K$68-Tulokset!$I$67))))))</f>
        <v/>
      </c>
      <c r="BR32" t="str">
        <f>IF(OR(Tulokset!$G$68="",Tulokset!$I$68="",'29'!$I$69="",'29'!$K$69=""),"",IF(SIGN('29'!$I$69-'29'!$K$69)&lt;&gt;SIGN(Tulokset!$G$68-Tulokset!$I$68),0,IF(Tulokset!$G$68=Tulokset!$I$68,IF(AND('29'!$I$69=Tulokset!$G$68,'29'!$K$69=Tulokset!$I$68),6,3),MAX(0,6-(ABS('29'!$I$69-Tulokset!$G$68)+ABS('29'!$K$69-Tulokset!$I$68))))))</f>
        <v/>
      </c>
      <c r="BS32" t="str">
        <f>IF(OR(Tulokset!$G$69="",Tulokset!$I$69="",'29'!$I$70="",'29'!$K$70=""),"",IF(SIGN('29'!$I$70-'29'!$K$70)&lt;&gt;SIGN(Tulokset!$G$69-Tulokset!$I$69),0,IF(Tulokset!$G$69=Tulokset!$I$69,IF(AND('29'!$I$70=Tulokset!$G$69,'29'!$K$70=Tulokset!$I$69),6,3),MAX(0,6-(ABS('29'!$I$70-Tulokset!$G$69)+ABS('29'!$K$70-Tulokset!$I$69))))))</f>
        <v/>
      </c>
      <c r="BT32" t="str">
        <f>IF(OR(Tulokset!$G$70="",Tulokset!$I$70="",'29'!$I$71="",'29'!$K$71=""),"",IF(SIGN('29'!$I$71-'29'!$K$71)&lt;&gt;SIGN(Tulokset!$G$70-Tulokset!$I$70),0,IF(Tulokset!$G$70=Tulokset!$I$70,IF(AND('29'!$I$71=Tulokset!$G$70,'29'!$K$71=Tulokset!$I$70),6,3),MAX(0,6-(ABS('29'!$I$71-Tulokset!$G$70)+ABS('29'!$K$71-Tulokset!$I$70))))))</f>
        <v/>
      </c>
      <c r="BU32" t="str">
        <f>IF(OR(Tulokset!$G$71="",Tulokset!$I$71="",'29'!$I$72="",'29'!$K$72=""),"",IF(SIGN('29'!$I$72-'29'!$K$72)&lt;&gt;SIGN(Tulokset!$G$71-Tulokset!$I$71),0,IF(Tulokset!$G$71=Tulokset!$I$71,IF(AND('29'!$I$72=Tulokset!$G$71,'29'!$K$72=Tulokset!$I$71),6,3),MAX(0,6-(ABS('29'!$I$72-Tulokset!$G$71)+ABS('29'!$K$72-Tulokset!$I$71))))))</f>
        <v/>
      </c>
      <c r="BV32" t="str">
        <f>IF(OR(Tulokset!$G$72="",Tulokset!$I$72="",'29'!$I$73="",'29'!$K$73=""),"",IF(SIGN('29'!$I$73-'29'!$K$73)&lt;&gt;SIGN(Tulokset!$G$72-Tulokset!$I$72),0,IF(Tulokset!$G$72=Tulokset!$I$72,IF(AND('29'!$I$73=Tulokset!$G$72,'29'!$K$73=Tulokset!$I$72),6,3),MAX(0,6-(ABS('29'!$I$73-Tulokset!$G$72)+ABS('29'!$K$73-Tulokset!$I$72))))))</f>
        <v/>
      </c>
      <c r="BW32" t="str">
        <f>IF(OR(Tulokset!$G$73="",Tulokset!$I$73="",'29'!$I$74="",'29'!$K$74=""),"",IF(SIGN('29'!$I$74-'29'!$K$74)&lt;&gt;SIGN(Tulokset!$G$73-Tulokset!$I$73),0,IF(Tulokset!$G$73=Tulokset!$I$73,IF(AND('29'!$I$74=Tulokset!$G$73,'29'!$K$74=Tulokset!$I$73),6,3),MAX(0,6-(ABS('29'!$I$74-Tulokset!$G$73)+ABS('29'!$K$74-Tulokset!$I$73))))))</f>
        <v/>
      </c>
      <c r="BX32" t="str">
        <f>IF(OR(Tulokset!$G$74="",Tulokset!$I$74="",'29'!$I$75="",'29'!$K$75=""),"",IF(SIGN('29'!$I$75-'29'!$K$75)&lt;&gt;SIGN(Tulokset!$G$74-Tulokset!$I$74),0,IF(Tulokset!$G$74=Tulokset!$I$74,IF(AND('29'!$I$75=Tulokset!$G$74,'29'!$K$75=Tulokset!$I$74),6,3),MAX(0,6-(ABS('29'!$I$75-Tulokset!$G$74)+ABS('29'!$K$75-Tulokset!$I$74))))))</f>
        <v/>
      </c>
      <c r="BY32" t="str">
        <f>IF(OR(Tulokset!$G$75="",Tulokset!$I$75="",'29'!$I$76="",'29'!$K$76=""),"",IF(SIGN('29'!$I$76-'29'!$K$76)&lt;&gt;SIGN(Tulokset!$G$75-Tulokset!$I$75),0,IF(Tulokset!$G$75=Tulokset!$I$75,IF(AND('29'!$I$76=Tulokset!$G$75,'29'!$K$76=Tulokset!$I$75),6,3),MAX(0,6-(ABS('29'!$I$76-Tulokset!$G$75)+ABS('29'!$K$76-Tulokset!$I$75))))))</f>
        <v/>
      </c>
      <c r="BZ32" t="str">
        <f>IF(OR(Tulokset!$G$76="",Tulokset!$I$76="",'29'!$I$77="",'29'!$K$77=""),"",IF(SIGN('29'!$I$77-'29'!$K$77)&lt;&gt;SIGN(Tulokset!$G$76-Tulokset!$I$76),0,IF(Tulokset!$G$76=Tulokset!$I$76,IF(AND('29'!$I$77=Tulokset!$G$76,'29'!$K$77=Tulokset!$I$76),6,3),MAX(0,6-(ABS('29'!$I$77-Tulokset!$G$76)+ABS('29'!$K$77-Tulokset!$I$76))))))</f>
        <v/>
      </c>
      <c r="CA32" t="str">
        <f>IF(OR(Tulokset!$G$77="",Tulokset!$I$77="",'29'!$I$78="",'29'!$K$78=""),"",IF(SIGN('29'!$I$78-'29'!$K$78)&lt;&gt;SIGN(Tulokset!$G$77-Tulokset!$I$77),0,IF(Tulokset!$G$77=Tulokset!$I$77,IF(AND('29'!$I$78=Tulokset!$G$77,'29'!$K$78=Tulokset!$I$77),6,3),MAX(0,6-(ABS('29'!$I$78-Tulokset!$G$77)+ABS('29'!$K$78-Tulokset!$I$77))))))</f>
        <v/>
      </c>
      <c r="CD32" t="str">
        <f ca="1">IF(OR(Tulokset!$M$6="",INDIRECT("'"&amp;$A32&amp;"'!$P$8")=""),"",IF(TRIM(INDIRECT("'"&amp;$A32&amp;"'!$P$8"))=TRIM(Tulokset!$M$6),2,0))</f>
        <v/>
      </c>
      <c r="CE32" t="str">
        <f ca="1">IF(OR(Tulokset!$M$7="",INDIRECT("'"&amp;$A32&amp;"'!$P$9")=""),"",IF(TRIM(INDIRECT("'"&amp;$A32&amp;"'!$P$9"))=TRIM(Tulokset!$M$7),2,0))</f>
        <v/>
      </c>
      <c r="CF32" t="str">
        <f ca="1">IF(OR(Tulokset!$M$8="",INDIRECT("'"&amp;$A32&amp;"'!$P$10")=""),"",IF(TRIM(INDIRECT("'"&amp;$A32&amp;"'!$P$10"))=TRIM(Tulokset!$M$8),2,0))</f>
        <v/>
      </c>
      <c r="CG32" t="str">
        <f ca="1">IF(OR(Tulokset!$M$9="",INDIRECT("'"&amp;$A32&amp;"'!$P$11")=""),"",IF(TRIM(INDIRECT("'"&amp;$A32&amp;"'!$P$11"))=TRIM(Tulokset!$M$9),2,0))</f>
        <v/>
      </c>
      <c r="CH32" t="str">
        <f ca="1">IF(OR(Tulokset!$N$6="",INDIRECT("'"&amp;$A32&amp;"'!$Q$8")=""),"",IF(TRIM(INDIRECT("'"&amp;$A32&amp;"'!$Q$8"))=TRIM(Tulokset!$N$6),2,0))</f>
        <v/>
      </c>
      <c r="CI32" t="str">
        <f ca="1">IF(OR(Tulokset!$N$7="",INDIRECT("'"&amp;$A32&amp;"'!$Q$9")=""),"",IF(TRIM(INDIRECT("'"&amp;$A32&amp;"'!$Q$9"))=TRIM(Tulokset!$N$7),2,0))</f>
        <v/>
      </c>
      <c r="CJ32" t="str">
        <f ca="1">IF(OR(Tulokset!$N$8="",INDIRECT("'"&amp;$A32&amp;"'!$Q$10")=""),"",IF(TRIM(INDIRECT("'"&amp;$A32&amp;"'!$Q$10"))=TRIM(Tulokset!$N$8),2,0))</f>
        <v/>
      </c>
      <c r="CK32" t="str">
        <f ca="1">IF(OR(Tulokset!$N$9="",INDIRECT("'"&amp;$A32&amp;"'!$Q$11")=""),"",IF(TRIM(INDIRECT("'"&amp;$A32&amp;"'!$Q$11"))=TRIM(Tulokset!$N$9),2,0))</f>
        <v/>
      </c>
      <c r="CL32" t="str">
        <f ca="1">IF(OR(Tulokset!$O$6="",INDIRECT("'"&amp;$A32&amp;"'!$R$8")=""),"",IF(TRIM(INDIRECT("'"&amp;$A32&amp;"'!$R$8"))=TRIM(Tulokset!$O$6),2,0))</f>
        <v/>
      </c>
      <c r="CM32" t="str">
        <f ca="1">IF(OR(Tulokset!$O$7="",INDIRECT("'"&amp;$A32&amp;"'!$R$9")=""),"",IF(TRIM(INDIRECT("'"&amp;$A32&amp;"'!$R$9"))=TRIM(Tulokset!$O$7),2,0))</f>
        <v/>
      </c>
      <c r="CN32" t="str">
        <f ca="1">IF(OR(Tulokset!$O$8="",INDIRECT("'"&amp;$A32&amp;"'!$R$10")=""),"",IF(TRIM(INDIRECT("'"&amp;$A32&amp;"'!$R$10"))=TRIM(Tulokset!$O$8),2,0))</f>
        <v/>
      </c>
      <c r="CO32" t="str">
        <f ca="1">IF(OR(Tulokset!$O$9="",INDIRECT("'"&amp;$A32&amp;"'!$R$11")=""),"",IF(TRIM(INDIRECT("'"&amp;$A32&amp;"'!$R$11"))=TRIM(Tulokset!$O$9),2,0))</f>
        <v/>
      </c>
      <c r="CP32" t="str">
        <f ca="1">IF(OR(Tulokset!$P$6="",INDIRECT("'"&amp;$A32&amp;"'!$S$8")=""),"",IF(TRIM(INDIRECT("'"&amp;$A32&amp;"'!$S$8"))=TRIM(Tulokset!$P$6),2,0))</f>
        <v/>
      </c>
      <c r="CQ32" t="str">
        <f ca="1">IF(OR(Tulokset!$P$7="",INDIRECT("'"&amp;$A32&amp;"'!$S$9")=""),"",IF(TRIM(INDIRECT("'"&amp;$A32&amp;"'!$S$9"))=TRIM(Tulokset!$P$7),2,0))</f>
        <v/>
      </c>
      <c r="CR32" t="str">
        <f ca="1">IF(OR(Tulokset!$P$8="",INDIRECT("'"&amp;$A32&amp;"'!$S$10")=""),"",IF(TRIM(INDIRECT("'"&amp;$A32&amp;"'!$S$10"))=TRIM(Tulokset!$P$8),2,0))</f>
        <v/>
      </c>
      <c r="CS32" t="str">
        <f ca="1">IF(OR(Tulokset!$P$9="",INDIRECT("'"&amp;$A32&amp;"'!$S$11")=""),"",IF(TRIM(INDIRECT("'"&amp;$A32&amp;"'!$S$11"))=TRIM(Tulokset!$P$9),2,0))</f>
        <v/>
      </c>
      <c r="CT32" t="str">
        <f ca="1">IF(OR(Tulokset!$Q$6="",INDIRECT("'"&amp;$A32&amp;"'!$T$8")=""),"",IF(TRIM(INDIRECT("'"&amp;$A32&amp;"'!$T$8"))=TRIM(Tulokset!$Q$6),2,0))</f>
        <v/>
      </c>
      <c r="CU32" t="str">
        <f ca="1">IF(OR(Tulokset!$Q$7="",INDIRECT("'"&amp;$A32&amp;"'!$T$9")=""),"",IF(TRIM(INDIRECT("'"&amp;$A32&amp;"'!$T$9"))=TRIM(Tulokset!$Q$7),2,0))</f>
        <v/>
      </c>
      <c r="CV32" t="str">
        <f ca="1">IF(OR(Tulokset!$Q$8="",INDIRECT("'"&amp;$A32&amp;"'!$T$10")=""),"",IF(TRIM(INDIRECT("'"&amp;$A32&amp;"'!$T$10"))=TRIM(Tulokset!$Q$8),2,0))</f>
        <v/>
      </c>
      <c r="CW32" t="str">
        <f ca="1">IF(OR(Tulokset!$Q$9="",INDIRECT("'"&amp;$A32&amp;"'!$T$11")=""),"",IF(TRIM(INDIRECT("'"&amp;$A32&amp;"'!$T$11"))=TRIM(Tulokset!$Q$9),2,0))</f>
        <v/>
      </c>
      <c r="CX32" t="str">
        <f ca="1">IF(OR(Tulokset!$R$6="",INDIRECT("'"&amp;$A32&amp;"'!$U$8")=""),"",IF(TRIM(INDIRECT("'"&amp;$A32&amp;"'!$U$8"))=TRIM(Tulokset!$R$6),2,0))</f>
        <v/>
      </c>
      <c r="CY32" t="str">
        <f ca="1">IF(OR(Tulokset!$R$7="",INDIRECT("'"&amp;$A32&amp;"'!$U$9")=""),"",IF(TRIM(INDIRECT("'"&amp;$A32&amp;"'!$U$9"))=TRIM(Tulokset!$R$7),2,0))</f>
        <v/>
      </c>
      <c r="CZ32" t="str">
        <f ca="1">IF(OR(Tulokset!$R$8="",INDIRECT("'"&amp;$A32&amp;"'!$U$10")=""),"",IF(TRIM(INDIRECT("'"&amp;$A32&amp;"'!$U$10"))=TRIM(Tulokset!$R$8),2,0))</f>
        <v/>
      </c>
      <c r="DA32" t="str">
        <f ca="1">IF(OR(Tulokset!$R$9="",INDIRECT("'"&amp;$A32&amp;"'!$U$11")=""),"",IF(TRIM(INDIRECT("'"&amp;$A32&amp;"'!$U$11"))=TRIM(Tulokset!$R$9),2,0))</f>
        <v/>
      </c>
      <c r="DB32" t="str">
        <f ca="1">IF(OR(Tulokset!$M$12="",INDIRECT("'"&amp;$A32&amp;"'!$P$14")=""),"",IF(TRIM(INDIRECT("'"&amp;$A32&amp;"'!$P$14"))=TRIM(Tulokset!$M$12),2,0))</f>
        <v/>
      </c>
      <c r="DC32" t="str">
        <f ca="1">IF(OR(Tulokset!$M$13="",INDIRECT("'"&amp;$A32&amp;"'!$P$15")=""),"",IF(TRIM(INDIRECT("'"&amp;$A32&amp;"'!$P$15"))=TRIM(Tulokset!$M$13),2,0))</f>
        <v/>
      </c>
      <c r="DD32" t="str">
        <f ca="1">IF(OR(Tulokset!$M$14="",INDIRECT("'"&amp;$A32&amp;"'!$P$16")=""),"",IF(TRIM(INDIRECT("'"&amp;$A32&amp;"'!$P$16"))=TRIM(Tulokset!$M$14),2,0))</f>
        <v/>
      </c>
      <c r="DE32" t="str">
        <f ca="1">IF(OR(Tulokset!$M$15="",INDIRECT("'"&amp;$A32&amp;"'!$P$17")=""),"",IF(TRIM(INDIRECT("'"&amp;$A32&amp;"'!$P$17"))=TRIM(Tulokset!$M$15),2,0))</f>
        <v/>
      </c>
      <c r="DF32" t="str">
        <f ca="1">IF(OR(Tulokset!$N$12="",INDIRECT("'"&amp;$A32&amp;"'!$Q$14")=""),"",IF(TRIM(INDIRECT("'"&amp;$A32&amp;"'!$Q$14"))=TRIM(Tulokset!$N$12),2,0))</f>
        <v/>
      </c>
      <c r="DG32" t="str">
        <f ca="1">IF(OR(Tulokset!$N$13="",INDIRECT("'"&amp;$A32&amp;"'!$Q$15")=""),"",IF(TRIM(INDIRECT("'"&amp;$A32&amp;"'!$Q$15"))=TRIM(Tulokset!$N$13),2,0))</f>
        <v/>
      </c>
      <c r="DH32" t="str">
        <f ca="1">IF(OR(Tulokset!$N$14="",INDIRECT("'"&amp;$A32&amp;"'!$Q$16")=""),"",IF(TRIM(INDIRECT("'"&amp;$A32&amp;"'!$Q$16"))=TRIM(Tulokset!$N$14),2,0))</f>
        <v/>
      </c>
      <c r="DI32" t="str">
        <f ca="1">IF(OR(Tulokset!$N$15="",INDIRECT("'"&amp;$A32&amp;"'!$Q$17")=""),"",IF(TRIM(INDIRECT("'"&amp;$A32&amp;"'!$Q$17"))=TRIM(Tulokset!$N$15),2,0))</f>
        <v/>
      </c>
      <c r="DJ32" t="str">
        <f ca="1">IF(OR(Tulokset!$O$12="",INDIRECT("'"&amp;$A32&amp;"'!$R$14")=""),"",IF(TRIM(INDIRECT("'"&amp;$A32&amp;"'!$R$14"))=TRIM(Tulokset!$O$12),2,0))</f>
        <v/>
      </c>
      <c r="DK32" t="str">
        <f ca="1">IF(OR(Tulokset!$O$13="",INDIRECT("'"&amp;$A32&amp;"'!$R$15")=""),"",IF(TRIM(INDIRECT("'"&amp;$A32&amp;"'!$R$15"))=TRIM(Tulokset!$O$13),2,0))</f>
        <v/>
      </c>
      <c r="DL32" t="str">
        <f ca="1">IF(OR(Tulokset!$O$14="",INDIRECT("'"&amp;$A32&amp;"'!$R$16")=""),"",IF(TRIM(INDIRECT("'"&amp;$A32&amp;"'!$R$16"))=TRIM(Tulokset!$O$14),2,0))</f>
        <v/>
      </c>
      <c r="DM32" t="str">
        <f ca="1">IF(OR(Tulokset!$O$15="",INDIRECT("'"&amp;$A32&amp;"'!$R$17")=""),"",IF(TRIM(INDIRECT("'"&amp;$A32&amp;"'!$R$17"))=TRIM(Tulokset!$O$15),2,0))</f>
        <v/>
      </c>
      <c r="DN32" t="str">
        <f ca="1">IF(OR(Tulokset!$P$12="",INDIRECT("'"&amp;$A32&amp;"'!$S$14")=""),"",IF(TRIM(INDIRECT("'"&amp;$A32&amp;"'!$S$14"))=TRIM(Tulokset!$P$12),2,0))</f>
        <v/>
      </c>
      <c r="DO32" t="str">
        <f ca="1">IF(OR(Tulokset!$P$13="",INDIRECT("'"&amp;$A32&amp;"'!$S$15")=""),"",IF(TRIM(INDIRECT("'"&amp;$A32&amp;"'!$S$15"))=TRIM(Tulokset!$P$13),2,0))</f>
        <v/>
      </c>
      <c r="DP32" t="str">
        <f ca="1">IF(OR(Tulokset!$P$14="",INDIRECT("'"&amp;$A32&amp;"'!$S$16")=""),"",IF(TRIM(INDIRECT("'"&amp;$A32&amp;"'!$S$16"))=TRIM(Tulokset!$P$14),2,0))</f>
        <v/>
      </c>
      <c r="DQ32" t="str">
        <f ca="1">IF(OR(Tulokset!$P$15="",INDIRECT("'"&amp;$A32&amp;"'!$S$17")=""),"",IF(TRIM(INDIRECT("'"&amp;$A32&amp;"'!$S$17"))=TRIM(Tulokset!$P$15),2,0))</f>
        <v/>
      </c>
      <c r="DR32" t="str">
        <f ca="1">IF(OR(Tulokset!$Q$12="",INDIRECT("'"&amp;$A32&amp;"'!$T$14")=""),"",IF(TRIM(INDIRECT("'"&amp;$A32&amp;"'!$T$14"))=TRIM(Tulokset!$Q$12),2,0))</f>
        <v/>
      </c>
      <c r="DS32" t="str">
        <f ca="1">IF(OR(Tulokset!$Q$13="",INDIRECT("'"&amp;$A32&amp;"'!$T$15")=""),"",IF(TRIM(INDIRECT("'"&amp;$A32&amp;"'!$T$15"))=TRIM(Tulokset!$Q$13),2,0))</f>
        <v/>
      </c>
      <c r="DT32" t="str">
        <f ca="1">IF(OR(Tulokset!$Q$14="",INDIRECT("'"&amp;$A32&amp;"'!$T$16")=""),"",IF(TRIM(INDIRECT("'"&amp;$A32&amp;"'!$T$16"))=TRIM(Tulokset!$Q$14),2,0))</f>
        <v/>
      </c>
      <c r="DU32" t="str">
        <f ca="1">IF(OR(Tulokset!$Q$15="",INDIRECT("'"&amp;$A32&amp;"'!$T$17")=""),"",IF(TRIM(INDIRECT("'"&amp;$A32&amp;"'!$T$17"))=TRIM(Tulokset!$Q$15),2,0))</f>
        <v/>
      </c>
      <c r="DV32" t="str">
        <f ca="1">IF(OR(Tulokset!$R$12="",INDIRECT("'"&amp;$A32&amp;"'!$U$14")=""),"",IF(TRIM(INDIRECT("'"&amp;$A32&amp;"'!$U$14"))=TRIM(Tulokset!$R$12),2,0))</f>
        <v/>
      </c>
      <c r="DW32" t="str">
        <f ca="1">IF(OR(Tulokset!$R$13="",INDIRECT("'"&amp;$A32&amp;"'!$U$15")=""),"",IF(TRIM(INDIRECT("'"&amp;$A32&amp;"'!$U$15"))=TRIM(Tulokset!$R$13),2,0))</f>
        <v/>
      </c>
      <c r="DX32" t="str">
        <f ca="1">IF(OR(Tulokset!$R$14="",INDIRECT("'"&amp;$A32&amp;"'!$U$16")=""),"",IF(TRIM(INDIRECT("'"&amp;$A32&amp;"'!$U$16"))=TRIM(Tulokset!$R$14),2,0))</f>
        <v/>
      </c>
      <c r="DY32" t="str">
        <f ca="1">IF(OR(Tulokset!$R$15="",INDIRECT("'"&amp;$A32&amp;"'!$U$17")=""),"",IF(TRIM(INDIRECT("'"&amp;$A32&amp;"'!$U$17"))=TRIM(Tulokset!$R$15),2,0))</f>
        <v/>
      </c>
      <c r="EA32" t="str">
        <f ca="1">IF(OR(INDIRECT("'"&amp;$A32&amp;"'!$E$79")="",COUNTA(Tulokset!$M$20:$M$21)=0),"",IF(COUNTIF(Tulokset!$M$20:$M$21,INDIRECT("'"&amp;$A32&amp;"'!$E$79"))&gt;0,2,0))</f>
        <v/>
      </c>
      <c r="EB32" t="str">
        <f ca="1">IF(OR(INDIRECT("'"&amp;$A32&amp;"'!$G$79")="",COUNTA(Tulokset!$M$20:$M$21)=0),"",IF(COUNTIF(Tulokset!$M$20:$M$21,INDIRECT("'"&amp;$A32&amp;"'!$G$79"))&gt;0,2,0))</f>
        <v/>
      </c>
      <c r="EC32" t="str">
        <f ca="1">IF(OR(INDIRECT("'"&amp;$A32&amp;"'!$E$80")="",COUNTA(Tulokset!$M$23:$M$24)=0),"",IF(COUNTIF(Tulokset!$M$23:$M$24,INDIRECT("'"&amp;$A32&amp;"'!$E$80"))&gt;0,2,0))</f>
        <v/>
      </c>
      <c r="ED32" t="str">
        <f ca="1">IF(OR(INDIRECT("'"&amp;$A32&amp;"'!$G$80")="",COUNTA(Tulokset!$M$23:$M$24)=0),"",IF(COUNTIF(Tulokset!$M$23:$M$24,INDIRECT("'"&amp;$A32&amp;"'!$G$80"))&gt;0,2,0))</f>
        <v/>
      </c>
    </row>
    <row r="33" spans="1:134">
      <c r="A33" t="s">
        <v>325</v>
      </c>
      <c r="B33" t="str">
        <f t="shared" ca="1" si="0"/>
        <v>Tommy Favorite</v>
      </c>
      <c r="C33" s="95">
        <f t="shared" si="1"/>
        <v>0</v>
      </c>
      <c r="D33" s="95">
        <f t="shared" ca="1" si="2"/>
        <v>0</v>
      </c>
      <c r="E33" s="95">
        <f t="shared" ca="1" si="3"/>
        <v>0</v>
      </c>
      <c r="F33" s="95">
        <f t="shared" ca="1" si="4"/>
        <v>0</v>
      </c>
      <c r="G33" s="95">
        <f t="shared" si="5"/>
        <v>0</v>
      </c>
      <c r="H33" t="str">
        <f>IF(OR(Tulokset!$G$6="",Tulokset!$I$6="",'30'!$I$7="",'30'!$K$7=""),"",IF(SIGN('30'!$I$7-'30'!$K$7)&lt;&gt;SIGN(Tulokset!$G$6-Tulokset!$I$6),0,IF(Tulokset!$G$6=Tulokset!$I$6,IF(AND('30'!$I$7=Tulokset!$G$6,'30'!$K$7=Tulokset!$I$6),6,3),MAX(0,6-(ABS('30'!$I$7-Tulokset!$G$6)+ABS('30'!$K$7-Tulokset!$I$6))))))</f>
        <v/>
      </c>
      <c r="I33" t="str">
        <f>IF(OR(Tulokset!$G$7="",Tulokset!$I$7="",'30'!$I$8="",'30'!$K$8=""),"",IF(SIGN('30'!$I$8-'30'!$K$8)&lt;&gt;SIGN(Tulokset!$G$7-Tulokset!$I$7),0,IF(Tulokset!$G$7=Tulokset!$I$7,IF(AND('30'!$I$8=Tulokset!$G$7,'30'!$K$8=Tulokset!$I$7),6,3),MAX(0,6-(ABS('30'!$I$8-Tulokset!$G$7)+ABS('30'!$K$8-Tulokset!$I$7))))))</f>
        <v/>
      </c>
      <c r="J33" t="str">
        <f>IF(OR(Tulokset!$G$8="",Tulokset!$I$8="",'30'!$I$9="",'30'!$K$9=""),"",IF(SIGN('30'!$I$9-'30'!$K$9)&lt;&gt;SIGN(Tulokset!$G$8-Tulokset!$I$8),0,IF(Tulokset!$G$8=Tulokset!$I$8,IF(AND('30'!$I$9=Tulokset!$G$8,'30'!$K$9=Tulokset!$I$8),6,3),MAX(0,6-(ABS('30'!$I$9-Tulokset!$G$8)+ABS('30'!$K$9-Tulokset!$I$8))))))</f>
        <v/>
      </c>
      <c r="K33" t="str">
        <f>IF(OR(Tulokset!$G$9="",Tulokset!$I$9="",'30'!$I$10="",'30'!$K$10=""),"",IF(SIGN('30'!$I$10-'30'!$K$10)&lt;&gt;SIGN(Tulokset!$G$9-Tulokset!$I$9),0,IF(Tulokset!$G$9=Tulokset!$I$9,IF(AND('30'!$I$10=Tulokset!$G$9,'30'!$K$10=Tulokset!$I$9),6,3),MAX(0,6-(ABS('30'!$I$10-Tulokset!$G$9)+ABS('30'!$K$10-Tulokset!$I$9))))))</f>
        <v/>
      </c>
      <c r="L33" t="str">
        <f>IF(OR(Tulokset!$G$10="",Tulokset!$I$10="",'30'!$I$11="",'30'!$K$11=""),"",IF(SIGN('30'!$I$11-'30'!$K$11)&lt;&gt;SIGN(Tulokset!$G$10-Tulokset!$I$10),0,IF(Tulokset!$G$10=Tulokset!$I$10,IF(AND('30'!$I$11=Tulokset!$G$10,'30'!$K$11=Tulokset!$I$10),6,3),MAX(0,6-(ABS('30'!$I$11-Tulokset!$G$10)+ABS('30'!$K$11-Tulokset!$I$10))))))</f>
        <v/>
      </c>
      <c r="M33" t="str">
        <f>IF(OR(Tulokset!$G$11="",Tulokset!$I$11="",'30'!$I$12="",'30'!$K$12=""),"",IF(SIGN('30'!$I$12-'30'!$K$12)&lt;&gt;SIGN(Tulokset!$G$11-Tulokset!$I$11),0,IF(Tulokset!$G$11=Tulokset!$I$11,IF(AND('30'!$I$12=Tulokset!$G$11,'30'!$K$12=Tulokset!$I$11),6,3),MAX(0,6-(ABS('30'!$I$12-Tulokset!$G$11)+ABS('30'!$K$12-Tulokset!$I$11))))))</f>
        <v/>
      </c>
      <c r="N33" t="str">
        <f>IF(OR(Tulokset!$G$12="",Tulokset!$I$12="",'30'!$I$13="",'30'!$K$13=""),"",IF(SIGN('30'!$I$13-'30'!$K$13)&lt;&gt;SIGN(Tulokset!$G$12-Tulokset!$I$12),0,IF(Tulokset!$G$12=Tulokset!$I$12,IF(AND('30'!$I$13=Tulokset!$G$12,'30'!$K$13=Tulokset!$I$12),6,3),MAX(0,6-(ABS('30'!$I$13-Tulokset!$G$12)+ABS('30'!$K$13-Tulokset!$I$12))))))</f>
        <v/>
      </c>
      <c r="O33" t="str">
        <f>IF(OR(Tulokset!$G$13="",Tulokset!$I$13="",'30'!$I$14="",'30'!$K$14=""),"",IF(SIGN('30'!$I$14-'30'!$K$14)&lt;&gt;SIGN(Tulokset!$G$13-Tulokset!$I$13),0,IF(Tulokset!$G$13=Tulokset!$I$13,IF(AND('30'!$I$14=Tulokset!$G$13,'30'!$K$14=Tulokset!$I$13),6,3),MAX(0,6-(ABS('30'!$I$14-Tulokset!$G$13)+ABS('30'!$K$14-Tulokset!$I$13))))))</f>
        <v/>
      </c>
      <c r="P33" t="str">
        <f>IF(OR(Tulokset!$G$14="",Tulokset!$I$14="",'30'!$I$15="",'30'!$K$15=""),"",IF(SIGN('30'!$I$15-'30'!$K$15)&lt;&gt;SIGN(Tulokset!$G$14-Tulokset!$I$14),0,IF(Tulokset!$G$14=Tulokset!$I$14,IF(AND('30'!$I$15=Tulokset!$G$14,'30'!$K$15=Tulokset!$I$14),6,3),MAX(0,6-(ABS('30'!$I$15-Tulokset!$G$14)+ABS('30'!$K$15-Tulokset!$I$14))))))</f>
        <v/>
      </c>
      <c r="Q33" t="str">
        <f>IF(OR(Tulokset!$G$15="",Tulokset!$I$15="",'30'!$I$16="",'30'!$K$16=""),"",IF(SIGN('30'!$I$16-'30'!$K$16)&lt;&gt;SIGN(Tulokset!$G$15-Tulokset!$I$15),0,IF(Tulokset!$G$15=Tulokset!$I$15,IF(AND('30'!$I$16=Tulokset!$G$15,'30'!$K$16=Tulokset!$I$15),6,3),MAX(0,6-(ABS('30'!$I$16-Tulokset!$G$15)+ABS('30'!$K$16-Tulokset!$I$15))))))</f>
        <v/>
      </c>
      <c r="R33" t="str">
        <f>IF(OR(Tulokset!$G$16="",Tulokset!$I$16="",'30'!$I$17="",'30'!$K$17=""),"",IF(SIGN('30'!$I$17-'30'!$K$17)&lt;&gt;SIGN(Tulokset!$G$16-Tulokset!$I$16),0,IF(Tulokset!$G$16=Tulokset!$I$16,IF(AND('30'!$I$17=Tulokset!$G$16,'30'!$K$17=Tulokset!$I$16),6,3),MAX(0,6-(ABS('30'!$I$17-Tulokset!$G$16)+ABS('30'!$K$17-Tulokset!$I$16))))))</f>
        <v/>
      </c>
      <c r="S33" t="str">
        <f>IF(OR(Tulokset!$G$17="",Tulokset!$I$17="",'30'!$I$18="",'30'!$K$18=""),"",IF(SIGN('30'!$I$18-'30'!$K$18)&lt;&gt;SIGN(Tulokset!$G$17-Tulokset!$I$17),0,IF(Tulokset!$G$17=Tulokset!$I$17,IF(AND('30'!$I$18=Tulokset!$G$17,'30'!$K$18=Tulokset!$I$17),6,3),MAX(0,6-(ABS('30'!$I$18-Tulokset!$G$17)+ABS('30'!$K$18-Tulokset!$I$17))))))</f>
        <v/>
      </c>
      <c r="T33" t="str">
        <f>IF(OR(Tulokset!$G$18="",Tulokset!$I$18="",'30'!$I$19="",'30'!$K$19=""),"",IF(SIGN('30'!$I$19-'30'!$K$19)&lt;&gt;SIGN(Tulokset!$G$18-Tulokset!$I$18),0,IF(Tulokset!$G$18=Tulokset!$I$18,IF(AND('30'!$I$19=Tulokset!$G$18,'30'!$K$19=Tulokset!$I$18),6,3),MAX(0,6-(ABS('30'!$I$19-Tulokset!$G$18)+ABS('30'!$K$19-Tulokset!$I$18))))))</f>
        <v/>
      </c>
      <c r="U33" t="str">
        <f>IF(OR(Tulokset!$G$19="",Tulokset!$I$19="",'30'!$I$20="",'30'!$K$20=""),"",IF(SIGN('30'!$I$20-'30'!$K$20)&lt;&gt;SIGN(Tulokset!$G$19-Tulokset!$I$19),0,IF(Tulokset!$G$19=Tulokset!$I$19,IF(AND('30'!$I$20=Tulokset!$G$19,'30'!$K$20=Tulokset!$I$19),6,3),MAX(0,6-(ABS('30'!$I$20-Tulokset!$G$19)+ABS('30'!$K$20-Tulokset!$I$19))))))</f>
        <v/>
      </c>
      <c r="V33" t="str">
        <f>IF(OR(Tulokset!$G$20="",Tulokset!$I$20="",'30'!$I$21="",'30'!$K$21=""),"",IF(SIGN('30'!$I$21-'30'!$K$21)&lt;&gt;SIGN(Tulokset!$G$20-Tulokset!$I$20),0,IF(Tulokset!$G$20=Tulokset!$I$20,IF(AND('30'!$I$21=Tulokset!$G$20,'30'!$K$21=Tulokset!$I$20),6,3),MAX(0,6-(ABS('30'!$I$21-Tulokset!$G$20)+ABS('30'!$K$21-Tulokset!$I$20))))))</f>
        <v/>
      </c>
      <c r="W33" t="str">
        <f>IF(OR(Tulokset!$G$21="",Tulokset!$I$21="",'30'!$I$22="",'30'!$K$22=""),"",IF(SIGN('30'!$I$22-'30'!$K$22)&lt;&gt;SIGN(Tulokset!$G$21-Tulokset!$I$21),0,IF(Tulokset!$G$21=Tulokset!$I$21,IF(AND('30'!$I$22=Tulokset!$G$21,'30'!$K$22=Tulokset!$I$21),6,3),MAX(0,6-(ABS('30'!$I$22-Tulokset!$G$21)+ABS('30'!$K$22-Tulokset!$I$21))))))</f>
        <v/>
      </c>
      <c r="X33" t="str">
        <f>IF(OR(Tulokset!$G$22="",Tulokset!$I$22="",'30'!$I$23="",'30'!$K$23=""),"",IF(SIGN('30'!$I$23-'30'!$K$23)&lt;&gt;SIGN(Tulokset!$G$22-Tulokset!$I$22),0,IF(Tulokset!$G$22=Tulokset!$I$22,IF(AND('30'!$I$23=Tulokset!$G$22,'30'!$K$23=Tulokset!$I$22),6,3),MAX(0,6-(ABS('30'!$I$23-Tulokset!$G$22)+ABS('30'!$K$23-Tulokset!$I$22))))))</f>
        <v/>
      </c>
      <c r="Y33" t="str">
        <f>IF(OR(Tulokset!$G$23="",Tulokset!$I$23="",'30'!$I$24="",'30'!$K$24=""),"",IF(SIGN('30'!$I$24-'30'!$K$24)&lt;&gt;SIGN(Tulokset!$G$23-Tulokset!$I$23),0,IF(Tulokset!$G$23=Tulokset!$I$23,IF(AND('30'!$I$24=Tulokset!$G$23,'30'!$K$24=Tulokset!$I$23),6,3),MAX(0,6-(ABS('30'!$I$24-Tulokset!$G$23)+ABS('30'!$K$24-Tulokset!$I$23))))))</f>
        <v/>
      </c>
      <c r="Z33" t="str">
        <f>IF(OR(Tulokset!$G$24="",Tulokset!$I$24="",'30'!$I$25="",'30'!$K$25=""),"",IF(SIGN('30'!$I$25-'30'!$K$25)&lt;&gt;SIGN(Tulokset!$G$24-Tulokset!$I$24),0,IF(Tulokset!$G$24=Tulokset!$I$24,IF(AND('30'!$I$25=Tulokset!$G$24,'30'!$K$25=Tulokset!$I$24),6,3),MAX(0,6-(ABS('30'!$I$25-Tulokset!$G$24)+ABS('30'!$K$25-Tulokset!$I$24))))))</f>
        <v/>
      </c>
      <c r="AA33" t="str">
        <f>IF(OR(Tulokset!$G$25="",Tulokset!$I$25="",'30'!$I$26="",'30'!$K$26=""),"",IF(SIGN('30'!$I$26-'30'!$K$26)&lt;&gt;SIGN(Tulokset!$G$25-Tulokset!$I$25),0,IF(Tulokset!$G$25=Tulokset!$I$25,IF(AND('30'!$I$26=Tulokset!$G$25,'30'!$K$26=Tulokset!$I$25),6,3),MAX(0,6-(ABS('30'!$I$26-Tulokset!$G$25)+ABS('30'!$K$26-Tulokset!$I$25))))))</f>
        <v/>
      </c>
      <c r="AB33" t="str">
        <f>IF(OR(Tulokset!$G$26="",Tulokset!$I$26="",'30'!$I$27="",'30'!$K$27=""),"",IF(SIGN('30'!$I$27-'30'!$K$27)&lt;&gt;SIGN(Tulokset!$G$26-Tulokset!$I$26),0,IF(Tulokset!$G$26=Tulokset!$I$26,IF(AND('30'!$I$27=Tulokset!$G$26,'30'!$K$27=Tulokset!$I$26),6,3),MAX(0,6-(ABS('30'!$I$27-Tulokset!$G$26)+ABS('30'!$K$27-Tulokset!$I$26))))))</f>
        <v/>
      </c>
      <c r="AC33" t="str">
        <f>IF(OR(Tulokset!$G$27="",Tulokset!$I$27="",'30'!$I$28="",'30'!$K$28=""),"",IF(SIGN('30'!$I$28-'30'!$K$28)&lt;&gt;SIGN(Tulokset!$G$27-Tulokset!$I$27),0,IF(Tulokset!$G$27=Tulokset!$I$27,IF(AND('30'!$I$28=Tulokset!$G$27,'30'!$K$28=Tulokset!$I$27),6,3),MAX(0,6-(ABS('30'!$I$28-Tulokset!$G$27)+ABS('30'!$K$28-Tulokset!$I$27))))))</f>
        <v/>
      </c>
      <c r="AD33" t="str">
        <f>IF(OR(Tulokset!$G$28="",Tulokset!$I$28="",'30'!$I$29="",'30'!$K$29=""),"",IF(SIGN('30'!$I$29-'30'!$K$29)&lt;&gt;SIGN(Tulokset!$G$28-Tulokset!$I$28),0,IF(Tulokset!$G$28=Tulokset!$I$28,IF(AND('30'!$I$29=Tulokset!$G$28,'30'!$K$29=Tulokset!$I$28),6,3),MAX(0,6-(ABS('30'!$I$29-Tulokset!$G$28)+ABS('30'!$K$29-Tulokset!$I$28))))))</f>
        <v/>
      </c>
      <c r="AE33" t="str">
        <f>IF(OR(Tulokset!$G$29="",Tulokset!$I$29="",'30'!$I$30="",'30'!$K$30=""),"",IF(SIGN('30'!$I$30-'30'!$K$30)&lt;&gt;SIGN(Tulokset!$G$29-Tulokset!$I$29),0,IF(Tulokset!$G$29=Tulokset!$I$29,IF(AND('30'!$I$30=Tulokset!$G$29,'30'!$K$30=Tulokset!$I$29),6,3),MAX(0,6-(ABS('30'!$I$30-Tulokset!$G$29)+ABS('30'!$K$30-Tulokset!$I$29))))))</f>
        <v/>
      </c>
      <c r="AF33" t="str">
        <f>IF(OR(Tulokset!$G$30="",Tulokset!$I$30="",'30'!$I$31="",'30'!$K$31=""),"",IF(SIGN('30'!$I$31-'30'!$K$31)&lt;&gt;SIGN(Tulokset!$G$30-Tulokset!$I$30),0,IF(Tulokset!$G$30=Tulokset!$I$30,IF(AND('30'!$I$31=Tulokset!$G$30,'30'!$K$31=Tulokset!$I$30),6,3),MAX(0,6-(ABS('30'!$I$31-Tulokset!$G$30)+ABS('30'!$K$31-Tulokset!$I$30))))))</f>
        <v/>
      </c>
      <c r="AG33" t="str">
        <f>IF(OR(Tulokset!$G$31="",Tulokset!$I$31="",'30'!$I$32="",'30'!$K$32=""),"",IF(SIGN('30'!$I$32-'30'!$K$32)&lt;&gt;SIGN(Tulokset!$G$31-Tulokset!$I$31),0,IF(Tulokset!$G$31=Tulokset!$I$31,IF(AND('30'!$I$32=Tulokset!$G$31,'30'!$K$32=Tulokset!$I$31),6,3),MAX(0,6-(ABS('30'!$I$32-Tulokset!$G$31)+ABS('30'!$K$32-Tulokset!$I$31))))))</f>
        <v/>
      </c>
      <c r="AH33" t="str">
        <f>IF(OR(Tulokset!$G$32="",Tulokset!$I$32="",'30'!$I$33="",'30'!$K$33=""),"",IF(SIGN('30'!$I$33-'30'!$K$33)&lt;&gt;SIGN(Tulokset!$G$32-Tulokset!$I$32),0,IF(Tulokset!$G$32=Tulokset!$I$32,IF(AND('30'!$I$33=Tulokset!$G$32,'30'!$K$33=Tulokset!$I$32),6,3),MAX(0,6-(ABS('30'!$I$33-Tulokset!$G$32)+ABS('30'!$K$33-Tulokset!$I$32))))))</f>
        <v/>
      </c>
      <c r="AI33" t="str">
        <f>IF(OR(Tulokset!$G$33="",Tulokset!$I$33="",'30'!$I$34="",'30'!$K$34=""),"",IF(SIGN('30'!$I$34-'30'!$K$34)&lt;&gt;SIGN(Tulokset!$G$33-Tulokset!$I$33),0,IF(Tulokset!$G$33=Tulokset!$I$33,IF(AND('30'!$I$34=Tulokset!$G$33,'30'!$K$34=Tulokset!$I$33),6,3),MAX(0,6-(ABS('30'!$I$34-Tulokset!$G$33)+ABS('30'!$K$34-Tulokset!$I$33))))))</f>
        <v/>
      </c>
      <c r="AJ33" t="str">
        <f>IF(OR(Tulokset!$G$34="",Tulokset!$I$34="",'30'!$I$35="",'30'!$K$35=""),"",IF(SIGN('30'!$I$35-'30'!$K$35)&lt;&gt;SIGN(Tulokset!$G$34-Tulokset!$I$34),0,IF(Tulokset!$G$34=Tulokset!$I$34,IF(AND('30'!$I$35=Tulokset!$G$34,'30'!$K$35=Tulokset!$I$34),6,3),MAX(0,6-(ABS('30'!$I$35-Tulokset!$G$34)+ABS('30'!$K$35-Tulokset!$I$34))))))</f>
        <v/>
      </c>
      <c r="AK33" t="str">
        <f>IF(OR(Tulokset!$G$35="",Tulokset!$I$35="",'30'!$I$36="",'30'!$K$36=""),"",IF(SIGN('30'!$I$36-'30'!$K$36)&lt;&gt;SIGN(Tulokset!$G$35-Tulokset!$I$35),0,IF(Tulokset!$G$35=Tulokset!$I$35,IF(AND('30'!$I$36=Tulokset!$G$35,'30'!$K$36=Tulokset!$I$35),6,3),MAX(0,6-(ABS('30'!$I$36-Tulokset!$G$35)+ABS('30'!$K$36-Tulokset!$I$35))))))</f>
        <v/>
      </c>
      <c r="AL33" t="str">
        <f>IF(OR(Tulokset!$G$36="",Tulokset!$I$36="",'30'!$I$37="",'30'!$K$37=""),"",IF(SIGN('30'!$I$37-'30'!$K$37)&lt;&gt;SIGN(Tulokset!$G$36-Tulokset!$I$36),0,IF(Tulokset!$G$36=Tulokset!$I$36,IF(AND('30'!$I$37=Tulokset!$G$36,'30'!$K$37=Tulokset!$I$36),6,3),MAX(0,6-(ABS('30'!$I$37-Tulokset!$G$36)+ABS('30'!$K$37-Tulokset!$I$36))))))</f>
        <v/>
      </c>
      <c r="AM33" t="str">
        <f>IF(OR(Tulokset!$G$37="",Tulokset!$I$37="",'30'!$I$38="",'30'!$K$38=""),"",IF(SIGN('30'!$I$38-'30'!$K$38)&lt;&gt;SIGN(Tulokset!$G$37-Tulokset!$I$37),0,IF(Tulokset!$G$37=Tulokset!$I$37,IF(AND('30'!$I$38=Tulokset!$G$37,'30'!$K$38=Tulokset!$I$37),6,3),MAX(0,6-(ABS('30'!$I$38-Tulokset!$G$37)+ABS('30'!$K$38-Tulokset!$I$37))))))</f>
        <v/>
      </c>
      <c r="AN33" t="str">
        <f>IF(OR(Tulokset!$G$38="",Tulokset!$I$38="",'30'!$I$39="",'30'!$K$39=""),"",IF(SIGN('30'!$I$39-'30'!$K$39)&lt;&gt;SIGN(Tulokset!$G$38-Tulokset!$I$38),0,IF(Tulokset!$G$38=Tulokset!$I$38,IF(AND('30'!$I$39=Tulokset!$G$38,'30'!$K$39=Tulokset!$I$38),6,3),MAX(0,6-(ABS('30'!$I$39-Tulokset!$G$38)+ABS('30'!$K$39-Tulokset!$I$38))))))</f>
        <v/>
      </c>
      <c r="AO33" t="str">
        <f>IF(OR(Tulokset!$G$39="",Tulokset!$I$39="",'30'!$I$40="",'30'!$K$40=""),"",IF(SIGN('30'!$I$40-'30'!$K$40)&lt;&gt;SIGN(Tulokset!$G$39-Tulokset!$I$39),0,IF(Tulokset!$G$39=Tulokset!$I$39,IF(AND('30'!$I$40=Tulokset!$G$39,'30'!$K$40=Tulokset!$I$39),6,3),MAX(0,6-(ABS('30'!$I$40-Tulokset!$G$39)+ABS('30'!$K$40-Tulokset!$I$39))))))</f>
        <v/>
      </c>
      <c r="AP33" t="str">
        <f>IF(OR(Tulokset!$G$40="",Tulokset!$I$40="",'30'!$I$41="",'30'!$K$41=""),"",IF(SIGN('30'!$I$41-'30'!$K$41)&lt;&gt;SIGN(Tulokset!$G$40-Tulokset!$I$40),0,IF(Tulokset!$G$40=Tulokset!$I$40,IF(AND('30'!$I$41=Tulokset!$G$40,'30'!$K$41=Tulokset!$I$40),6,3),MAX(0,6-(ABS('30'!$I$41-Tulokset!$G$40)+ABS('30'!$K$41-Tulokset!$I$40))))))</f>
        <v/>
      </c>
      <c r="AQ33" t="str">
        <f>IF(OR(Tulokset!$G$41="",Tulokset!$I$41="",'30'!$I$42="",'30'!$K$42=""),"",IF(SIGN('30'!$I$42-'30'!$K$42)&lt;&gt;SIGN(Tulokset!$G$41-Tulokset!$I$41),0,IF(Tulokset!$G$41=Tulokset!$I$41,IF(AND('30'!$I$42=Tulokset!$G$41,'30'!$K$42=Tulokset!$I$41),6,3),MAX(0,6-(ABS('30'!$I$42-Tulokset!$G$41)+ABS('30'!$K$42-Tulokset!$I$41))))))</f>
        <v/>
      </c>
      <c r="AR33" t="str">
        <f>IF(OR(Tulokset!$G$42="",Tulokset!$I$42="",'30'!$I$43="",'30'!$K$43=""),"",IF(SIGN('30'!$I$43-'30'!$K$43)&lt;&gt;SIGN(Tulokset!$G$42-Tulokset!$I$42),0,IF(Tulokset!$G$42=Tulokset!$I$42,IF(AND('30'!$I$43=Tulokset!$G$42,'30'!$K$43=Tulokset!$I$42),6,3),MAX(0,6-(ABS('30'!$I$43-Tulokset!$G$42)+ABS('30'!$K$43-Tulokset!$I$42))))))</f>
        <v/>
      </c>
      <c r="AS33" t="str">
        <f>IF(OR(Tulokset!$G$43="",Tulokset!$I$43="",'30'!$I$44="",'30'!$K$44=""),"",IF(SIGN('30'!$I$44-'30'!$K$44)&lt;&gt;SIGN(Tulokset!$G$43-Tulokset!$I$43),0,IF(Tulokset!$G$43=Tulokset!$I$43,IF(AND('30'!$I$44=Tulokset!$G$43,'30'!$K$44=Tulokset!$I$43),6,3),MAX(0,6-(ABS('30'!$I$44-Tulokset!$G$43)+ABS('30'!$K$44-Tulokset!$I$43))))))</f>
        <v/>
      </c>
      <c r="AT33" t="str">
        <f>IF(OR(Tulokset!$G$44="",Tulokset!$I$44="",'30'!$I$45="",'30'!$K$45=""),"",IF(SIGN('30'!$I$45-'30'!$K$45)&lt;&gt;SIGN(Tulokset!$G$44-Tulokset!$I$44),0,IF(Tulokset!$G$44=Tulokset!$I$44,IF(AND('30'!$I$45=Tulokset!$G$44,'30'!$K$45=Tulokset!$I$44),6,3),MAX(0,6-(ABS('30'!$I$45-Tulokset!$G$44)+ABS('30'!$K$45-Tulokset!$I$44))))))</f>
        <v/>
      </c>
      <c r="AU33" t="str">
        <f>IF(OR(Tulokset!$G$45="",Tulokset!$I$45="",'30'!$I$46="",'30'!$K$46=""),"",IF(SIGN('30'!$I$46-'30'!$K$46)&lt;&gt;SIGN(Tulokset!$G$45-Tulokset!$I$45),0,IF(Tulokset!$G$45=Tulokset!$I$45,IF(AND('30'!$I$46=Tulokset!$G$45,'30'!$K$46=Tulokset!$I$45),6,3),MAX(0,6-(ABS('30'!$I$46-Tulokset!$G$45)+ABS('30'!$K$46-Tulokset!$I$45))))))</f>
        <v/>
      </c>
      <c r="AV33" t="str">
        <f>IF(OR(Tulokset!$G$46="",Tulokset!$I$46="",'30'!$I$47="",'30'!$K$47=""),"",IF(SIGN('30'!$I$47-'30'!$K$47)&lt;&gt;SIGN(Tulokset!$G$46-Tulokset!$I$46),0,IF(Tulokset!$G$46=Tulokset!$I$46,IF(AND('30'!$I$47=Tulokset!$G$46,'30'!$K$47=Tulokset!$I$46),6,3),MAX(0,6-(ABS('30'!$I$47-Tulokset!$G$46)+ABS('30'!$K$47-Tulokset!$I$46))))))</f>
        <v/>
      </c>
      <c r="AW33" t="str">
        <f>IF(OR(Tulokset!$G$47="",Tulokset!$I$47="",'30'!$I$48="",'30'!$K$48=""),"",IF(SIGN('30'!$I$48-'30'!$K$48)&lt;&gt;SIGN(Tulokset!$G$47-Tulokset!$I$47),0,IF(Tulokset!$G$47=Tulokset!$I$47,IF(AND('30'!$I$48=Tulokset!$G$47,'30'!$K$48=Tulokset!$I$47),6,3),MAX(0,6-(ABS('30'!$I$48-Tulokset!$G$47)+ABS('30'!$K$48-Tulokset!$I$47))))))</f>
        <v/>
      </c>
      <c r="AX33" t="str">
        <f>IF(OR(Tulokset!$G$48="",Tulokset!$I$48="",'30'!$I$49="",'30'!$K$49=""),"",IF(SIGN('30'!$I$49-'30'!$K$49)&lt;&gt;SIGN(Tulokset!$G$48-Tulokset!$I$48),0,IF(Tulokset!$G$48=Tulokset!$I$48,IF(AND('30'!$I$49=Tulokset!$G$48,'30'!$K$49=Tulokset!$I$48),6,3),MAX(0,6-(ABS('30'!$I$49-Tulokset!$G$48)+ABS('30'!$K$49-Tulokset!$I$48))))))</f>
        <v/>
      </c>
      <c r="AY33" t="str">
        <f>IF(OR(Tulokset!$G$49="",Tulokset!$I$49="",'30'!$I$50="",'30'!$K$50=""),"",IF(SIGN('30'!$I$50-'30'!$K$50)&lt;&gt;SIGN(Tulokset!$G$49-Tulokset!$I$49),0,IF(Tulokset!$G$49=Tulokset!$I$49,IF(AND('30'!$I$50=Tulokset!$G$49,'30'!$K$50=Tulokset!$I$49),6,3),MAX(0,6-(ABS('30'!$I$50-Tulokset!$G$49)+ABS('30'!$K$50-Tulokset!$I$49))))))</f>
        <v/>
      </c>
      <c r="AZ33" t="str">
        <f>IF(OR(Tulokset!$G$50="",Tulokset!$I$50="",'30'!$I$51="",'30'!$K$51=""),"",IF(SIGN('30'!$I$51-'30'!$K$51)&lt;&gt;SIGN(Tulokset!$G$50-Tulokset!$I$50),0,IF(Tulokset!$G$50=Tulokset!$I$50,IF(AND('30'!$I$51=Tulokset!$G$50,'30'!$K$51=Tulokset!$I$50),6,3),MAX(0,6-(ABS('30'!$I$51-Tulokset!$G$50)+ABS('30'!$K$51-Tulokset!$I$50))))))</f>
        <v/>
      </c>
      <c r="BA33" t="str">
        <f>IF(OR(Tulokset!$G$51="",Tulokset!$I$51="",'30'!$I$52="",'30'!$K$52=""),"",IF(SIGN('30'!$I$52-'30'!$K$52)&lt;&gt;SIGN(Tulokset!$G$51-Tulokset!$I$51),0,IF(Tulokset!$G$51=Tulokset!$I$51,IF(AND('30'!$I$52=Tulokset!$G$51,'30'!$K$52=Tulokset!$I$51),6,3),MAX(0,6-(ABS('30'!$I$52-Tulokset!$G$51)+ABS('30'!$K$52-Tulokset!$I$51))))))</f>
        <v/>
      </c>
      <c r="BB33" t="str">
        <f>IF(OR(Tulokset!$G$52="",Tulokset!$I$52="",'30'!$I$53="",'30'!$K$53=""),"",IF(SIGN('30'!$I$53-'30'!$K$53)&lt;&gt;SIGN(Tulokset!$G$52-Tulokset!$I$52),0,IF(Tulokset!$G$52=Tulokset!$I$52,IF(AND('30'!$I$53=Tulokset!$G$52,'30'!$K$53=Tulokset!$I$52),6,3),MAX(0,6-(ABS('30'!$I$53-Tulokset!$G$52)+ABS('30'!$K$53-Tulokset!$I$52))))))</f>
        <v/>
      </c>
      <c r="BC33" t="str">
        <f>IF(OR(Tulokset!$G$53="",Tulokset!$I$53="",'30'!$I$54="",'30'!$K$54=""),"",IF(SIGN('30'!$I$54-'30'!$K$54)&lt;&gt;SIGN(Tulokset!$G$53-Tulokset!$I$53),0,IF(Tulokset!$G$53=Tulokset!$I$53,IF(AND('30'!$I$54=Tulokset!$G$53,'30'!$K$54=Tulokset!$I$53),6,3),MAX(0,6-(ABS('30'!$I$54-Tulokset!$G$53)+ABS('30'!$K$54-Tulokset!$I$53))))))</f>
        <v/>
      </c>
      <c r="BD33" t="str">
        <f>IF(OR(Tulokset!$G$54="",Tulokset!$I$54="",'30'!$I$55="",'30'!$K$55=""),"",IF(SIGN('30'!$I$55-'30'!$K$55)&lt;&gt;SIGN(Tulokset!$G$54-Tulokset!$I$54),0,IF(Tulokset!$G$54=Tulokset!$I$54,IF(AND('30'!$I$55=Tulokset!$G$54,'30'!$K$55=Tulokset!$I$54),6,3),MAX(0,6-(ABS('30'!$I$55-Tulokset!$G$54)+ABS('30'!$K$55-Tulokset!$I$54))))))</f>
        <v/>
      </c>
      <c r="BE33" t="str">
        <f>IF(OR(Tulokset!$G$55="",Tulokset!$I$55="",'30'!$I$56="",'30'!$K$56=""),"",IF(SIGN('30'!$I$56-'30'!$K$56)&lt;&gt;SIGN(Tulokset!$G$55-Tulokset!$I$55),0,IF(Tulokset!$G$55=Tulokset!$I$55,IF(AND('30'!$I$56=Tulokset!$G$55,'30'!$K$56=Tulokset!$I$55),6,3),MAX(0,6-(ABS('30'!$I$56-Tulokset!$G$55)+ABS('30'!$K$56-Tulokset!$I$55))))))</f>
        <v/>
      </c>
      <c r="BF33" t="str">
        <f>IF(OR(Tulokset!$G$56="",Tulokset!$I$56="",'30'!$I$57="",'30'!$K$57=""),"",IF(SIGN('30'!$I$57-'30'!$K$57)&lt;&gt;SIGN(Tulokset!$G$56-Tulokset!$I$56),0,IF(Tulokset!$G$56=Tulokset!$I$56,IF(AND('30'!$I$57=Tulokset!$G$56,'30'!$K$57=Tulokset!$I$56),6,3),MAX(0,6-(ABS('30'!$I$57-Tulokset!$G$56)+ABS('30'!$K$57-Tulokset!$I$56))))))</f>
        <v/>
      </c>
      <c r="BG33" t="str">
        <f>IF(OR(Tulokset!$G$57="",Tulokset!$I$57="",'30'!$I$58="",'30'!$K$58=""),"",IF(SIGN('30'!$I$58-'30'!$K$58)&lt;&gt;SIGN(Tulokset!$G$57-Tulokset!$I$57),0,IF(Tulokset!$G$57=Tulokset!$I$57,IF(AND('30'!$I$58=Tulokset!$G$57,'30'!$K$58=Tulokset!$I$57),6,3),MAX(0,6-(ABS('30'!$I$58-Tulokset!$G$57)+ABS('30'!$K$58-Tulokset!$I$57))))))</f>
        <v/>
      </c>
      <c r="BH33" t="str">
        <f>IF(OR(Tulokset!$G$58="",Tulokset!$I$58="",'30'!$I$59="",'30'!$K$59=""),"",IF(SIGN('30'!$I$59-'30'!$K$59)&lt;&gt;SIGN(Tulokset!$G$58-Tulokset!$I$58),0,IF(Tulokset!$G$58=Tulokset!$I$58,IF(AND('30'!$I$59=Tulokset!$G$58,'30'!$K$59=Tulokset!$I$58),6,3),MAX(0,6-(ABS('30'!$I$59-Tulokset!$G$58)+ABS('30'!$K$59-Tulokset!$I$58))))))</f>
        <v/>
      </c>
      <c r="BI33" t="str">
        <f>IF(OR(Tulokset!$G$59="",Tulokset!$I$59="",'30'!$I$60="",'30'!$K$60=""),"",IF(SIGN('30'!$I$60-'30'!$K$60)&lt;&gt;SIGN(Tulokset!$G$59-Tulokset!$I$59),0,IF(Tulokset!$G$59=Tulokset!$I$59,IF(AND('30'!$I$60=Tulokset!$G$59,'30'!$K$60=Tulokset!$I$59),6,3),MAX(0,6-(ABS('30'!$I$60-Tulokset!$G$59)+ABS('30'!$K$60-Tulokset!$I$59))))))</f>
        <v/>
      </c>
      <c r="BJ33" t="str">
        <f>IF(OR(Tulokset!$G$60="",Tulokset!$I$60="",'30'!$I$61="",'30'!$K$61=""),"",IF(SIGN('30'!$I$61-'30'!$K$61)&lt;&gt;SIGN(Tulokset!$G$60-Tulokset!$I$60),0,IF(Tulokset!$G$60=Tulokset!$I$60,IF(AND('30'!$I$61=Tulokset!$G$60,'30'!$K$61=Tulokset!$I$60),6,3),MAX(0,6-(ABS('30'!$I$61-Tulokset!$G$60)+ABS('30'!$K$61-Tulokset!$I$60))))))</f>
        <v/>
      </c>
      <c r="BK33" t="str">
        <f>IF(OR(Tulokset!$G$61="",Tulokset!$I$61="",'30'!$I$62="",'30'!$K$62=""),"",IF(SIGN('30'!$I$62-'30'!$K$62)&lt;&gt;SIGN(Tulokset!$G$61-Tulokset!$I$61),0,IF(Tulokset!$G$61=Tulokset!$I$61,IF(AND('30'!$I$62=Tulokset!$G$61,'30'!$K$62=Tulokset!$I$61),6,3),MAX(0,6-(ABS('30'!$I$62-Tulokset!$G$61)+ABS('30'!$K$62-Tulokset!$I$61))))))</f>
        <v/>
      </c>
      <c r="BL33" t="str">
        <f>IF(OR(Tulokset!$G$62="",Tulokset!$I$62="",'30'!$I$63="",'30'!$K$63=""),"",IF(SIGN('30'!$I$63-'30'!$K$63)&lt;&gt;SIGN(Tulokset!$G$62-Tulokset!$I$62),0,IF(Tulokset!$G$62=Tulokset!$I$62,IF(AND('30'!$I$63=Tulokset!$G$62,'30'!$K$63=Tulokset!$I$62),6,3),MAX(0,6-(ABS('30'!$I$63-Tulokset!$G$62)+ABS('30'!$K$63-Tulokset!$I$62))))))</f>
        <v/>
      </c>
      <c r="BM33" t="str">
        <f>IF(OR(Tulokset!$G$63="",Tulokset!$I$63="",'30'!$I$64="",'30'!$K$64=""),"",IF(SIGN('30'!$I$64-'30'!$K$64)&lt;&gt;SIGN(Tulokset!$G$63-Tulokset!$I$63),0,IF(Tulokset!$G$63=Tulokset!$I$63,IF(AND('30'!$I$64=Tulokset!$G$63,'30'!$K$64=Tulokset!$I$63),6,3),MAX(0,6-(ABS('30'!$I$64-Tulokset!$G$63)+ABS('30'!$K$64-Tulokset!$I$63))))))</f>
        <v/>
      </c>
      <c r="BN33" t="str">
        <f>IF(OR(Tulokset!$G$64="",Tulokset!$I$64="",'30'!$I$65="",'30'!$K$65=""),"",IF(SIGN('30'!$I$65-'30'!$K$65)&lt;&gt;SIGN(Tulokset!$G$64-Tulokset!$I$64),0,IF(Tulokset!$G$64=Tulokset!$I$64,IF(AND('30'!$I$65=Tulokset!$G$64,'30'!$K$65=Tulokset!$I$64),6,3),MAX(0,6-(ABS('30'!$I$65-Tulokset!$G$64)+ABS('30'!$K$65-Tulokset!$I$64))))))</f>
        <v/>
      </c>
      <c r="BO33" t="str">
        <f>IF(OR(Tulokset!$G$65="",Tulokset!$I$65="",'30'!$I$66="",'30'!$K$66=""),"",IF(SIGN('30'!$I$66-'30'!$K$66)&lt;&gt;SIGN(Tulokset!$G$65-Tulokset!$I$65),0,IF(Tulokset!$G$65=Tulokset!$I$65,IF(AND('30'!$I$66=Tulokset!$G$65,'30'!$K$66=Tulokset!$I$65),6,3),MAX(0,6-(ABS('30'!$I$66-Tulokset!$G$65)+ABS('30'!$K$66-Tulokset!$I$65))))))</f>
        <v/>
      </c>
      <c r="BP33" t="str">
        <f>IF(OR(Tulokset!$G$66="",Tulokset!$I$66="",'30'!$I$67="",'30'!$K$67=""),"",IF(SIGN('30'!$I$67-'30'!$K$67)&lt;&gt;SIGN(Tulokset!$G$66-Tulokset!$I$66),0,IF(Tulokset!$G$66=Tulokset!$I$66,IF(AND('30'!$I$67=Tulokset!$G$66,'30'!$K$67=Tulokset!$I$66),6,3),MAX(0,6-(ABS('30'!$I$67-Tulokset!$G$66)+ABS('30'!$K$67-Tulokset!$I$66))))))</f>
        <v/>
      </c>
      <c r="BQ33" t="str">
        <f>IF(OR(Tulokset!$G$67="",Tulokset!$I$67="",'30'!$I$68="",'30'!$K$68=""),"",IF(SIGN('30'!$I$68-'30'!$K$68)&lt;&gt;SIGN(Tulokset!$G$67-Tulokset!$I$67),0,IF(Tulokset!$G$67=Tulokset!$I$67,IF(AND('30'!$I$68=Tulokset!$G$67,'30'!$K$68=Tulokset!$I$67),6,3),MAX(0,6-(ABS('30'!$I$68-Tulokset!$G$67)+ABS('30'!$K$68-Tulokset!$I$67))))))</f>
        <v/>
      </c>
      <c r="BR33" t="str">
        <f>IF(OR(Tulokset!$G$68="",Tulokset!$I$68="",'30'!$I$69="",'30'!$K$69=""),"",IF(SIGN('30'!$I$69-'30'!$K$69)&lt;&gt;SIGN(Tulokset!$G$68-Tulokset!$I$68),0,IF(Tulokset!$G$68=Tulokset!$I$68,IF(AND('30'!$I$69=Tulokset!$G$68,'30'!$K$69=Tulokset!$I$68),6,3),MAX(0,6-(ABS('30'!$I$69-Tulokset!$G$68)+ABS('30'!$K$69-Tulokset!$I$68))))))</f>
        <v/>
      </c>
      <c r="BS33" t="str">
        <f>IF(OR(Tulokset!$G$69="",Tulokset!$I$69="",'30'!$I$70="",'30'!$K$70=""),"",IF(SIGN('30'!$I$70-'30'!$K$70)&lt;&gt;SIGN(Tulokset!$G$69-Tulokset!$I$69),0,IF(Tulokset!$G$69=Tulokset!$I$69,IF(AND('30'!$I$70=Tulokset!$G$69,'30'!$K$70=Tulokset!$I$69),6,3),MAX(0,6-(ABS('30'!$I$70-Tulokset!$G$69)+ABS('30'!$K$70-Tulokset!$I$69))))))</f>
        <v/>
      </c>
      <c r="BT33" t="str">
        <f>IF(OR(Tulokset!$G$70="",Tulokset!$I$70="",'30'!$I$71="",'30'!$K$71=""),"",IF(SIGN('30'!$I$71-'30'!$K$71)&lt;&gt;SIGN(Tulokset!$G$70-Tulokset!$I$70),0,IF(Tulokset!$G$70=Tulokset!$I$70,IF(AND('30'!$I$71=Tulokset!$G$70,'30'!$K$71=Tulokset!$I$70),6,3),MAX(0,6-(ABS('30'!$I$71-Tulokset!$G$70)+ABS('30'!$K$71-Tulokset!$I$70))))))</f>
        <v/>
      </c>
      <c r="BU33" t="str">
        <f>IF(OR(Tulokset!$G$71="",Tulokset!$I$71="",'30'!$I$72="",'30'!$K$72=""),"",IF(SIGN('30'!$I$72-'30'!$K$72)&lt;&gt;SIGN(Tulokset!$G$71-Tulokset!$I$71),0,IF(Tulokset!$G$71=Tulokset!$I$71,IF(AND('30'!$I$72=Tulokset!$G$71,'30'!$K$72=Tulokset!$I$71),6,3),MAX(0,6-(ABS('30'!$I$72-Tulokset!$G$71)+ABS('30'!$K$72-Tulokset!$I$71))))))</f>
        <v/>
      </c>
      <c r="BV33" t="str">
        <f>IF(OR(Tulokset!$G$72="",Tulokset!$I$72="",'30'!$I$73="",'30'!$K$73=""),"",IF(SIGN('30'!$I$73-'30'!$K$73)&lt;&gt;SIGN(Tulokset!$G$72-Tulokset!$I$72),0,IF(Tulokset!$G$72=Tulokset!$I$72,IF(AND('30'!$I$73=Tulokset!$G$72,'30'!$K$73=Tulokset!$I$72),6,3),MAX(0,6-(ABS('30'!$I$73-Tulokset!$G$72)+ABS('30'!$K$73-Tulokset!$I$72))))))</f>
        <v/>
      </c>
      <c r="BW33" t="str">
        <f>IF(OR(Tulokset!$G$73="",Tulokset!$I$73="",'30'!$I$74="",'30'!$K$74=""),"",IF(SIGN('30'!$I$74-'30'!$K$74)&lt;&gt;SIGN(Tulokset!$G$73-Tulokset!$I$73),0,IF(Tulokset!$G$73=Tulokset!$I$73,IF(AND('30'!$I$74=Tulokset!$G$73,'30'!$K$74=Tulokset!$I$73),6,3),MAX(0,6-(ABS('30'!$I$74-Tulokset!$G$73)+ABS('30'!$K$74-Tulokset!$I$73))))))</f>
        <v/>
      </c>
      <c r="BX33" t="str">
        <f>IF(OR(Tulokset!$G$74="",Tulokset!$I$74="",'30'!$I$75="",'30'!$K$75=""),"",IF(SIGN('30'!$I$75-'30'!$K$75)&lt;&gt;SIGN(Tulokset!$G$74-Tulokset!$I$74),0,IF(Tulokset!$G$74=Tulokset!$I$74,IF(AND('30'!$I$75=Tulokset!$G$74,'30'!$K$75=Tulokset!$I$74),6,3),MAX(0,6-(ABS('30'!$I$75-Tulokset!$G$74)+ABS('30'!$K$75-Tulokset!$I$74))))))</f>
        <v/>
      </c>
      <c r="BY33" t="str">
        <f>IF(OR(Tulokset!$G$75="",Tulokset!$I$75="",'30'!$I$76="",'30'!$K$76=""),"",IF(SIGN('30'!$I$76-'30'!$K$76)&lt;&gt;SIGN(Tulokset!$G$75-Tulokset!$I$75),0,IF(Tulokset!$G$75=Tulokset!$I$75,IF(AND('30'!$I$76=Tulokset!$G$75,'30'!$K$76=Tulokset!$I$75),6,3),MAX(0,6-(ABS('30'!$I$76-Tulokset!$G$75)+ABS('30'!$K$76-Tulokset!$I$75))))))</f>
        <v/>
      </c>
      <c r="BZ33" t="str">
        <f>IF(OR(Tulokset!$G$76="",Tulokset!$I$76="",'30'!$I$77="",'30'!$K$77=""),"",IF(SIGN('30'!$I$77-'30'!$K$77)&lt;&gt;SIGN(Tulokset!$G$76-Tulokset!$I$76),0,IF(Tulokset!$G$76=Tulokset!$I$76,IF(AND('30'!$I$77=Tulokset!$G$76,'30'!$K$77=Tulokset!$I$76),6,3),MAX(0,6-(ABS('30'!$I$77-Tulokset!$G$76)+ABS('30'!$K$77-Tulokset!$I$76))))))</f>
        <v/>
      </c>
      <c r="CA33" t="str">
        <f>IF(OR(Tulokset!$G$77="",Tulokset!$I$77="",'30'!$I$78="",'30'!$K$78=""),"",IF(SIGN('30'!$I$78-'30'!$K$78)&lt;&gt;SIGN(Tulokset!$G$77-Tulokset!$I$77),0,IF(Tulokset!$G$77=Tulokset!$I$77,IF(AND('30'!$I$78=Tulokset!$G$77,'30'!$K$78=Tulokset!$I$77),6,3),MAX(0,6-(ABS('30'!$I$78-Tulokset!$G$77)+ABS('30'!$K$78-Tulokset!$I$77))))))</f>
        <v/>
      </c>
      <c r="CD33" t="str">
        <f ca="1">IF(OR(Tulokset!$M$6="",INDIRECT("'"&amp;$A33&amp;"'!$P$8")=""),"",IF(TRIM(INDIRECT("'"&amp;$A33&amp;"'!$P$8"))=TRIM(Tulokset!$M$6),2,0))</f>
        <v/>
      </c>
      <c r="CE33" t="str">
        <f ca="1">IF(OR(Tulokset!$M$7="",INDIRECT("'"&amp;$A33&amp;"'!$P$9")=""),"",IF(TRIM(INDIRECT("'"&amp;$A33&amp;"'!$P$9"))=TRIM(Tulokset!$M$7),2,0))</f>
        <v/>
      </c>
      <c r="CF33" t="str">
        <f ca="1">IF(OR(Tulokset!$M$8="",INDIRECT("'"&amp;$A33&amp;"'!$P$10")=""),"",IF(TRIM(INDIRECT("'"&amp;$A33&amp;"'!$P$10"))=TRIM(Tulokset!$M$8),2,0))</f>
        <v/>
      </c>
      <c r="CG33" t="str">
        <f ca="1">IF(OR(Tulokset!$M$9="",INDIRECT("'"&amp;$A33&amp;"'!$P$11")=""),"",IF(TRIM(INDIRECT("'"&amp;$A33&amp;"'!$P$11"))=TRIM(Tulokset!$M$9),2,0))</f>
        <v/>
      </c>
      <c r="CH33" t="str">
        <f ca="1">IF(OR(Tulokset!$N$6="",INDIRECT("'"&amp;$A33&amp;"'!$Q$8")=""),"",IF(TRIM(INDIRECT("'"&amp;$A33&amp;"'!$Q$8"))=TRIM(Tulokset!$N$6),2,0))</f>
        <v/>
      </c>
      <c r="CI33" t="str">
        <f ca="1">IF(OR(Tulokset!$N$7="",INDIRECT("'"&amp;$A33&amp;"'!$Q$9")=""),"",IF(TRIM(INDIRECT("'"&amp;$A33&amp;"'!$Q$9"))=TRIM(Tulokset!$N$7),2,0))</f>
        <v/>
      </c>
      <c r="CJ33" t="str">
        <f ca="1">IF(OR(Tulokset!$N$8="",INDIRECT("'"&amp;$A33&amp;"'!$Q$10")=""),"",IF(TRIM(INDIRECT("'"&amp;$A33&amp;"'!$Q$10"))=TRIM(Tulokset!$N$8),2,0))</f>
        <v/>
      </c>
      <c r="CK33" t="str">
        <f ca="1">IF(OR(Tulokset!$N$9="",INDIRECT("'"&amp;$A33&amp;"'!$Q$11")=""),"",IF(TRIM(INDIRECT("'"&amp;$A33&amp;"'!$Q$11"))=TRIM(Tulokset!$N$9),2,0))</f>
        <v/>
      </c>
      <c r="CL33" t="str">
        <f ca="1">IF(OR(Tulokset!$O$6="",INDIRECT("'"&amp;$A33&amp;"'!$R$8")=""),"",IF(TRIM(INDIRECT("'"&amp;$A33&amp;"'!$R$8"))=TRIM(Tulokset!$O$6),2,0))</f>
        <v/>
      </c>
      <c r="CM33" t="str">
        <f ca="1">IF(OR(Tulokset!$O$7="",INDIRECT("'"&amp;$A33&amp;"'!$R$9")=""),"",IF(TRIM(INDIRECT("'"&amp;$A33&amp;"'!$R$9"))=TRIM(Tulokset!$O$7),2,0))</f>
        <v/>
      </c>
      <c r="CN33" t="str">
        <f ca="1">IF(OR(Tulokset!$O$8="",INDIRECT("'"&amp;$A33&amp;"'!$R$10")=""),"",IF(TRIM(INDIRECT("'"&amp;$A33&amp;"'!$R$10"))=TRIM(Tulokset!$O$8),2,0))</f>
        <v/>
      </c>
      <c r="CO33" t="str">
        <f ca="1">IF(OR(Tulokset!$O$9="",INDIRECT("'"&amp;$A33&amp;"'!$R$11")=""),"",IF(TRIM(INDIRECT("'"&amp;$A33&amp;"'!$R$11"))=TRIM(Tulokset!$O$9),2,0))</f>
        <v/>
      </c>
      <c r="CP33" t="str">
        <f ca="1">IF(OR(Tulokset!$P$6="",INDIRECT("'"&amp;$A33&amp;"'!$S$8")=""),"",IF(TRIM(INDIRECT("'"&amp;$A33&amp;"'!$S$8"))=TRIM(Tulokset!$P$6),2,0))</f>
        <v/>
      </c>
      <c r="CQ33" t="str">
        <f ca="1">IF(OR(Tulokset!$P$7="",INDIRECT("'"&amp;$A33&amp;"'!$S$9")=""),"",IF(TRIM(INDIRECT("'"&amp;$A33&amp;"'!$S$9"))=TRIM(Tulokset!$P$7),2,0))</f>
        <v/>
      </c>
      <c r="CR33" t="str">
        <f ca="1">IF(OR(Tulokset!$P$8="",INDIRECT("'"&amp;$A33&amp;"'!$S$10")=""),"",IF(TRIM(INDIRECT("'"&amp;$A33&amp;"'!$S$10"))=TRIM(Tulokset!$P$8),2,0))</f>
        <v/>
      </c>
      <c r="CS33" t="str">
        <f ca="1">IF(OR(Tulokset!$P$9="",INDIRECT("'"&amp;$A33&amp;"'!$S$11")=""),"",IF(TRIM(INDIRECT("'"&amp;$A33&amp;"'!$S$11"))=TRIM(Tulokset!$P$9),2,0))</f>
        <v/>
      </c>
      <c r="CT33" t="str">
        <f ca="1">IF(OR(Tulokset!$Q$6="",INDIRECT("'"&amp;$A33&amp;"'!$T$8")=""),"",IF(TRIM(INDIRECT("'"&amp;$A33&amp;"'!$T$8"))=TRIM(Tulokset!$Q$6),2,0))</f>
        <v/>
      </c>
      <c r="CU33" t="str">
        <f ca="1">IF(OR(Tulokset!$Q$7="",INDIRECT("'"&amp;$A33&amp;"'!$T$9")=""),"",IF(TRIM(INDIRECT("'"&amp;$A33&amp;"'!$T$9"))=TRIM(Tulokset!$Q$7),2,0))</f>
        <v/>
      </c>
      <c r="CV33" t="str">
        <f ca="1">IF(OR(Tulokset!$Q$8="",INDIRECT("'"&amp;$A33&amp;"'!$T$10")=""),"",IF(TRIM(INDIRECT("'"&amp;$A33&amp;"'!$T$10"))=TRIM(Tulokset!$Q$8),2,0))</f>
        <v/>
      </c>
      <c r="CW33" t="str">
        <f ca="1">IF(OR(Tulokset!$Q$9="",INDIRECT("'"&amp;$A33&amp;"'!$T$11")=""),"",IF(TRIM(INDIRECT("'"&amp;$A33&amp;"'!$T$11"))=TRIM(Tulokset!$Q$9),2,0))</f>
        <v/>
      </c>
      <c r="CX33" t="str">
        <f ca="1">IF(OR(Tulokset!$R$6="",INDIRECT("'"&amp;$A33&amp;"'!$U$8")=""),"",IF(TRIM(INDIRECT("'"&amp;$A33&amp;"'!$U$8"))=TRIM(Tulokset!$R$6),2,0))</f>
        <v/>
      </c>
      <c r="CY33" t="str">
        <f ca="1">IF(OR(Tulokset!$R$7="",INDIRECT("'"&amp;$A33&amp;"'!$U$9")=""),"",IF(TRIM(INDIRECT("'"&amp;$A33&amp;"'!$U$9"))=TRIM(Tulokset!$R$7),2,0))</f>
        <v/>
      </c>
      <c r="CZ33" t="str">
        <f ca="1">IF(OR(Tulokset!$R$8="",INDIRECT("'"&amp;$A33&amp;"'!$U$10")=""),"",IF(TRIM(INDIRECT("'"&amp;$A33&amp;"'!$U$10"))=TRIM(Tulokset!$R$8),2,0))</f>
        <v/>
      </c>
      <c r="DA33" t="str">
        <f ca="1">IF(OR(Tulokset!$R$9="",INDIRECT("'"&amp;$A33&amp;"'!$U$11")=""),"",IF(TRIM(INDIRECT("'"&amp;$A33&amp;"'!$U$11"))=TRIM(Tulokset!$R$9),2,0))</f>
        <v/>
      </c>
      <c r="DB33" t="str">
        <f ca="1">IF(OR(Tulokset!$M$12="",INDIRECT("'"&amp;$A33&amp;"'!$P$14")=""),"",IF(TRIM(INDIRECT("'"&amp;$A33&amp;"'!$P$14"))=TRIM(Tulokset!$M$12),2,0))</f>
        <v/>
      </c>
      <c r="DC33" t="str">
        <f ca="1">IF(OR(Tulokset!$M$13="",INDIRECT("'"&amp;$A33&amp;"'!$P$15")=""),"",IF(TRIM(INDIRECT("'"&amp;$A33&amp;"'!$P$15"))=TRIM(Tulokset!$M$13),2,0))</f>
        <v/>
      </c>
      <c r="DD33" t="str">
        <f ca="1">IF(OR(Tulokset!$M$14="",INDIRECT("'"&amp;$A33&amp;"'!$P$16")=""),"",IF(TRIM(INDIRECT("'"&amp;$A33&amp;"'!$P$16"))=TRIM(Tulokset!$M$14),2,0))</f>
        <v/>
      </c>
      <c r="DE33" t="str">
        <f ca="1">IF(OR(Tulokset!$M$15="",INDIRECT("'"&amp;$A33&amp;"'!$P$17")=""),"",IF(TRIM(INDIRECT("'"&amp;$A33&amp;"'!$P$17"))=TRIM(Tulokset!$M$15),2,0))</f>
        <v/>
      </c>
      <c r="DF33" t="str">
        <f ca="1">IF(OR(Tulokset!$N$12="",INDIRECT("'"&amp;$A33&amp;"'!$Q$14")=""),"",IF(TRIM(INDIRECT("'"&amp;$A33&amp;"'!$Q$14"))=TRIM(Tulokset!$N$12),2,0))</f>
        <v/>
      </c>
      <c r="DG33" t="str">
        <f ca="1">IF(OR(Tulokset!$N$13="",INDIRECT("'"&amp;$A33&amp;"'!$Q$15")=""),"",IF(TRIM(INDIRECT("'"&amp;$A33&amp;"'!$Q$15"))=TRIM(Tulokset!$N$13),2,0))</f>
        <v/>
      </c>
      <c r="DH33" t="str">
        <f ca="1">IF(OR(Tulokset!$N$14="",INDIRECT("'"&amp;$A33&amp;"'!$Q$16")=""),"",IF(TRIM(INDIRECT("'"&amp;$A33&amp;"'!$Q$16"))=TRIM(Tulokset!$N$14),2,0))</f>
        <v/>
      </c>
      <c r="DI33" t="str">
        <f ca="1">IF(OR(Tulokset!$N$15="",INDIRECT("'"&amp;$A33&amp;"'!$Q$17")=""),"",IF(TRIM(INDIRECT("'"&amp;$A33&amp;"'!$Q$17"))=TRIM(Tulokset!$N$15),2,0))</f>
        <v/>
      </c>
      <c r="DJ33" t="str">
        <f ca="1">IF(OR(Tulokset!$O$12="",INDIRECT("'"&amp;$A33&amp;"'!$R$14")=""),"",IF(TRIM(INDIRECT("'"&amp;$A33&amp;"'!$R$14"))=TRIM(Tulokset!$O$12),2,0))</f>
        <v/>
      </c>
      <c r="DK33" t="str">
        <f ca="1">IF(OR(Tulokset!$O$13="",INDIRECT("'"&amp;$A33&amp;"'!$R$15")=""),"",IF(TRIM(INDIRECT("'"&amp;$A33&amp;"'!$R$15"))=TRIM(Tulokset!$O$13),2,0))</f>
        <v/>
      </c>
      <c r="DL33" t="str">
        <f ca="1">IF(OR(Tulokset!$O$14="",INDIRECT("'"&amp;$A33&amp;"'!$R$16")=""),"",IF(TRIM(INDIRECT("'"&amp;$A33&amp;"'!$R$16"))=TRIM(Tulokset!$O$14),2,0))</f>
        <v/>
      </c>
      <c r="DM33" t="str">
        <f ca="1">IF(OR(Tulokset!$O$15="",INDIRECT("'"&amp;$A33&amp;"'!$R$17")=""),"",IF(TRIM(INDIRECT("'"&amp;$A33&amp;"'!$R$17"))=TRIM(Tulokset!$O$15),2,0))</f>
        <v/>
      </c>
      <c r="DN33" t="str">
        <f ca="1">IF(OR(Tulokset!$P$12="",INDIRECT("'"&amp;$A33&amp;"'!$S$14")=""),"",IF(TRIM(INDIRECT("'"&amp;$A33&amp;"'!$S$14"))=TRIM(Tulokset!$P$12),2,0))</f>
        <v/>
      </c>
      <c r="DO33" t="str">
        <f ca="1">IF(OR(Tulokset!$P$13="",INDIRECT("'"&amp;$A33&amp;"'!$S$15")=""),"",IF(TRIM(INDIRECT("'"&amp;$A33&amp;"'!$S$15"))=TRIM(Tulokset!$P$13),2,0))</f>
        <v/>
      </c>
      <c r="DP33" t="str">
        <f ca="1">IF(OR(Tulokset!$P$14="",INDIRECT("'"&amp;$A33&amp;"'!$S$16")=""),"",IF(TRIM(INDIRECT("'"&amp;$A33&amp;"'!$S$16"))=TRIM(Tulokset!$P$14),2,0))</f>
        <v/>
      </c>
      <c r="DQ33" t="str">
        <f ca="1">IF(OR(Tulokset!$P$15="",INDIRECT("'"&amp;$A33&amp;"'!$S$17")=""),"",IF(TRIM(INDIRECT("'"&amp;$A33&amp;"'!$S$17"))=TRIM(Tulokset!$P$15),2,0))</f>
        <v/>
      </c>
      <c r="DR33" t="str">
        <f ca="1">IF(OR(Tulokset!$Q$12="",INDIRECT("'"&amp;$A33&amp;"'!$T$14")=""),"",IF(TRIM(INDIRECT("'"&amp;$A33&amp;"'!$T$14"))=TRIM(Tulokset!$Q$12),2,0))</f>
        <v/>
      </c>
      <c r="DS33" t="str">
        <f ca="1">IF(OR(Tulokset!$Q$13="",INDIRECT("'"&amp;$A33&amp;"'!$T$15")=""),"",IF(TRIM(INDIRECT("'"&amp;$A33&amp;"'!$T$15"))=TRIM(Tulokset!$Q$13),2,0))</f>
        <v/>
      </c>
      <c r="DT33" t="str">
        <f ca="1">IF(OR(Tulokset!$Q$14="",INDIRECT("'"&amp;$A33&amp;"'!$T$16")=""),"",IF(TRIM(INDIRECT("'"&amp;$A33&amp;"'!$T$16"))=TRIM(Tulokset!$Q$14),2,0))</f>
        <v/>
      </c>
      <c r="DU33" t="str">
        <f ca="1">IF(OR(Tulokset!$Q$15="",INDIRECT("'"&amp;$A33&amp;"'!$T$17")=""),"",IF(TRIM(INDIRECT("'"&amp;$A33&amp;"'!$T$17"))=TRIM(Tulokset!$Q$15),2,0))</f>
        <v/>
      </c>
      <c r="DV33" t="str">
        <f ca="1">IF(OR(Tulokset!$R$12="",INDIRECT("'"&amp;$A33&amp;"'!$U$14")=""),"",IF(TRIM(INDIRECT("'"&amp;$A33&amp;"'!$U$14"))=TRIM(Tulokset!$R$12),2,0))</f>
        <v/>
      </c>
      <c r="DW33" t="str">
        <f ca="1">IF(OR(Tulokset!$R$13="",INDIRECT("'"&amp;$A33&amp;"'!$U$15")=""),"",IF(TRIM(INDIRECT("'"&amp;$A33&amp;"'!$U$15"))=TRIM(Tulokset!$R$13),2,0))</f>
        <v/>
      </c>
      <c r="DX33" t="str">
        <f ca="1">IF(OR(Tulokset!$R$14="",INDIRECT("'"&amp;$A33&amp;"'!$U$16")=""),"",IF(TRIM(INDIRECT("'"&amp;$A33&amp;"'!$U$16"))=TRIM(Tulokset!$R$14),2,0))</f>
        <v/>
      </c>
      <c r="DY33" t="str">
        <f ca="1">IF(OR(Tulokset!$R$15="",INDIRECT("'"&amp;$A33&amp;"'!$U$17")=""),"",IF(TRIM(INDIRECT("'"&amp;$A33&amp;"'!$U$17"))=TRIM(Tulokset!$R$15),2,0))</f>
        <v/>
      </c>
      <c r="EA33" t="str">
        <f ca="1">IF(OR(INDIRECT("'"&amp;$A33&amp;"'!$E$79")="",COUNTA(Tulokset!$M$20:$M$21)=0),"",IF(COUNTIF(Tulokset!$M$20:$M$21,INDIRECT("'"&amp;$A33&amp;"'!$E$79"))&gt;0,2,0))</f>
        <v/>
      </c>
      <c r="EB33" t="str">
        <f ca="1">IF(OR(INDIRECT("'"&amp;$A33&amp;"'!$G$79")="",COUNTA(Tulokset!$M$20:$M$21)=0),"",IF(COUNTIF(Tulokset!$M$20:$M$21,INDIRECT("'"&amp;$A33&amp;"'!$G$79"))&gt;0,2,0))</f>
        <v/>
      </c>
      <c r="EC33" t="str">
        <f ca="1">IF(OR(INDIRECT("'"&amp;$A33&amp;"'!$E$80")="",COUNTA(Tulokset!$M$23:$M$24)=0),"",IF(COUNTIF(Tulokset!$M$23:$M$24,INDIRECT("'"&amp;$A33&amp;"'!$E$80"))&gt;0,2,0))</f>
        <v/>
      </c>
      <c r="ED33" t="str">
        <f ca="1">IF(OR(INDIRECT("'"&amp;$A33&amp;"'!$G$80")="",COUNTA(Tulokset!$M$23:$M$24)=0),"",IF(COUNTIF(Tulokset!$M$23:$M$24,INDIRECT("'"&amp;$A33&amp;"'!$G$80"))&gt;0,2,0))</f>
        <v/>
      </c>
    </row>
    <row r="34" spans="1:134">
      <c r="A34" s="333">
        <v>31</v>
      </c>
      <c r="B34" s="333" t="str">
        <f t="shared" ca="1" si="0"/>
        <v>werner strandhügel</v>
      </c>
      <c r="C34" s="334">
        <f t="shared" si="1"/>
        <v>0</v>
      </c>
      <c r="D34" s="334">
        <f t="shared" ca="1" si="2"/>
        <v>0</v>
      </c>
      <c r="E34" s="334">
        <f t="shared" ca="1" si="3"/>
        <v>0</v>
      </c>
      <c r="F34" s="334">
        <f t="shared" ca="1" si="4"/>
        <v>0</v>
      </c>
      <c r="G34" s="334">
        <f t="shared" si="5"/>
        <v>0</v>
      </c>
      <c r="H34" s="333" t="str">
        <f>IF(OR(Tulokset!$G$6="",Tulokset!$I$6="",'31'!$I$7="",'31'!$K$7=""),"",IF(SIGN('31'!$I$7-'31'!$K$7)&lt;&gt;SIGN(Tulokset!$G$6-Tulokset!$I$6),0,IF(Tulokset!$G$6=Tulokset!$I$6,IF(AND('31'!$I$7=Tulokset!$G$6,'31'!$K$7=Tulokset!$I$6),6,3),MAX(0,6-(ABS('31'!$I$7-Tulokset!$G$6)+ABS('31'!$K$7-Tulokset!$I$6))))))</f>
        <v/>
      </c>
      <c r="I34" s="333" t="str">
        <f>IF(OR(Tulokset!$G$7="",Tulokset!$I$7="",'31'!$I$8="",'31'!$K$8=""),"",IF(SIGN('31'!$I$8-'31'!$K$8)&lt;&gt;SIGN(Tulokset!$G$7-Tulokset!$I$7),0,IF(Tulokset!$G$7=Tulokset!$I$7,IF(AND('31'!$I$8=Tulokset!$G$7,'31'!$K$8=Tulokset!$I$7),6,3),MAX(0,6-(ABS('31'!$I$8-Tulokset!$G$7)+ABS('31'!$K$8-Tulokset!$I$7))))))</f>
        <v/>
      </c>
      <c r="J34" s="333" t="str">
        <f>IF(OR(Tulokset!$G$8="",Tulokset!$I$8="",'31'!$I$9="",'31'!$K$9=""),"",IF(SIGN('31'!$I$9-'31'!$K$9)&lt;&gt;SIGN(Tulokset!$G$8-Tulokset!$I$8),0,IF(Tulokset!$G$8=Tulokset!$I$8,IF(AND('31'!$I$9=Tulokset!$G$8,'31'!$K$9=Tulokset!$I$8),6,3),MAX(0,6-(ABS('31'!$I$9-Tulokset!$G$8)+ABS('31'!$K$9-Tulokset!$I$8))))))</f>
        <v/>
      </c>
      <c r="K34" s="333" t="str">
        <f>IF(OR(Tulokset!$G$9="",Tulokset!$I$9="",'31'!$I$10="",'31'!$K$10=""),"",IF(SIGN('31'!$I$10-'31'!$K$10)&lt;&gt;SIGN(Tulokset!$G$9-Tulokset!$I$9),0,IF(Tulokset!$G$9=Tulokset!$I$9,IF(AND('31'!$I$10=Tulokset!$G$9,'31'!$K$10=Tulokset!$I$9),6,3),MAX(0,6-(ABS('31'!$I$10-Tulokset!$G$9)+ABS('31'!$K$10-Tulokset!$I$9))))))</f>
        <v/>
      </c>
      <c r="L34" s="333" t="str">
        <f>IF(OR(Tulokset!$G$10="",Tulokset!$I$10="",'31'!$I$11="",'31'!$K$11=""),"",IF(SIGN('31'!$I$11-'31'!$K$11)&lt;&gt;SIGN(Tulokset!$G$10-Tulokset!$I$10),0,IF(Tulokset!$G$10=Tulokset!$I$10,IF(AND('31'!$I$11=Tulokset!$G$10,'31'!$K$11=Tulokset!$I$10),6,3),MAX(0,6-(ABS('31'!$I$11-Tulokset!$G$10)+ABS('31'!$K$11-Tulokset!$I$10))))))</f>
        <v/>
      </c>
      <c r="M34" s="333" t="str">
        <f>IF(OR(Tulokset!$G$11="",Tulokset!$I$11="",'31'!$I$12="",'31'!$K$12=""),"",IF(SIGN('31'!$I$12-'31'!$K$12)&lt;&gt;SIGN(Tulokset!$G$11-Tulokset!$I$11),0,IF(Tulokset!$G$11=Tulokset!$I$11,IF(AND('31'!$I$12=Tulokset!$G$11,'31'!$K$12=Tulokset!$I$11),6,3),MAX(0,6-(ABS('31'!$I$12-Tulokset!$G$11)+ABS('31'!$K$12-Tulokset!$I$11))))))</f>
        <v/>
      </c>
      <c r="N34" s="333" t="str">
        <f>IF(OR(Tulokset!$G$12="",Tulokset!$I$12="",'31'!$I$13="",'31'!$K$13=""),"",IF(SIGN('31'!$I$13-'31'!$K$13)&lt;&gt;SIGN(Tulokset!$G$12-Tulokset!$I$12),0,IF(Tulokset!$G$12=Tulokset!$I$12,IF(AND('31'!$I$13=Tulokset!$G$12,'31'!$K$13=Tulokset!$I$12),6,3),MAX(0,6-(ABS('31'!$I$13-Tulokset!$G$12)+ABS('31'!$K$13-Tulokset!$I$12))))))</f>
        <v/>
      </c>
      <c r="O34" s="333" t="str">
        <f>IF(OR(Tulokset!$G$13="",Tulokset!$I$13="",'31'!$I$14="",'31'!$K$14=""),"",IF(SIGN('31'!$I$14-'31'!$K$14)&lt;&gt;SIGN(Tulokset!$G$13-Tulokset!$I$13),0,IF(Tulokset!$G$13=Tulokset!$I$13,IF(AND('31'!$I$14=Tulokset!$G$13,'31'!$K$14=Tulokset!$I$13),6,3),MAX(0,6-(ABS('31'!$I$14-Tulokset!$G$13)+ABS('31'!$K$14-Tulokset!$I$13))))))</f>
        <v/>
      </c>
      <c r="P34" s="333" t="str">
        <f>IF(OR(Tulokset!$G$14="",Tulokset!$I$14="",'31'!$I$15="",'31'!$K$15=""),"",IF(SIGN('31'!$I$15-'31'!$K$15)&lt;&gt;SIGN(Tulokset!$G$14-Tulokset!$I$14),0,IF(Tulokset!$G$14=Tulokset!$I$14,IF(AND('31'!$I$15=Tulokset!$G$14,'31'!$K$15=Tulokset!$I$14),6,3),MAX(0,6-(ABS('31'!$I$15-Tulokset!$G$14)+ABS('31'!$K$15-Tulokset!$I$14))))))</f>
        <v/>
      </c>
      <c r="Q34" s="333" t="str">
        <f>IF(OR(Tulokset!$G$15="",Tulokset!$I$15="",'31'!$I$16="",'31'!$K$16=""),"",IF(SIGN('31'!$I$16-'31'!$K$16)&lt;&gt;SIGN(Tulokset!$G$15-Tulokset!$I$15),0,IF(Tulokset!$G$15=Tulokset!$I$15,IF(AND('31'!$I$16=Tulokset!$G$15,'31'!$K$16=Tulokset!$I$15),6,3),MAX(0,6-(ABS('31'!$I$16-Tulokset!$G$15)+ABS('31'!$K$16-Tulokset!$I$15))))))</f>
        <v/>
      </c>
      <c r="R34" s="333" t="str">
        <f>IF(OR(Tulokset!$G$16="",Tulokset!$I$16="",'31'!$I$17="",'31'!$K$17=""),"",IF(SIGN('31'!$I$17-'31'!$K$17)&lt;&gt;SIGN(Tulokset!$G$16-Tulokset!$I$16),0,IF(Tulokset!$G$16=Tulokset!$I$16,IF(AND('31'!$I$17=Tulokset!$G$16,'31'!$K$17=Tulokset!$I$16),6,3),MAX(0,6-(ABS('31'!$I$17-Tulokset!$G$16)+ABS('31'!$K$17-Tulokset!$I$16))))))</f>
        <v/>
      </c>
      <c r="S34" s="333" t="str">
        <f>IF(OR(Tulokset!$G$17="",Tulokset!$I$17="",'31'!$I$18="",'31'!$K$18=""),"",IF(SIGN('31'!$I$18-'31'!$K$18)&lt;&gt;SIGN(Tulokset!$G$17-Tulokset!$I$17),0,IF(Tulokset!$G$17=Tulokset!$I$17,IF(AND('31'!$I$18=Tulokset!$G$17,'31'!$K$18=Tulokset!$I$17),6,3),MAX(0,6-(ABS('31'!$I$18-Tulokset!$G$17)+ABS('31'!$K$18-Tulokset!$I$17))))))</f>
        <v/>
      </c>
      <c r="T34" s="333" t="str">
        <f>IF(OR(Tulokset!$G$18="",Tulokset!$I$18="",'31'!$I$19="",'31'!$K$19=""),"",IF(SIGN('31'!$I$19-'31'!$K$19)&lt;&gt;SIGN(Tulokset!$G$18-Tulokset!$I$18),0,IF(Tulokset!$G$18=Tulokset!$I$18,IF(AND('31'!$I$19=Tulokset!$G$18,'31'!$K$19=Tulokset!$I$18),6,3),MAX(0,6-(ABS('31'!$I$19-Tulokset!$G$18)+ABS('31'!$K$19-Tulokset!$I$18))))))</f>
        <v/>
      </c>
      <c r="U34" s="333" t="str">
        <f>IF(OR(Tulokset!$G$19="",Tulokset!$I$19="",'31'!$I$20="",'31'!$K$20=""),"",IF(SIGN('31'!$I$20-'31'!$K$20)&lt;&gt;SIGN(Tulokset!$G$19-Tulokset!$I$19),0,IF(Tulokset!$G$19=Tulokset!$I$19,IF(AND('31'!$I$20=Tulokset!$G$19,'31'!$K$20=Tulokset!$I$19),6,3),MAX(0,6-(ABS('31'!$I$20-Tulokset!$G$19)+ABS('31'!$K$20-Tulokset!$I$19))))))</f>
        <v/>
      </c>
      <c r="V34" s="333" t="str">
        <f>IF(OR(Tulokset!$G$20="",Tulokset!$I$20="",'31'!$I$21="",'31'!$K$21=""),"",IF(SIGN('31'!$I$21-'31'!$K$21)&lt;&gt;SIGN(Tulokset!$G$20-Tulokset!$I$20),0,IF(Tulokset!$G$20=Tulokset!$I$20,IF(AND('31'!$I$21=Tulokset!$G$20,'31'!$K$21=Tulokset!$I$20),6,3),MAX(0,6-(ABS('31'!$I$21-Tulokset!$G$20)+ABS('31'!$K$21-Tulokset!$I$20))))))</f>
        <v/>
      </c>
      <c r="W34" s="333" t="str">
        <f>IF(OR(Tulokset!$G$21="",Tulokset!$I$21="",'31'!$I$22="",'31'!$K$22=""),"",IF(SIGN('31'!$I$22-'31'!$K$22)&lt;&gt;SIGN(Tulokset!$G$21-Tulokset!$I$21),0,IF(Tulokset!$G$21=Tulokset!$I$21,IF(AND('31'!$I$22=Tulokset!$G$21,'31'!$K$22=Tulokset!$I$21),6,3),MAX(0,6-(ABS('31'!$I$22-Tulokset!$G$21)+ABS('31'!$K$22-Tulokset!$I$21))))))</f>
        <v/>
      </c>
      <c r="X34" s="333" t="str">
        <f>IF(OR(Tulokset!$G$22="",Tulokset!$I$22="",'31'!$I$23="",'31'!$K$23=""),"",IF(SIGN('31'!$I$23-'31'!$K$23)&lt;&gt;SIGN(Tulokset!$G$22-Tulokset!$I$22),0,IF(Tulokset!$G$22=Tulokset!$I$22,IF(AND('31'!$I$23=Tulokset!$G$22,'31'!$K$23=Tulokset!$I$22),6,3),MAX(0,6-(ABS('31'!$I$23-Tulokset!$G$22)+ABS('31'!$K$23-Tulokset!$I$22))))))</f>
        <v/>
      </c>
      <c r="Y34" s="333" t="str">
        <f>IF(OR(Tulokset!$G$23="",Tulokset!$I$23="",'31'!$I$24="",'31'!$K$24=""),"",IF(SIGN('31'!$I$24-'31'!$K$24)&lt;&gt;SIGN(Tulokset!$G$23-Tulokset!$I$23),0,IF(Tulokset!$G$23=Tulokset!$I$23,IF(AND('31'!$I$24=Tulokset!$G$23,'31'!$K$24=Tulokset!$I$23),6,3),MAX(0,6-(ABS('31'!$I$24-Tulokset!$G$23)+ABS('31'!$K$24-Tulokset!$I$23))))))</f>
        <v/>
      </c>
      <c r="Z34" s="333" t="str">
        <f>IF(OR(Tulokset!$G$24="",Tulokset!$I$24="",'31'!$I$25="",'31'!$K$25=""),"",IF(SIGN('31'!$I$25-'31'!$K$25)&lt;&gt;SIGN(Tulokset!$G$24-Tulokset!$I$24),0,IF(Tulokset!$G$24=Tulokset!$I$24,IF(AND('31'!$I$25=Tulokset!$G$24,'31'!$K$25=Tulokset!$I$24),6,3),MAX(0,6-(ABS('31'!$I$25-Tulokset!$G$24)+ABS('31'!$K$25-Tulokset!$I$24))))))</f>
        <v/>
      </c>
      <c r="AA34" s="333" t="str">
        <f>IF(OR(Tulokset!$G$25="",Tulokset!$I$25="",'31'!$I$26="",'31'!$K$26=""),"",IF(SIGN('31'!$I$26-'31'!$K$26)&lt;&gt;SIGN(Tulokset!$G$25-Tulokset!$I$25),0,IF(Tulokset!$G$25=Tulokset!$I$25,IF(AND('31'!$I$26=Tulokset!$G$25,'31'!$K$26=Tulokset!$I$25),6,3),MAX(0,6-(ABS('31'!$I$26-Tulokset!$G$25)+ABS('31'!$K$26-Tulokset!$I$25))))))</f>
        <v/>
      </c>
      <c r="AB34" s="333" t="str">
        <f>IF(OR(Tulokset!$G$26="",Tulokset!$I$26="",'31'!$I$27="",'31'!$K$27=""),"",IF(SIGN('31'!$I$27-'31'!$K$27)&lt;&gt;SIGN(Tulokset!$G$26-Tulokset!$I$26),0,IF(Tulokset!$G$26=Tulokset!$I$26,IF(AND('31'!$I$27=Tulokset!$G$26,'31'!$K$27=Tulokset!$I$26),6,3),MAX(0,6-(ABS('31'!$I$27-Tulokset!$G$26)+ABS('31'!$K$27-Tulokset!$I$26))))))</f>
        <v/>
      </c>
      <c r="AC34" s="333" t="str">
        <f>IF(OR(Tulokset!$G$27="",Tulokset!$I$27="",'31'!$I$28="",'31'!$K$28=""),"",IF(SIGN('31'!$I$28-'31'!$K$28)&lt;&gt;SIGN(Tulokset!$G$27-Tulokset!$I$27),0,IF(Tulokset!$G$27=Tulokset!$I$27,IF(AND('31'!$I$28=Tulokset!$G$27,'31'!$K$28=Tulokset!$I$27),6,3),MAX(0,6-(ABS('31'!$I$28-Tulokset!$G$27)+ABS('31'!$K$28-Tulokset!$I$27))))))</f>
        <v/>
      </c>
      <c r="AD34" s="333" t="str">
        <f>IF(OR(Tulokset!$G$28="",Tulokset!$I$28="",'31'!$I$29="",'31'!$K$29=""),"",IF(SIGN('31'!$I$29-'31'!$K$29)&lt;&gt;SIGN(Tulokset!$G$28-Tulokset!$I$28),0,IF(Tulokset!$G$28=Tulokset!$I$28,IF(AND('31'!$I$29=Tulokset!$G$28,'31'!$K$29=Tulokset!$I$28),6,3),MAX(0,6-(ABS('31'!$I$29-Tulokset!$G$28)+ABS('31'!$K$29-Tulokset!$I$28))))))</f>
        <v/>
      </c>
      <c r="AE34" s="333" t="str">
        <f>IF(OR(Tulokset!$G$29="",Tulokset!$I$29="",'31'!$I$30="",'31'!$K$30=""),"",IF(SIGN('31'!$I$30-'31'!$K$30)&lt;&gt;SIGN(Tulokset!$G$29-Tulokset!$I$29),0,IF(Tulokset!$G$29=Tulokset!$I$29,IF(AND('31'!$I$30=Tulokset!$G$29,'31'!$K$30=Tulokset!$I$29),6,3),MAX(0,6-(ABS('31'!$I$30-Tulokset!$G$29)+ABS('31'!$K$30-Tulokset!$I$29))))))</f>
        <v/>
      </c>
      <c r="AF34" s="333" t="str">
        <f>IF(OR(Tulokset!$G$30="",Tulokset!$I$30="",'31'!$I$31="",'31'!$K$31=""),"",IF(SIGN('31'!$I$31-'31'!$K$31)&lt;&gt;SIGN(Tulokset!$G$30-Tulokset!$I$30),0,IF(Tulokset!$G$30=Tulokset!$I$30,IF(AND('31'!$I$31=Tulokset!$G$30,'31'!$K$31=Tulokset!$I$30),6,3),MAX(0,6-(ABS('31'!$I$31-Tulokset!$G$30)+ABS('31'!$K$31-Tulokset!$I$30))))))</f>
        <v/>
      </c>
      <c r="AG34" s="333" t="str">
        <f>IF(OR(Tulokset!$G$31="",Tulokset!$I$31="",'31'!$I$32="",'31'!$K$32=""),"",IF(SIGN('31'!$I$32-'31'!$K$32)&lt;&gt;SIGN(Tulokset!$G$31-Tulokset!$I$31),0,IF(Tulokset!$G$31=Tulokset!$I$31,IF(AND('31'!$I$32=Tulokset!$G$31,'31'!$K$32=Tulokset!$I$31),6,3),MAX(0,6-(ABS('31'!$I$32-Tulokset!$G$31)+ABS('31'!$K$32-Tulokset!$I$31))))))</f>
        <v/>
      </c>
      <c r="AH34" s="333" t="str">
        <f>IF(OR(Tulokset!$G$32="",Tulokset!$I$32="",'31'!$I$33="",'31'!$K$33=""),"",IF(SIGN('31'!$I$33-'31'!$K$33)&lt;&gt;SIGN(Tulokset!$G$32-Tulokset!$I$32),0,IF(Tulokset!$G$32=Tulokset!$I$32,IF(AND('31'!$I$33=Tulokset!$G$32,'31'!$K$33=Tulokset!$I$32),6,3),MAX(0,6-(ABS('31'!$I$33-Tulokset!$G$32)+ABS('31'!$K$33-Tulokset!$I$32))))))</f>
        <v/>
      </c>
      <c r="AI34" s="333" t="str">
        <f>IF(OR(Tulokset!$G$33="",Tulokset!$I$33="",'31'!$I$34="",'31'!$K$34=""),"",IF(SIGN('31'!$I$34-'31'!$K$34)&lt;&gt;SIGN(Tulokset!$G$33-Tulokset!$I$33),0,IF(Tulokset!$G$33=Tulokset!$I$33,IF(AND('31'!$I$34=Tulokset!$G$33,'31'!$K$34=Tulokset!$I$33),6,3),MAX(0,6-(ABS('31'!$I$34-Tulokset!$G$33)+ABS('31'!$K$34-Tulokset!$I$33))))))</f>
        <v/>
      </c>
      <c r="AJ34" s="333" t="str">
        <f>IF(OR(Tulokset!$G$34="",Tulokset!$I$34="",'31'!$I$35="",'31'!$K$35=""),"",IF(SIGN('31'!$I$35-'31'!$K$35)&lt;&gt;SIGN(Tulokset!$G$34-Tulokset!$I$34),0,IF(Tulokset!$G$34=Tulokset!$I$34,IF(AND('31'!$I$35=Tulokset!$G$34,'31'!$K$35=Tulokset!$I$34),6,3),MAX(0,6-(ABS('31'!$I$35-Tulokset!$G$34)+ABS('31'!$K$35-Tulokset!$I$34))))))</f>
        <v/>
      </c>
      <c r="AK34" s="333" t="str">
        <f>IF(OR(Tulokset!$G$35="",Tulokset!$I$35="",'31'!$I$36="",'31'!$K$36=""),"",IF(SIGN('31'!$I$36-'31'!$K$36)&lt;&gt;SIGN(Tulokset!$G$35-Tulokset!$I$35),0,IF(Tulokset!$G$35=Tulokset!$I$35,IF(AND('31'!$I$36=Tulokset!$G$35,'31'!$K$36=Tulokset!$I$35),6,3),MAX(0,6-(ABS('31'!$I$36-Tulokset!$G$35)+ABS('31'!$K$36-Tulokset!$I$35))))))</f>
        <v/>
      </c>
      <c r="AL34" s="333" t="str">
        <f>IF(OR(Tulokset!$G$36="",Tulokset!$I$36="",'31'!$I$37="",'31'!$K$37=""),"",IF(SIGN('31'!$I$37-'31'!$K$37)&lt;&gt;SIGN(Tulokset!$G$36-Tulokset!$I$36),0,IF(Tulokset!$G$36=Tulokset!$I$36,IF(AND('31'!$I$37=Tulokset!$G$36,'31'!$K$37=Tulokset!$I$36),6,3),MAX(0,6-(ABS('31'!$I$37-Tulokset!$G$36)+ABS('31'!$K$37-Tulokset!$I$36))))))</f>
        <v/>
      </c>
      <c r="AM34" s="333" t="str">
        <f>IF(OR(Tulokset!$G$37="",Tulokset!$I$37="",'31'!$I$38="",'31'!$K$38=""),"",IF(SIGN('31'!$I$38-'31'!$K$38)&lt;&gt;SIGN(Tulokset!$G$37-Tulokset!$I$37),0,IF(Tulokset!$G$37=Tulokset!$I$37,IF(AND('31'!$I$38=Tulokset!$G$37,'31'!$K$38=Tulokset!$I$37),6,3),MAX(0,6-(ABS('31'!$I$38-Tulokset!$G$37)+ABS('31'!$K$38-Tulokset!$I$37))))))</f>
        <v/>
      </c>
      <c r="AN34" s="333" t="str">
        <f>IF(OR(Tulokset!$G$38="",Tulokset!$I$38="",'31'!$I$39="",'31'!$K$39=""),"",IF(SIGN('31'!$I$39-'31'!$K$39)&lt;&gt;SIGN(Tulokset!$G$38-Tulokset!$I$38),0,IF(Tulokset!$G$38=Tulokset!$I$38,IF(AND('31'!$I$39=Tulokset!$G$38,'31'!$K$39=Tulokset!$I$38),6,3),MAX(0,6-(ABS('31'!$I$39-Tulokset!$G$38)+ABS('31'!$K$39-Tulokset!$I$38))))))</f>
        <v/>
      </c>
      <c r="AO34" s="333" t="str">
        <f>IF(OR(Tulokset!$G$39="",Tulokset!$I$39="",'31'!$I$40="",'31'!$K$40=""),"",IF(SIGN('31'!$I$40-'31'!$K$40)&lt;&gt;SIGN(Tulokset!$G$39-Tulokset!$I$39),0,IF(Tulokset!$G$39=Tulokset!$I$39,IF(AND('31'!$I$40=Tulokset!$G$39,'31'!$K$40=Tulokset!$I$39),6,3),MAX(0,6-(ABS('31'!$I$40-Tulokset!$G$39)+ABS('31'!$K$40-Tulokset!$I$39))))))</f>
        <v/>
      </c>
      <c r="AP34" s="333" t="str">
        <f>IF(OR(Tulokset!$G$40="",Tulokset!$I$40="",'31'!$I$41="",'31'!$K$41=""),"",IF(SIGN('31'!$I$41-'31'!$K$41)&lt;&gt;SIGN(Tulokset!$G$40-Tulokset!$I$40),0,IF(Tulokset!$G$40=Tulokset!$I$40,IF(AND('31'!$I$41=Tulokset!$G$40,'31'!$K$41=Tulokset!$I$40),6,3),MAX(0,6-(ABS('31'!$I$41-Tulokset!$G$40)+ABS('31'!$K$41-Tulokset!$I$40))))))</f>
        <v/>
      </c>
      <c r="AQ34" s="333" t="str">
        <f>IF(OR(Tulokset!$G$41="",Tulokset!$I$41="",'31'!$I$42="",'31'!$K$42=""),"",IF(SIGN('31'!$I$42-'31'!$K$42)&lt;&gt;SIGN(Tulokset!$G$41-Tulokset!$I$41),0,IF(Tulokset!$G$41=Tulokset!$I$41,IF(AND('31'!$I$42=Tulokset!$G$41,'31'!$K$42=Tulokset!$I$41),6,3),MAX(0,6-(ABS('31'!$I$42-Tulokset!$G$41)+ABS('31'!$K$42-Tulokset!$I$41))))))</f>
        <v/>
      </c>
      <c r="AR34" s="333" t="str">
        <f>IF(OR(Tulokset!$G$42="",Tulokset!$I$42="",'31'!$I$43="",'31'!$K$43=""),"",IF(SIGN('31'!$I$43-'31'!$K$43)&lt;&gt;SIGN(Tulokset!$G$42-Tulokset!$I$42),0,IF(Tulokset!$G$42=Tulokset!$I$42,IF(AND('31'!$I$43=Tulokset!$G$42,'31'!$K$43=Tulokset!$I$42),6,3),MAX(0,6-(ABS('31'!$I$43-Tulokset!$G$42)+ABS('31'!$K$43-Tulokset!$I$42))))))</f>
        <v/>
      </c>
      <c r="AS34" s="333" t="str">
        <f>IF(OR(Tulokset!$G$43="",Tulokset!$I$43="",'31'!$I$44="",'31'!$K$44=""),"",IF(SIGN('31'!$I$44-'31'!$K$44)&lt;&gt;SIGN(Tulokset!$G$43-Tulokset!$I$43),0,IF(Tulokset!$G$43=Tulokset!$I$43,IF(AND('31'!$I$44=Tulokset!$G$43,'31'!$K$44=Tulokset!$I$43),6,3),MAX(0,6-(ABS('31'!$I$44-Tulokset!$G$43)+ABS('31'!$K$44-Tulokset!$I$43))))))</f>
        <v/>
      </c>
      <c r="AT34" s="333" t="str">
        <f>IF(OR(Tulokset!$G$44="",Tulokset!$I$44="",'31'!$I$45="",'31'!$K$45=""),"",IF(SIGN('31'!$I$45-'31'!$K$45)&lt;&gt;SIGN(Tulokset!$G$44-Tulokset!$I$44),0,IF(Tulokset!$G$44=Tulokset!$I$44,IF(AND('31'!$I$45=Tulokset!$G$44,'31'!$K$45=Tulokset!$I$44),6,3),MAX(0,6-(ABS('31'!$I$45-Tulokset!$G$44)+ABS('31'!$K$45-Tulokset!$I$44))))))</f>
        <v/>
      </c>
      <c r="AU34" s="333" t="str">
        <f>IF(OR(Tulokset!$G$45="",Tulokset!$I$45="",'31'!$I$46="",'31'!$K$46=""),"",IF(SIGN('31'!$I$46-'31'!$K$46)&lt;&gt;SIGN(Tulokset!$G$45-Tulokset!$I$45),0,IF(Tulokset!$G$45=Tulokset!$I$45,IF(AND('31'!$I$46=Tulokset!$G$45,'31'!$K$46=Tulokset!$I$45),6,3),MAX(0,6-(ABS('31'!$I$46-Tulokset!$G$45)+ABS('31'!$K$46-Tulokset!$I$45))))))</f>
        <v/>
      </c>
      <c r="AV34" s="333" t="str">
        <f>IF(OR(Tulokset!$G$46="",Tulokset!$I$46="",'31'!$I$47="",'31'!$K$47=""),"",IF(SIGN('31'!$I$47-'31'!$K$47)&lt;&gt;SIGN(Tulokset!$G$46-Tulokset!$I$46),0,IF(Tulokset!$G$46=Tulokset!$I$46,IF(AND('31'!$I$47=Tulokset!$G$46,'31'!$K$47=Tulokset!$I$46),6,3),MAX(0,6-(ABS('31'!$I$47-Tulokset!$G$46)+ABS('31'!$K$47-Tulokset!$I$46))))))</f>
        <v/>
      </c>
      <c r="AW34" s="333" t="str">
        <f>IF(OR(Tulokset!$G$47="",Tulokset!$I$47="",'31'!$I$48="",'31'!$K$48=""),"",IF(SIGN('31'!$I$48-'31'!$K$48)&lt;&gt;SIGN(Tulokset!$G$47-Tulokset!$I$47),0,IF(Tulokset!$G$47=Tulokset!$I$47,IF(AND('31'!$I$48=Tulokset!$G$47,'31'!$K$48=Tulokset!$I$47),6,3),MAX(0,6-(ABS('31'!$I$48-Tulokset!$G$47)+ABS('31'!$K$48-Tulokset!$I$47))))))</f>
        <v/>
      </c>
      <c r="AX34" s="333" t="str">
        <f>IF(OR(Tulokset!$G$48="",Tulokset!$I$48="",'31'!$I$49="",'31'!$K$49=""),"",IF(SIGN('31'!$I$49-'31'!$K$49)&lt;&gt;SIGN(Tulokset!$G$48-Tulokset!$I$48),0,IF(Tulokset!$G$48=Tulokset!$I$48,IF(AND('31'!$I$49=Tulokset!$G$48,'31'!$K$49=Tulokset!$I$48),6,3),MAX(0,6-(ABS('31'!$I$49-Tulokset!$G$48)+ABS('31'!$K$49-Tulokset!$I$48))))))</f>
        <v/>
      </c>
      <c r="AY34" s="333" t="str">
        <f>IF(OR(Tulokset!$G$49="",Tulokset!$I$49="",'31'!$I$50="",'31'!$K$50=""),"",IF(SIGN('31'!$I$50-'31'!$K$50)&lt;&gt;SIGN(Tulokset!$G$49-Tulokset!$I$49),0,IF(Tulokset!$G$49=Tulokset!$I$49,IF(AND('31'!$I$50=Tulokset!$G$49,'31'!$K$50=Tulokset!$I$49),6,3),MAX(0,6-(ABS('31'!$I$50-Tulokset!$G$49)+ABS('31'!$K$50-Tulokset!$I$49))))))</f>
        <v/>
      </c>
      <c r="AZ34" s="333" t="str">
        <f>IF(OR(Tulokset!$G$50="",Tulokset!$I$50="",'31'!$I$51="",'31'!$K$51=""),"",IF(SIGN('31'!$I$51-'31'!$K$51)&lt;&gt;SIGN(Tulokset!$G$50-Tulokset!$I$50),0,IF(Tulokset!$G$50=Tulokset!$I$50,IF(AND('31'!$I$51=Tulokset!$G$50,'31'!$K$51=Tulokset!$I$50),6,3),MAX(0,6-(ABS('31'!$I$51-Tulokset!$G$50)+ABS('31'!$K$51-Tulokset!$I$50))))))</f>
        <v/>
      </c>
      <c r="BA34" s="333" t="str">
        <f>IF(OR(Tulokset!$G$51="",Tulokset!$I$51="",'31'!$I$52="",'31'!$K$52=""),"",IF(SIGN('31'!$I$52-'31'!$K$52)&lt;&gt;SIGN(Tulokset!$G$51-Tulokset!$I$51),0,IF(Tulokset!$G$51=Tulokset!$I$51,IF(AND('31'!$I$52=Tulokset!$G$51,'31'!$K$52=Tulokset!$I$51),6,3),MAX(0,6-(ABS('31'!$I$52-Tulokset!$G$51)+ABS('31'!$K$52-Tulokset!$I$51))))))</f>
        <v/>
      </c>
      <c r="BB34" s="333" t="str">
        <f>IF(OR(Tulokset!$G$52="",Tulokset!$I$52="",'31'!$I$53="",'31'!$K$53=""),"",IF(SIGN('31'!$I$53-'31'!$K$53)&lt;&gt;SIGN(Tulokset!$G$52-Tulokset!$I$52),0,IF(Tulokset!$G$52=Tulokset!$I$52,IF(AND('31'!$I$53=Tulokset!$G$52,'31'!$K$53=Tulokset!$I$52),6,3),MAX(0,6-(ABS('31'!$I$53-Tulokset!$G$52)+ABS('31'!$K$53-Tulokset!$I$52))))))</f>
        <v/>
      </c>
      <c r="BC34" s="333" t="str">
        <f>IF(OR(Tulokset!$G$53="",Tulokset!$I$53="",'31'!$I$54="",'31'!$K$54=""),"",IF(SIGN('31'!$I$54-'31'!$K$54)&lt;&gt;SIGN(Tulokset!$G$53-Tulokset!$I$53),0,IF(Tulokset!$G$53=Tulokset!$I$53,IF(AND('31'!$I$54=Tulokset!$G$53,'31'!$K$54=Tulokset!$I$53),6,3),MAX(0,6-(ABS('31'!$I$54-Tulokset!$G$53)+ABS('31'!$K$54-Tulokset!$I$53))))))</f>
        <v/>
      </c>
      <c r="BD34" s="333" t="str">
        <f>IF(OR(Tulokset!$G$54="",Tulokset!$I$54="",'31'!$I$55="",'31'!$K$55=""),"",IF(SIGN('31'!$I$55-'31'!$K$55)&lt;&gt;SIGN(Tulokset!$G$54-Tulokset!$I$54),0,IF(Tulokset!$G$54=Tulokset!$I$54,IF(AND('31'!$I$55=Tulokset!$G$54,'31'!$K$55=Tulokset!$I$54),6,3),MAX(0,6-(ABS('31'!$I$55-Tulokset!$G$54)+ABS('31'!$K$55-Tulokset!$I$54))))))</f>
        <v/>
      </c>
      <c r="BE34" s="333" t="str">
        <f>IF(OR(Tulokset!$G$55="",Tulokset!$I$55="",'31'!$I$56="",'31'!$K$56=""),"",IF(SIGN('31'!$I$56-'31'!$K$56)&lt;&gt;SIGN(Tulokset!$G$55-Tulokset!$I$55),0,IF(Tulokset!$G$55=Tulokset!$I$55,IF(AND('31'!$I$56=Tulokset!$G$55,'31'!$K$56=Tulokset!$I$55),6,3),MAX(0,6-(ABS('31'!$I$56-Tulokset!$G$55)+ABS('31'!$K$56-Tulokset!$I$55))))))</f>
        <v/>
      </c>
      <c r="BF34" s="333" t="str">
        <f>IF(OR(Tulokset!$G$56="",Tulokset!$I$56="",'31'!$I$57="",'31'!$K$57=""),"",IF(SIGN('31'!$I$57-'31'!$K$57)&lt;&gt;SIGN(Tulokset!$G$56-Tulokset!$I$56),0,IF(Tulokset!$G$56=Tulokset!$I$56,IF(AND('31'!$I$57=Tulokset!$G$56,'31'!$K$57=Tulokset!$I$56),6,3),MAX(0,6-(ABS('31'!$I$57-Tulokset!$G$56)+ABS('31'!$K$57-Tulokset!$I$56))))))</f>
        <v/>
      </c>
      <c r="BG34" s="333" t="str">
        <f>IF(OR(Tulokset!$G$57="",Tulokset!$I$57="",'31'!$I$58="",'31'!$K$58=""),"",IF(SIGN('31'!$I$58-'31'!$K$58)&lt;&gt;SIGN(Tulokset!$G$57-Tulokset!$I$57),0,IF(Tulokset!$G$57=Tulokset!$I$57,IF(AND('31'!$I$58=Tulokset!$G$57,'31'!$K$58=Tulokset!$I$57),6,3),MAX(0,6-(ABS('31'!$I$58-Tulokset!$G$57)+ABS('31'!$K$58-Tulokset!$I$57))))))</f>
        <v/>
      </c>
      <c r="BH34" s="333" t="str">
        <f>IF(OR(Tulokset!$G$58="",Tulokset!$I$58="",'31'!$I$59="",'31'!$K$59=""),"",IF(SIGN('31'!$I$59-'31'!$K$59)&lt;&gt;SIGN(Tulokset!$G$58-Tulokset!$I$58),0,IF(Tulokset!$G$58=Tulokset!$I$58,IF(AND('31'!$I$59=Tulokset!$G$58,'31'!$K$59=Tulokset!$I$58),6,3),MAX(0,6-(ABS('31'!$I$59-Tulokset!$G$58)+ABS('31'!$K$59-Tulokset!$I$58))))))</f>
        <v/>
      </c>
      <c r="BI34" s="333" t="str">
        <f>IF(OR(Tulokset!$G$59="",Tulokset!$I$59="",'31'!$I$60="",'31'!$K$60=""),"",IF(SIGN('31'!$I$60-'31'!$K$60)&lt;&gt;SIGN(Tulokset!$G$59-Tulokset!$I$59),0,IF(Tulokset!$G$59=Tulokset!$I$59,IF(AND('31'!$I$60=Tulokset!$G$59,'31'!$K$60=Tulokset!$I$59),6,3),MAX(0,6-(ABS('31'!$I$60-Tulokset!$G$59)+ABS('31'!$K$60-Tulokset!$I$59))))))</f>
        <v/>
      </c>
      <c r="BJ34" s="333" t="str">
        <f>IF(OR(Tulokset!$G$60="",Tulokset!$I$60="",'31'!$I$61="",'31'!$K$61=""),"",IF(SIGN('31'!$I$61-'31'!$K$61)&lt;&gt;SIGN(Tulokset!$G$60-Tulokset!$I$60),0,IF(Tulokset!$G$60=Tulokset!$I$60,IF(AND('31'!$I$61=Tulokset!$G$60,'31'!$K$61=Tulokset!$I$60),6,3),MAX(0,6-(ABS('31'!$I$61-Tulokset!$G$60)+ABS('31'!$K$61-Tulokset!$I$60))))))</f>
        <v/>
      </c>
      <c r="BK34" s="333" t="str">
        <f>IF(OR(Tulokset!$G$61="",Tulokset!$I$61="",'31'!$I$62="",'31'!$K$62=""),"",IF(SIGN('31'!$I$62-'31'!$K$62)&lt;&gt;SIGN(Tulokset!$G$61-Tulokset!$I$61),0,IF(Tulokset!$G$61=Tulokset!$I$61,IF(AND('31'!$I$62=Tulokset!$G$61,'31'!$K$62=Tulokset!$I$61),6,3),MAX(0,6-(ABS('31'!$I$62-Tulokset!$G$61)+ABS('31'!$K$62-Tulokset!$I$61))))))</f>
        <v/>
      </c>
      <c r="BL34" s="333" t="str">
        <f>IF(OR(Tulokset!$G$62="",Tulokset!$I$62="",'31'!$I$63="",'31'!$K$63=""),"",IF(SIGN('31'!$I$63-'31'!$K$63)&lt;&gt;SIGN(Tulokset!$G$62-Tulokset!$I$62),0,IF(Tulokset!$G$62=Tulokset!$I$62,IF(AND('31'!$I$63=Tulokset!$G$62,'31'!$K$63=Tulokset!$I$62),6,3),MAX(0,6-(ABS('31'!$I$63-Tulokset!$G$62)+ABS('31'!$K$63-Tulokset!$I$62))))))</f>
        <v/>
      </c>
      <c r="BM34" s="333" t="str">
        <f>IF(OR(Tulokset!$G$63="",Tulokset!$I$63="",'31'!$I$64="",'31'!$K$64=""),"",IF(SIGN('31'!$I$64-'31'!$K$64)&lt;&gt;SIGN(Tulokset!$G$63-Tulokset!$I$63),0,IF(Tulokset!$G$63=Tulokset!$I$63,IF(AND('31'!$I$64=Tulokset!$G$63,'31'!$K$64=Tulokset!$I$63),6,3),MAX(0,6-(ABS('31'!$I$64-Tulokset!$G$63)+ABS('31'!$K$64-Tulokset!$I$63))))))</f>
        <v/>
      </c>
      <c r="BN34" s="333" t="str">
        <f>IF(OR(Tulokset!$G$64="",Tulokset!$I$64="",'31'!$I$65="",'31'!$K$65=""),"",IF(SIGN('31'!$I$65-'31'!$K$65)&lt;&gt;SIGN(Tulokset!$G$64-Tulokset!$I$64),0,IF(Tulokset!$G$64=Tulokset!$I$64,IF(AND('31'!$I$65=Tulokset!$G$64,'31'!$K$65=Tulokset!$I$64),6,3),MAX(0,6-(ABS('31'!$I$65-Tulokset!$G$64)+ABS('31'!$K$65-Tulokset!$I$64))))))</f>
        <v/>
      </c>
      <c r="BO34" s="333" t="str">
        <f>IF(OR(Tulokset!$G$65="",Tulokset!$I$65="",'31'!$I$66="",'31'!$K$66=""),"",IF(SIGN('31'!$I$66-'31'!$K$66)&lt;&gt;SIGN(Tulokset!$G$65-Tulokset!$I$65),0,IF(Tulokset!$G$65=Tulokset!$I$65,IF(AND('31'!$I$66=Tulokset!$G$65,'31'!$K$66=Tulokset!$I$65),6,3),MAX(0,6-(ABS('31'!$I$66-Tulokset!$G$65)+ABS('31'!$K$66-Tulokset!$I$65))))))</f>
        <v/>
      </c>
      <c r="BP34" s="333" t="str">
        <f>IF(OR(Tulokset!$G$66="",Tulokset!$I$66="",'31'!$I$67="",'31'!$K$67=""),"",IF(SIGN('31'!$I$67-'31'!$K$67)&lt;&gt;SIGN(Tulokset!$G$66-Tulokset!$I$66),0,IF(Tulokset!$G$66=Tulokset!$I$66,IF(AND('31'!$I$67=Tulokset!$G$66,'31'!$K$67=Tulokset!$I$66),6,3),MAX(0,6-(ABS('31'!$I$67-Tulokset!$G$66)+ABS('31'!$K$67-Tulokset!$I$66))))))</f>
        <v/>
      </c>
      <c r="BQ34" s="333" t="str">
        <f>IF(OR(Tulokset!$G$67="",Tulokset!$I$67="",'31'!$I$68="",'31'!$K$68=""),"",IF(SIGN('31'!$I$68-'31'!$K$68)&lt;&gt;SIGN(Tulokset!$G$67-Tulokset!$I$67),0,IF(Tulokset!$G$67=Tulokset!$I$67,IF(AND('31'!$I$68=Tulokset!$G$67,'31'!$K$68=Tulokset!$I$67),6,3),MAX(0,6-(ABS('31'!$I$68-Tulokset!$G$67)+ABS('31'!$K$68-Tulokset!$I$67))))))</f>
        <v/>
      </c>
      <c r="BR34" s="333" t="str">
        <f>IF(OR(Tulokset!$G$68="",Tulokset!$I$68="",'31'!$I$69="",'31'!$K$69=""),"",IF(SIGN('31'!$I$69-'31'!$K$69)&lt;&gt;SIGN(Tulokset!$G$68-Tulokset!$I$68),0,IF(Tulokset!$G$68=Tulokset!$I$68,IF(AND('31'!$I$69=Tulokset!$G$68,'31'!$K$69=Tulokset!$I$68),6,3),MAX(0,6-(ABS('31'!$I$69-Tulokset!$G$68)+ABS('31'!$K$69-Tulokset!$I$68))))))</f>
        <v/>
      </c>
      <c r="BS34" s="333" t="str">
        <f>IF(OR(Tulokset!$G$69="",Tulokset!$I$69="",'31'!$I$70="",'31'!$K$70=""),"",IF(SIGN('31'!$I$70-'31'!$K$70)&lt;&gt;SIGN(Tulokset!$G$69-Tulokset!$I$69),0,IF(Tulokset!$G$69=Tulokset!$I$69,IF(AND('31'!$I$70=Tulokset!$G$69,'31'!$K$70=Tulokset!$I$69),6,3),MAX(0,6-(ABS('31'!$I$70-Tulokset!$G$69)+ABS('31'!$K$70-Tulokset!$I$69))))))</f>
        <v/>
      </c>
      <c r="BT34" s="333" t="str">
        <f>IF(OR(Tulokset!$G$70="",Tulokset!$I$70="",'31'!$I$71="",'31'!$K$71=""),"",IF(SIGN('31'!$I$71-'31'!$K$71)&lt;&gt;SIGN(Tulokset!$G$70-Tulokset!$I$70),0,IF(Tulokset!$G$70=Tulokset!$I$70,IF(AND('31'!$I$71=Tulokset!$G$70,'31'!$K$71=Tulokset!$I$70),6,3),MAX(0,6-(ABS('31'!$I$71-Tulokset!$G$70)+ABS('31'!$K$71-Tulokset!$I$70))))))</f>
        <v/>
      </c>
      <c r="BU34" s="333" t="str">
        <f>IF(OR(Tulokset!$G$71="",Tulokset!$I$71="",'31'!$I$72="",'31'!$K$72=""),"",IF(SIGN('31'!$I$72-'31'!$K$72)&lt;&gt;SIGN(Tulokset!$G$71-Tulokset!$I$71),0,IF(Tulokset!$G$71=Tulokset!$I$71,IF(AND('31'!$I$72=Tulokset!$G$71,'31'!$K$72=Tulokset!$I$71),6,3),MAX(0,6-(ABS('31'!$I$72-Tulokset!$G$71)+ABS('31'!$K$72-Tulokset!$I$71))))))</f>
        <v/>
      </c>
      <c r="BV34" s="333" t="str">
        <f>IF(OR(Tulokset!$G$72="",Tulokset!$I$72="",'31'!$I$73="",'31'!$K$73=""),"",IF(SIGN('31'!$I$73-'31'!$K$73)&lt;&gt;SIGN(Tulokset!$G$72-Tulokset!$I$72),0,IF(Tulokset!$G$72=Tulokset!$I$72,IF(AND('31'!$I$73=Tulokset!$G$72,'31'!$K$73=Tulokset!$I$72),6,3),MAX(0,6-(ABS('31'!$I$73-Tulokset!$G$72)+ABS('31'!$K$73-Tulokset!$I$72))))))</f>
        <v/>
      </c>
      <c r="BW34" s="333" t="str">
        <f>IF(OR(Tulokset!$G$73="",Tulokset!$I$73="",'31'!$I$74="",'31'!$K$74=""),"",IF(SIGN('31'!$I$74-'31'!$K$74)&lt;&gt;SIGN(Tulokset!$G$73-Tulokset!$I$73),0,IF(Tulokset!$G$73=Tulokset!$I$73,IF(AND('31'!$I$74=Tulokset!$G$73,'31'!$K$74=Tulokset!$I$73),6,3),MAX(0,6-(ABS('31'!$I$74-Tulokset!$G$73)+ABS('31'!$K$74-Tulokset!$I$73))))))</f>
        <v/>
      </c>
      <c r="BX34" s="333" t="str">
        <f>IF(OR(Tulokset!$G$74="",Tulokset!$I$74="",'31'!$I$75="",'31'!$K$75=""),"",IF(SIGN('31'!$I$75-'31'!$K$75)&lt;&gt;SIGN(Tulokset!$G$74-Tulokset!$I$74),0,IF(Tulokset!$G$74=Tulokset!$I$74,IF(AND('31'!$I$75=Tulokset!$G$74,'31'!$K$75=Tulokset!$I$74),6,3),MAX(0,6-(ABS('31'!$I$75-Tulokset!$G$74)+ABS('31'!$K$75-Tulokset!$I$74))))))</f>
        <v/>
      </c>
      <c r="BY34" s="333" t="str">
        <f>IF(OR(Tulokset!$G$75="",Tulokset!$I$75="",'31'!$I$76="",'31'!$K$76=""),"",IF(SIGN('31'!$I$76-'31'!$K$76)&lt;&gt;SIGN(Tulokset!$G$75-Tulokset!$I$75),0,IF(Tulokset!$G$75=Tulokset!$I$75,IF(AND('31'!$I$76=Tulokset!$G$75,'31'!$K$76=Tulokset!$I$75),6,3),MAX(0,6-(ABS('31'!$I$76-Tulokset!$G$75)+ABS('31'!$K$76-Tulokset!$I$75))))))</f>
        <v/>
      </c>
      <c r="BZ34" s="333" t="str">
        <f>IF(OR(Tulokset!$G$76="",Tulokset!$I$76="",'31'!$I$77="",'31'!$K$77=""),"",IF(SIGN('31'!$I$77-'31'!$K$77)&lt;&gt;SIGN(Tulokset!$G$76-Tulokset!$I$76),0,IF(Tulokset!$G$76=Tulokset!$I$76,IF(AND('31'!$I$77=Tulokset!$G$76,'31'!$K$77=Tulokset!$I$76),6,3),MAX(0,6-(ABS('31'!$I$77-Tulokset!$G$76)+ABS('31'!$K$77-Tulokset!$I$76))))))</f>
        <v/>
      </c>
      <c r="CA34" s="333" t="str">
        <f>IF(OR(Tulokset!$G$77="",Tulokset!$I$77="",'31'!$I$78="",'31'!$K$78=""),"",IF(SIGN('31'!$I$78-'31'!$K$78)&lt;&gt;SIGN(Tulokset!$G$77-Tulokset!$I$77),0,IF(Tulokset!$G$77=Tulokset!$I$77,IF(AND('31'!$I$78=Tulokset!$G$77,'31'!$K$78=Tulokset!$I$77),6,3),MAX(0,6-(ABS('31'!$I$78-Tulokset!$G$77)+ABS('31'!$K$78-Tulokset!$I$77))))))</f>
        <v/>
      </c>
      <c r="CB34" s="333"/>
      <c r="CC34" s="333"/>
      <c r="CD34" s="333" t="str">
        <f ca="1">IF(OR(Tulokset!$M$6="",INDIRECT("'"&amp;$A34&amp;"'!$P$8")=""),"",IF(TRIM(INDIRECT("'"&amp;$A34&amp;"'!$P$8"))=TRIM(Tulokset!$M$6),2,0))</f>
        <v/>
      </c>
      <c r="CE34" s="333" t="str">
        <f ca="1">IF(OR(Tulokset!$M$7="",INDIRECT("'"&amp;$A34&amp;"'!$P$9")=""),"",IF(TRIM(INDIRECT("'"&amp;$A34&amp;"'!$P$9"))=TRIM(Tulokset!$M$7),2,0))</f>
        <v/>
      </c>
      <c r="CF34" s="333" t="str">
        <f ca="1">IF(OR(Tulokset!$M$8="",INDIRECT("'"&amp;$A34&amp;"'!$P$10")=""),"",IF(TRIM(INDIRECT("'"&amp;$A34&amp;"'!$P$10"))=TRIM(Tulokset!$M$8),2,0))</f>
        <v/>
      </c>
      <c r="CG34" s="333" t="str">
        <f ca="1">IF(OR(Tulokset!$M$9="",INDIRECT("'"&amp;$A34&amp;"'!$P$11")=""),"",IF(TRIM(INDIRECT("'"&amp;$A34&amp;"'!$P$11"))=TRIM(Tulokset!$M$9),2,0))</f>
        <v/>
      </c>
      <c r="CH34" s="333" t="str">
        <f ca="1">IF(OR(Tulokset!$N$6="",INDIRECT("'"&amp;$A34&amp;"'!$Q$8")=""),"",IF(TRIM(INDIRECT("'"&amp;$A34&amp;"'!$Q$8"))=TRIM(Tulokset!$N$6),2,0))</f>
        <v/>
      </c>
      <c r="CI34" s="333" t="str">
        <f ca="1">IF(OR(Tulokset!$N$7="",INDIRECT("'"&amp;$A34&amp;"'!$Q$9")=""),"",IF(TRIM(INDIRECT("'"&amp;$A34&amp;"'!$Q$9"))=TRIM(Tulokset!$N$7),2,0))</f>
        <v/>
      </c>
      <c r="CJ34" s="333" t="str">
        <f ca="1">IF(OR(Tulokset!$N$8="",INDIRECT("'"&amp;$A34&amp;"'!$Q$10")=""),"",IF(TRIM(INDIRECT("'"&amp;$A34&amp;"'!$Q$10"))=TRIM(Tulokset!$N$8),2,0))</f>
        <v/>
      </c>
      <c r="CK34" s="333" t="str">
        <f ca="1">IF(OR(Tulokset!$N$9="",INDIRECT("'"&amp;$A34&amp;"'!$Q$11")=""),"",IF(TRIM(INDIRECT("'"&amp;$A34&amp;"'!$Q$11"))=TRIM(Tulokset!$N$9),2,0))</f>
        <v/>
      </c>
      <c r="CL34" s="333" t="str">
        <f ca="1">IF(OR(Tulokset!$O$6="",INDIRECT("'"&amp;$A34&amp;"'!$R$8")=""),"",IF(TRIM(INDIRECT("'"&amp;$A34&amp;"'!$R$8"))=TRIM(Tulokset!$O$6),2,0))</f>
        <v/>
      </c>
      <c r="CM34" s="333" t="str">
        <f ca="1">IF(OR(Tulokset!$O$7="",INDIRECT("'"&amp;$A34&amp;"'!$R$9")=""),"",IF(TRIM(INDIRECT("'"&amp;$A34&amp;"'!$R$9"))=TRIM(Tulokset!$O$7),2,0))</f>
        <v/>
      </c>
      <c r="CN34" s="333" t="str">
        <f ca="1">IF(OR(Tulokset!$O$8="",INDIRECT("'"&amp;$A34&amp;"'!$R$10")=""),"",IF(TRIM(INDIRECT("'"&amp;$A34&amp;"'!$R$10"))=TRIM(Tulokset!$O$8),2,0))</f>
        <v/>
      </c>
      <c r="CO34" s="333" t="str">
        <f ca="1">IF(OR(Tulokset!$O$9="",INDIRECT("'"&amp;$A34&amp;"'!$R$11")=""),"",IF(TRIM(INDIRECT("'"&amp;$A34&amp;"'!$R$11"))=TRIM(Tulokset!$O$9),2,0))</f>
        <v/>
      </c>
      <c r="CP34" s="333" t="str">
        <f ca="1">IF(OR(Tulokset!$P$6="",INDIRECT("'"&amp;$A34&amp;"'!$S$8")=""),"",IF(TRIM(INDIRECT("'"&amp;$A34&amp;"'!$S$8"))=TRIM(Tulokset!$P$6),2,0))</f>
        <v/>
      </c>
      <c r="CQ34" s="333" t="str">
        <f ca="1">IF(OR(Tulokset!$P$7="",INDIRECT("'"&amp;$A34&amp;"'!$S$9")=""),"",IF(TRIM(INDIRECT("'"&amp;$A34&amp;"'!$S$9"))=TRIM(Tulokset!$P$7),2,0))</f>
        <v/>
      </c>
      <c r="CR34" s="333" t="str">
        <f ca="1">IF(OR(Tulokset!$P$8="",INDIRECT("'"&amp;$A34&amp;"'!$S$10")=""),"",IF(TRIM(INDIRECT("'"&amp;$A34&amp;"'!$S$10"))=TRIM(Tulokset!$P$8),2,0))</f>
        <v/>
      </c>
      <c r="CS34" s="333" t="str">
        <f ca="1">IF(OR(Tulokset!$P$9="",INDIRECT("'"&amp;$A34&amp;"'!$S$11")=""),"",IF(TRIM(INDIRECT("'"&amp;$A34&amp;"'!$S$11"))=TRIM(Tulokset!$P$9),2,0))</f>
        <v/>
      </c>
      <c r="CT34" s="333" t="str">
        <f ca="1">IF(OR(Tulokset!$Q$6="",INDIRECT("'"&amp;$A34&amp;"'!$T$8")=""),"",IF(TRIM(INDIRECT("'"&amp;$A34&amp;"'!$T$8"))=TRIM(Tulokset!$Q$6),2,0))</f>
        <v/>
      </c>
      <c r="CU34" s="333" t="str">
        <f ca="1">IF(OR(Tulokset!$Q$7="",INDIRECT("'"&amp;$A34&amp;"'!$T$9")=""),"",IF(TRIM(INDIRECT("'"&amp;$A34&amp;"'!$T$9"))=TRIM(Tulokset!$Q$7),2,0))</f>
        <v/>
      </c>
      <c r="CV34" s="333" t="str">
        <f ca="1">IF(OR(Tulokset!$Q$8="",INDIRECT("'"&amp;$A34&amp;"'!$T$10")=""),"",IF(TRIM(INDIRECT("'"&amp;$A34&amp;"'!$T$10"))=TRIM(Tulokset!$Q$8),2,0))</f>
        <v/>
      </c>
      <c r="CW34" s="333" t="str">
        <f ca="1">IF(OR(Tulokset!$Q$9="",INDIRECT("'"&amp;$A34&amp;"'!$T$11")=""),"",IF(TRIM(INDIRECT("'"&amp;$A34&amp;"'!$T$11"))=TRIM(Tulokset!$Q$9),2,0))</f>
        <v/>
      </c>
      <c r="CX34" s="333" t="str">
        <f ca="1">IF(OR(Tulokset!$R$6="",INDIRECT("'"&amp;$A34&amp;"'!$U$8")=""),"",IF(TRIM(INDIRECT("'"&amp;$A34&amp;"'!$U$8"))=TRIM(Tulokset!$R$6),2,0))</f>
        <v/>
      </c>
      <c r="CY34" s="333" t="str">
        <f ca="1">IF(OR(Tulokset!$R$7="",INDIRECT("'"&amp;$A34&amp;"'!$U$9")=""),"",IF(TRIM(INDIRECT("'"&amp;$A34&amp;"'!$U$9"))=TRIM(Tulokset!$R$7),2,0))</f>
        <v/>
      </c>
      <c r="CZ34" s="333" t="str">
        <f ca="1">IF(OR(Tulokset!$R$8="",INDIRECT("'"&amp;$A34&amp;"'!$U$10")=""),"",IF(TRIM(INDIRECT("'"&amp;$A34&amp;"'!$U$10"))=TRIM(Tulokset!$R$8),2,0))</f>
        <v/>
      </c>
      <c r="DA34" s="333" t="str">
        <f ca="1">IF(OR(Tulokset!$R$9="",INDIRECT("'"&amp;$A34&amp;"'!$U$11")=""),"",IF(TRIM(INDIRECT("'"&amp;$A34&amp;"'!$U$11"))=TRIM(Tulokset!$R$9),2,0))</f>
        <v/>
      </c>
      <c r="DB34" s="333" t="str">
        <f ca="1">IF(OR(Tulokset!$M$12="",INDIRECT("'"&amp;$A34&amp;"'!$P$14")=""),"",IF(TRIM(INDIRECT("'"&amp;$A34&amp;"'!$P$14"))=TRIM(Tulokset!$M$12),2,0))</f>
        <v/>
      </c>
      <c r="DC34" s="333" t="str">
        <f ca="1">IF(OR(Tulokset!$M$13="",INDIRECT("'"&amp;$A34&amp;"'!$P$15")=""),"",IF(TRIM(INDIRECT("'"&amp;$A34&amp;"'!$P$15"))=TRIM(Tulokset!$M$13),2,0))</f>
        <v/>
      </c>
      <c r="DD34" s="333" t="str">
        <f ca="1">IF(OR(Tulokset!$M$14="",INDIRECT("'"&amp;$A34&amp;"'!$P$16")=""),"",IF(TRIM(INDIRECT("'"&amp;$A34&amp;"'!$P$16"))=TRIM(Tulokset!$M$14),2,0))</f>
        <v/>
      </c>
      <c r="DE34" s="333" t="str">
        <f ca="1">IF(OR(Tulokset!$M$15="",INDIRECT("'"&amp;$A34&amp;"'!$P$17")=""),"",IF(TRIM(INDIRECT("'"&amp;$A34&amp;"'!$P$17"))=TRIM(Tulokset!$M$15),2,0))</f>
        <v/>
      </c>
      <c r="DF34" s="333" t="str">
        <f ca="1">IF(OR(Tulokset!$N$12="",INDIRECT("'"&amp;$A34&amp;"'!$Q$14")=""),"",IF(TRIM(INDIRECT("'"&amp;$A34&amp;"'!$Q$14"))=TRIM(Tulokset!$N$12),2,0))</f>
        <v/>
      </c>
      <c r="DG34" s="333" t="str">
        <f ca="1">IF(OR(Tulokset!$N$13="",INDIRECT("'"&amp;$A34&amp;"'!$Q$15")=""),"",IF(TRIM(INDIRECT("'"&amp;$A34&amp;"'!$Q$15"))=TRIM(Tulokset!$N$13),2,0))</f>
        <v/>
      </c>
      <c r="DH34" s="333" t="str">
        <f ca="1">IF(OR(Tulokset!$N$14="",INDIRECT("'"&amp;$A34&amp;"'!$Q$16")=""),"",IF(TRIM(INDIRECT("'"&amp;$A34&amp;"'!$Q$16"))=TRIM(Tulokset!$N$14),2,0))</f>
        <v/>
      </c>
      <c r="DI34" s="333" t="str">
        <f ca="1">IF(OR(Tulokset!$N$15="",INDIRECT("'"&amp;$A34&amp;"'!$Q$17")=""),"",IF(TRIM(INDIRECT("'"&amp;$A34&amp;"'!$Q$17"))=TRIM(Tulokset!$N$15),2,0))</f>
        <v/>
      </c>
      <c r="DJ34" s="333" t="str">
        <f ca="1">IF(OR(Tulokset!$O$12="",INDIRECT("'"&amp;$A34&amp;"'!$R$14")=""),"",IF(TRIM(INDIRECT("'"&amp;$A34&amp;"'!$R$14"))=TRIM(Tulokset!$O$12),2,0))</f>
        <v/>
      </c>
      <c r="DK34" s="333" t="str">
        <f ca="1">IF(OR(Tulokset!$O$13="",INDIRECT("'"&amp;$A34&amp;"'!$R$15")=""),"",IF(TRIM(INDIRECT("'"&amp;$A34&amp;"'!$R$15"))=TRIM(Tulokset!$O$13),2,0))</f>
        <v/>
      </c>
      <c r="DL34" s="333" t="str">
        <f ca="1">IF(OR(Tulokset!$O$14="",INDIRECT("'"&amp;$A34&amp;"'!$R$16")=""),"",IF(TRIM(INDIRECT("'"&amp;$A34&amp;"'!$R$16"))=TRIM(Tulokset!$O$14),2,0))</f>
        <v/>
      </c>
      <c r="DM34" s="333" t="str">
        <f ca="1">IF(OR(Tulokset!$O$15="",INDIRECT("'"&amp;$A34&amp;"'!$R$17")=""),"",IF(TRIM(INDIRECT("'"&amp;$A34&amp;"'!$R$17"))=TRIM(Tulokset!$O$15),2,0))</f>
        <v/>
      </c>
      <c r="DN34" s="333" t="str">
        <f ca="1">IF(OR(Tulokset!$P$12="",INDIRECT("'"&amp;$A34&amp;"'!$S$14")=""),"",IF(TRIM(INDIRECT("'"&amp;$A34&amp;"'!$S$14"))=TRIM(Tulokset!$P$12),2,0))</f>
        <v/>
      </c>
      <c r="DO34" s="333" t="str">
        <f ca="1">IF(OR(Tulokset!$P$13="",INDIRECT("'"&amp;$A34&amp;"'!$S$15")=""),"",IF(TRIM(INDIRECT("'"&amp;$A34&amp;"'!$S$15"))=TRIM(Tulokset!$P$13),2,0))</f>
        <v/>
      </c>
      <c r="DP34" s="333" t="str">
        <f ca="1">IF(OR(Tulokset!$P$14="",INDIRECT("'"&amp;$A34&amp;"'!$S$16")=""),"",IF(TRIM(INDIRECT("'"&amp;$A34&amp;"'!$S$16"))=TRIM(Tulokset!$P$14),2,0))</f>
        <v/>
      </c>
      <c r="DQ34" s="333" t="str">
        <f ca="1">IF(OR(Tulokset!$P$15="",INDIRECT("'"&amp;$A34&amp;"'!$S$17")=""),"",IF(TRIM(INDIRECT("'"&amp;$A34&amp;"'!$S$17"))=TRIM(Tulokset!$P$15),2,0))</f>
        <v/>
      </c>
      <c r="DR34" s="333" t="str">
        <f ca="1">IF(OR(Tulokset!$Q$12="",INDIRECT("'"&amp;$A34&amp;"'!$T$14")=""),"",IF(TRIM(INDIRECT("'"&amp;$A34&amp;"'!$T$14"))=TRIM(Tulokset!$Q$12),2,0))</f>
        <v/>
      </c>
      <c r="DS34" s="333" t="str">
        <f ca="1">IF(OR(Tulokset!$Q$13="",INDIRECT("'"&amp;$A34&amp;"'!$T$15")=""),"",IF(TRIM(INDIRECT("'"&amp;$A34&amp;"'!$T$15"))=TRIM(Tulokset!$Q$13),2,0))</f>
        <v/>
      </c>
      <c r="DT34" s="333" t="str">
        <f ca="1">IF(OR(Tulokset!$Q$14="",INDIRECT("'"&amp;$A34&amp;"'!$T$16")=""),"",IF(TRIM(INDIRECT("'"&amp;$A34&amp;"'!$T$16"))=TRIM(Tulokset!$Q$14),2,0))</f>
        <v/>
      </c>
      <c r="DU34" s="333" t="str">
        <f ca="1">IF(OR(Tulokset!$Q$15="",INDIRECT("'"&amp;$A34&amp;"'!$T$17")=""),"",IF(TRIM(INDIRECT("'"&amp;$A34&amp;"'!$T$17"))=TRIM(Tulokset!$Q$15),2,0))</f>
        <v/>
      </c>
      <c r="DV34" s="333" t="str">
        <f ca="1">IF(OR(Tulokset!$R$12="",INDIRECT("'"&amp;$A34&amp;"'!$U$14")=""),"",IF(TRIM(INDIRECT("'"&amp;$A34&amp;"'!$U$14"))=TRIM(Tulokset!$R$12),2,0))</f>
        <v/>
      </c>
      <c r="DW34" s="333" t="str">
        <f ca="1">IF(OR(Tulokset!$R$13="",INDIRECT("'"&amp;$A34&amp;"'!$U$15")=""),"",IF(TRIM(INDIRECT("'"&amp;$A34&amp;"'!$U$15"))=TRIM(Tulokset!$R$13),2,0))</f>
        <v/>
      </c>
      <c r="DX34" s="333" t="str">
        <f ca="1">IF(OR(Tulokset!$R$14="",INDIRECT("'"&amp;$A34&amp;"'!$U$16")=""),"",IF(TRIM(INDIRECT("'"&amp;$A34&amp;"'!$U$16"))=TRIM(Tulokset!$R$14),2,0))</f>
        <v/>
      </c>
      <c r="DY34" s="333" t="str">
        <f ca="1">IF(OR(Tulokset!$R$15="",INDIRECT("'"&amp;$A34&amp;"'!$U$17")=""),"",IF(TRIM(INDIRECT("'"&amp;$A34&amp;"'!$U$17"))=TRIM(Tulokset!$R$15),2,0))</f>
        <v/>
      </c>
      <c r="DZ34" s="333"/>
      <c r="EA34" s="333" t="str">
        <f ca="1">IF(OR(INDIRECT("'"&amp;$A34&amp;"'!$E$79")="",COUNTA(Tulokset!$M$20:$M$21)=0),"",IF(COUNTIF(Tulokset!$M$20:$M$21,INDIRECT("'"&amp;$A34&amp;"'!$E$79"))&gt;0,2,0))</f>
        <v/>
      </c>
      <c r="EB34" s="333" t="str">
        <f ca="1">IF(OR(INDIRECT("'"&amp;$A34&amp;"'!$G$79")="",COUNTA(Tulokset!$M$20:$M$21)=0),"",IF(COUNTIF(Tulokset!$M$20:$M$21,INDIRECT("'"&amp;$A34&amp;"'!$G$79"))&gt;0,2,0))</f>
        <v/>
      </c>
      <c r="EC34" s="333" t="str">
        <f ca="1">IF(OR(INDIRECT("'"&amp;$A34&amp;"'!$E$80")="",COUNTA(Tulokset!$M$23:$M$24)=0),"",IF(COUNTIF(Tulokset!$M$23:$M$24,INDIRECT("'"&amp;$A34&amp;"'!$E$80"))&gt;0,2,0))</f>
        <v/>
      </c>
      <c r="ED34" s="333" t="str">
        <f ca="1">IF(OR(INDIRECT("'"&amp;$A34&amp;"'!$G$80")="",COUNTA(Tulokset!$M$23:$M$24)=0),"",IF(COUNTIF(Tulokset!$M$23:$M$24,INDIRECT("'"&amp;$A34&amp;"'!$G$80"))&gt;0,2,0))</f>
        <v/>
      </c>
    </row>
    <row r="35" spans="1:134">
      <c r="A35" s="333">
        <v>32</v>
      </c>
      <c r="B35" s="333" t="str">
        <f t="shared" ca="1" si="0"/>
        <v>Chica</v>
      </c>
      <c r="C35" s="334">
        <f t="shared" si="1"/>
        <v>0</v>
      </c>
      <c r="D35" s="334">
        <f t="shared" ca="1" si="2"/>
        <v>0</v>
      </c>
      <c r="E35" s="334">
        <f t="shared" ca="1" si="3"/>
        <v>0</v>
      </c>
      <c r="F35" s="334">
        <f t="shared" ca="1" si="4"/>
        <v>0</v>
      </c>
      <c r="G35" s="334">
        <f t="shared" si="5"/>
        <v>0</v>
      </c>
      <c r="H35" s="333" t="str">
        <f>IF(OR(Tulokset!$G$6="",Tulokset!$I$6="",'32'!$I$7="",'32'!$K$7=""),"",IF(SIGN('32'!$I$7-'32'!$K$7)&lt;&gt;SIGN(Tulokset!$G$6-Tulokset!$I$6),0,IF(Tulokset!$G$6=Tulokset!$I$6,IF(AND('32'!$I$7=Tulokset!$G$6,'32'!$K$7=Tulokset!$I$6),6,3),MAX(0,6-(ABS('32'!$I$7-Tulokset!$G$6)+ABS('32'!$K$7-Tulokset!$I$6))))))</f>
        <v/>
      </c>
      <c r="I35" s="333" t="str">
        <f>IF(OR(Tulokset!$G$7="",Tulokset!$I$7="",'32'!$I$8="",'32'!$K$8=""),"",IF(SIGN('32'!$I$8-'32'!$K$8)&lt;&gt;SIGN(Tulokset!$G$7-Tulokset!$I$7),0,IF(Tulokset!$G$7=Tulokset!$I$7,IF(AND('32'!$I$8=Tulokset!$G$7,'32'!$K$8=Tulokset!$I$7),6,3),MAX(0,6-(ABS('32'!$I$8-Tulokset!$G$7)+ABS('32'!$K$8-Tulokset!$I$7))))))</f>
        <v/>
      </c>
      <c r="J35" s="333" t="str">
        <f>IF(OR(Tulokset!$G$8="",Tulokset!$I$8="",'32'!$I$9="",'32'!$K$9=""),"",IF(SIGN('32'!$I$9-'32'!$K$9)&lt;&gt;SIGN(Tulokset!$G$8-Tulokset!$I$8),0,IF(Tulokset!$G$8=Tulokset!$I$8,IF(AND('32'!$I$9=Tulokset!$G$8,'32'!$K$9=Tulokset!$I$8),6,3),MAX(0,6-(ABS('32'!$I$9-Tulokset!$G$8)+ABS('32'!$K$9-Tulokset!$I$8))))))</f>
        <v/>
      </c>
      <c r="K35" s="333" t="str">
        <f>IF(OR(Tulokset!$G$9="",Tulokset!$I$9="",'32'!$I$10="",'32'!$K$10=""),"",IF(SIGN('32'!$I$10-'32'!$K$10)&lt;&gt;SIGN(Tulokset!$G$9-Tulokset!$I$9),0,IF(Tulokset!$G$9=Tulokset!$I$9,IF(AND('32'!$I$10=Tulokset!$G$9,'32'!$K$10=Tulokset!$I$9),6,3),MAX(0,6-(ABS('32'!$I$10-Tulokset!$G$9)+ABS('32'!$K$10-Tulokset!$I$9))))))</f>
        <v/>
      </c>
      <c r="L35" s="333" t="str">
        <f>IF(OR(Tulokset!$G$10="",Tulokset!$I$10="",'32'!$I$11="",'32'!$K$11=""),"",IF(SIGN('32'!$I$11-'32'!$K$11)&lt;&gt;SIGN(Tulokset!$G$10-Tulokset!$I$10),0,IF(Tulokset!$G$10=Tulokset!$I$10,IF(AND('32'!$I$11=Tulokset!$G$10,'32'!$K$11=Tulokset!$I$10),6,3),MAX(0,6-(ABS('32'!$I$11-Tulokset!$G$10)+ABS('32'!$K$11-Tulokset!$I$10))))))</f>
        <v/>
      </c>
      <c r="M35" s="333" t="str">
        <f>IF(OR(Tulokset!$G$11="",Tulokset!$I$11="",'32'!$I$12="",'32'!$K$12=""),"",IF(SIGN('32'!$I$12-'32'!$K$12)&lt;&gt;SIGN(Tulokset!$G$11-Tulokset!$I$11),0,IF(Tulokset!$G$11=Tulokset!$I$11,IF(AND('32'!$I$12=Tulokset!$G$11,'32'!$K$12=Tulokset!$I$11),6,3),MAX(0,6-(ABS('32'!$I$12-Tulokset!$G$11)+ABS('32'!$K$12-Tulokset!$I$11))))))</f>
        <v/>
      </c>
      <c r="N35" s="333" t="str">
        <f>IF(OR(Tulokset!$G$12="",Tulokset!$I$12="",'32'!$I$13="",'32'!$K$13=""),"",IF(SIGN('32'!$I$13-'32'!$K$13)&lt;&gt;SIGN(Tulokset!$G$12-Tulokset!$I$12),0,IF(Tulokset!$G$12=Tulokset!$I$12,IF(AND('32'!$I$13=Tulokset!$G$12,'32'!$K$13=Tulokset!$I$12),6,3),MAX(0,6-(ABS('32'!$I$13-Tulokset!$G$12)+ABS('32'!$K$13-Tulokset!$I$12))))))</f>
        <v/>
      </c>
      <c r="O35" s="333" t="str">
        <f>IF(OR(Tulokset!$G$13="",Tulokset!$I$13="",'32'!$I$14="",'32'!$K$14=""),"",IF(SIGN('32'!$I$14-'32'!$K$14)&lt;&gt;SIGN(Tulokset!$G$13-Tulokset!$I$13),0,IF(Tulokset!$G$13=Tulokset!$I$13,IF(AND('32'!$I$14=Tulokset!$G$13,'32'!$K$14=Tulokset!$I$13),6,3),MAX(0,6-(ABS('32'!$I$14-Tulokset!$G$13)+ABS('32'!$K$14-Tulokset!$I$13))))))</f>
        <v/>
      </c>
      <c r="P35" s="333" t="str">
        <f>IF(OR(Tulokset!$G$14="",Tulokset!$I$14="",'32'!$I$15="",'32'!$K$15=""),"",IF(SIGN('32'!$I$15-'32'!$K$15)&lt;&gt;SIGN(Tulokset!$G$14-Tulokset!$I$14),0,IF(Tulokset!$G$14=Tulokset!$I$14,IF(AND('32'!$I$15=Tulokset!$G$14,'32'!$K$15=Tulokset!$I$14),6,3),MAX(0,6-(ABS('32'!$I$15-Tulokset!$G$14)+ABS('32'!$K$15-Tulokset!$I$14))))))</f>
        <v/>
      </c>
      <c r="Q35" s="333" t="str">
        <f>IF(OR(Tulokset!$G$15="",Tulokset!$I$15="",'32'!$I$16="",'32'!$K$16=""),"",IF(SIGN('32'!$I$16-'32'!$K$16)&lt;&gt;SIGN(Tulokset!$G$15-Tulokset!$I$15),0,IF(Tulokset!$G$15=Tulokset!$I$15,IF(AND('32'!$I$16=Tulokset!$G$15,'32'!$K$16=Tulokset!$I$15),6,3),MAX(0,6-(ABS('32'!$I$16-Tulokset!$G$15)+ABS('32'!$K$16-Tulokset!$I$15))))))</f>
        <v/>
      </c>
      <c r="R35" s="333" t="str">
        <f>IF(OR(Tulokset!$G$16="",Tulokset!$I$16="",'32'!$I$17="",'32'!$K$17=""),"",IF(SIGN('32'!$I$17-'32'!$K$17)&lt;&gt;SIGN(Tulokset!$G$16-Tulokset!$I$16),0,IF(Tulokset!$G$16=Tulokset!$I$16,IF(AND('32'!$I$17=Tulokset!$G$16,'32'!$K$17=Tulokset!$I$16),6,3),MAX(0,6-(ABS('32'!$I$17-Tulokset!$G$16)+ABS('32'!$K$17-Tulokset!$I$16))))))</f>
        <v/>
      </c>
      <c r="S35" s="333" t="str">
        <f>IF(OR(Tulokset!$G$17="",Tulokset!$I$17="",'32'!$I$18="",'32'!$K$18=""),"",IF(SIGN('32'!$I$18-'32'!$K$18)&lt;&gt;SIGN(Tulokset!$G$17-Tulokset!$I$17),0,IF(Tulokset!$G$17=Tulokset!$I$17,IF(AND('32'!$I$18=Tulokset!$G$17,'32'!$K$18=Tulokset!$I$17),6,3),MAX(0,6-(ABS('32'!$I$18-Tulokset!$G$17)+ABS('32'!$K$18-Tulokset!$I$17))))))</f>
        <v/>
      </c>
      <c r="T35" s="333" t="str">
        <f>IF(OR(Tulokset!$G$18="",Tulokset!$I$18="",'32'!$I$19="",'32'!$K$19=""),"",IF(SIGN('32'!$I$19-'32'!$K$19)&lt;&gt;SIGN(Tulokset!$G$18-Tulokset!$I$18),0,IF(Tulokset!$G$18=Tulokset!$I$18,IF(AND('32'!$I$19=Tulokset!$G$18,'32'!$K$19=Tulokset!$I$18),6,3),MAX(0,6-(ABS('32'!$I$19-Tulokset!$G$18)+ABS('32'!$K$19-Tulokset!$I$18))))))</f>
        <v/>
      </c>
      <c r="U35" s="333" t="str">
        <f>IF(OR(Tulokset!$G$19="",Tulokset!$I$19="",'32'!$I$20="",'32'!$K$20=""),"",IF(SIGN('32'!$I$20-'32'!$K$20)&lt;&gt;SIGN(Tulokset!$G$19-Tulokset!$I$19),0,IF(Tulokset!$G$19=Tulokset!$I$19,IF(AND('32'!$I$20=Tulokset!$G$19,'32'!$K$20=Tulokset!$I$19),6,3),MAX(0,6-(ABS('32'!$I$20-Tulokset!$G$19)+ABS('32'!$K$20-Tulokset!$I$19))))))</f>
        <v/>
      </c>
      <c r="V35" s="333" t="str">
        <f>IF(OR(Tulokset!$G$20="",Tulokset!$I$20="",'32'!$I$21="",'32'!$K$21=""),"",IF(SIGN('32'!$I$21-'32'!$K$21)&lt;&gt;SIGN(Tulokset!$G$20-Tulokset!$I$20),0,IF(Tulokset!$G$20=Tulokset!$I$20,IF(AND('32'!$I$21=Tulokset!$G$20,'32'!$K$21=Tulokset!$I$20),6,3),MAX(0,6-(ABS('32'!$I$21-Tulokset!$G$20)+ABS('32'!$K$21-Tulokset!$I$20))))))</f>
        <v/>
      </c>
      <c r="W35" s="333" t="str">
        <f>IF(OR(Tulokset!$G$21="",Tulokset!$I$21="",'32'!$I$22="",'32'!$K$22=""),"",IF(SIGN('32'!$I$22-'32'!$K$22)&lt;&gt;SIGN(Tulokset!$G$21-Tulokset!$I$21),0,IF(Tulokset!$G$21=Tulokset!$I$21,IF(AND('32'!$I$22=Tulokset!$G$21,'32'!$K$22=Tulokset!$I$21),6,3),MAX(0,6-(ABS('32'!$I$22-Tulokset!$G$21)+ABS('32'!$K$22-Tulokset!$I$21))))))</f>
        <v/>
      </c>
      <c r="X35" s="333" t="str">
        <f>IF(OR(Tulokset!$G$22="",Tulokset!$I$22="",'32'!$I$23="",'32'!$K$23=""),"",IF(SIGN('32'!$I$23-'32'!$K$23)&lt;&gt;SIGN(Tulokset!$G$22-Tulokset!$I$22),0,IF(Tulokset!$G$22=Tulokset!$I$22,IF(AND('32'!$I$23=Tulokset!$G$22,'32'!$K$23=Tulokset!$I$22),6,3),MAX(0,6-(ABS('32'!$I$23-Tulokset!$G$22)+ABS('32'!$K$23-Tulokset!$I$22))))))</f>
        <v/>
      </c>
      <c r="Y35" s="333" t="str">
        <f>IF(OR(Tulokset!$G$23="",Tulokset!$I$23="",'32'!$I$24="",'32'!$K$24=""),"",IF(SIGN('32'!$I$24-'32'!$K$24)&lt;&gt;SIGN(Tulokset!$G$23-Tulokset!$I$23),0,IF(Tulokset!$G$23=Tulokset!$I$23,IF(AND('32'!$I$24=Tulokset!$G$23,'32'!$K$24=Tulokset!$I$23),6,3),MAX(0,6-(ABS('32'!$I$24-Tulokset!$G$23)+ABS('32'!$K$24-Tulokset!$I$23))))))</f>
        <v/>
      </c>
      <c r="Z35" s="333" t="str">
        <f>IF(OR(Tulokset!$G$24="",Tulokset!$I$24="",'32'!$I$25="",'32'!$K$25=""),"",IF(SIGN('32'!$I$25-'32'!$K$25)&lt;&gt;SIGN(Tulokset!$G$24-Tulokset!$I$24),0,IF(Tulokset!$G$24=Tulokset!$I$24,IF(AND('32'!$I$25=Tulokset!$G$24,'32'!$K$25=Tulokset!$I$24),6,3),MAX(0,6-(ABS('32'!$I$25-Tulokset!$G$24)+ABS('32'!$K$25-Tulokset!$I$24))))))</f>
        <v/>
      </c>
      <c r="AA35" s="333" t="str">
        <f>IF(OR(Tulokset!$G$25="",Tulokset!$I$25="",'32'!$I$26="",'32'!$K$26=""),"",IF(SIGN('32'!$I$26-'32'!$K$26)&lt;&gt;SIGN(Tulokset!$G$25-Tulokset!$I$25),0,IF(Tulokset!$G$25=Tulokset!$I$25,IF(AND('32'!$I$26=Tulokset!$G$25,'32'!$K$26=Tulokset!$I$25),6,3),MAX(0,6-(ABS('32'!$I$26-Tulokset!$G$25)+ABS('32'!$K$26-Tulokset!$I$25))))))</f>
        <v/>
      </c>
      <c r="AB35" s="333" t="str">
        <f>IF(OR(Tulokset!$G$26="",Tulokset!$I$26="",'32'!$I$27="",'32'!$K$27=""),"",IF(SIGN('32'!$I$27-'32'!$K$27)&lt;&gt;SIGN(Tulokset!$G$26-Tulokset!$I$26),0,IF(Tulokset!$G$26=Tulokset!$I$26,IF(AND('32'!$I$27=Tulokset!$G$26,'32'!$K$27=Tulokset!$I$26),6,3),MAX(0,6-(ABS('32'!$I$27-Tulokset!$G$26)+ABS('32'!$K$27-Tulokset!$I$26))))))</f>
        <v/>
      </c>
      <c r="AC35" s="333" t="str">
        <f>IF(OR(Tulokset!$G$27="",Tulokset!$I$27="",'32'!$I$28="",'32'!$K$28=""),"",IF(SIGN('32'!$I$28-'32'!$K$28)&lt;&gt;SIGN(Tulokset!$G$27-Tulokset!$I$27),0,IF(Tulokset!$G$27=Tulokset!$I$27,IF(AND('32'!$I$28=Tulokset!$G$27,'32'!$K$28=Tulokset!$I$27),6,3),MAX(0,6-(ABS('32'!$I$28-Tulokset!$G$27)+ABS('32'!$K$28-Tulokset!$I$27))))))</f>
        <v/>
      </c>
      <c r="AD35" s="333" t="str">
        <f>IF(OR(Tulokset!$G$28="",Tulokset!$I$28="",'32'!$I$29="",'32'!$K$29=""),"",IF(SIGN('32'!$I$29-'32'!$K$29)&lt;&gt;SIGN(Tulokset!$G$28-Tulokset!$I$28),0,IF(Tulokset!$G$28=Tulokset!$I$28,IF(AND('32'!$I$29=Tulokset!$G$28,'32'!$K$29=Tulokset!$I$28),6,3),MAX(0,6-(ABS('32'!$I$29-Tulokset!$G$28)+ABS('32'!$K$29-Tulokset!$I$28))))))</f>
        <v/>
      </c>
      <c r="AE35" s="333" t="str">
        <f>IF(OR(Tulokset!$G$29="",Tulokset!$I$29="",'32'!$I$30="",'32'!$K$30=""),"",IF(SIGN('32'!$I$30-'32'!$K$30)&lt;&gt;SIGN(Tulokset!$G$29-Tulokset!$I$29),0,IF(Tulokset!$G$29=Tulokset!$I$29,IF(AND('32'!$I$30=Tulokset!$G$29,'32'!$K$30=Tulokset!$I$29),6,3),MAX(0,6-(ABS('32'!$I$30-Tulokset!$G$29)+ABS('32'!$K$30-Tulokset!$I$29))))))</f>
        <v/>
      </c>
      <c r="AF35" s="333" t="str">
        <f>IF(OR(Tulokset!$G$30="",Tulokset!$I$30="",'32'!$I$31="",'32'!$K$31=""),"",IF(SIGN('32'!$I$31-'32'!$K$31)&lt;&gt;SIGN(Tulokset!$G$30-Tulokset!$I$30),0,IF(Tulokset!$G$30=Tulokset!$I$30,IF(AND('32'!$I$31=Tulokset!$G$30,'32'!$K$31=Tulokset!$I$30),6,3),MAX(0,6-(ABS('32'!$I$31-Tulokset!$G$30)+ABS('32'!$K$31-Tulokset!$I$30))))))</f>
        <v/>
      </c>
      <c r="AG35" s="333" t="str">
        <f>IF(OR(Tulokset!$G$31="",Tulokset!$I$31="",'32'!$I$32="",'32'!$K$32=""),"",IF(SIGN('32'!$I$32-'32'!$K$32)&lt;&gt;SIGN(Tulokset!$G$31-Tulokset!$I$31),0,IF(Tulokset!$G$31=Tulokset!$I$31,IF(AND('32'!$I$32=Tulokset!$G$31,'32'!$K$32=Tulokset!$I$31),6,3),MAX(0,6-(ABS('32'!$I$32-Tulokset!$G$31)+ABS('32'!$K$32-Tulokset!$I$31))))))</f>
        <v/>
      </c>
      <c r="AH35" s="333" t="str">
        <f>IF(OR(Tulokset!$G$32="",Tulokset!$I$32="",'32'!$I$33="",'32'!$K$33=""),"",IF(SIGN('32'!$I$33-'32'!$K$33)&lt;&gt;SIGN(Tulokset!$G$32-Tulokset!$I$32),0,IF(Tulokset!$G$32=Tulokset!$I$32,IF(AND('32'!$I$33=Tulokset!$G$32,'32'!$K$33=Tulokset!$I$32),6,3),MAX(0,6-(ABS('32'!$I$33-Tulokset!$G$32)+ABS('32'!$K$33-Tulokset!$I$32))))))</f>
        <v/>
      </c>
      <c r="AI35" s="333" t="str">
        <f>IF(OR(Tulokset!$G$33="",Tulokset!$I$33="",'32'!$I$34="",'32'!$K$34=""),"",IF(SIGN('32'!$I$34-'32'!$K$34)&lt;&gt;SIGN(Tulokset!$G$33-Tulokset!$I$33),0,IF(Tulokset!$G$33=Tulokset!$I$33,IF(AND('32'!$I$34=Tulokset!$G$33,'32'!$K$34=Tulokset!$I$33),6,3),MAX(0,6-(ABS('32'!$I$34-Tulokset!$G$33)+ABS('32'!$K$34-Tulokset!$I$33))))))</f>
        <v/>
      </c>
      <c r="AJ35" s="333" t="str">
        <f>IF(OR(Tulokset!$G$34="",Tulokset!$I$34="",'32'!$I$35="",'32'!$K$35=""),"",IF(SIGN('32'!$I$35-'32'!$K$35)&lt;&gt;SIGN(Tulokset!$G$34-Tulokset!$I$34),0,IF(Tulokset!$G$34=Tulokset!$I$34,IF(AND('32'!$I$35=Tulokset!$G$34,'32'!$K$35=Tulokset!$I$34),6,3),MAX(0,6-(ABS('32'!$I$35-Tulokset!$G$34)+ABS('32'!$K$35-Tulokset!$I$34))))))</f>
        <v/>
      </c>
      <c r="AK35" s="333" t="str">
        <f>IF(OR(Tulokset!$G$35="",Tulokset!$I$35="",'32'!$I$36="",'32'!$K$36=""),"",IF(SIGN('32'!$I$36-'32'!$K$36)&lt;&gt;SIGN(Tulokset!$G$35-Tulokset!$I$35),0,IF(Tulokset!$G$35=Tulokset!$I$35,IF(AND('32'!$I$36=Tulokset!$G$35,'32'!$K$36=Tulokset!$I$35),6,3),MAX(0,6-(ABS('32'!$I$36-Tulokset!$G$35)+ABS('32'!$K$36-Tulokset!$I$35))))))</f>
        <v/>
      </c>
      <c r="AL35" s="333" t="str">
        <f>IF(OR(Tulokset!$G$36="",Tulokset!$I$36="",'32'!$I$37="",'32'!$K$37=""),"",IF(SIGN('32'!$I$37-'32'!$K$37)&lt;&gt;SIGN(Tulokset!$G$36-Tulokset!$I$36),0,IF(Tulokset!$G$36=Tulokset!$I$36,IF(AND('32'!$I$37=Tulokset!$G$36,'32'!$K$37=Tulokset!$I$36),6,3),MAX(0,6-(ABS('32'!$I$37-Tulokset!$G$36)+ABS('32'!$K$37-Tulokset!$I$36))))))</f>
        <v/>
      </c>
      <c r="AM35" s="333" t="str">
        <f>IF(OR(Tulokset!$G$37="",Tulokset!$I$37="",'32'!$I$38="",'32'!$K$38=""),"",IF(SIGN('32'!$I$38-'32'!$K$38)&lt;&gt;SIGN(Tulokset!$G$37-Tulokset!$I$37),0,IF(Tulokset!$G$37=Tulokset!$I$37,IF(AND('32'!$I$38=Tulokset!$G$37,'32'!$K$38=Tulokset!$I$37),6,3),MAX(0,6-(ABS('32'!$I$38-Tulokset!$G$37)+ABS('32'!$K$38-Tulokset!$I$37))))))</f>
        <v/>
      </c>
      <c r="AN35" s="333" t="str">
        <f>IF(OR(Tulokset!$G$38="",Tulokset!$I$38="",'32'!$I$39="",'32'!$K$39=""),"",IF(SIGN('32'!$I$39-'32'!$K$39)&lt;&gt;SIGN(Tulokset!$G$38-Tulokset!$I$38),0,IF(Tulokset!$G$38=Tulokset!$I$38,IF(AND('32'!$I$39=Tulokset!$G$38,'32'!$K$39=Tulokset!$I$38),6,3),MAX(0,6-(ABS('32'!$I$39-Tulokset!$G$38)+ABS('32'!$K$39-Tulokset!$I$38))))))</f>
        <v/>
      </c>
      <c r="AO35" s="333" t="str">
        <f>IF(OR(Tulokset!$G$39="",Tulokset!$I$39="",'32'!$I$40="",'32'!$K$40=""),"",IF(SIGN('32'!$I$40-'32'!$K$40)&lt;&gt;SIGN(Tulokset!$G$39-Tulokset!$I$39),0,IF(Tulokset!$G$39=Tulokset!$I$39,IF(AND('32'!$I$40=Tulokset!$G$39,'32'!$K$40=Tulokset!$I$39),6,3),MAX(0,6-(ABS('32'!$I$40-Tulokset!$G$39)+ABS('32'!$K$40-Tulokset!$I$39))))))</f>
        <v/>
      </c>
      <c r="AP35" s="333" t="str">
        <f>IF(OR(Tulokset!$G$40="",Tulokset!$I$40="",'32'!$I$41="",'32'!$K$41=""),"",IF(SIGN('32'!$I$41-'32'!$K$41)&lt;&gt;SIGN(Tulokset!$G$40-Tulokset!$I$40),0,IF(Tulokset!$G$40=Tulokset!$I$40,IF(AND('32'!$I$41=Tulokset!$G$40,'32'!$K$41=Tulokset!$I$40),6,3),MAX(0,6-(ABS('32'!$I$41-Tulokset!$G$40)+ABS('32'!$K$41-Tulokset!$I$40))))))</f>
        <v/>
      </c>
      <c r="AQ35" s="333" t="str">
        <f>IF(OR(Tulokset!$G$41="",Tulokset!$I$41="",'32'!$I$42="",'32'!$K$42=""),"",IF(SIGN('32'!$I$42-'32'!$K$42)&lt;&gt;SIGN(Tulokset!$G$41-Tulokset!$I$41),0,IF(Tulokset!$G$41=Tulokset!$I$41,IF(AND('32'!$I$42=Tulokset!$G$41,'32'!$K$42=Tulokset!$I$41),6,3),MAX(0,6-(ABS('32'!$I$42-Tulokset!$G$41)+ABS('32'!$K$42-Tulokset!$I$41))))))</f>
        <v/>
      </c>
      <c r="AR35" s="333" t="str">
        <f>IF(OR(Tulokset!$G$42="",Tulokset!$I$42="",'32'!$I$43="",'32'!$K$43=""),"",IF(SIGN('32'!$I$43-'32'!$K$43)&lt;&gt;SIGN(Tulokset!$G$42-Tulokset!$I$42),0,IF(Tulokset!$G$42=Tulokset!$I$42,IF(AND('32'!$I$43=Tulokset!$G$42,'32'!$K$43=Tulokset!$I$42),6,3),MAX(0,6-(ABS('32'!$I$43-Tulokset!$G$42)+ABS('32'!$K$43-Tulokset!$I$42))))))</f>
        <v/>
      </c>
      <c r="AS35" s="333" t="str">
        <f>IF(OR(Tulokset!$G$43="",Tulokset!$I$43="",'32'!$I$44="",'32'!$K$44=""),"",IF(SIGN('32'!$I$44-'32'!$K$44)&lt;&gt;SIGN(Tulokset!$G$43-Tulokset!$I$43),0,IF(Tulokset!$G$43=Tulokset!$I$43,IF(AND('32'!$I$44=Tulokset!$G$43,'32'!$K$44=Tulokset!$I$43),6,3),MAX(0,6-(ABS('32'!$I$44-Tulokset!$G$43)+ABS('32'!$K$44-Tulokset!$I$43))))))</f>
        <v/>
      </c>
      <c r="AT35" s="333" t="str">
        <f>IF(OR(Tulokset!$G$44="",Tulokset!$I$44="",'32'!$I$45="",'32'!$K$45=""),"",IF(SIGN('32'!$I$45-'32'!$K$45)&lt;&gt;SIGN(Tulokset!$G$44-Tulokset!$I$44),0,IF(Tulokset!$G$44=Tulokset!$I$44,IF(AND('32'!$I$45=Tulokset!$G$44,'32'!$K$45=Tulokset!$I$44),6,3),MAX(0,6-(ABS('32'!$I$45-Tulokset!$G$44)+ABS('32'!$K$45-Tulokset!$I$44))))))</f>
        <v/>
      </c>
      <c r="AU35" s="333" t="str">
        <f>IF(OR(Tulokset!$G$45="",Tulokset!$I$45="",'32'!$I$46="",'32'!$K$46=""),"",IF(SIGN('32'!$I$46-'32'!$K$46)&lt;&gt;SIGN(Tulokset!$G$45-Tulokset!$I$45),0,IF(Tulokset!$G$45=Tulokset!$I$45,IF(AND('32'!$I$46=Tulokset!$G$45,'32'!$K$46=Tulokset!$I$45),6,3),MAX(0,6-(ABS('32'!$I$46-Tulokset!$G$45)+ABS('32'!$K$46-Tulokset!$I$45))))))</f>
        <v/>
      </c>
      <c r="AV35" s="333" t="str">
        <f>IF(OR(Tulokset!$G$46="",Tulokset!$I$46="",'32'!$I$47="",'32'!$K$47=""),"",IF(SIGN('32'!$I$47-'32'!$K$47)&lt;&gt;SIGN(Tulokset!$G$46-Tulokset!$I$46),0,IF(Tulokset!$G$46=Tulokset!$I$46,IF(AND('32'!$I$47=Tulokset!$G$46,'32'!$K$47=Tulokset!$I$46),6,3),MAX(0,6-(ABS('32'!$I$47-Tulokset!$G$46)+ABS('32'!$K$47-Tulokset!$I$46))))))</f>
        <v/>
      </c>
      <c r="AW35" s="333" t="str">
        <f>IF(OR(Tulokset!$G$47="",Tulokset!$I$47="",'32'!$I$48="",'32'!$K$48=""),"",IF(SIGN('32'!$I$48-'32'!$K$48)&lt;&gt;SIGN(Tulokset!$G$47-Tulokset!$I$47),0,IF(Tulokset!$G$47=Tulokset!$I$47,IF(AND('32'!$I$48=Tulokset!$G$47,'32'!$K$48=Tulokset!$I$47),6,3),MAX(0,6-(ABS('32'!$I$48-Tulokset!$G$47)+ABS('32'!$K$48-Tulokset!$I$47))))))</f>
        <v/>
      </c>
      <c r="AX35" s="333" t="str">
        <f>IF(OR(Tulokset!$G$48="",Tulokset!$I$48="",'32'!$I$49="",'32'!$K$49=""),"",IF(SIGN('32'!$I$49-'32'!$K$49)&lt;&gt;SIGN(Tulokset!$G$48-Tulokset!$I$48),0,IF(Tulokset!$G$48=Tulokset!$I$48,IF(AND('32'!$I$49=Tulokset!$G$48,'32'!$K$49=Tulokset!$I$48),6,3),MAX(0,6-(ABS('32'!$I$49-Tulokset!$G$48)+ABS('32'!$K$49-Tulokset!$I$48))))))</f>
        <v/>
      </c>
      <c r="AY35" s="333" t="str">
        <f>IF(OR(Tulokset!$G$49="",Tulokset!$I$49="",'32'!$I$50="",'32'!$K$50=""),"",IF(SIGN('32'!$I$50-'32'!$K$50)&lt;&gt;SIGN(Tulokset!$G$49-Tulokset!$I$49),0,IF(Tulokset!$G$49=Tulokset!$I$49,IF(AND('32'!$I$50=Tulokset!$G$49,'32'!$K$50=Tulokset!$I$49),6,3),MAX(0,6-(ABS('32'!$I$50-Tulokset!$G$49)+ABS('32'!$K$50-Tulokset!$I$49))))))</f>
        <v/>
      </c>
      <c r="AZ35" s="333" t="str">
        <f>IF(OR(Tulokset!$G$50="",Tulokset!$I$50="",'32'!$I$51="",'32'!$K$51=""),"",IF(SIGN('32'!$I$51-'32'!$K$51)&lt;&gt;SIGN(Tulokset!$G$50-Tulokset!$I$50),0,IF(Tulokset!$G$50=Tulokset!$I$50,IF(AND('32'!$I$51=Tulokset!$G$50,'32'!$K$51=Tulokset!$I$50),6,3),MAX(0,6-(ABS('32'!$I$51-Tulokset!$G$50)+ABS('32'!$K$51-Tulokset!$I$50))))))</f>
        <v/>
      </c>
      <c r="BA35" s="333" t="str">
        <f>IF(OR(Tulokset!$G$51="",Tulokset!$I$51="",'32'!$I$52="",'32'!$K$52=""),"",IF(SIGN('32'!$I$52-'32'!$K$52)&lt;&gt;SIGN(Tulokset!$G$51-Tulokset!$I$51),0,IF(Tulokset!$G$51=Tulokset!$I$51,IF(AND('32'!$I$52=Tulokset!$G$51,'32'!$K$52=Tulokset!$I$51),6,3),MAX(0,6-(ABS('32'!$I$52-Tulokset!$G$51)+ABS('32'!$K$52-Tulokset!$I$51))))))</f>
        <v/>
      </c>
      <c r="BB35" s="333" t="str">
        <f>IF(OR(Tulokset!$G$52="",Tulokset!$I$52="",'32'!$I$53="",'32'!$K$53=""),"",IF(SIGN('32'!$I$53-'32'!$K$53)&lt;&gt;SIGN(Tulokset!$G$52-Tulokset!$I$52),0,IF(Tulokset!$G$52=Tulokset!$I$52,IF(AND('32'!$I$53=Tulokset!$G$52,'32'!$K$53=Tulokset!$I$52),6,3),MAX(0,6-(ABS('32'!$I$53-Tulokset!$G$52)+ABS('32'!$K$53-Tulokset!$I$52))))))</f>
        <v/>
      </c>
      <c r="BC35" s="333" t="str">
        <f>IF(OR(Tulokset!$G$53="",Tulokset!$I$53="",'32'!$I$54="",'32'!$K$54=""),"",IF(SIGN('32'!$I$54-'32'!$K$54)&lt;&gt;SIGN(Tulokset!$G$53-Tulokset!$I$53),0,IF(Tulokset!$G$53=Tulokset!$I$53,IF(AND('32'!$I$54=Tulokset!$G$53,'32'!$K$54=Tulokset!$I$53),6,3),MAX(0,6-(ABS('32'!$I$54-Tulokset!$G$53)+ABS('32'!$K$54-Tulokset!$I$53))))))</f>
        <v/>
      </c>
      <c r="BD35" s="333" t="str">
        <f>IF(OR(Tulokset!$G$54="",Tulokset!$I$54="",'32'!$I$55="",'32'!$K$55=""),"",IF(SIGN('32'!$I$55-'32'!$K$55)&lt;&gt;SIGN(Tulokset!$G$54-Tulokset!$I$54),0,IF(Tulokset!$G$54=Tulokset!$I$54,IF(AND('32'!$I$55=Tulokset!$G$54,'32'!$K$55=Tulokset!$I$54),6,3),MAX(0,6-(ABS('32'!$I$55-Tulokset!$G$54)+ABS('32'!$K$55-Tulokset!$I$54))))))</f>
        <v/>
      </c>
      <c r="BE35" s="333" t="str">
        <f>IF(OR(Tulokset!$G$55="",Tulokset!$I$55="",'32'!$I$56="",'32'!$K$56=""),"",IF(SIGN('32'!$I$56-'32'!$K$56)&lt;&gt;SIGN(Tulokset!$G$55-Tulokset!$I$55),0,IF(Tulokset!$G$55=Tulokset!$I$55,IF(AND('32'!$I$56=Tulokset!$G$55,'32'!$K$56=Tulokset!$I$55),6,3),MAX(0,6-(ABS('32'!$I$56-Tulokset!$G$55)+ABS('32'!$K$56-Tulokset!$I$55))))))</f>
        <v/>
      </c>
      <c r="BF35" s="333" t="str">
        <f>IF(OR(Tulokset!$G$56="",Tulokset!$I$56="",'32'!$I$57="",'32'!$K$57=""),"",IF(SIGN('32'!$I$57-'32'!$K$57)&lt;&gt;SIGN(Tulokset!$G$56-Tulokset!$I$56),0,IF(Tulokset!$G$56=Tulokset!$I$56,IF(AND('32'!$I$57=Tulokset!$G$56,'32'!$K$57=Tulokset!$I$56),6,3),MAX(0,6-(ABS('32'!$I$57-Tulokset!$G$56)+ABS('32'!$K$57-Tulokset!$I$56))))))</f>
        <v/>
      </c>
      <c r="BG35" s="333" t="str">
        <f>IF(OR(Tulokset!$G$57="",Tulokset!$I$57="",'32'!$I$58="",'32'!$K$58=""),"",IF(SIGN('32'!$I$58-'32'!$K$58)&lt;&gt;SIGN(Tulokset!$G$57-Tulokset!$I$57),0,IF(Tulokset!$G$57=Tulokset!$I$57,IF(AND('32'!$I$58=Tulokset!$G$57,'32'!$K$58=Tulokset!$I$57),6,3),MAX(0,6-(ABS('32'!$I$58-Tulokset!$G$57)+ABS('32'!$K$58-Tulokset!$I$57))))))</f>
        <v/>
      </c>
      <c r="BH35" s="333" t="str">
        <f>IF(OR(Tulokset!$G$58="",Tulokset!$I$58="",'32'!$I$59="",'32'!$K$59=""),"",IF(SIGN('32'!$I$59-'32'!$K$59)&lt;&gt;SIGN(Tulokset!$G$58-Tulokset!$I$58),0,IF(Tulokset!$G$58=Tulokset!$I$58,IF(AND('32'!$I$59=Tulokset!$G$58,'32'!$K$59=Tulokset!$I$58),6,3),MAX(0,6-(ABS('32'!$I$59-Tulokset!$G$58)+ABS('32'!$K$59-Tulokset!$I$58))))))</f>
        <v/>
      </c>
      <c r="BI35" s="333" t="str">
        <f>IF(OR(Tulokset!$G$59="",Tulokset!$I$59="",'32'!$I$60="",'32'!$K$60=""),"",IF(SIGN('32'!$I$60-'32'!$K$60)&lt;&gt;SIGN(Tulokset!$G$59-Tulokset!$I$59),0,IF(Tulokset!$G$59=Tulokset!$I$59,IF(AND('32'!$I$60=Tulokset!$G$59,'32'!$K$60=Tulokset!$I$59),6,3),MAX(0,6-(ABS('32'!$I$60-Tulokset!$G$59)+ABS('32'!$K$60-Tulokset!$I$59))))))</f>
        <v/>
      </c>
      <c r="BJ35" s="333" t="str">
        <f>IF(OR(Tulokset!$G$60="",Tulokset!$I$60="",'32'!$I$61="",'32'!$K$61=""),"",IF(SIGN('32'!$I$61-'32'!$K$61)&lt;&gt;SIGN(Tulokset!$G$60-Tulokset!$I$60),0,IF(Tulokset!$G$60=Tulokset!$I$60,IF(AND('32'!$I$61=Tulokset!$G$60,'32'!$K$61=Tulokset!$I$60),6,3),MAX(0,6-(ABS('32'!$I$61-Tulokset!$G$60)+ABS('32'!$K$61-Tulokset!$I$60))))))</f>
        <v/>
      </c>
      <c r="BK35" s="333" t="str">
        <f>IF(OR(Tulokset!$G$61="",Tulokset!$I$61="",'32'!$I$62="",'32'!$K$62=""),"",IF(SIGN('32'!$I$62-'32'!$K$62)&lt;&gt;SIGN(Tulokset!$G$61-Tulokset!$I$61),0,IF(Tulokset!$G$61=Tulokset!$I$61,IF(AND('32'!$I$62=Tulokset!$G$61,'32'!$K$62=Tulokset!$I$61),6,3),MAX(0,6-(ABS('32'!$I$62-Tulokset!$G$61)+ABS('32'!$K$62-Tulokset!$I$61))))))</f>
        <v/>
      </c>
      <c r="BL35" s="333" t="str">
        <f>IF(OR(Tulokset!$G$62="",Tulokset!$I$62="",'32'!$I$63="",'32'!$K$63=""),"",IF(SIGN('32'!$I$63-'32'!$K$63)&lt;&gt;SIGN(Tulokset!$G$62-Tulokset!$I$62),0,IF(Tulokset!$G$62=Tulokset!$I$62,IF(AND('32'!$I$63=Tulokset!$G$62,'32'!$K$63=Tulokset!$I$62),6,3),MAX(0,6-(ABS('32'!$I$63-Tulokset!$G$62)+ABS('32'!$K$63-Tulokset!$I$62))))))</f>
        <v/>
      </c>
      <c r="BM35" s="333" t="str">
        <f>IF(OR(Tulokset!$G$63="",Tulokset!$I$63="",'32'!$I$64="",'32'!$K$64=""),"",IF(SIGN('32'!$I$64-'32'!$K$64)&lt;&gt;SIGN(Tulokset!$G$63-Tulokset!$I$63),0,IF(Tulokset!$G$63=Tulokset!$I$63,IF(AND('32'!$I$64=Tulokset!$G$63,'32'!$K$64=Tulokset!$I$63),6,3),MAX(0,6-(ABS('32'!$I$64-Tulokset!$G$63)+ABS('32'!$K$64-Tulokset!$I$63))))))</f>
        <v/>
      </c>
      <c r="BN35" s="333" t="str">
        <f>IF(OR(Tulokset!$G$64="",Tulokset!$I$64="",'32'!$I$65="",'32'!$K$65=""),"",IF(SIGN('32'!$I$65-'32'!$K$65)&lt;&gt;SIGN(Tulokset!$G$64-Tulokset!$I$64),0,IF(Tulokset!$G$64=Tulokset!$I$64,IF(AND('32'!$I$65=Tulokset!$G$64,'32'!$K$65=Tulokset!$I$64),6,3),MAX(0,6-(ABS('32'!$I$65-Tulokset!$G$64)+ABS('32'!$K$65-Tulokset!$I$64))))))</f>
        <v/>
      </c>
      <c r="BO35" s="333" t="str">
        <f>IF(OR(Tulokset!$G$65="",Tulokset!$I$65="",'32'!$I$66="",'32'!$K$66=""),"",IF(SIGN('32'!$I$66-'32'!$K$66)&lt;&gt;SIGN(Tulokset!$G$65-Tulokset!$I$65),0,IF(Tulokset!$G$65=Tulokset!$I$65,IF(AND('32'!$I$66=Tulokset!$G$65,'32'!$K$66=Tulokset!$I$65),6,3),MAX(0,6-(ABS('32'!$I$66-Tulokset!$G$65)+ABS('32'!$K$66-Tulokset!$I$65))))))</f>
        <v/>
      </c>
      <c r="BP35" s="333" t="str">
        <f>IF(OR(Tulokset!$G$66="",Tulokset!$I$66="",'32'!$I$67="",'32'!$K$67=""),"",IF(SIGN('32'!$I$67-'32'!$K$67)&lt;&gt;SIGN(Tulokset!$G$66-Tulokset!$I$66),0,IF(Tulokset!$G$66=Tulokset!$I$66,IF(AND('32'!$I$67=Tulokset!$G$66,'32'!$K$67=Tulokset!$I$66),6,3),MAX(0,6-(ABS('32'!$I$67-Tulokset!$G$66)+ABS('32'!$K$67-Tulokset!$I$66))))))</f>
        <v/>
      </c>
      <c r="BQ35" s="333" t="str">
        <f>IF(OR(Tulokset!$G$67="",Tulokset!$I$67="",'32'!$I$68="",'32'!$K$68=""),"",IF(SIGN('32'!$I$68-'32'!$K$68)&lt;&gt;SIGN(Tulokset!$G$67-Tulokset!$I$67),0,IF(Tulokset!$G$67=Tulokset!$I$67,IF(AND('32'!$I$68=Tulokset!$G$67,'32'!$K$68=Tulokset!$I$67),6,3),MAX(0,6-(ABS('32'!$I$68-Tulokset!$G$67)+ABS('32'!$K$68-Tulokset!$I$67))))))</f>
        <v/>
      </c>
      <c r="BR35" s="333" t="str">
        <f>IF(OR(Tulokset!$G$68="",Tulokset!$I$68="",'32'!$I$69="",'32'!$K$69=""),"",IF(SIGN('32'!$I$69-'32'!$K$69)&lt;&gt;SIGN(Tulokset!$G$68-Tulokset!$I$68),0,IF(Tulokset!$G$68=Tulokset!$I$68,IF(AND('32'!$I$69=Tulokset!$G$68,'32'!$K$69=Tulokset!$I$68),6,3),MAX(0,6-(ABS('32'!$I$69-Tulokset!$G$68)+ABS('32'!$K$69-Tulokset!$I$68))))))</f>
        <v/>
      </c>
      <c r="BS35" s="333" t="str">
        <f>IF(OR(Tulokset!$G$69="",Tulokset!$I$69="",'32'!$I$70="",'32'!$K$70=""),"",IF(SIGN('32'!$I$70-'32'!$K$70)&lt;&gt;SIGN(Tulokset!$G$69-Tulokset!$I$69),0,IF(Tulokset!$G$69=Tulokset!$I$69,IF(AND('32'!$I$70=Tulokset!$G$69,'32'!$K$70=Tulokset!$I$69),6,3),MAX(0,6-(ABS('32'!$I$70-Tulokset!$G$69)+ABS('32'!$K$70-Tulokset!$I$69))))))</f>
        <v/>
      </c>
      <c r="BT35" s="333" t="str">
        <f>IF(OR(Tulokset!$G$70="",Tulokset!$I$70="",'32'!$I$71="",'32'!$K$71=""),"",IF(SIGN('32'!$I$71-'32'!$K$71)&lt;&gt;SIGN(Tulokset!$G$70-Tulokset!$I$70),0,IF(Tulokset!$G$70=Tulokset!$I$70,IF(AND('32'!$I$71=Tulokset!$G$70,'32'!$K$71=Tulokset!$I$70),6,3),MAX(0,6-(ABS('32'!$I$71-Tulokset!$G$70)+ABS('32'!$K$71-Tulokset!$I$70))))))</f>
        <v/>
      </c>
      <c r="BU35" s="333" t="str">
        <f>IF(OR(Tulokset!$G$71="",Tulokset!$I$71="",'32'!$I$72="",'32'!$K$72=""),"",IF(SIGN('32'!$I$72-'32'!$K$72)&lt;&gt;SIGN(Tulokset!$G$71-Tulokset!$I$71),0,IF(Tulokset!$G$71=Tulokset!$I$71,IF(AND('32'!$I$72=Tulokset!$G$71,'32'!$K$72=Tulokset!$I$71),6,3),MAX(0,6-(ABS('32'!$I$72-Tulokset!$G$71)+ABS('32'!$K$72-Tulokset!$I$71))))))</f>
        <v/>
      </c>
      <c r="BV35" s="333" t="str">
        <f>IF(OR(Tulokset!$G$72="",Tulokset!$I$72="",'32'!$I$73="",'32'!$K$73=""),"",IF(SIGN('32'!$I$73-'32'!$K$73)&lt;&gt;SIGN(Tulokset!$G$72-Tulokset!$I$72),0,IF(Tulokset!$G$72=Tulokset!$I$72,IF(AND('32'!$I$73=Tulokset!$G$72,'32'!$K$73=Tulokset!$I$72),6,3),MAX(0,6-(ABS('32'!$I$73-Tulokset!$G$72)+ABS('32'!$K$73-Tulokset!$I$72))))))</f>
        <v/>
      </c>
      <c r="BW35" s="333" t="str">
        <f>IF(OR(Tulokset!$G$73="",Tulokset!$I$73="",'32'!$I$74="",'32'!$K$74=""),"",IF(SIGN('32'!$I$74-'32'!$K$74)&lt;&gt;SIGN(Tulokset!$G$73-Tulokset!$I$73),0,IF(Tulokset!$G$73=Tulokset!$I$73,IF(AND('32'!$I$74=Tulokset!$G$73,'32'!$K$74=Tulokset!$I$73),6,3),MAX(0,6-(ABS('32'!$I$74-Tulokset!$G$73)+ABS('32'!$K$74-Tulokset!$I$73))))))</f>
        <v/>
      </c>
      <c r="BX35" s="333" t="str">
        <f>IF(OR(Tulokset!$G$74="",Tulokset!$I$74="",'32'!$I$75="",'32'!$K$75=""),"",IF(SIGN('32'!$I$75-'32'!$K$75)&lt;&gt;SIGN(Tulokset!$G$74-Tulokset!$I$74),0,IF(Tulokset!$G$74=Tulokset!$I$74,IF(AND('32'!$I$75=Tulokset!$G$74,'32'!$K$75=Tulokset!$I$74),6,3),MAX(0,6-(ABS('32'!$I$75-Tulokset!$G$74)+ABS('32'!$K$75-Tulokset!$I$74))))))</f>
        <v/>
      </c>
      <c r="BY35" s="333" t="str">
        <f>IF(OR(Tulokset!$G$75="",Tulokset!$I$75="",'32'!$I$76="",'32'!$K$76=""),"",IF(SIGN('32'!$I$76-'32'!$K$76)&lt;&gt;SIGN(Tulokset!$G$75-Tulokset!$I$75),0,IF(Tulokset!$G$75=Tulokset!$I$75,IF(AND('32'!$I$76=Tulokset!$G$75,'32'!$K$76=Tulokset!$I$75),6,3),MAX(0,6-(ABS('32'!$I$76-Tulokset!$G$75)+ABS('32'!$K$76-Tulokset!$I$75))))))</f>
        <v/>
      </c>
      <c r="BZ35" s="333" t="str">
        <f>IF(OR(Tulokset!$G$76="",Tulokset!$I$76="",'32'!$I$77="",'32'!$K$77=""),"",IF(SIGN('32'!$I$77-'32'!$K$77)&lt;&gt;SIGN(Tulokset!$G$76-Tulokset!$I$76),0,IF(Tulokset!$G$76=Tulokset!$I$76,IF(AND('32'!$I$77=Tulokset!$G$76,'32'!$K$77=Tulokset!$I$76),6,3),MAX(0,6-(ABS('32'!$I$77-Tulokset!$G$76)+ABS('32'!$K$77-Tulokset!$I$76))))))</f>
        <v/>
      </c>
      <c r="CA35" s="333" t="str">
        <f>IF(OR(Tulokset!$G$77="",Tulokset!$I$77="",'32'!$I$78="",'32'!$K$78=""),"",IF(SIGN('32'!$I$78-'32'!$K$78)&lt;&gt;SIGN(Tulokset!$G$77-Tulokset!$I$77),0,IF(Tulokset!$G$77=Tulokset!$I$77,IF(AND('32'!$I$78=Tulokset!$G$77,'32'!$K$78=Tulokset!$I$77),6,3),MAX(0,6-(ABS('32'!$I$78-Tulokset!$G$77)+ABS('32'!$K$78-Tulokset!$I$77))))))</f>
        <v/>
      </c>
      <c r="CB35" s="333"/>
      <c r="CC35" s="333"/>
      <c r="CD35" s="333" t="str">
        <f ca="1">IF(OR(Tulokset!$M$6="",INDIRECT("'"&amp;$A35&amp;"'!$P$8")=""),"",IF(TRIM(INDIRECT("'"&amp;$A35&amp;"'!$P$8"))=TRIM(Tulokset!$M$6),2,0))</f>
        <v/>
      </c>
      <c r="CE35" s="333" t="str">
        <f ca="1">IF(OR(Tulokset!$M$7="",INDIRECT("'"&amp;$A35&amp;"'!$P$9")=""),"",IF(TRIM(INDIRECT("'"&amp;$A35&amp;"'!$P$9"))=TRIM(Tulokset!$M$7),2,0))</f>
        <v/>
      </c>
      <c r="CF35" s="333" t="str">
        <f ca="1">IF(OR(Tulokset!$M$8="",INDIRECT("'"&amp;$A35&amp;"'!$P$10")=""),"",IF(TRIM(INDIRECT("'"&amp;$A35&amp;"'!$P$10"))=TRIM(Tulokset!$M$8),2,0))</f>
        <v/>
      </c>
      <c r="CG35" s="333" t="str">
        <f ca="1">IF(OR(Tulokset!$M$9="",INDIRECT("'"&amp;$A35&amp;"'!$P$11")=""),"",IF(TRIM(INDIRECT("'"&amp;$A35&amp;"'!$P$11"))=TRIM(Tulokset!$M$9),2,0))</f>
        <v/>
      </c>
      <c r="CH35" s="333" t="str">
        <f ca="1">IF(OR(Tulokset!$N$6="",INDIRECT("'"&amp;$A35&amp;"'!$Q$8")=""),"",IF(TRIM(INDIRECT("'"&amp;$A35&amp;"'!$Q$8"))=TRIM(Tulokset!$N$6),2,0))</f>
        <v/>
      </c>
      <c r="CI35" s="333" t="str">
        <f ca="1">IF(OR(Tulokset!$N$7="",INDIRECT("'"&amp;$A35&amp;"'!$Q$9")=""),"",IF(TRIM(INDIRECT("'"&amp;$A35&amp;"'!$Q$9"))=TRIM(Tulokset!$N$7),2,0))</f>
        <v/>
      </c>
      <c r="CJ35" s="333" t="str">
        <f ca="1">IF(OR(Tulokset!$N$8="",INDIRECT("'"&amp;$A35&amp;"'!$Q$10")=""),"",IF(TRIM(INDIRECT("'"&amp;$A35&amp;"'!$Q$10"))=TRIM(Tulokset!$N$8),2,0))</f>
        <v/>
      </c>
      <c r="CK35" s="333" t="str">
        <f ca="1">IF(OR(Tulokset!$N$9="",INDIRECT("'"&amp;$A35&amp;"'!$Q$11")=""),"",IF(TRIM(INDIRECT("'"&amp;$A35&amp;"'!$Q$11"))=TRIM(Tulokset!$N$9),2,0))</f>
        <v/>
      </c>
      <c r="CL35" s="333" t="str">
        <f ca="1">IF(OR(Tulokset!$O$6="",INDIRECT("'"&amp;$A35&amp;"'!$R$8")=""),"",IF(TRIM(INDIRECT("'"&amp;$A35&amp;"'!$R$8"))=TRIM(Tulokset!$O$6),2,0))</f>
        <v/>
      </c>
      <c r="CM35" s="333" t="str">
        <f ca="1">IF(OR(Tulokset!$O$7="",INDIRECT("'"&amp;$A35&amp;"'!$R$9")=""),"",IF(TRIM(INDIRECT("'"&amp;$A35&amp;"'!$R$9"))=TRIM(Tulokset!$O$7),2,0))</f>
        <v/>
      </c>
      <c r="CN35" s="333" t="str">
        <f ca="1">IF(OR(Tulokset!$O$8="",INDIRECT("'"&amp;$A35&amp;"'!$R$10")=""),"",IF(TRIM(INDIRECT("'"&amp;$A35&amp;"'!$R$10"))=TRIM(Tulokset!$O$8),2,0))</f>
        <v/>
      </c>
      <c r="CO35" s="333" t="str">
        <f ca="1">IF(OR(Tulokset!$O$9="",INDIRECT("'"&amp;$A35&amp;"'!$R$11")=""),"",IF(TRIM(INDIRECT("'"&amp;$A35&amp;"'!$R$11"))=TRIM(Tulokset!$O$9),2,0))</f>
        <v/>
      </c>
      <c r="CP35" s="333" t="str">
        <f ca="1">IF(OR(Tulokset!$P$6="",INDIRECT("'"&amp;$A35&amp;"'!$S$8")=""),"",IF(TRIM(INDIRECT("'"&amp;$A35&amp;"'!$S$8"))=TRIM(Tulokset!$P$6),2,0))</f>
        <v/>
      </c>
      <c r="CQ35" s="333" t="str">
        <f ca="1">IF(OR(Tulokset!$P$7="",INDIRECT("'"&amp;$A35&amp;"'!$S$9")=""),"",IF(TRIM(INDIRECT("'"&amp;$A35&amp;"'!$S$9"))=TRIM(Tulokset!$P$7),2,0))</f>
        <v/>
      </c>
      <c r="CR35" s="333" t="str">
        <f ca="1">IF(OR(Tulokset!$P$8="",INDIRECT("'"&amp;$A35&amp;"'!$S$10")=""),"",IF(TRIM(INDIRECT("'"&amp;$A35&amp;"'!$S$10"))=TRIM(Tulokset!$P$8),2,0))</f>
        <v/>
      </c>
      <c r="CS35" s="333" t="str">
        <f ca="1">IF(OR(Tulokset!$P$9="",INDIRECT("'"&amp;$A35&amp;"'!$S$11")=""),"",IF(TRIM(INDIRECT("'"&amp;$A35&amp;"'!$S$11"))=TRIM(Tulokset!$P$9),2,0))</f>
        <v/>
      </c>
      <c r="CT35" s="333" t="str">
        <f ca="1">IF(OR(Tulokset!$Q$6="",INDIRECT("'"&amp;$A35&amp;"'!$T$8")=""),"",IF(TRIM(INDIRECT("'"&amp;$A35&amp;"'!$T$8"))=TRIM(Tulokset!$Q$6),2,0))</f>
        <v/>
      </c>
      <c r="CU35" s="333" t="str">
        <f ca="1">IF(OR(Tulokset!$Q$7="",INDIRECT("'"&amp;$A35&amp;"'!$T$9")=""),"",IF(TRIM(INDIRECT("'"&amp;$A35&amp;"'!$T$9"))=TRIM(Tulokset!$Q$7),2,0))</f>
        <v/>
      </c>
      <c r="CV35" s="333" t="str">
        <f ca="1">IF(OR(Tulokset!$Q$8="",INDIRECT("'"&amp;$A35&amp;"'!$T$10")=""),"",IF(TRIM(INDIRECT("'"&amp;$A35&amp;"'!$T$10"))=TRIM(Tulokset!$Q$8),2,0))</f>
        <v/>
      </c>
      <c r="CW35" s="333" t="str">
        <f ca="1">IF(OR(Tulokset!$Q$9="",INDIRECT("'"&amp;$A35&amp;"'!$T$11")=""),"",IF(TRIM(INDIRECT("'"&amp;$A35&amp;"'!$T$11"))=TRIM(Tulokset!$Q$9),2,0))</f>
        <v/>
      </c>
      <c r="CX35" s="333" t="str">
        <f ca="1">IF(OR(Tulokset!$R$6="",INDIRECT("'"&amp;$A35&amp;"'!$U$8")=""),"",IF(TRIM(INDIRECT("'"&amp;$A35&amp;"'!$U$8"))=TRIM(Tulokset!$R$6),2,0))</f>
        <v/>
      </c>
      <c r="CY35" s="333" t="str">
        <f ca="1">IF(OR(Tulokset!$R$7="",INDIRECT("'"&amp;$A35&amp;"'!$U$9")=""),"",IF(TRIM(INDIRECT("'"&amp;$A35&amp;"'!$U$9"))=TRIM(Tulokset!$R$7),2,0))</f>
        <v/>
      </c>
      <c r="CZ35" s="333" t="str">
        <f ca="1">IF(OR(Tulokset!$R$8="",INDIRECT("'"&amp;$A35&amp;"'!$U$10")=""),"",IF(TRIM(INDIRECT("'"&amp;$A35&amp;"'!$U$10"))=TRIM(Tulokset!$R$8),2,0))</f>
        <v/>
      </c>
      <c r="DA35" s="333" t="str">
        <f ca="1">IF(OR(Tulokset!$R$9="",INDIRECT("'"&amp;$A35&amp;"'!$U$11")=""),"",IF(TRIM(INDIRECT("'"&amp;$A35&amp;"'!$U$11"))=TRIM(Tulokset!$R$9),2,0))</f>
        <v/>
      </c>
      <c r="DB35" s="333" t="str">
        <f ca="1">IF(OR(Tulokset!$M$12="",INDIRECT("'"&amp;$A35&amp;"'!$P$14")=""),"",IF(TRIM(INDIRECT("'"&amp;$A35&amp;"'!$P$14"))=TRIM(Tulokset!$M$12),2,0))</f>
        <v/>
      </c>
      <c r="DC35" s="333" t="str">
        <f ca="1">IF(OR(Tulokset!$M$13="",INDIRECT("'"&amp;$A35&amp;"'!$P$15")=""),"",IF(TRIM(INDIRECT("'"&amp;$A35&amp;"'!$P$15"))=TRIM(Tulokset!$M$13),2,0))</f>
        <v/>
      </c>
      <c r="DD35" s="333" t="str">
        <f ca="1">IF(OR(Tulokset!$M$14="",INDIRECT("'"&amp;$A35&amp;"'!$P$16")=""),"",IF(TRIM(INDIRECT("'"&amp;$A35&amp;"'!$P$16"))=TRIM(Tulokset!$M$14),2,0))</f>
        <v/>
      </c>
      <c r="DE35" s="333" t="str">
        <f ca="1">IF(OR(Tulokset!$M$15="",INDIRECT("'"&amp;$A35&amp;"'!$P$17")=""),"",IF(TRIM(INDIRECT("'"&amp;$A35&amp;"'!$P$17"))=TRIM(Tulokset!$M$15),2,0))</f>
        <v/>
      </c>
      <c r="DF35" s="333" t="str">
        <f ca="1">IF(OR(Tulokset!$N$12="",INDIRECT("'"&amp;$A35&amp;"'!$Q$14")=""),"",IF(TRIM(INDIRECT("'"&amp;$A35&amp;"'!$Q$14"))=TRIM(Tulokset!$N$12),2,0))</f>
        <v/>
      </c>
      <c r="DG35" s="333" t="str">
        <f ca="1">IF(OR(Tulokset!$N$13="",INDIRECT("'"&amp;$A35&amp;"'!$Q$15")=""),"",IF(TRIM(INDIRECT("'"&amp;$A35&amp;"'!$Q$15"))=TRIM(Tulokset!$N$13),2,0))</f>
        <v/>
      </c>
      <c r="DH35" s="333" t="str">
        <f ca="1">IF(OR(Tulokset!$N$14="",INDIRECT("'"&amp;$A35&amp;"'!$Q$16")=""),"",IF(TRIM(INDIRECT("'"&amp;$A35&amp;"'!$Q$16"))=TRIM(Tulokset!$N$14),2,0))</f>
        <v/>
      </c>
      <c r="DI35" s="333" t="str">
        <f ca="1">IF(OR(Tulokset!$N$15="",INDIRECT("'"&amp;$A35&amp;"'!$Q$17")=""),"",IF(TRIM(INDIRECT("'"&amp;$A35&amp;"'!$Q$17"))=TRIM(Tulokset!$N$15),2,0))</f>
        <v/>
      </c>
      <c r="DJ35" s="333" t="str">
        <f ca="1">IF(OR(Tulokset!$O$12="",INDIRECT("'"&amp;$A35&amp;"'!$R$14")=""),"",IF(TRIM(INDIRECT("'"&amp;$A35&amp;"'!$R$14"))=TRIM(Tulokset!$O$12),2,0))</f>
        <v/>
      </c>
      <c r="DK35" s="333" t="str">
        <f ca="1">IF(OR(Tulokset!$O$13="",INDIRECT("'"&amp;$A35&amp;"'!$R$15")=""),"",IF(TRIM(INDIRECT("'"&amp;$A35&amp;"'!$R$15"))=TRIM(Tulokset!$O$13),2,0))</f>
        <v/>
      </c>
      <c r="DL35" s="333" t="str">
        <f ca="1">IF(OR(Tulokset!$O$14="",INDIRECT("'"&amp;$A35&amp;"'!$R$16")=""),"",IF(TRIM(INDIRECT("'"&amp;$A35&amp;"'!$R$16"))=TRIM(Tulokset!$O$14),2,0))</f>
        <v/>
      </c>
      <c r="DM35" s="333" t="str">
        <f ca="1">IF(OR(Tulokset!$O$15="",INDIRECT("'"&amp;$A35&amp;"'!$R$17")=""),"",IF(TRIM(INDIRECT("'"&amp;$A35&amp;"'!$R$17"))=TRIM(Tulokset!$O$15),2,0))</f>
        <v/>
      </c>
      <c r="DN35" s="333" t="str">
        <f ca="1">IF(OR(Tulokset!$P$12="",INDIRECT("'"&amp;$A35&amp;"'!$S$14")=""),"",IF(TRIM(INDIRECT("'"&amp;$A35&amp;"'!$S$14"))=TRIM(Tulokset!$P$12),2,0))</f>
        <v/>
      </c>
      <c r="DO35" s="333" t="str">
        <f ca="1">IF(OR(Tulokset!$P$13="",INDIRECT("'"&amp;$A35&amp;"'!$S$15")=""),"",IF(TRIM(INDIRECT("'"&amp;$A35&amp;"'!$S$15"))=TRIM(Tulokset!$P$13),2,0))</f>
        <v/>
      </c>
      <c r="DP35" s="333" t="str">
        <f ca="1">IF(OR(Tulokset!$P$14="",INDIRECT("'"&amp;$A35&amp;"'!$S$16")=""),"",IF(TRIM(INDIRECT("'"&amp;$A35&amp;"'!$S$16"))=TRIM(Tulokset!$P$14),2,0))</f>
        <v/>
      </c>
      <c r="DQ35" s="333" t="str">
        <f ca="1">IF(OR(Tulokset!$P$15="",INDIRECT("'"&amp;$A35&amp;"'!$S$17")=""),"",IF(TRIM(INDIRECT("'"&amp;$A35&amp;"'!$S$17"))=TRIM(Tulokset!$P$15),2,0))</f>
        <v/>
      </c>
      <c r="DR35" s="333" t="str">
        <f ca="1">IF(OR(Tulokset!$Q$12="",INDIRECT("'"&amp;$A35&amp;"'!$T$14")=""),"",IF(TRIM(INDIRECT("'"&amp;$A35&amp;"'!$T$14"))=TRIM(Tulokset!$Q$12),2,0))</f>
        <v/>
      </c>
      <c r="DS35" s="333" t="str">
        <f ca="1">IF(OR(Tulokset!$Q$13="",INDIRECT("'"&amp;$A35&amp;"'!$T$15")=""),"",IF(TRIM(INDIRECT("'"&amp;$A35&amp;"'!$T$15"))=TRIM(Tulokset!$Q$13),2,0))</f>
        <v/>
      </c>
      <c r="DT35" s="333" t="str">
        <f ca="1">IF(OR(Tulokset!$Q$14="",INDIRECT("'"&amp;$A35&amp;"'!$T$16")=""),"",IF(TRIM(INDIRECT("'"&amp;$A35&amp;"'!$T$16"))=TRIM(Tulokset!$Q$14),2,0))</f>
        <v/>
      </c>
      <c r="DU35" s="333" t="str">
        <f ca="1">IF(OR(Tulokset!$Q$15="",INDIRECT("'"&amp;$A35&amp;"'!$T$17")=""),"",IF(TRIM(INDIRECT("'"&amp;$A35&amp;"'!$T$17"))=TRIM(Tulokset!$Q$15),2,0))</f>
        <v/>
      </c>
      <c r="DV35" s="333" t="str">
        <f ca="1">IF(OR(Tulokset!$R$12="",INDIRECT("'"&amp;$A35&amp;"'!$U$14")=""),"",IF(TRIM(INDIRECT("'"&amp;$A35&amp;"'!$U$14"))=TRIM(Tulokset!$R$12),2,0))</f>
        <v/>
      </c>
      <c r="DW35" s="333" t="str">
        <f ca="1">IF(OR(Tulokset!$R$13="",INDIRECT("'"&amp;$A35&amp;"'!$U$15")=""),"",IF(TRIM(INDIRECT("'"&amp;$A35&amp;"'!$U$15"))=TRIM(Tulokset!$R$13),2,0))</f>
        <v/>
      </c>
      <c r="DX35" s="333" t="str">
        <f ca="1">IF(OR(Tulokset!$R$14="",INDIRECT("'"&amp;$A35&amp;"'!$U$16")=""),"",IF(TRIM(INDIRECT("'"&amp;$A35&amp;"'!$U$16"))=TRIM(Tulokset!$R$14),2,0))</f>
        <v/>
      </c>
      <c r="DY35" s="333" t="str">
        <f ca="1">IF(OR(Tulokset!$R$15="",INDIRECT("'"&amp;$A35&amp;"'!$U$17")=""),"",IF(TRIM(INDIRECT("'"&amp;$A35&amp;"'!$U$17"))=TRIM(Tulokset!$R$15),2,0))</f>
        <v/>
      </c>
      <c r="DZ35" s="333"/>
      <c r="EA35" s="333" t="str">
        <f ca="1">IF(OR(INDIRECT("'"&amp;$A35&amp;"'!$E$79")="",COUNTA(Tulokset!$M$20:$M$21)=0),"",IF(COUNTIF(Tulokset!$M$20:$M$21,INDIRECT("'"&amp;$A35&amp;"'!$E$79"))&gt;0,2,0))</f>
        <v/>
      </c>
      <c r="EB35" s="333" t="str">
        <f ca="1">IF(OR(INDIRECT("'"&amp;$A35&amp;"'!$G$79")="",COUNTA(Tulokset!$M$20:$M$21)=0),"",IF(COUNTIF(Tulokset!$M$20:$M$21,INDIRECT("'"&amp;$A35&amp;"'!$G$79"))&gt;0,2,0))</f>
        <v/>
      </c>
      <c r="EC35" s="333" t="str">
        <f ca="1">IF(OR(INDIRECT("'"&amp;$A35&amp;"'!$E$80")="",COUNTA(Tulokset!$M$23:$M$24)=0),"",IF(COUNTIF(Tulokset!$M$23:$M$24,INDIRECT("'"&amp;$A35&amp;"'!$E$80"))&gt;0,2,0))</f>
        <v/>
      </c>
      <c r="ED35" s="333" t="str">
        <f ca="1">IF(OR(INDIRECT("'"&amp;$A35&amp;"'!$G$80")="",COUNTA(Tulokset!$M$23:$M$24)=0),"",IF(COUNTIF(Tulokset!$M$23:$M$24,INDIRECT("'"&amp;$A35&amp;"'!$G$80"))&gt;0,2,0))</f>
        <v/>
      </c>
    </row>
    <row r="36" spans="1:134">
      <c r="A36" s="333">
        <v>33</v>
      </c>
      <c r="B36" s="333" t="str">
        <f t="shared" ca="1" si="0"/>
        <v>Sanukka</v>
      </c>
      <c r="C36" s="334">
        <f t="shared" si="1"/>
        <v>0</v>
      </c>
      <c r="D36" s="334">
        <f t="shared" ca="1" si="2"/>
        <v>0</v>
      </c>
      <c r="E36" s="334">
        <f t="shared" ca="1" si="3"/>
        <v>0</v>
      </c>
      <c r="F36" s="334">
        <f t="shared" ca="1" si="4"/>
        <v>0</v>
      </c>
      <c r="G36" s="334">
        <f t="shared" si="5"/>
        <v>0</v>
      </c>
      <c r="H36" s="333" t="str">
        <f>IF(OR(Tulokset!$G$6="",Tulokset!$I$6="",'33'!$I$7="",'33'!$K$7=""),"",IF(SIGN('33'!$I$7-'33'!$K$7)&lt;&gt;SIGN(Tulokset!$G$6-Tulokset!$I$6),0,IF(Tulokset!$G$6=Tulokset!$I$6,IF(AND('33'!$I$7=Tulokset!$G$6,'33'!$K$7=Tulokset!$I$6),6,3),MAX(0,6-(ABS('33'!$I$7-Tulokset!$G$6)+ABS('33'!$K$7-Tulokset!$I$6))))))</f>
        <v/>
      </c>
      <c r="I36" s="333" t="str">
        <f>IF(OR(Tulokset!$G$7="",Tulokset!$I$7="",'33'!$I$8="",'33'!$K$8=""),"",IF(SIGN('33'!$I$8-'33'!$K$8)&lt;&gt;SIGN(Tulokset!$G$7-Tulokset!$I$7),0,IF(Tulokset!$G$7=Tulokset!$I$7,IF(AND('33'!$I$8=Tulokset!$G$7,'33'!$K$8=Tulokset!$I$7),6,3),MAX(0,6-(ABS('33'!$I$8-Tulokset!$G$7)+ABS('33'!$K$8-Tulokset!$I$7))))))</f>
        <v/>
      </c>
      <c r="J36" s="333" t="str">
        <f>IF(OR(Tulokset!$G$8="",Tulokset!$I$8="",'33'!$I$9="",'33'!$K$9=""),"",IF(SIGN('33'!$I$9-'33'!$K$9)&lt;&gt;SIGN(Tulokset!$G$8-Tulokset!$I$8),0,IF(Tulokset!$G$8=Tulokset!$I$8,IF(AND('33'!$I$9=Tulokset!$G$8,'33'!$K$9=Tulokset!$I$8),6,3),MAX(0,6-(ABS('33'!$I$9-Tulokset!$G$8)+ABS('33'!$K$9-Tulokset!$I$8))))))</f>
        <v/>
      </c>
      <c r="K36" s="333" t="str">
        <f>IF(OR(Tulokset!$G$9="",Tulokset!$I$9="",'33'!$I$10="",'33'!$K$10=""),"",IF(SIGN('33'!$I$10-'33'!$K$10)&lt;&gt;SIGN(Tulokset!$G$9-Tulokset!$I$9),0,IF(Tulokset!$G$9=Tulokset!$I$9,IF(AND('33'!$I$10=Tulokset!$G$9,'33'!$K$10=Tulokset!$I$9),6,3),MAX(0,6-(ABS('33'!$I$10-Tulokset!$G$9)+ABS('33'!$K$10-Tulokset!$I$9))))))</f>
        <v/>
      </c>
      <c r="L36" s="333" t="str">
        <f>IF(OR(Tulokset!$G$10="",Tulokset!$I$10="",'33'!$I$11="",'33'!$K$11=""),"",IF(SIGN('33'!$I$11-'33'!$K$11)&lt;&gt;SIGN(Tulokset!$G$10-Tulokset!$I$10),0,IF(Tulokset!$G$10=Tulokset!$I$10,IF(AND('33'!$I$11=Tulokset!$G$10,'33'!$K$11=Tulokset!$I$10),6,3),MAX(0,6-(ABS('33'!$I$11-Tulokset!$G$10)+ABS('33'!$K$11-Tulokset!$I$10))))))</f>
        <v/>
      </c>
      <c r="M36" s="333" t="str">
        <f>IF(OR(Tulokset!$G$11="",Tulokset!$I$11="",'33'!$I$12="",'33'!$K$12=""),"",IF(SIGN('33'!$I$12-'33'!$K$12)&lt;&gt;SIGN(Tulokset!$G$11-Tulokset!$I$11),0,IF(Tulokset!$G$11=Tulokset!$I$11,IF(AND('33'!$I$12=Tulokset!$G$11,'33'!$K$12=Tulokset!$I$11),6,3),MAX(0,6-(ABS('33'!$I$12-Tulokset!$G$11)+ABS('33'!$K$12-Tulokset!$I$11))))))</f>
        <v/>
      </c>
      <c r="N36" s="333" t="str">
        <f>IF(OR(Tulokset!$G$12="",Tulokset!$I$12="",'33'!$I$13="",'33'!$K$13=""),"",IF(SIGN('33'!$I$13-'33'!$K$13)&lt;&gt;SIGN(Tulokset!$G$12-Tulokset!$I$12),0,IF(Tulokset!$G$12=Tulokset!$I$12,IF(AND('33'!$I$13=Tulokset!$G$12,'33'!$K$13=Tulokset!$I$12),6,3),MAX(0,6-(ABS('33'!$I$13-Tulokset!$G$12)+ABS('33'!$K$13-Tulokset!$I$12))))))</f>
        <v/>
      </c>
      <c r="O36" s="333" t="str">
        <f>IF(OR(Tulokset!$G$13="",Tulokset!$I$13="",'33'!$I$14="",'33'!$K$14=""),"",IF(SIGN('33'!$I$14-'33'!$K$14)&lt;&gt;SIGN(Tulokset!$G$13-Tulokset!$I$13),0,IF(Tulokset!$G$13=Tulokset!$I$13,IF(AND('33'!$I$14=Tulokset!$G$13,'33'!$K$14=Tulokset!$I$13),6,3),MAX(0,6-(ABS('33'!$I$14-Tulokset!$G$13)+ABS('33'!$K$14-Tulokset!$I$13))))))</f>
        <v/>
      </c>
      <c r="P36" s="333" t="str">
        <f>IF(OR(Tulokset!$G$14="",Tulokset!$I$14="",'33'!$I$15="",'33'!$K$15=""),"",IF(SIGN('33'!$I$15-'33'!$K$15)&lt;&gt;SIGN(Tulokset!$G$14-Tulokset!$I$14),0,IF(Tulokset!$G$14=Tulokset!$I$14,IF(AND('33'!$I$15=Tulokset!$G$14,'33'!$K$15=Tulokset!$I$14),6,3),MAX(0,6-(ABS('33'!$I$15-Tulokset!$G$14)+ABS('33'!$K$15-Tulokset!$I$14))))))</f>
        <v/>
      </c>
      <c r="Q36" s="333" t="str">
        <f>IF(OR(Tulokset!$G$15="",Tulokset!$I$15="",'33'!$I$16="",'33'!$K$16=""),"",IF(SIGN('33'!$I$16-'33'!$K$16)&lt;&gt;SIGN(Tulokset!$G$15-Tulokset!$I$15),0,IF(Tulokset!$G$15=Tulokset!$I$15,IF(AND('33'!$I$16=Tulokset!$G$15,'33'!$K$16=Tulokset!$I$15),6,3),MAX(0,6-(ABS('33'!$I$16-Tulokset!$G$15)+ABS('33'!$K$16-Tulokset!$I$15))))))</f>
        <v/>
      </c>
      <c r="R36" s="333" t="str">
        <f>IF(OR(Tulokset!$G$16="",Tulokset!$I$16="",'33'!$I$17="",'33'!$K$17=""),"",IF(SIGN('33'!$I$17-'33'!$K$17)&lt;&gt;SIGN(Tulokset!$G$16-Tulokset!$I$16),0,IF(Tulokset!$G$16=Tulokset!$I$16,IF(AND('33'!$I$17=Tulokset!$G$16,'33'!$K$17=Tulokset!$I$16),6,3),MAX(0,6-(ABS('33'!$I$17-Tulokset!$G$16)+ABS('33'!$K$17-Tulokset!$I$16))))))</f>
        <v/>
      </c>
      <c r="S36" s="333" t="str">
        <f>IF(OR(Tulokset!$G$17="",Tulokset!$I$17="",'33'!$I$18="",'33'!$K$18=""),"",IF(SIGN('33'!$I$18-'33'!$K$18)&lt;&gt;SIGN(Tulokset!$G$17-Tulokset!$I$17),0,IF(Tulokset!$G$17=Tulokset!$I$17,IF(AND('33'!$I$18=Tulokset!$G$17,'33'!$K$18=Tulokset!$I$17),6,3),MAX(0,6-(ABS('33'!$I$18-Tulokset!$G$17)+ABS('33'!$K$18-Tulokset!$I$17))))))</f>
        <v/>
      </c>
      <c r="T36" s="333" t="str">
        <f>IF(OR(Tulokset!$G$18="",Tulokset!$I$18="",'33'!$I$19="",'33'!$K$19=""),"",IF(SIGN('33'!$I$19-'33'!$K$19)&lt;&gt;SIGN(Tulokset!$G$18-Tulokset!$I$18),0,IF(Tulokset!$G$18=Tulokset!$I$18,IF(AND('33'!$I$19=Tulokset!$G$18,'33'!$K$19=Tulokset!$I$18),6,3),MAX(0,6-(ABS('33'!$I$19-Tulokset!$G$18)+ABS('33'!$K$19-Tulokset!$I$18))))))</f>
        <v/>
      </c>
      <c r="U36" s="333" t="str">
        <f>IF(OR(Tulokset!$G$19="",Tulokset!$I$19="",'33'!$I$20="",'33'!$K$20=""),"",IF(SIGN('33'!$I$20-'33'!$K$20)&lt;&gt;SIGN(Tulokset!$G$19-Tulokset!$I$19),0,IF(Tulokset!$G$19=Tulokset!$I$19,IF(AND('33'!$I$20=Tulokset!$G$19,'33'!$K$20=Tulokset!$I$19),6,3),MAX(0,6-(ABS('33'!$I$20-Tulokset!$G$19)+ABS('33'!$K$20-Tulokset!$I$19))))))</f>
        <v/>
      </c>
      <c r="V36" s="333" t="str">
        <f>IF(OR(Tulokset!$G$20="",Tulokset!$I$20="",'33'!$I$21="",'33'!$K$21=""),"",IF(SIGN('33'!$I$21-'33'!$K$21)&lt;&gt;SIGN(Tulokset!$G$20-Tulokset!$I$20),0,IF(Tulokset!$G$20=Tulokset!$I$20,IF(AND('33'!$I$21=Tulokset!$G$20,'33'!$K$21=Tulokset!$I$20),6,3),MAX(0,6-(ABS('33'!$I$21-Tulokset!$G$20)+ABS('33'!$K$21-Tulokset!$I$20))))))</f>
        <v/>
      </c>
      <c r="W36" s="333" t="str">
        <f>IF(OR(Tulokset!$G$21="",Tulokset!$I$21="",'33'!$I$22="",'33'!$K$22=""),"",IF(SIGN('33'!$I$22-'33'!$K$22)&lt;&gt;SIGN(Tulokset!$G$21-Tulokset!$I$21),0,IF(Tulokset!$G$21=Tulokset!$I$21,IF(AND('33'!$I$22=Tulokset!$G$21,'33'!$K$22=Tulokset!$I$21),6,3),MAX(0,6-(ABS('33'!$I$22-Tulokset!$G$21)+ABS('33'!$K$22-Tulokset!$I$21))))))</f>
        <v/>
      </c>
      <c r="X36" s="333" t="str">
        <f>IF(OR(Tulokset!$G$22="",Tulokset!$I$22="",'33'!$I$23="",'33'!$K$23=""),"",IF(SIGN('33'!$I$23-'33'!$K$23)&lt;&gt;SIGN(Tulokset!$G$22-Tulokset!$I$22),0,IF(Tulokset!$G$22=Tulokset!$I$22,IF(AND('33'!$I$23=Tulokset!$G$22,'33'!$K$23=Tulokset!$I$22),6,3),MAX(0,6-(ABS('33'!$I$23-Tulokset!$G$22)+ABS('33'!$K$23-Tulokset!$I$22))))))</f>
        <v/>
      </c>
      <c r="Y36" s="333" t="str">
        <f>IF(OR(Tulokset!$G$23="",Tulokset!$I$23="",'33'!$I$24="",'33'!$K$24=""),"",IF(SIGN('33'!$I$24-'33'!$K$24)&lt;&gt;SIGN(Tulokset!$G$23-Tulokset!$I$23),0,IF(Tulokset!$G$23=Tulokset!$I$23,IF(AND('33'!$I$24=Tulokset!$G$23,'33'!$K$24=Tulokset!$I$23),6,3),MAX(0,6-(ABS('33'!$I$24-Tulokset!$G$23)+ABS('33'!$K$24-Tulokset!$I$23))))))</f>
        <v/>
      </c>
      <c r="Z36" s="333" t="str">
        <f>IF(OR(Tulokset!$G$24="",Tulokset!$I$24="",'33'!$I$25="",'33'!$K$25=""),"",IF(SIGN('33'!$I$25-'33'!$K$25)&lt;&gt;SIGN(Tulokset!$G$24-Tulokset!$I$24),0,IF(Tulokset!$G$24=Tulokset!$I$24,IF(AND('33'!$I$25=Tulokset!$G$24,'33'!$K$25=Tulokset!$I$24),6,3),MAX(0,6-(ABS('33'!$I$25-Tulokset!$G$24)+ABS('33'!$K$25-Tulokset!$I$24))))))</f>
        <v/>
      </c>
      <c r="AA36" s="333" t="str">
        <f>IF(OR(Tulokset!$G$25="",Tulokset!$I$25="",'33'!$I$26="",'33'!$K$26=""),"",IF(SIGN('33'!$I$26-'33'!$K$26)&lt;&gt;SIGN(Tulokset!$G$25-Tulokset!$I$25),0,IF(Tulokset!$G$25=Tulokset!$I$25,IF(AND('33'!$I$26=Tulokset!$G$25,'33'!$K$26=Tulokset!$I$25),6,3),MAX(0,6-(ABS('33'!$I$26-Tulokset!$G$25)+ABS('33'!$K$26-Tulokset!$I$25))))))</f>
        <v/>
      </c>
      <c r="AB36" s="333" t="str">
        <f>IF(OR(Tulokset!$G$26="",Tulokset!$I$26="",'33'!$I$27="",'33'!$K$27=""),"",IF(SIGN('33'!$I$27-'33'!$K$27)&lt;&gt;SIGN(Tulokset!$G$26-Tulokset!$I$26),0,IF(Tulokset!$G$26=Tulokset!$I$26,IF(AND('33'!$I$27=Tulokset!$G$26,'33'!$K$27=Tulokset!$I$26),6,3),MAX(0,6-(ABS('33'!$I$27-Tulokset!$G$26)+ABS('33'!$K$27-Tulokset!$I$26))))))</f>
        <v/>
      </c>
      <c r="AC36" s="333" t="str">
        <f>IF(OR(Tulokset!$G$27="",Tulokset!$I$27="",'33'!$I$28="",'33'!$K$28=""),"",IF(SIGN('33'!$I$28-'33'!$K$28)&lt;&gt;SIGN(Tulokset!$G$27-Tulokset!$I$27),0,IF(Tulokset!$G$27=Tulokset!$I$27,IF(AND('33'!$I$28=Tulokset!$G$27,'33'!$K$28=Tulokset!$I$27),6,3),MAX(0,6-(ABS('33'!$I$28-Tulokset!$G$27)+ABS('33'!$K$28-Tulokset!$I$27))))))</f>
        <v/>
      </c>
      <c r="AD36" s="333" t="str">
        <f>IF(OR(Tulokset!$G$28="",Tulokset!$I$28="",'33'!$I$29="",'33'!$K$29=""),"",IF(SIGN('33'!$I$29-'33'!$K$29)&lt;&gt;SIGN(Tulokset!$G$28-Tulokset!$I$28),0,IF(Tulokset!$G$28=Tulokset!$I$28,IF(AND('33'!$I$29=Tulokset!$G$28,'33'!$K$29=Tulokset!$I$28),6,3),MAX(0,6-(ABS('33'!$I$29-Tulokset!$G$28)+ABS('33'!$K$29-Tulokset!$I$28))))))</f>
        <v/>
      </c>
      <c r="AE36" s="333" t="str">
        <f>IF(OR(Tulokset!$G$29="",Tulokset!$I$29="",'33'!$I$30="",'33'!$K$30=""),"",IF(SIGN('33'!$I$30-'33'!$K$30)&lt;&gt;SIGN(Tulokset!$G$29-Tulokset!$I$29),0,IF(Tulokset!$G$29=Tulokset!$I$29,IF(AND('33'!$I$30=Tulokset!$G$29,'33'!$K$30=Tulokset!$I$29),6,3),MAX(0,6-(ABS('33'!$I$30-Tulokset!$G$29)+ABS('33'!$K$30-Tulokset!$I$29))))))</f>
        <v/>
      </c>
      <c r="AF36" s="333" t="str">
        <f>IF(OR(Tulokset!$G$30="",Tulokset!$I$30="",'33'!$I$31="",'33'!$K$31=""),"",IF(SIGN('33'!$I$31-'33'!$K$31)&lt;&gt;SIGN(Tulokset!$G$30-Tulokset!$I$30),0,IF(Tulokset!$G$30=Tulokset!$I$30,IF(AND('33'!$I$31=Tulokset!$G$30,'33'!$K$31=Tulokset!$I$30),6,3),MAX(0,6-(ABS('33'!$I$31-Tulokset!$G$30)+ABS('33'!$K$31-Tulokset!$I$30))))))</f>
        <v/>
      </c>
      <c r="AG36" s="333" t="str">
        <f>IF(OR(Tulokset!$G$31="",Tulokset!$I$31="",'33'!$I$32="",'33'!$K$32=""),"",IF(SIGN('33'!$I$32-'33'!$K$32)&lt;&gt;SIGN(Tulokset!$G$31-Tulokset!$I$31),0,IF(Tulokset!$G$31=Tulokset!$I$31,IF(AND('33'!$I$32=Tulokset!$G$31,'33'!$K$32=Tulokset!$I$31),6,3),MAX(0,6-(ABS('33'!$I$32-Tulokset!$G$31)+ABS('33'!$K$32-Tulokset!$I$31))))))</f>
        <v/>
      </c>
      <c r="AH36" s="333" t="str">
        <f>IF(OR(Tulokset!$G$32="",Tulokset!$I$32="",'33'!$I$33="",'33'!$K$33=""),"",IF(SIGN('33'!$I$33-'33'!$K$33)&lt;&gt;SIGN(Tulokset!$G$32-Tulokset!$I$32),0,IF(Tulokset!$G$32=Tulokset!$I$32,IF(AND('33'!$I$33=Tulokset!$G$32,'33'!$K$33=Tulokset!$I$32),6,3),MAX(0,6-(ABS('33'!$I$33-Tulokset!$G$32)+ABS('33'!$K$33-Tulokset!$I$32))))))</f>
        <v/>
      </c>
      <c r="AI36" s="333" t="str">
        <f>IF(OR(Tulokset!$G$33="",Tulokset!$I$33="",'33'!$I$34="",'33'!$K$34=""),"",IF(SIGN('33'!$I$34-'33'!$K$34)&lt;&gt;SIGN(Tulokset!$G$33-Tulokset!$I$33),0,IF(Tulokset!$G$33=Tulokset!$I$33,IF(AND('33'!$I$34=Tulokset!$G$33,'33'!$K$34=Tulokset!$I$33),6,3),MAX(0,6-(ABS('33'!$I$34-Tulokset!$G$33)+ABS('33'!$K$34-Tulokset!$I$33))))))</f>
        <v/>
      </c>
      <c r="AJ36" s="333" t="str">
        <f>IF(OR(Tulokset!$G$34="",Tulokset!$I$34="",'33'!$I$35="",'33'!$K$35=""),"",IF(SIGN('33'!$I$35-'33'!$K$35)&lt;&gt;SIGN(Tulokset!$G$34-Tulokset!$I$34),0,IF(Tulokset!$G$34=Tulokset!$I$34,IF(AND('33'!$I$35=Tulokset!$G$34,'33'!$K$35=Tulokset!$I$34),6,3),MAX(0,6-(ABS('33'!$I$35-Tulokset!$G$34)+ABS('33'!$K$35-Tulokset!$I$34))))))</f>
        <v/>
      </c>
      <c r="AK36" s="333" t="str">
        <f>IF(OR(Tulokset!$G$35="",Tulokset!$I$35="",'33'!$I$36="",'33'!$K$36=""),"",IF(SIGN('33'!$I$36-'33'!$K$36)&lt;&gt;SIGN(Tulokset!$G$35-Tulokset!$I$35),0,IF(Tulokset!$G$35=Tulokset!$I$35,IF(AND('33'!$I$36=Tulokset!$G$35,'33'!$K$36=Tulokset!$I$35),6,3),MAX(0,6-(ABS('33'!$I$36-Tulokset!$G$35)+ABS('33'!$K$36-Tulokset!$I$35))))))</f>
        <v/>
      </c>
      <c r="AL36" s="333" t="str">
        <f>IF(OR(Tulokset!$G$36="",Tulokset!$I$36="",'33'!$I$37="",'33'!$K$37=""),"",IF(SIGN('33'!$I$37-'33'!$K$37)&lt;&gt;SIGN(Tulokset!$G$36-Tulokset!$I$36),0,IF(Tulokset!$G$36=Tulokset!$I$36,IF(AND('33'!$I$37=Tulokset!$G$36,'33'!$K$37=Tulokset!$I$36),6,3),MAX(0,6-(ABS('33'!$I$37-Tulokset!$G$36)+ABS('33'!$K$37-Tulokset!$I$36))))))</f>
        <v/>
      </c>
      <c r="AM36" s="333" t="str">
        <f>IF(OR(Tulokset!$G$37="",Tulokset!$I$37="",'33'!$I$38="",'33'!$K$38=""),"",IF(SIGN('33'!$I$38-'33'!$K$38)&lt;&gt;SIGN(Tulokset!$G$37-Tulokset!$I$37),0,IF(Tulokset!$G$37=Tulokset!$I$37,IF(AND('33'!$I$38=Tulokset!$G$37,'33'!$K$38=Tulokset!$I$37),6,3),MAX(0,6-(ABS('33'!$I$38-Tulokset!$G$37)+ABS('33'!$K$38-Tulokset!$I$37))))))</f>
        <v/>
      </c>
      <c r="AN36" s="333" t="str">
        <f>IF(OR(Tulokset!$G$38="",Tulokset!$I$38="",'33'!$I$39="",'33'!$K$39=""),"",IF(SIGN('33'!$I$39-'33'!$K$39)&lt;&gt;SIGN(Tulokset!$G$38-Tulokset!$I$38),0,IF(Tulokset!$G$38=Tulokset!$I$38,IF(AND('33'!$I$39=Tulokset!$G$38,'33'!$K$39=Tulokset!$I$38),6,3),MAX(0,6-(ABS('33'!$I$39-Tulokset!$G$38)+ABS('33'!$K$39-Tulokset!$I$38))))))</f>
        <v/>
      </c>
      <c r="AO36" s="333" t="str">
        <f>IF(OR(Tulokset!$G$39="",Tulokset!$I$39="",'33'!$I$40="",'33'!$K$40=""),"",IF(SIGN('33'!$I$40-'33'!$K$40)&lt;&gt;SIGN(Tulokset!$G$39-Tulokset!$I$39),0,IF(Tulokset!$G$39=Tulokset!$I$39,IF(AND('33'!$I$40=Tulokset!$G$39,'33'!$K$40=Tulokset!$I$39),6,3),MAX(0,6-(ABS('33'!$I$40-Tulokset!$G$39)+ABS('33'!$K$40-Tulokset!$I$39))))))</f>
        <v/>
      </c>
      <c r="AP36" s="333" t="str">
        <f>IF(OR(Tulokset!$G$40="",Tulokset!$I$40="",'33'!$I$41="",'33'!$K$41=""),"",IF(SIGN('33'!$I$41-'33'!$K$41)&lt;&gt;SIGN(Tulokset!$G$40-Tulokset!$I$40),0,IF(Tulokset!$G$40=Tulokset!$I$40,IF(AND('33'!$I$41=Tulokset!$G$40,'33'!$K$41=Tulokset!$I$40),6,3),MAX(0,6-(ABS('33'!$I$41-Tulokset!$G$40)+ABS('33'!$K$41-Tulokset!$I$40))))))</f>
        <v/>
      </c>
      <c r="AQ36" s="333" t="str">
        <f>IF(OR(Tulokset!$G$41="",Tulokset!$I$41="",'33'!$I$42="",'33'!$K$42=""),"",IF(SIGN('33'!$I$42-'33'!$K$42)&lt;&gt;SIGN(Tulokset!$G$41-Tulokset!$I$41),0,IF(Tulokset!$G$41=Tulokset!$I$41,IF(AND('33'!$I$42=Tulokset!$G$41,'33'!$K$42=Tulokset!$I$41),6,3),MAX(0,6-(ABS('33'!$I$42-Tulokset!$G$41)+ABS('33'!$K$42-Tulokset!$I$41))))))</f>
        <v/>
      </c>
      <c r="AR36" s="333" t="str">
        <f>IF(OR(Tulokset!$G$42="",Tulokset!$I$42="",'33'!$I$43="",'33'!$K$43=""),"",IF(SIGN('33'!$I$43-'33'!$K$43)&lt;&gt;SIGN(Tulokset!$G$42-Tulokset!$I$42),0,IF(Tulokset!$G$42=Tulokset!$I$42,IF(AND('33'!$I$43=Tulokset!$G$42,'33'!$K$43=Tulokset!$I$42),6,3),MAX(0,6-(ABS('33'!$I$43-Tulokset!$G$42)+ABS('33'!$K$43-Tulokset!$I$42))))))</f>
        <v/>
      </c>
      <c r="AS36" s="333" t="str">
        <f>IF(OR(Tulokset!$G$43="",Tulokset!$I$43="",'33'!$I$44="",'33'!$K$44=""),"",IF(SIGN('33'!$I$44-'33'!$K$44)&lt;&gt;SIGN(Tulokset!$G$43-Tulokset!$I$43),0,IF(Tulokset!$G$43=Tulokset!$I$43,IF(AND('33'!$I$44=Tulokset!$G$43,'33'!$K$44=Tulokset!$I$43),6,3),MAX(0,6-(ABS('33'!$I$44-Tulokset!$G$43)+ABS('33'!$K$44-Tulokset!$I$43))))))</f>
        <v/>
      </c>
      <c r="AT36" s="333" t="str">
        <f>IF(OR(Tulokset!$G$44="",Tulokset!$I$44="",'33'!$I$45="",'33'!$K$45=""),"",IF(SIGN('33'!$I$45-'33'!$K$45)&lt;&gt;SIGN(Tulokset!$G$44-Tulokset!$I$44),0,IF(Tulokset!$G$44=Tulokset!$I$44,IF(AND('33'!$I$45=Tulokset!$G$44,'33'!$K$45=Tulokset!$I$44),6,3),MAX(0,6-(ABS('33'!$I$45-Tulokset!$G$44)+ABS('33'!$K$45-Tulokset!$I$44))))))</f>
        <v/>
      </c>
      <c r="AU36" s="333" t="str">
        <f>IF(OR(Tulokset!$G$45="",Tulokset!$I$45="",'33'!$I$46="",'33'!$K$46=""),"",IF(SIGN('33'!$I$46-'33'!$K$46)&lt;&gt;SIGN(Tulokset!$G$45-Tulokset!$I$45),0,IF(Tulokset!$G$45=Tulokset!$I$45,IF(AND('33'!$I$46=Tulokset!$G$45,'33'!$K$46=Tulokset!$I$45),6,3),MAX(0,6-(ABS('33'!$I$46-Tulokset!$G$45)+ABS('33'!$K$46-Tulokset!$I$45))))))</f>
        <v/>
      </c>
      <c r="AV36" s="333" t="str">
        <f>IF(OR(Tulokset!$G$46="",Tulokset!$I$46="",'33'!$I$47="",'33'!$K$47=""),"",IF(SIGN('33'!$I$47-'33'!$K$47)&lt;&gt;SIGN(Tulokset!$G$46-Tulokset!$I$46),0,IF(Tulokset!$G$46=Tulokset!$I$46,IF(AND('33'!$I$47=Tulokset!$G$46,'33'!$K$47=Tulokset!$I$46),6,3),MAX(0,6-(ABS('33'!$I$47-Tulokset!$G$46)+ABS('33'!$K$47-Tulokset!$I$46))))))</f>
        <v/>
      </c>
      <c r="AW36" s="333" t="str">
        <f>IF(OR(Tulokset!$G$47="",Tulokset!$I$47="",'33'!$I$48="",'33'!$K$48=""),"",IF(SIGN('33'!$I$48-'33'!$K$48)&lt;&gt;SIGN(Tulokset!$G$47-Tulokset!$I$47),0,IF(Tulokset!$G$47=Tulokset!$I$47,IF(AND('33'!$I$48=Tulokset!$G$47,'33'!$K$48=Tulokset!$I$47),6,3),MAX(0,6-(ABS('33'!$I$48-Tulokset!$G$47)+ABS('33'!$K$48-Tulokset!$I$47))))))</f>
        <v/>
      </c>
      <c r="AX36" s="333" t="str">
        <f>IF(OR(Tulokset!$G$48="",Tulokset!$I$48="",'33'!$I$49="",'33'!$K$49=""),"",IF(SIGN('33'!$I$49-'33'!$K$49)&lt;&gt;SIGN(Tulokset!$G$48-Tulokset!$I$48),0,IF(Tulokset!$G$48=Tulokset!$I$48,IF(AND('33'!$I$49=Tulokset!$G$48,'33'!$K$49=Tulokset!$I$48),6,3),MAX(0,6-(ABS('33'!$I$49-Tulokset!$G$48)+ABS('33'!$K$49-Tulokset!$I$48))))))</f>
        <v/>
      </c>
      <c r="AY36" s="333" t="str">
        <f>IF(OR(Tulokset!$G$49="",Tulokset!$I$49="",'33'!$I$50="",'33'!$K$50=""),"",IF(SIGN('33'!$I$50-'33'!$K$50)&lt;&gt;SIGN(Tulokset!$G$49-Tulokset!$I$49),0,IF(Tulokset!$G$49=Tulokset!$I$49,IF(AND('33'!$I$50=Tulokset!$G$49,'33'!$K$50=Tulokset!$I$49),6,3),MAX(0,6-(ABS('33'!$I$50-Tulokset!$G$49)+ABS('33'!$K$50-Tulokset!$I$49))))))</f>
        <v/>
      </c>
      <c r="AZ36" s="333" t="str">
        <f>IF(OR(Tulokset!$G$50="",Tulokset!$I$50="",'33'!$I$51="",'33'!$K$51=""),"",IF(SIGN('33'!$I$51-'33'!$K$51)&lt;&gt;SIGN(Tulokset!$G$50-Tulokset!$I$50),0,IF(Tulokset!$G$50=Tulokset!$I$50,IF(AND('33'!$I$51=Tulokset!$G$50,'33'!$K$51=Tulokset!$I$50),6,3),MAX(0,6-(ABS('33'!$I$51-Tulokset!$G$50)+ABS('33'!$K$51-Tulokset!$I$50))))))</f>
        <v/>
      </c>
      <c r="BA36" s="333" t="str">
        <f>IF(OR(Tulokset!$G$51="",Tulokset!$I$51="",'33'!$I$52="",'33'!$K$52=""),"",IF(SIGN('33'!$I$52-'33'!$K$52)&lt;&gt;SIGN(Tulokset!$G$51-Tulokset!$I$51),0,IF(Tulokset!$G$51=Tulokset!$I$51,IF(AND('33'!$I$52=Tulokset!$G$51,'33'!$K$52=Tulokset!$I$51),6,3),MAX(0,6-(ABS('33'!$I$52-Tulokset!$G$51)+ABS('33'!$K$52-Tulokset!$I$51))))))</f>
        <v/>
      </c>
      <c r="BB36" s="333" t="str">
        <f>IF(OR(Tulokset!$G$52="",Tulokset!$I$52="",'33'!$I$53="",'33'!$K$53=""),"",IF(SIGN('33'!$I$53-'33'!$K$53)&lt;&gt;SIGN(Tulokset!$G$52-Tulokset!$I$52),0,IF(Tulokset!$G$52=Tulokset!$I$52,IF(AND('33'!$I$53=Tulokset!$G$52,'33'!$K$53=Tulokset!$I$52),6,3),MAX(0,6-(ABS('33'!$I$53-Tulokset!$G$52)+ABS('33'!$K$53-Tulokset!$I$52))))))</f>
        <v/>
      </c>
      <c r="BC36" s="333" t="str">
        <f>IF(OR(Tulokset!$G$53="",Tulokset!$I$53="",'33'!$I$54="",'33'!$K$54=""),"",IF(SIGN('33'!$I$54-'33'!$K$54)&lt;&gt;SIGN(Tulokset!$G$53-Tulokset!$I$53),0,IF(Tulokset!$G$53=Tulokset!$I$53,IF(AND('33'!$I$54=Tulokset!$G$53,'33'!$K$54=Tulokset!$I$53),6,3),MAX(0,6-(ABS('33'!$I$54-Tulokset!$G$53)+ABS('33'!$K$54-Tulokset!$I$53))))))</f>
        <v/>
      </c>
      <c r="BD36" s="333" t="str">
        <f>IF(OR(Tulokset!$G$54="",Tulokset!$I$54="",'33'!$I$55="",'33'!$K$55=""),"",IF(SIGN('33'!$I$55-'33'!$K$55)&lt;&gt;SIGN(Tulokset!$G$54-Tulokset!$I$54),0,IF(Tulokset!$G$54=Tulokset!$I$54,IF(AND('33'!$I$55=Tulokset!$G$54,'33'!$K$55=Tulokset!$I$54),6,3),MAX(0,6-(ABS('33'!$I$55-Tulokset!$G$54)+ABS('33'!$K$55-Tulokset!$I$54))))))</f>
        <v/>
      </c>
      <c r="BE36" s="333" t="str">
        <f>IF(OR(Tulokset!$G$55="",Tulokset!$I$55="",'33'!$I$56="",'33'!$K$56=""),"",IF(SIGN('33'!$I$56-'33'!$K$56)&lt;&gt;SIGN(Tulokset!$G$55-Tulokset!$I$55),0,IF(Tulokset!$G$55=Tulokset!$I$55,IF(AND('33'!$I$56=Tulokset!$G$55,'33'!$K$56=Tulokset!$I$55),6,3),MAX(0,6-(ABS('33'!$I$56-Tulokset!$G$55)+ABS('33'!$K$56-Tulokset!$I$55))))))</f>
        <v/>
      </c>
      <c r="BF36" s="333" t="str">
        <f>IF(OR(Tulokset!$G$56="",Tulokset!$I$56="",'33'!$I$57="",'33'!$K$57=""),"",IF(SIGN('33'!$I$57-'33'!$K$57)&lt;&gt;SIGN(Tulokset!$G$56-Tulokset!$I$56),0,IF(Tulokset!$G$56=Tulokset!$I$56,IF(AND('33'!$I$57=Tulokset!$G$56,'33'!$K$57=Tulokset!$I$56),6,3),MAX(0,6-(ABS('33'!$I$57-Tulokset!$G$56)+ABS('33'!$K$57-Tulokset!$I$56))))))</f>
        <v/>
      </c>
      <c r="BG36" s="333" t="str">
        <f>IF(OR(Tulokset!$G$57="",Tulokset!$I$57="",'33'!$I$58="",'33'!$K$58=""),"",IF(SIGN('33'!$I$58-'33'!$K$58)&lt;&gt;SIGN(Tulokset!$G$57-Tulokset!$I$57),0,IF(Tulokset!$G$57=Tulokset!$I$57,IF(AND('33'!$I$58=Tulokset!$G$57,'33'!$K$58=Tulokset!$I$57),6,3),MAX(0,6-(ABS('33'!$I$58-Tulokset!$G$57)+ABS('33'!$K$58-Tulokset!$I$57))))))</f>
        <v/>
      </c>
      <c r="BH36" s="333" t="str">
        <f>IF(OR(Tulokset!$G$58="",Tulokset!$I$58="",'33'!$I$59="",'33'!$K$59=""),"",IF(SIGN('33'!$I$59-'33'!$K$59)&lt;&gt;SIGN(Tulokset!$G$58-Tulokset!$I$58),0,IF(Tulokset!$G$58=Tulokset!$I$58,IF(AND('33'!$I$59=Tulokset!$G$58,'33'!$K$59=Tulokset!$I$58),6,3),MAX(0,6-(ABS('33'!$I$59-Tulokset!$G$58)+ABS('33'!$K$59-Tulokset!$I$58))))))</f>
        <v/>
      </c>
      <c r="BI36" s="333" t="str">
        <f>IF(OR(Tulokset!$G$59="",Tulokset!$I$59="",'33'!$I$60="",'33'!$K$60=""),"",IF(SIGN('33'!$I$60-'33'!$K$60)&lt;&gt;SIGN(Tulokset!$G$59-Tulokset!$I$59),0,IF(Tulokset!$G$59=Tulokset!$I$59,IF(AND('33'!$I$60=Tulokset!$G$59,'33'!$K$60=Tulokset!$I$59),6,3),MAX(0,6-(ABS('33'!$I$60-Tulokset!$G$59)+ABS('33'!$K$60-Tulokset!$I$59))))))</f>
        <v/>
      </c>
      <c r="BJ36" s="333" t="str">
        <f>IF(OR(Tulokset!$G$60="",Tulokset!$I$60="",'33'!$I$61="",'33'!$K$61=""),"",IF(SIGN('33'!$I$61-'33'!$K$61)&lt;&gt;SIGN(Tulokset!$G$60-Tulokset!$I$60),0,IF(Tulokset!$G$60=Tulokset!$I$60,IF(AND('33'!$I$61=Tulokset!$G$60,'33'!$K$61=Tulokset!$I$60),6,3),MAX(0,6-(ABS('33'!$I$61-Tulokset!$G$60)+ABS('33'!$K$61-Tulokset!$I$60))))))</f>
        <v/>
      </c>
      <c r="BK36" s="333" t="str">
        <f>IF(OR(Tulokset!$G$61="",Tulokset!$I$61="",'33'!$I$62="",'33'!$K$62=""),"",IF(SIGN('33'!$I$62-'33'!$K$62)&lt;&gt;SIGN(Tulokset!$G$61-Tulokset!$I$61),0,IF(Tulokset!$G$61=Tulokset!$I$61,IF(AND('33'!$I$62=Tulokset!$G$61,'33'!$K$62=Tulokset!$I$61),6,3),MAX(0,6-(ABS('33'!$I$62-Tulokset!$G$61)+ABS('33'!$K$62-Tulokset!$I$61))))))</f>
        <v/>
      </c>
      <c r="BL36" s="333" t="str">
        <f>IF(OR(Tulokset!$G$62="",Tulokset!$I$62="",'33'!$I$63="",'33'!$K$63=""),"",IF(SIGN('33'!$I$63-'33'!$K$63)&lt;&gt;SIGN(Tulokset!$G$62-Tulokset!$I$62),0,IF(Tulokset!$G$62=Tulokset!$I$62,IF(AND('33'!$I$63=Tulokset!$G$62,'33'!$K$63=Tulokset!$I$62),6,3),MAX(0,6-(ABS('33'!$I$63-Tulokset!$G$62)+ABS('33'!$K$63-Tulokset!$I$62))))))</f>
        <v/>
      </c>
      <c r="BM36" s="333" t="str">
        <f>IF(OR(Tulokset!$G$63="",Tulokset!$I$63="",'33'!$I$64="",'33'!$K$64=""),"",IF(SIGN('33'!$I$64-'33'!$K$64)&lt;&gt;SIGN(Tulokset!$G$63-Tulokset!$I$63),0,IF(Tulokset!$G$63=Tulokset!$I$63,IF(AND('33'!$I$64=Tulokset!$G$63,'33'!$K$64=Tulokset!$I$63),6,3),MAX(0,6-(ABS('33'!$I$64-Tulokset!$G$63)+ABS('33'!$K$64-Tulokset!$I$63))))))</f>
        <v/>
      </c>
      <c r="BN36" s="333" t="str">
        <f>IF(OR(Tulokset!$G$64="",Tulokset!$I$64="",'33'!$I$65="",'33'!$K$65=""),"",IF(SIGN('33'!$I$65-'33'!$K$65)&lt;&gt;SIGN(Tulokset!$G$64-Tulokset!$I$64),0,IF(Tulokset!$G$64=Tulokset!$I$64,IF(AND('33'!$I$65=Tulokset!$G$64,'33'!$K$65=Tulokset!$I$64),6,3),MAX(0,6-(ABS('33'!$I$65-Tulokset!$G$64)+ABS('33'!$K$65-Tulokset!$I$64))))))</f>
        <v/>
      </c>
      <c r="BO36" s="333" t="str">
        <f>IF(OR(Tulokset!$G$65="",Tulokset!$I$65="",'33'!$I$66="",'33'!$K$66=""),"",IF(SIGN('33'!$I$66-'33'!$K$66)&lt;&gt;SIGN(Tulokset!$G$65-Tulokset!$I$65),0,IF(Tulokset!$G$65=Tulokset!$I$65,IF(AND('33'!$I$66=Tulokset!$G$65,'33'!$K$66=Tulokset!$I$65),6,3),MAX(0,6-(ABS('33'!$I$66-Tulokset!$G$65)+ABS('33'!$K$66-Tulokset!$I$65))))))</f>
        <v/>
      </c>
      <c r="BP36" s="333" t="str">
        <f>IF(OR(Tulokset!$G$66="",Tulokset!$I$66="",'33'!$I$67="",'33'!$K$67=""),"",IF(SIGN('33'!$I$67-'33'!$K$67)&lt;&gt;SIGN(Tulokset!$G$66-Tulokset!$I$66),0,IF(Tulokset!$G$66=Tulokset!$I$66,IF(AND('33'!$I$67=Tulokset!$G$66,'33'!$K$67=Tulokset!$I$66),6,3),MAX(0,6-(ABS('33'!$I$67-Tulokset!$G$66)+ABS('33'!$K$67-Tulokset!$I$66))))))</f>
        <v/>
      </c>
      <c r="BQ36" s="333" t="str">
        <f>IF(OR(Tulokset!$G$67="",Tulokset!$I$67="",'33'!$I$68="",'33'!$K$68=""),"",IF(SIGN('33'!$I$68-'33'!$K$68)&lt;&gt;SIGN(Tulokset!$G$67-Tulokset!$I$67),0,IF(Tulokset!$G$67=Tulokset!$I$67,IF(AND('33'!$I$68=Tulokset!$G$67,'33'!$K$68=Tulokset!$I$67),6,3),MAX(0,6-(ABS('33'!$I$68-Tulokset!$G$67)+ABS('33'!$K$68-Tulokset!$I$67))))))</f>
        <v/>
      </c>
      <c r="BR36" s="333" t="str">
        <f>IF(OR(Tulokset!$G$68="",Tulokset!$I$68="",'33'!$I$69="",'33'!$K$69=""),"",IF(SIGN('33'!$I$69-'33'!$K$69)&lt;&gt;SIGN(Tulokset!$G$68-Tulokset!$I$68),0,IF(Tulokset!$G$68=Tulokset!$I$68,IF(AND('33'!$I$69=Tulokset!$G$68,'33'!$K$69=Tulokset!$I$68),6,3),MAX(0,6-(ABS('33'!$I$69-Tulokset!$G$68)+ABS('33'!$K$69-Tulokset!$I$68))))))</f>
        <v/>
      </c>
      <c r="BS36" s="333" t="str">
        <f>IF(OR(Tulokset!$G$69="",Tulokset!$I$69="",'33'!$I$70="",'33'!$K$70=""),"",IF(SIGN('33'!$I$70-'33'!$K$70)&lt;&gt;SIGN(Tulokset!$G$69-Tulokset!$I$69),0,IF(Tulokset!$G$69=Tulokset!$I$69,IF(AND('33'!$I$70=Tulokset!$G$69,'33'!$K$70=Tulokset!$I$69),6,3),MAX(0,6-(ABS('33'!$I$70-Tulokset!$G$69)+ABS('33'!$K$70-Tulokset!$I$69))))))</f>
        <v/>
      </c>
      <c r="BT36" s="333" t="str">
        <f>IF(OR(Tulokset!$G$70="",Tulokset!$I$70="",'33'!$I$71="",'33'!$K$71=""),"",IF(SIGN('33'!$I$71-'33'!$K$71)&lt;&gt;SIGN(Tulokset!$G$70-Tulokset!$I$70),0,IF(Tulokset!$G$70=Tulokset!$I$70,IF(AND('33'!$I$71=Tulokset!$G$70,'33'!$K$71=Tulokset!$I$70),6,3),MAX(0,6-(ABS('33'!$I$71-Tulokset!$G$70)+ABS('33'!$K$71-Tulokset!$I$70))))))</f>
        <v/>
      </c>
      <c r="BU36" s="333" t="str">
        <f>IF(OR(Tulokset!$G$71="",Tulokset!$I$71="",'33'!$I$72="",'33'!$K$72=""),"",IF(SIGN('33'!$I$72-'33'!$K$72)&lt;&gt;SIGN(Tulokset!$G$71-Tulokset!$I$71),0,IF(Tulokset!$G$71=Tulokset!$I$71,IF(AND('33'!$I$72=Tulokset!$G$71,'33'!$K$72=Tulokset!$I$71),6,3),MAX(0,6-(ABS('33'!$I$72-Tulokset!$G$71)+ABS('33'!$K$72-Tulokset!$I$71))))))</f>
        <v/>
      </c>
      <c r="BV36" s="333" t="str">
        <f>IF(OR(Tulokset!$G$72="",Tulokset!$I$72="",'33'!$I$73="",'33'!$K$73=""),"",IF(SIGN('33'!$I$73-'33'!$K$73)&lt;&gt;SIGN(Tulokset!$G$72-Tulokset!$I$72),0,IF(Tulokset!$G$72=Tulokset!$I$72,IF(AND('33'!$I$73=Tulokset!$G$72,'33'!$K$73=Tulokset!$I$72),6,3),MAX(0,6-(ABS('33'!$I$73-Tulokset!$G$72)+ABS('33'!$K$73-Tulokset!$I$72))))))</f>
        <v/>
      </c>
      <c r="BW36" s="333" t="str">
        <f>IF(OR(Tulokset!$G$73="",Tulokset!$I$73="",'33'!$I$74="",'33'!$K$74=""),"",IF(SIGN('33'!$I$74-'33'!$K$74)&lt;&gt;SIGN(Tulokset!$G$73-Tulokset!$I$73),0,IF(Tulokset!$G$73=Tulokset!$I$73,IF(AND('33'!$I$74=Tulokset!$G$73,'33'!$K$74=Tulokset!$I$73),6,3),MAX(0,6-(ABS('33'!$I$74-Tulokset!$G$73)+ABS('33'!$K$74-Tulokset!$I$73))))))</f>
        <v/>
      </c>
      <c r="BX36" s="333" t="str">
        <f>IF(OR(Tulokset!$G$74="",Tulokset!$I$74="",'33'!$I$75="",'33'!$K$75=""),"",IF(SIGN('33'!$I$75-'33'!$K$75)&lt;&gt;SIGN(Tulokset!$G$74-Tulokset!$I$74),0,IF(Tulokset!$G$74=Tulokset!$I$74,IF(AND('33'!$I$75=Tulokset!$G$74,'33'!$K$75=Tulokset!$I$74),6,3),MAX(0,6-(ABS('33'!$I$75-Tulokset!$G$74)+ABS('33'!$K$75-Tulokset!$I$74))))))</f>
        <v/>
      </c>
      <c r="BY36" s="333" t="str">
        <f>IF(OR(Tulokset!$G$75="",Tulokset!$I$75="",'33'!$I$76="",'33'!$K$76=""),"",IF(SIGN('33'!$I$76-'33'!$K$76)&lt;&gt;SIGN(Tulokset!$G$75-Tulokset!$I$75),0,IF(Tulokset!$G$75=Tulokset!$I$75,IF(AND('33'!$I$76=Tulokset!$G$75,'33'!$K$76=Tulokset!$I$75),6,3),MAX(0,6-(ABS('33'!$I$76-Tulokset!$G$75)+ABS('33'!$K$76-Tulokset!$I$75))))))</f>
        <v/>
      </c>
      <c r="BZ36" s="333" t="str">
        <f>IF(OR(Tulokset!$G$76="",Tulokset!$I$76="",'33'!$I$77="",'33'!$K$77=""),"",IF(SIGN('33'!$I$77-'33'!$K$77)&lt;&gt;SIGN(Tulokset!$G$76-Tulokset!$I$76),0,IF(Tulokset!$G$76=Tulokset!$I$76,IF(AND('33'!$I$77=Tulokset!$G$76,'33'!$K$77=Tulokset!$I$76),6,3),MAX(0,6-(ABS('33'!$I$77-Tulokset!$G$76)+ABS('33'!$K$77-Tulokset!$I$76))))))</f>
        <v/>
      </c>
      <c r="CA36" s="333" t="str">
        <f>IF(OR(Tulokset!$G$77="",Tulokset!$I$77="",'33'!$I$78="",'33'!$K$78=""),"",IF(SIGN('33'!$I$78-'33'!$K$78)&lt;&gt;SIGN(Tulokset!$G$77-Tulokset!$I$77),0,IF(Tulokset!$G$77=Tulokset!$I$77,IF(AND('33'!$I$78=Tulokset!$G$77,'33'!$K$78=Tulokset!$I$77),6,3),MAX(0,6-(ABS('33'!$I$78-Tulokset!$G$77)+ABS('33'!$K$78-Tulokset!$I$77))))))</f>
        <v/>
      </c>
      <c r="CB36" s="333"/>
      <c r="CC36" s="333"/>
      <c r="CD36" s="333" t="str">
        <f ca="1">IF(OR(Tulokset!$M$6="",INDIRECT("'"&amp;$A36&amp;"'!$P$8")=""),"",IF(TRIM(INDIRECT("'"&amp;$A36&amp;"'!$P$8"))=TRIM(Tulokset!$M$6),2,0))</f>
        <v/>
      </c>
      <c r="CE36" s="333" t="str">
        <f ca="1">IF(OR(Tulokset!$M$7="",INDIRECT("'"&amp;$A36&amp;"'!$P$9")=""),"",IF(TRIM(INDIRECT("'"&amp;$A36&amp;"'!$P$9"))=TRIM(Tulokset!$M$7),2,0))</f>
        <v/>
      </c>
      <c r="CF36" s="333" t="str">
        <f ca="1">IF(OR(Tulokset!$M$8="",INDIRECT("'"&amp;$A36&amp;"'!$P$10")=""),"",IF(TRIM(INDIRECT("'"&amp;$A36&amp;"'!$P$10"))=TRIM(Tulokset!$M$8),2,0))</f>
        <v/>
      </c>
      <c r="CG36" s="333" t="str">
        <f ca="1">IF(OR(Tulokset!$M$9="",INDIRECT("'"&amp;$A36&amp;"'!$P$11")=""),"",IF(TRIM(INDIRECT("'"&amp;$A36&amp;"'!$P$11"))=TRIM(Tulokset!$M$9),2,0))</f>
        <v/>
      </c>
      <c r="CH36" s="333" t="str">
        <f ca="1">IF(OR(Tulokset!$N$6="",INDIRECT("'"&amp;$A36&amp;"'!$Q$8")=""),"",IF(TRIM(INDIRECT("'"&amp;$A36&amp;"'!$Q$8"))=TRIM(Tulokset!$N$6),2,0))</f>
        <v/>
      </c>
      <c r="CI36" s="333" t="str">
        <f ca="1">IF(OR(Tulokset!$N$7="",INDIRECT("'"&amp;$A36&amp;"'!$Q$9")=""),"",IF(TRIM(INDIRECT("'"&amp;$A36&amp;"'!$Q$9"))=TRIM(Tulokset!$N$7),2,0))</f>
        <v/>
      </c>
      <c r="CJ36" s="333" t="str">
        <f ca="1">IF(OR(Tulokset!$N$8="",INDIRECT("'"&amp;$A36&amp;"'!$Q$10")=""),"",IF(TRIM(INDIRECT("'"&amp;$A36&amp;"'!$Q$10"))=TRIM(Tulokset!$N$8),2,0))</f>
        <v/>
      </c>
      <c r="CK36" s="333" t="str">
        <f ca="1">IF(OR(Tulokset!$N$9="",INDIRECT("'"&amp;$A36&amp;"'!$Q$11")=""),"",IF(TRIM(INDIRECT("'"&amp;$A36&amp;"'!$Q$11"))=TRIM(Tulokset!$N$9),2,0))</f>
        <v/>
      </c>
      <c r="CL36" s="333" t="str">
        <f ca="1">IF(OR(Tulokset!$O$6="",INDIRECT("'"&amp;$A36&amp;"'!$R$8")=""),"",IF(TRIM(INDIRECT("'"&amp;$A36&amp;"'!$R$8"))=TRIM(Tulokset!$O$6),2,0))</f>
        <v/>
      </c>
      <c r="CM36" s="333" t="str">
        <f ca="1">IF(OR(Tulokset!$O$7="",INDIRECT("'"&amp;$A36&amp;"'!$R$9")=""),"",IF(TRIM(INDIRECT("'"&amp;$A36&amp;"'!$R$9"))=TRIM(Tulokset!$O$7),2,0))</f>
        <v/>
      </c>
      <c r="CN36" s="333" t="str">
        <f ca="1">IF(OR(Tulokset!$O$8="",INDIRECT("'"&amp;$A36&amp;"'!$R$10")=""),"",IF(TRIM(INDIRECT("'"&amp;$A36&amp;"'!$R$10"))=TRIM(Tulokset!$O$8),2,0))</f>
        <v/>
      </c>
      <c r="CO36" s="333" t="str">
        <f ca="1">IF(OR(Tulokset!$O$9="",INDIRECT("'"&amp;$A36&amp;"'!$R$11")=""),"",IF(TRIM(INDIRECT("'"&amp;$A36&amp;"'!$R$11"))=TRIM(Tulokset!$O$9),2,0))</f>
        <v/>
      </c>
      <c r="CP36" s="333" t="str">
        <f ca="1">IF(OR(Tulokset!$P$6="",INDIRECT("'"&amp;$A36&amp;"'!$S$8")=""),"",IF(TRIM(INDIRECT("'"&amp;$A36&amp;"'!$S$8"))=TRIM(Tulokset!$P$6),2,0))</f>
        <v/>
      </c>
      <c r="CQ36" s="333" t="str">
        <f ca="1">IF(OR(Tulokset!$P$7="",INDIRECT("'"&amp;$A36&amp;"'!$S$9")=""),"",IF(TRIM(INDIRECT("'"&amp;$A36&amp;"'!$S$9"))=TRIM(Tulokset!$P$7),2,0))</f>
        <v/>
      </c>
      <c r="CR36" s="333" t="str">
        <f ca="1">IF(OR(Tulokset!$P$8="",INDIRECT("'"&amp;$A36&amp;"'!$S$10")=""),"",IF(TRIM(INDIRECT("'"&amp;$A36&amp;"'!$S$10"))=TRIM(Tulokset!$P$8),2,0))</f>
        <v/>
      </c>
      <c r="CS36" s="333" t="str">
        <f ca="1">IF(OR(Tulokset!$P$9="",INDIRECT("'"&amp;$A36&amp;"'!$S$11")=""),"",IF(TRIM(INDIRECT("'"&amp;$A36&amp;"'!$S$11"))=TRIM(Tulokset!$P$9),2,0))</f>
        <v/>
      </c>
      <c r="CT36" s="333" t="str">
        <f ca="1">IF(OR(Tulokset!$Q$6="",INDIRECT("'"&amp;$A36&amp;"'!$T$8")=""),"",IF(TRIM(INDIRECT("'"&amp;$A36&amp;"'!$T$8"))=TRIM(Tulokset!$Q$6),2,0))</f>
        <v/>
      </c>
      <c r="CU36" s="333" t="str">
        <f ca="1">IF(OR(Tulokset!$Q$7="",INDIRECT("'"&amp;$A36&amp;"'!$T$9")=""),"",IF(TRIM(INDIRECT("'"&amp;$A36&amp;"'!$T$9"))=TRIM(Tulokset!$Q$7),2,0))</f>
        <v/>
      </c>
      <c r="CV36" s="333" t="str">
        <f ca="1">IF(OR(Tulokset!$Q$8="",INDIRECT("'"&amp;$A36&amp;"'!$T$10")=""),"",IF(TRIM(INDIRECT("'"&amp;$A36&amp;"'!$T$10"))=TRIM(Tulokset!$Q$8),2,0))</f>
        <v/>
      </c>
      <c r="CW36" s="333" t="str">
        <f ca="1">IF(OR(Tulokset!$Q$9="",INDIRECT("'"&amp;$A36&amp;"'!$T$11")=""),"",IF(TRIM(INDIRECT("'"&amp;$A36&amp;"'!$T$11"))=TRIM(Tulokset!$Q$9),2,0))</f>
        <v/>
      </c>
      <c r="CX36" s="333" t="str">
        <f ca="1">IF(OR(Tulokset!$R$6="",INDIRECT("'"&amp;$A36&amp;"'!$U$8")=""),"",IF(TRIM(INDIRECT("'"&amp;$A36&amp;"'!$U$8"))=TRIM(Tulokset!$R$6),2,0))</f>
        <v/>
      </c>
      <c r="CY36" s="333" t="str">
        <f ca="1">IF(OR(Tulokset!$R$7="",INDIRECT("'"&amp;$A36&amp;"'!$U$9")=""),"",IF(TRIM(INDIRECT("'"&amp;$A36&amp;"'!$U$9"))=TRIM(Tulokset!$R$7),2,0))</f>
        <v/>
      </c>
      <c r="CZ36" s="333" t="str">
        <f ca="1">IF(OR(Tulokset!$R$8="",INDIRECT("'"&amp;$A36&amp;"'!$U$10")=""),"",IF(TRIM(INDIRECT("'"&amp;$A36&amp;"'!$U$10"))=TRIM(Tulokset!$R$8),2,0))</f>
        <v/>
      </c>
      <c r="DA36" s="333" t="str">
        <f ca="1">IF(OR(Tulokset!$R$9="",INDIRECT("'"&amp;$A36&amp;"'!$U$11")=""),"",IF(TRIM(INDIRECT("'"&amp;$A36&amp;"'!$U$11"))=TRIM(Tulokset!$R$9),2,0))</f>
        <v/>
      </c>
      <c r="DB36" s="333" t="str">
        <f ca="1">IF(OR(Tulokset!$M$12="",INDIRECT("'"&amp;$A36&amp;"'!$P$14")=""),"",IF(TRIM(INDIRECT("'"&amp;$A36&amp;"'!$P$14"))=TRIM(Tulokset!$M$12),2,0))</f>
        <v/>
      </c>
      <c r="DC36" s="333" t="str">
        <f ca="1">IF(OR(Tulokset!$M$13="",INDIRECT("'"&amp;$A36&amp;"'!$P$15")=""),"",IF(TRIM(INDIRECT("'"&amp;$A36&amp;"'!$P$15"))=TRIM(Tulokset!$M$13),2,0))</f>
        <v/>
      </c>
      <c r="DD36" s="333" t="str">
        <f ca="1">IF(OR(Tulokset!$M$14="",INDIRECT("'"&amp;$A36&amp;"'!$P$16")=""),"",IF(TRIM(INDIRECT("'"&amp;$A36&amp;"'!$P$16"))=TRIM(Tulokset!$M$14),2,0))</f>
        <v/>
      </c>
      <c r="DE36" s="333" t="str">
        <f ca="1">IF(OR(Tulokset!$M$15="",INDIRECT("'"&amp;$A36&amp;"'!$P$17")=""),"",IF(TRIM(INDIRECT("'"&amp;$A36&amp;"'!$P$17"))=TRIM(Tulokset!$M$15),2,0))</f>
        <v/>
      </c>
      <c r="DF36" s="333" t="str">
        <f ca="1">IF(OR(Tulokset!$N$12="",INDIRECT("'"&amp;$A36&amp;"'!$Q$14")=""),"",IF(TRIM(INDIRECT("'"&amp;$A36&amp;"'!$Q$14"))=TRIM(Tulokset!$N$12),2,0))</f>
        <v/>
      </c>
      <c r="DG36" s="333" t="str">
        <f ca="1">IF(OR(Tulokset!$N$13="",INDIRECT("'"&amp;$A36&amp;"'!$Q$15")=""),"",IF(TRIM(INDIRECT("'"&amp;$A36&amp;"'!$Q$15"))=TRIM(Tulokset!$N$13),2,0))</f>
        <v/>
      </c>
      <c r="DH36" s="333" t="str">
        <f ca="1">IF(OR(Tulokset!$N$14="",INDIRECT("'"&amp;$A36&amp;"'!$Q$16")=""),"",IF(TRIM(INDIRECT("'"&amp;$A36&amp;"'!$Q$16"))=TRIM(Tulokset!$N$14),2,0))</f>
        <v/>
      </c>
      <c r="DI36" s="333" t="str">
        <f ca="1">IF(OR(Tulokset!$N$15="",INDIRECT("'"&amp;$A36&amp;"'!$Q$17")=""),"",IF(TRIM(INDIRECT("'"&amp;$A36&amp;"'!$Q$17"))=TRIM(Tulokset!$N$15),2,0))</f>
        <v/>
      </c>
      <c r="DJ36" s="333" t="str">
        <f ca="1">IF(OR(Tulokset!$O$12="",INDIRECT("'"&amp;$A36&amp;"'!$R$14")=""),"",IF(TRIM(INDIRECT("'"&amp;$A36&amp;"'!$R$14"))=TRIM(Tulokset!$O$12),2,0))</f>
        <v/>
      </c>
      <c r="DK36" s="333" t="str">
        <f ca="1">IF(OR(Tulokset!$O$13="",INDIRECT("'"&amp;$A36&amp;"'!$R$15")=""),"",IF(TRIM(INDIRECT("'"&amp;$A36&amp;"'!$R$15"))=TRIM(Tulokset!$O$13),2,0))</f>
        <v/>
      </c>
      <c r="DL36" s="333" t="str">
        <f ca="1">IF(OR(Tulokset!$O$14="",INDIRECT("'"&amp;$A36&amp;"'!$R$16")=""),"",IF(TRIM(INDIRECT("'"&amp;$A36&amp;"'!$R$16"))=TRIM(Tulokset!$O$14),2,0))</f>
        <v/>
      </c>
      <c r="DM36" s="333" t="str">
        <f ca="1">IF(OR(Tulokset!$O$15="",INDIRECT("'"&amp;$A36&amp;"'!$R$17")=""),"",IF(TRIM(INDIRECT("'"&amp;$A36&amp;"'!$R$17"))=TRIM(Tulokset!$O$15),2,0))</f>
        <v/>
      </c>
      <c r="DN36" s="333" t="str">
        <f ca="1">IF(OR(Tulokset!$P$12="",INDIRECT("'"&amp;$A36&amp;"'!$S$14")=""),"",IF(TRIM(INDIRECT("'"&amp;$A36&amp;"'!$S$14"))=TRIM(Tulokset!$P$12),2,0))</f>
        <v/>
      </c>
      <c r="DO36" s="333" t="str">
        <f ca="1">IF(OR(Tulokset!$P$13="",INDIRECT("'"&amp;$A36&amp;"'!$S$15")=""),"",IF(TRIM(INDIRECT("'"&amp;$A36&amp;"'!$S$15"))=TRIM(Tulokset!$P$13),2,0))</f>
        <v/>
      </c>
      <c r="DP36" s="333" t="str">
        <f ca="1">IF(OR(Tulokset!$P$14="",INDIRECT("'"&amp;$A36&amp;"'!$S$16")=""),"",IF(TRIM(INDIRECT("'"&amp;$A36&amp;"'!$S$16"))=TRIM(Tulokset!$P$14),2,0))</f>
        <v/>
      </c>
      <c r="DQ36" s="333" t="str">
        <f ca="1">IF(OR(Tulokset!$P$15="",INDIRECT("'"&amp;$A36&amp;"'!$S$17")=""),"",IF(TRIM(INDIRECT("'"&amp;$A36&amp;"'!$S$17"))=TRIM(Tulokset!$P$15),2,0))</f>
        <v/>
      </c>
      <c r="DR36" s="333" t="str">
        <f ca="1">IF(OR(Tulokset!$Q$12="",INDIRECT("'"&amp;$A36&amp;"'!$T$14")=""),"",IF(TRIM(INDIRECT("'"&amp;$A36&amp;"'!$T$14"))=TRIM(Tulokset!$Q$12),2,0))</f>
        <v/>
      </c>
      <c r="DS36" s="333" t="str">
        <f ca="1">IF(OR(Tulokset!$Q$13="",INDIRECT("'"&amp;$A36&amp;"'!$T$15")=""),"",IF(TRIM(INDIRECT("'"&amp;$A36&amp;"'!$T$15"))=TRIM(Tulokset!$Q$13),2,0))</f>
        <v/>
      </c>
      <c r="DT36" s="333" t="str">
        <f ca="1">IF(OR(Tulokset!$Q$14="",INDIRECT("'"&amp;$A36&amp;"'!$T$16")=""),"",IF(TRIM(INDIRECT("'"&amp;$A36&amp;"'!$T$16"))=TRIM(Tulokset!$Q$14),2,0))</f>
        <v/>
      </c>
      <c r="DU36" s="333" t="str">
        <f ca="1">IF(OR(Tulokset!$Q$15="",INDIRECT("'"&amp;$A36&amp;"'!$T$17")=""),"",IF(TRIM(INDIRECT("'"&amp;$A36&amp;"'!$T$17"))=TRIM(Tulokset!$Q$15),2,0))</f>
        <v/>
      </c>
      <c r="DV36" s="333" t="str">
        <f ca="1">IF(OR(Tulokset!$R$12="",INDIRECT("'"&amp;$A36&amp;"'!$U$14")=""),"",IF(TRIM(INDIRECT("'"&amp;$A36&amp;"'!$U$14"))=TRIM(Tulokset!$R$12),2,0))</f>
        <v/>
      </c>
      <c r="DW36" s="333" t="str">
        <f ca="1">IF(OR(Tulokset!$R$13="",INDIRECT("'"&amp;$A36&amp;"'!$U$15")=""),"",IF(TRIM(INDIRECT("'"&amp;$A36&amp;"'!$U$15"))=TRIM(Tulokset!$R$13),2,0))</f>
        <v/>
      </c>
      <c r="DX36" s="333" t="str">
        <f ca="1">IF(OR(Tulokset!$R$14="",INDIRECT("'"&amp;$A36&amp;"'!$U$16")=""),"",IF(TRIM(INDIRECT("'"&amp;$A36&amp;"'!$U$16"))=TRIM(Tulokset!$R$14),2,0))</f>
        <v/>
      </c>
      <c r="DY36" s="333" t="str">
        <f ca="1">IF(OR(Tulokset!$R$15="",INDIRECT("'"&amp;$A36&amp;"'!$U$17")=""),"",IF(TRIM(INDIRECT("'"&amp;$A36&amp;"'!$U$17"))=TRIM(Tulokset!$R$15),2,0))</f>
        <v/>
      </c>
      <c r="DZ36" s="333"/>
      <c r="EA36" s="333" t="str">
        <f ca="1">IF(OR(INDIRECT("'"&amp;$A36&amp;"'!$E$79")="",COUNTA(Tulokset!$M$20:$M$21)=0),"",IF(COUNTIF(Tulokset!$M$20:$M$21,INDIRECT("'"&amp;$A36&amp;"'!$E$79"))&gt;0,2,0))</f>
        <v/>
      </c>
      <c r="EB36" s="333" t="str">
        <f ca="1">IF(OR(INDIRECT("'"&amp;$A36&amp;"'!$G$79")="",COUNTA(Tulokset!$M$20:$M$21)=0),"",IF(COUNTIF(Tulokset!$M$20:$M$21,INDIRECT("'"&amp;$A36&amp;"'!$G$79"))&gt;0,2,0))</f>
        <v/>
      </c>
      <c r="EC36" s="333" t="str">
        <f ca="1">IF(OR(INDIRECT("'"&amp;$A36&amp;"'!$E$80")="",COUNTA(Tulokset!$M$23:$M$24)=0),"",IF(COUNTIF(Tulokset!$M$23:$M$24,INDIRECT("'"&amp;$A36&amp;"'!$E$80"))&gt;0,2,0))</f>
        <v/>
      </c>
      <c r="ED36" s="333" t="str">
        <f ca="1">IF(OR(INDIRECT("'"&amp;$A36&amp;"'!$G$80")="",COUNTA(Tulokset!$M$23:$M$24)=0),"",IF(COUNTIF(Tulokset!$M$23:$M$24,INDIRECT("'"&amp;$A36&amp;"'!$G$80"))&gt;0,2,0))</f>
        <v/>
      </c>
    </row>
    <row r="37" spans="1:134">
      <c r="A37" s="333">
        <v>34</v>
      </c>
      <c r="B37" s="333" t="str">
        <f t="shared" ca="1" si="0"/>
        <v/>
      </c>
      <c r="C37" s="334">
        <f t="shared" si="1"/>
        <v>0</v>
      </c>
      <c r="D37" s="334">
        <f t="shared" ca="1" si="2"/>
        <v>0</v>
      </c>
      <c r="E37" s="334">
        <f t="shared" ca="1" si="3"/>
        <v>0</v>
      </c>
      <c r="F37" s="334" t="str">
        <f t="shared" ca="1" si="4"/>
        <v/>
      </c>
      <c r="G37" s="334">
        <f t="shared" si="5"/>
        <v>0</v>
      </c>
      <c r="H37" s="333" t="str">
        <f>IF(OR(Tulokset!$G$6="",Tulokset!$I$6="",'34'!$I$7="",'34'!$K$7=""),"",IF(SIGN('34'!$I$7-'34'!$K$7)&lt;&gt;SIGN(Tulokset!$G$6-Tulokset!$I$6),0,IF(Tulokset!$G$6=Tulokset!$I$6,IF(AND('34'!$I$7=Tulokset!$G$6,'34'!$K$7=Tulokset!$I$6),6,3),MAX(0,6-(ABS('34'!$I$7-Tulokset!$G$6)+ABS('34'!$K$7-Tulokset!$I$6))))))</f>
        <v/>
      </c>
      <c r="I37" s="333" t="str">
        <f>IF(OR(Tulokset!$G$7="",Tulokset!$I$7="",'34'!$I$8="",'34'!$K$8=""),"",IF(SIGN('34'!$I$8-'34'!$K$8)&lt;&gt;SIGN(Tulokset!$G$7-Tulokset!$I$7),0,IF(Tulokset!$G$7=Tulokset!$I$7,IF(AND('34'!$I$8=Tulokset!$G$7,'34'!$K$8=Tulokset!$I$7),6,3),MAX(0,6-(ABS('34'!$I$8-Tulokset!$G$7)+ABS('34'!$K$8-Tulokset!$I$7))))))</f>
        <v/>
      </c>
      <c r="J37" s="333" t="str">
        <f>IF(OR(Tulokset!$G$8="",Tulokset!$I$8="",'34'!$I$9="",'34'!$K$9=""),"",IF(SIGN('34'!$I$9-'34'!$K$9)&lt;&gt;SIGN(Tulokset!$G$8-Tulokset!$I$8),0,IF(Tulokset!$G$8=Tulokset!$I$8,IF(AND('34'!$I$9=Tulokset!$G$8,'34'!$K$9=Tulokset!$I$8),6,3),MAX(0,6-(ABS('34'!$I$9-Tulokset!$G$8)+ABS('34'!$K$9-Tulokset!$I$8))))))</f>
        <v/>
      </c>
      <c r="K37" s="333" t="str">
        <f>IF(OR(Tulokset!$G$9="",Tulokset!$I$9="",'34'!$I$10="",'34'!$K$10=""),"",IF(SIGN('34'!$I$10-'34'!$K$10)&lt;&gt;SIGN(Tulokset!$G$9-Tulokset!$I$9),0,IF(Tulokset!$G$9=Tulokset!$I$9,IF(AND('34'!$I$10=Tulokset!$G$9,'34'!$K$10=Tulokset!$I$9),6,3),MAX(0,6-(ABS('34'!$I$10-Tulokset!$G$9)+ABS('34'!$K$10-Tulokset!$I$9))))))</f>
        <v/>
      </c>
      <c r="L37" s="333" t="str">
        <f>IF(OR(Tulokset!$G$10="",Tulokset!$I$10="",'34'!$I$11="",'34'!$K$11=""),"",IF(SIGN('34'!$I$11-'34'!$K$11)&lt;&gt;SIGN(Tulokset!$G$10-Tulokset!$I$10),0,IF(Tulokset!$G$10=Tulokset!$I$10,IF(AND('34'!$I$11=Tulokset!$G$10,'34'!$K$11=Tulokset!$I$10),6,3),MAX(0,6-(ABS('34'!$I$11-Tulokset!$G$10)+ABS('34'!$K$11-Tulokset!$I$10))))))</f>
        <v/>
      </c>
      <c r="M37" s="333" t="str">
        <f>IF(OR(Tulokset!$G$11="",Tulokset!$I$11="",'34'!$I$12="",'34'!$K$12=""),"",IF(SIGN('34'!$I$12-'34'!$K$12)&lt;&gt;SIGN(Tulokset!$G$11-Tulokset!$I$11),0,IF(Tulokset!$G$11=Tulokset!$I$11,IF(AND('34'!$I$12=Tulokset!$G$11,'34'!$K$12=Tulokset!$I$11),6,3),MAX(0,6-(ABS('34'!$I$12-Tulokset!$G$11)+ABS('34'!$K$12-Tulokset!$I$11))))))</f>
        <v/>
      </c>
      <c r="N37" s="333" t="str">
        <f>IF(OR(Tulokset!$G$12="",Tulokset!$I$12="",'34'!$I$13="",'34'!$K$13=""),"",IF(SIGN('34'!$I$13-'34'!$K$13)&lt;&gt;SIGN(Tulokset!$G$12-Tulokset!$I$12),0,IF(Tulokset!$G$12=Tulokset!$I$12,IF(AND('34'!$I$13=Tulokset!$G$12,'34'!$K$13=Tulokset!$I$12),6,3),MAX(0,6-(ABS('34'!$I$13-Tulokset!$G$12)+ABS('34'!$K$13-Tulokset!$I$12))))))</f>
        <v/>
      </c>
      <c r="O37" s="333" t="str">
        <f>IF(OR(Tulokset!$G$13="",Tulokset!$I$13="",'34'!$I$14="",'34'!$K$14=""),"",IF(SIGN('34'!$I$14-'34'!$K$14)&lt;&gt;SIGN(Tulokset!$G$13-Tulokset!$I$13),0,IF(Tulokset!$G$13=Tulokset!$I$13,IF(AND('34'!$I$14=Tulokset!$G$13,'34'!$K$14=Tulokset!$I$13),6,3),MAX(0,6-(ABS('34'!$I$14-Tulokset!$G$13)+ABS('34'!$K$14-Tulokset!$I$13))))))</f>
        <v/>
      </c>
      <c r="P37" s="333" t="str">
        <f>IF(OR(Tulokset!$G$14="",Tulokset!$I$14="",'34'!$I$15="",'34'!$K$15=""),"",IF(SIGN('34'!$I$15-'34'!$K$15)&lt;&gt;SIGN(Tulokset!$G$14-Tulokset!$I$14),0,IF(Tulokset!$G$14=Tulokset!$I$14,IF(AND('34'!$I$15=Tulokset!$G$14,'34'!$K$15=Tulokset!$I$14),6,3),MAX(0,6-(ABS('34'!$I$15-Tulokset!$G$14)+ABS('34'!$K$15-Tulokset!$I$14))))))</f>
        <v/>
      </c>
      <c r="Q37" s="333" t="str">
        <f>IF(OR(Tulokset!$G$15="",Tulokset!$I$15="",'34'!$I$16="",'34'!$K$16=""),"",IF(SIGN('34'!$I$16-'34'!$K$16)&lt;&gt;SIGN(Tulokset!$G$15-Tulokset!$I$15),0,IF(Tulokset!$G$15=Tulokset!$I$15,IF(AND('34'!$I$16=Tulokset!$G$15,'34'!$K$16=Tulokset!$I$15),6,3),MAX(0,6-(ABS('34'!$I$16-Tulokset!$G$15)+ABS('34'!$K$16-Tulokset!$I$15))))))</f>
        <v/>
      </c>
      <c r="R37" s="333" t="str">
        <f>IF(OR(Tulokset!$G$16="",Tulokset!$I$16="",'34'!$I$17="",'34'!$K$17=""),"",IF(SIGN('34'!$I$17-'34'!$K$17)&lt;&gt;SIGN(Tulokset!$G$16-Tulokset!$I$16),0,IF(Tulokset!$G$16=Tulokset!$I$16,IF(AND('34'!$I$17=Tulokset!$G$16,'34'!$K$17=Tulokset!$I$16),6,3),MAX(0,6-(ABS('34'!$I$17-Tulokset!$G$16)+ABS('34'!$K$17-Tulokset!$I$16))))))</f>
        <v/>
      </c>
      <c r="S37" s="333" t="str">
        <f>IF(OR(Tulokset!$G$17="",Tulokset!$I$17="",'34'!$I$18="",'34'!$K$18=""),"",IF(SIGN('34'!$I$18-'34'!$K$18)&lt;&gt;SIGN(Tulokset!$G$17-Tulokset!$I$17),0,IF(Tulokset!$G$17=Tulokset!$I$17,IF(AND('34'!$I$18=Tulokset!$G$17,'34'!$K$18=Tulokset!$I$17),6,3),MAX(0,6-(ABS('34'!$I$18-Tulokset!$G$17)+ABS('34'!$K$18-Tulokset!$I$17))))))</f>
        <v/>
      </c>
      <c r="T37" s="333" t="str">
        <f>IF(OR(Tulokset!$G$18="",Tulokset!$I$18="",'34'!$I$19="",'34'!$K$19=""),"",IF(SIGN('34'!$I$19-'34'!$K$19)&lt;&gt;SIGN(Tulokset!$G$18-Tulokset!$I$18),0,IF(Tulokset!$G$18=Tulokset!$I$18,IF(AND('34'!$I$19=Tulokset!$G$18,'34'!$K$19=Tulokset!$I$18),6,3),MAX(0,6-(ABS('34'!$I$19-Tulokset!$G$18)+ABS('34'!$K$19-Tulokset!$I$18))))))</f>
        <v/>
      </c>
      <c r="U37" s="333" t="str">
        <f>IF(OR(Tulokset!$G$19="",Tulokset!$I$19="",'34'!$I$20="",'34'!$K$20=""),"",IF(SIGN('34'!$I$20-'34'!$K$20)&lt;&gt;SIGN(Tulokset!$G$19-Tulokset!$I$19),0,IF(Tulokset!$G$19=Tulokset!$I$19,IF(AND('34'!$I$20=Tulokset!$G$19,'34'!$K$20=Tulokset!$I$19),6,3),MAX(0,6-(ABS('34'!$I$20-Tulokset!$G$19)+ABS('34'!$K$20-Tulokset!$I$19))))))</f>
        <v/>
      </c>
      <c r="V37" s="333" t="str">
        <f>IF(OR(Tulokset!$G$20="",Tulokset!$I$20="",'34'!$I$21="",'34'!$K$21=""),"",IF(SIGN('34'!$I$21-'34'!$K$21)&lt;&gt;SIGN(Tulokset!$G$20-Tulokset!$I$20),0,IF(Tulokset!$G$20=Tulokset!$I$20,IF(AND('34'!$I$21=Tulokset!$G$20,'34'!$K$21=Tulokset!$I$20),6,3),MAX(0,6-(ABS('34'!$I$21-Tulokset!$G$20)+ABS('34'!$K$21-Tulokset!$I$20))))))</f>
        <v/>
      </c>
      <c r="W37" s="333" t="str">
        <f>IF(OR(Tulokset!$G$21="",Tulokset!$I$21="",'34'!$I$22="",'34'!$K$22=""),"",IF(SIGN('34'!$I$22-'34'!$K$22)&lt;&gt;SIGN(Tulokset!$G$21-Tulokset!$I$21),0,IF(Tulokset!$G$21=Tulokset!$I$21,IF(AND('34'!$I$22=Tulokset!$G$21,'34'!$K$22=Tulokset!$I$21),6,3),MAX(0,6-(ABS('34'!$I$22-Tulokset!$G$21)+ABS('34'!$K$22-Tulokset!$I$21))))))</f>
        <v/>
      </c>
      <c r="X37" s="333" t="str">
        <f>IF(OR(Tulokset!$G$22="",Tulokset!$I$22="",'34'!$I$23="",'34'!$K$23=""),"",IF(SIGN('34'!$I$23-'34'!$K$23)&lt;&gt;SIGN(Tulokset!$G$22-Tulokset!$I$22),0,IF(Tulokset!$G$22=Tulokset!$I$22,IF(AND('34'!$I$23=Tulokset!$G$22,'34'!$K$23=Tulokset!$I$22),6,3),MAX(0,6-(ABS('34'!$I$23-Tulokset!$G$22)+ABS('34'!$K$23-Tulokset!$I$22))))))</f>
        <v/>
      </c>
      <c r="Y37" s="333" t="str">
        <f>IF(OR(Tulokset!$G$23="",Tulokset!$I$23="",'34'!$I$24="",'34'!$K$24=""),"",IF(SIGN('34'!$I$24-'34'!$K$24)&lt;&gt;SIGN(Tulokset!$G$23-Tulokset!$I$23),0,IF(Tulokset!$G$23=Tulokset!$I$23,IF(AND('34'!$I$24=Tulokset!$G$23,'34'!$K$24=Tulokset!$I$23),6,3),MAX(0,6-(ABS('34'!$I$24-Tulokset!$G$23)+ABS('34'!$K$24-Tulokset!$I$23))))))</f>
        <v/>
      </c>
      <c r="Z37" s="333" t="str">
        <f>IF(OR(Tulokset!$G$24="",Tulokset!$I$24="",'34'!$I$25="",'34'!$K$25=""),"",IF(SIGN('34'!$I$25-'34'!$K$25)&lt;&gt;SIGN(Tulokset!$G$24-Tulokset!$I$24),0,IF(Tulokset!$G$24=Tulokset!$I$24,IF(AND('34'!$I$25=Tulokset!$G$24,'34'!$K$25=Tulokset!$I$24),6,3),MAX(0,6-(ABS('34'!$I$25-Tulokset!$G$24)+ABS('34'!$K$25-Tulokset!$I$24))))))</f>
        <v/>
      </c>
      <c r="AA37" s="333" t="str">
        <f>IF(OR(Tulokset!$G$25="",Tulokset!$I$25="",'34'!$I$26="",'34'!$K$26=""),"",IF(SIGN('34'!$I$26-'34'!$K$26)&lt;&gt;SIGN(Tulokset!$G$25-Tulokset!$I$25),0,IF(Tulokset!$G$25=Tulokset!$I$25,IF(AND('34'!$I$26=Tulokset!$G$25,'34'!$K$26=Tulokset!$I$25),6,3),MAX(0,6-(ABS('34'!$I$26-Tulokset!$G$25)+ABS('34'!$K$26-Tulokset!$I$25))))))</f>
        <v/>
      </c>
      <c r="AB37" s="333" t="str">
        <f>IF(OR(Tulokset!$G$26="",Tulokset!$I$26="",'34'!$I$27="",'34'!$K$27=""),"",IF(SIGN('34'!$I$27-'34'!$K$27)&lt;&gt;SIGN(Tulokset!$G$26-Tulokset!$I$26),0,IF(Tulokset!$G$26=Tulokset!$I$26,IF(AND('34'!$I$27=Tulokset!$G$26,'34'!$K$27=Tulokset!$I$26),6,3),MAX(0,6-(ABS('34'!$I$27-Tulokset!$G$26)+ABS('34'!$K$27-Tulokset!$I$26))))))</f>
        <v/>
      </c>
      <c r="AC37" s="333" t="str">
        <f>IF(OR(Tulokset!$G$27="",Tulokset!$I$27="",'34'!$I$28="",'34'!$K$28=""),"",IF(SIGN('34'!$I$28-'34'!$K$28)&lt;&gt;SIGN(Tulokset!$G$27-Tulokset!$I$27),0,IF(Tulokset!$G$27=Tulokset!$I$27,IF(AND('34'!$I$28=Tulokset!$G$27,'34'!$K$28=Tulokset!$I$27),6,3),MAX(0,6-(ABS('34'!$I$28-Tulokset!$G$27)+ABS('34'!$K$28-Tulokset!$I$27))))))</f>
        <v/>
      </c>
      <c r="AD37" s="333" t="str">
        <f>IF(OR(Tulokset!$G$28="",Tulokset!$I$28="",'34'!$I$29="",'34'!$K$29=""),"",IF(SIGN('34'!$I$29-'34'!$K$29)&lt;&gt;SIGN(Tulokset!$G$28-Tulokset!$I$28),0,IF(Tulokset!$G$28=Tulokset!$I$28,IF(AND('34'!$I$29=Tulokset!$G$28,'34'!$K$29=Tulokset!$I$28),6,3),MAX(0,6-(ABS('34'!$I$29-Tulokset!$G$28)+ABS('34'!$K$29-Tulokset!$I$28))))))</f>
        <v/>
      </c>
      <c r="AE37" s="333" t="str">
        <f>IF(OR(Tulokset!$G$29="",Tulokset!$I$29="",'34'!$I$30="",'34'!$K$30=""),"",IF(SIGN('34'!$I$30-'34'!$K$30)&lt;&gt;SIGN(Tulokset!$G$29-Tulokset!$I$29),0,IF(Tulokset!$G$29=Tulokset!$I$29,IF(AND('34'!$I$30=Tulokset!$G$29,'34'!$K$30=Tulokset!$I$29),6,3),MAX(0,6-(ABS('34'!$I$30-Tulokset!$G$29)+ABS('34'!$K$30-Tulokset!$I$29))))))</f>
        <v/>
      </c>
      <c r="AF37" s="333" t="str">
        <f>IF(OR(Tulokset!$G$30="",Tulokset!$I$30="",'34'!$I$31="",'34'!$K$31=""),"",IF(SIGN('34'!$I$31-'34'!$K$31)&lt;&gt;SIGN(Tulokset!$G$30-Tulokset!$I$30),0,IF(Tulokset!$G$30=Tulokset!$I$30,IF(AND('34'!$I$31=Tulokset!$G$30,'34'!$K$31=Tulokset!$I$30),6,3),MAX(0,6-(ABS('34'!$I$31-Tulokset!$G$30)+ABS('34'!$K$31-Tulokset!$I$30))))))</f>
        <v/>
      </c>
      <c r="AG37" s="333" t="str">
        <f>IF(OR(Tulokset!$G$31="",Tulokset!$I$31="",'34'!$I$32="",'34'!$K$32=""),"",IF(SIGN('34'!$I$32-'34'!$K$32)&lt;&gt;SIGN(Tulokset!$G$31-Tulokset!$I$31),0,IF(Tulokset!$G$31=Tulokset!$I$31,IF(AND('34'!$I$32=Tulokset!$G$31,'34'!$K$32=Tulokset!$I$31),6,3),MAX(0,6-(ABS('34'!$I$32-Tulokset!$G$31)+ABS('34'!$K$32-Tulokset!$I$31))))))</f>
        <v/>
      </c>
      <c r="AH37" s="333" t="str">
        <f>IF(OR(Tulokset!$G$32="",Tulokset!$I$32="",'34'!$I$33="",'34'!$K$33=""),"",IF(SIGN('34'!$I$33-'34'!$K$33)&lt;&gt;SIGN(Tulokset!$G$32-Tulokset!$I$32),0,IF(Tulokset!$G$32=Tulokset!$I$32,IF(AND('34'!$I$33=Tulokset!$G$32,'34'!$K$33=Tulokset!$I$32),6,3),MAX(0,6-(ABS('34'!$I$33-Tulokset!$G$32)+ABS('34'!$K$33-Tulokset!$I$32))))))</f>
        <v/>
      </c>
      <c r="AI37" s="333" t="str">
        <f>IF(OR(Tulokset!$G$33="",Tulokset!$I$33="",'34'!$I$34="",'34'!$K$34=""),"",IF(SIGN('34'!$I$34-'34'!$K$34)&lt;&gt;SIGN(Tulokset!$G$33-Tulokset!$I$33),0,IF(Tulokset!$G$33=Tulokset!$I$33,IF(AND('34'!$I$34=Tulokset!$G$33,'34'!$K$34=Tulokset!$I$33),6,3),MAX(0,6-(ABS('34'!$I$34-Tulokset!$G$33)+ABS('34'!$K$34-Tulokset!$I$33))))))</f>
        <v/>
      </c>
      <c r="AJ37" s="333" t="str">
        <f>IF(OR(Tulokset!$G$34="",Tulokset!$I$34="",'34'!$I$35="",'34'!$K$35=""),"",IF(SIGN('34'!$I$35-'34'!$K$35)&lt;&gt;SIGN(Tulokset!$G$34-Tulokset!$I$34),0,IF(Tulokset!$G$34=Tulokset!$I$34,IF(AND('34'!$I$35=Tulokset!$G$34,'34'!$K$35=Tulokset!$I$34),6,3),MAX(0,6-(ABS('34'!$I$35-Tulokset!$G$34)+ABS('34'!$K$35-Tulokset!$I$34))))))</f>
        <v/>
      </c>
      <c r="AK37" s="333" t="str">
        <f>IF(OR(Tulokset!$G$35="",Tulokset!$I$35="",'34'!$I$36="",'34'!$K$36=""),"",IF(SIGN('34'!$I$36-'34'!$K$36)&lt;&gt;SIGN(Tulokset!$G$35-Tulokset!$I$35),0,IF(Tulokset!$G$35=Tulokset!$I$35,IF(AND('34'!$I$36=Tulokset!$G$35,'34'!$K$36=Tulokset!$I$35),6,3),MAX(0,6-(ABS('34'!$I$36-Tulokset!$G$35)+ABS('34'!$K$36-Tulokset!$I$35))))))</f>
        <v/>
      </c>
      <c r="AL37" s="333" t="str">
        <f>IF(OR(Tulokset!$G$36="",Tulokset!$I$36="",'34'!$I$37="",'34'!$K$37=""),"",IF(SIGN('34'!$I$37-'34'!$K$37)&lt;&gt;SIGN(Tulokset!$G$36-Tulokset!$I$36),0,IF(Tulokset!$G$36=Tulokset!$I$36,IF(AND('34'!$I$37=Tulokset!$G$36,'34'!$K$37=Tulokset!$I$36),6,3),MAX(0,6-(ABS('34'!$I$37-Tulokset!$G$36)+ABS('34'!$K$37-Tulokset!$I$36))))))</f>
        <v/>
      </c>
      <c r="AM37" s="333" t="str">
        <f>IF(OR(Tulokset!$G$37="",Tulokset!$I$37="",'34'!$I$38="",'34'!$K$38=""),"",IF(SIGN('34'!$I$38-'34'!$K$38)&lt;&gt;SIGN(Tulokset!$G$37-Tulokset!$I$37),0,IF(Tulokset!$G$37=Tulokset!$I$37,IF(AND('34'!$I$38=Tulokset!$G$37,'34'!$K$38=Tulokset!$I$37),6,3),MAX(0,6-(ABS('34'!$I$38-Tulokset!$G$37)+ABS('34'!$K$38-Tulokset!$I$37))))))</f>
        <v/>
      </c>
      <c r="AN37" s="333" t="str">
        <f>IF(OR(Tulokset!$G$38="",Tulokset!$I$38="",'34'!$I$39="",'34'!$K$39=""),"",IF(SIGN('34'!$I$39-'34'!$K$39)&lt;&gt;SIGN(Tulokset!$G$38-Tulokset!$I$38),0,IF(Tulokset!$G$38=Tulokset!$I$38,IF(AND('34'!$I$39=Tulokset!$G$38,'34'!$K$39=Tulokset!$I$38),6,3),MAX(0,6-(ABS('34'!$I$39-Tulokset!$G$38)+ABS('34'!$K$39-Tulokset!$I$38))))))</f>
        <v/>
      </c>
      <c r="AO37" s="333" t="str">
        <f>IF(OR(Tulokset!$G$39="",Tulokset!$I$39="",'34'!$I$40="",'34'!$K$40=""),"",IF(SIGN('34'!$I$40-'34'!$K$40)&lt;&gt;SIGN(Tulokset!$G$39-Tulokset!$I$39),0,IF(Tulokset!$G$39=Tulokset!$I$39,IF(AND('34'!$I$40=Tulokset!$G$39,'34'!$K$40=Tulokset!$I$39),6,3),MAX(0,6-(ABS('34'!$I$40-Tulokset!$G$39)+ABS('34'!$K$40-Tulokset!$I$39))))))</f>
        <v/>
      </c>
      <c r="AP37" s="333" t="str">
        <f>IF(OR(Tulokset!$G$40="",Tulokset!$I$40="",'34'!$I$41="",'34'!$K$41=""),"",IF(SIGN('34'!$I$41-'34'!$K$41)&lt;&gt;SIGN(Tulokset!$G$40-Tulokset!$I$40),0,IF(Tulokset!$G$40=Tulokset!$I$40,IF(AND('34'!$I$41=Tulokset!$G$40,'34'!$K$41=Tulokset!$I$40),6,3),MAX(0,6-(ABS('34'!$I$41-Tulokset!$G$40)+ABS('34'!$K$41-Tulokset!$I$40))))))</f>
        <v/>
      </c>
      <c r="AQ37" s="333" t="str">
        <f>IF(OR(Tulokset!$G$41="",Tulokset!$I$41="",'34'!$I$42="",'34'!$K$42=""),"",IF(SIGN('34'!$I$42-'34'!$K$42)&lt;&gt;SIGN(Tulokset!$G$41-Tulokset!$I$41),0,IF(Tulokset!$G$41=Tulokset!$I$41,IF(AND('34'!$I$42=Tulokset!$G$41,'34'!$K$42=Tulokset!$I$41),6,3),MAX(0,6-(ABS('34'!$I$42-Tulokset!$G$41)+ABS('34'!$K$42-Tulokset!$I$41))))))</f>
        <v/>
      </c>
      <c r="AR37" s="333" t="str">
        <f>IF(OR(Tulokset!$G$42="",Tulokset!$I$42="",'34'!$I$43="",'34'!$K$43=""),"",IF(SIGN('34'!$I$43-'34'!$K$43)&lt;&gt;SIGN(Tulokset!$G$42-Tulokset!$I$42),0,IF(Tulokset!$G$42=Tulokset!$I$42,IF(AND('34'!$I$43=Tulokset!$G$42,'34'!$K$43=Tulokset!$I$42),6,3),MAX(0,6-(ABS('34'!$I$43-Tulokset!$G$42)+ABS('34'!$K$43-Tulokset!$I$42))))))</f>
        <v/>
      </c>
      <c r="AS37" s="333" t="str">
        <f>IF(OR(Tulokset!$G$43="",Tulokset!$I$43="",'34'!$I$44="",'34'!$K$44=""),"",IF(SIGN('34'!$I$44-'34'!$K$44)&lt;&gt;SIGN(Tulokset!$G$43-Tulokset!$I$43),0,IF(Tulokset!$G$43=Tulokset!$I$43,IF(AND('34'!$I$44=Tulokset!$G$43,'34'!$K$44=Tulokset!$I$43),6,3),MAX(0,6-(ABS('34'!$I$44-Tulokset!$G$43)+ABS('34'!$K$44-Tulokset!$I$43))))))</f>
        <v/>
      </c>
      <c r="AT37" s="333" t="str">
        <f>IF(OR(Tulokset!$G$44="",Tulokset!$I$44="",'34'!$I$45="",'34'!$K$45=""),"",IF(SIGN('34'!$I$45-'34'!$K$45)&lt;&gt;SIGN(Tulokset!$G$44-Tulokset!$I$44),0,IF(Tulokset!$G$44=Tulokset!$I$44,IF(AND('34'!$I$45=Tulokset!$G$44,'34'!$K$45=Tulokset!$I$44),6,3),MAX(0,6-(ABS('34'!$I$45-Tulokset!$G$44)+ABS('34'!$K$45-Tulokset!$I$44))))))</f>
        <v/>
      </c>
      <c r="AU37" s="333" t="str">
        <f>IF(OR(Tulokset!$G$45="",Tulokset!$I$45="",'34'!$I$46="",'34'!$K$46=""),"",IF(SIGN('34'!$I$46-'34'!$K$46)&lt;&gt;SIGN(Tulokset!$G$45-Tulokset!$I$45),0,IF(Tulokset!$G$45=Tulokset!$I$45,IF(AND('34'!$I$46=Tulokset!$G$45,'34'!$K$46=Tulokset!$I$45),6,3),MAX(0,6-(ABS('34'!$I$46-Tulokset!$G$45)+ABS('34'!$K$46-Tulokset!$I$45))))))</f>
        <v/>
      </c>
      <c r="AV37" s="333" t="str">
        <f>IF(OR(Tulokset!$G$46="",Tulokset!$I$46="",'34'!$I$47="",'34'!$K$47=""),"",IF(SIGN('34'!$I$47-'34'!$K$47)&lt;&gt;SIGN(Tulokset!$G$46-Tulokset!$I$46),0,IF(Tulokset!$G$46=Tulokset!$I$46,IF(AND('34'!$I$47=Tulokset!$G$46,'34'!$K$47=Tulokset!$I$46),6,3),MAX(0,6-(ABS('34'!$I$47-Tulokset!$G$46)+ABS('34'!$K$47-Tulokset!$I$46))))))</f>
        <v/>
      </c>
      <c r="AW37" s="333" t="str">
        <f>IF(OR(Tulokset!$G$47="",Tulokset!$I$47="",'34'!$I$48="",'34'!$K$48=""),"",IF(SIGN('34'!$I$48-'34'!$K$48)&lt;&gt;SIGN(Tulokset!$G$47-Tulokset!$I$47),0,IF(Tulokset!$G$47=Tulokset!$I$47,IF(AND('34'!$I$48=Tulokset!$G$47,'34'!$K$48=Tulokset!$I$47),6,3),MAX(0,6-(ABS('34'!$I$48-Tulokset!$G$47)+ABS('34'!$K$48-Tulokset!$I$47))))))</f>
        <v/>
      </c>
      <c r="AX37" s="333" t="str">
        <f>IF(OR(Tulokset!$G$48="",Tulokset!$I$48="",'34'!$I$49="",'34'!$K$49=""),"",IF(SIGN('34'!$I$49-'34'!$K$49)&lt;&gt;SIGN(Tulokset!$G$48-Tulokset!$I$48),0,IF(Tulokset!$G$48=Tulokset!$I$48,IF(AND('34'!$I$49=Tulokset!$G$48,'34'!$K$49=Tulokset!$I$48),6,3),MAX(0,6-(ABS('34'!$I$49-Tulokset!$G$48)+ABS('34'!$K$49-Tulokset!$I$48))))))</f>
        <v/>
      </c>
      <c r="AY37" s="333" t="str">
        <f>IF(OR(Tulokset!$G$49="",Tulokset!$I$49="",'34'!$I$50="",'34'!$K$50=""),"",IF(SIGN('34'!$I$50-'34'!$K$50)&lt;&gt;SIGN(Tulokset!$G$49-Tulokset!$I$49),0,IF(Tulokset!$G$49=Tulokset!$I$49,IF(AND('34'!$I$50=Tulokset!$G$49,'34'!$K$50=Tulokset!$I$49),6,3),MAX(0,6-(ABS('34'!$I$50-Tulokset!$G$49)+ABS('34'!$K$50-Tulokset!$I$49))))))</f>
        <v/>
      </c>
      <c r="AZ37" s="333" t="str">
        <f>IF(OR(Tulokset!$G$50="",Tulokset!$I$50="",'34'!$I$51="",'34'!$K$51=""),"",IF(SIGN('34'!$I$51-'34'!$K$51)&lt;&gt;SIGN(Tulokset!$G$50-Tulokset!$I$50),0,IF(Tulokset!$G$50=Tulokset!$I$50,IF(AND('34'!$I$51=Tulokset!$G$50,'34'!$K$51=Tulokset!$I$50),6,3),MAX(0,6-(ABS('34'!$I$51-Tulokset!$G$50)+ABS('34'!$K$51-Tulokset!$I$50))))))</f>
        <v/>
      </c>
      <c r="BA37" s="333" t="str">
        <f>IF(OR(Tulokset!$G$51="",Tulokset!$I$51="",'34'!$I$52="",'34'!$K$52=""),"",IF(SIGN('34'!$I$52-'34'!$K$52)&lt;&gt;SIGN(Tulokset!$G$51-Tulokset!$I$51),0,IF(Tulokset!$G$51=Tulokset!$I$51,IF(AND('34'!$I$52=Tulokset!$G$51,'34'!$K$52=Tulokset!$I$51),6,3),MAX(0,6-(ABS('34'!$I$52-Tulokset!$G$51)+ABS('34'!$K$52-Tulokset!$I$51))))))</f>
        <v/>
      </c>
      <c r="BB37" s="333" t="str">
        <f>IF(OR(Tulokset!$G$52="",Tulokset!$I$52="",'34'!$I$53="",'34'!$K$53=""),"",IF(SIGN('34'!$I$53-'34'!$K$53)&lt;&gt;SIGN(Tulokset!$G$52-Tulokset!$I$52),0,IF(Tulokset!$G$52=Tulokset!$I$52,IF(AND('34'!$I$53=Tulokset!$G$52,'34'!$K$53=Tulokset!$I$52),6,3),MAX(0,6-(ABS('34'!$I$53-Tulokset!$G$52)+ABS('34'!$K$53-Tulokset!$I$52))))))</f>
        <v/>
      </c>
      <c r="BC37" s="333" t="str">
        <f>IF(OR(Tulokset!$G$53="",Tulokset!$I$53="",'34'!$I$54="",'34'!$K$54=""),"",IF(SIGN('34'!$I$54-'34'!$K$54)&lt;&gt;SIGN(Tulokset!$G$53-Tulokset!$I$53),0,IF(Tulokset!$G$53=Tulokset!$I$53,IF(AND('34'!$I$54=Tulokset!$G$53,'34'!$K$54=Tulokset!$I$53),6,3),MAX(0,6-(ABS('34'!$I$54-Tulokset!$G$53)+ABS('34'!$K$54-Tulokset!$I$53))))))</f>
        <v/>
      </c>
      <c r="BD37" s="333" t="str">
        <f>IF(OR(Tulokset!$G$54="",Tulokset!$I$54="",'34'!$I$55="",'34'!$K$55=""),"",IF(SIGN('34'!$I$55-'34'!$K$55)&lt;&gt;SIGN(Tulokset!$G$54-Tulokset!$I$54),0,IF(Tulokset!$G$54=Tulokset!$I$54,IF(AND('34'!$I$55=Tulokset!$G$54,'34'!$K$55=Tulokset!$I$54),6,3),MAX(0,6-(ABS('34'!$I$55-Tulokset!$G$54)+ABS('34'!$K$55-Tulokset!$I$54))))))</f>
        <v/>
      </c>
      <c r="BE37" s="333" t="str">
        <f>IF(OR(Tulokset!$G$55="",Tulokset!$I$55="",'34'!$I$56="",'34'!$K$56=""),"",IF(SIGN('34'!$I$56-'34'!$K$56)&lt;&gt;SIGN(Tulokset!$G$55-Tulokset!$I$55),0,IF(Tulokset!$G$55=Tulokset!$I$55,IF(AND('34'!$I$56=Tulokset!$G$55,'34'!$K$56=Tulokset!$I$55),6,3),MAX(0,6-(ABS('34'!$I$56-Tulokset!$G$55)+ABS('34'!$K$56-Tulokset!$I$55))))))</f>
        <v/>
      </c>
      <c r="BF37" s="333" t="str">
        <f>IF(OR(Tulokset!$G$56="",Tulokset!$I$56="",'34'!$I$57="",'34'!$K$57=""),"",IF(SIGN('34'!$I$57-'34'!$K$57)&lt;&gt;SIGN(Tulokset!$G$56-Tulokset!$I$56),0,IF(Tulokset!$G$56=Tulokset!$I$56,IF(AND('34'!$I$57=Tulokset!$G$56,'34'!$K$57=Tulokset!$I$56),6,3),MAX(0,6-(ABS('34'!$I$57-Tulokset!$G$56)+ABS('34'!$K$57-Tulokset!$I$56))))))</f>
        <v/>
      </c>
      <c r="BG37" s="333" t="str">
        <f>IF(OR(Tulokset!$G$57="",Tulokset!$I$57="",'34'!$I$58="",'34'!$K$58=""),"",IF(SIGN('34'!$I$58-'34'!$K$58)&lt;&gt;SIGN(Tulokset!$G$57-Tulokset!$I$57),0,IF(Tulokset!$G$57=Tulokset!$I$57,IF(AND('34'!$I$58=Tulokset!$G$57,'34'!$K$58=Tulokset!$I$57),6,3),MAX(0,6-(ABS('34'!$I$58-Tulokset!$G$57)+ABS('34'!$K$58-Tulokset!$I$57))))))</f>
        <v/>
      </c>
      <c r="BH37" s="333" t="str">
        <f>IF(OR(Tulokset!$G$58="",Tulokset!$I$58="",'34'!$I$59="",'34'!$K$59=""),"",IF(SIGN('34'!$I$59-'34'!$K$59)&lt;&gt;SIGN(Tulokset!$G$58-Tulokset!$I$58),0,IF(Tulokset!$G$58=Tulokset!$I$58,IF(AND('34'!$I$59=Tulokset!$G$58,'34'!$K$59=Tulokset!$I$58),6,3),MAX(0,6-(ABS('34'!$I$59-Tulokset!$G$58)+ABS('34'!$K$59-Tulokset!$I$58))))))</f>
        <v/>
      </c>
      <c r="BI37" s="333" t="str">
        <f>IF(OR(Tulokset!$G$59="",Tulokset!$I$59="",'34'!$I$60="",'34'!$K$60=""),"",IF(SIGN('34'!$I$60-'34'!$K$60)&lt;&gt;SIGN(Tulokset!$G$59-Tulokset!$I$59),0,IF(Tulokset!$G$59=Tulokset!$I$59,IF(AND('34'!$I$60=Tulokset!$G$59,'34'!$K$60=Tulokset!$I$59),6,3),MAX(0,6-(ABS('34'!$I$60-Tulokset!$G$59)+ABS('34'!$K$60-Tulokset!$I$59))))))</f>
        <v/>
      </c>
      <c r="BJ37" s="333" t="str">
        <f>IF(OR(Tulokset!$G$60="",Tulokset!$I$60="",'34'!$I$61="",'34'!$K$61=""),"",IF(SIGN('34'!$I$61-'34'!$K$61)&lt;&gt;SIGN(Tulokset!$G$60-Tulokset!$I$60),0,IF(Tulokset!$G$60=Tulokset!$I$60,IF(AND('34'!$I$61=Tulokset!$G$60,'34'!$K$61=Tulokset!$I$60),6,3),MAX(0,6-(ABS('34'!$I$61-Tulokset!$G$60)+ABS('34'!$K$61-Tulokset!$I$60))))))</f>
        <v/>
      </c>
      <c r="BK37" s="333" t="str">
        <f>IF(OR(Tulokset!$G$61="",Tulokset!$I$61="",'34'!$I$62="",'34'!$K$62=""),"",IF(SIGN('34'!$I$62-'34'!$K$62)&lt;&gt;SIGN(Tulokset!$G$61-Tulokset!$I$61),0,IF(Tulokset!$G$61=Tulokset!$I$61,IF(AND('34'!$I$62=Tulokset!$G$61,'34'!$K$62=Tulokset!$I$61),6,3),MAX(0,6-(ABS('34'!$I$62-Tulokset!$G$61)+ABS('34'!$K$62-Tulokset!$I$61))))))</f>
        <v/>
      </c>
      <c r="BL37" s="333" t="str">
        <f>IF(OR(Tulokset!$G$62="",Tulokset!$I$62="",'34'!$I$63="",'34'!$K$63=""),"",IF(SIGN('34'!$I$63-'34'!$K$63)&lt;&gt;SIGN(Tulokset!$G$62-Tulokset!$I$62),0,IF(Tulokset!$G$62=Tulokset!$I$62,IF(AND('34'!$I$63=Tulokset!$G$62,'34'!$K$63=Tulokset!$I$62),6,3),MAX(0,6-(ABS('34'!$I$63-Tulokset!$G$62)+ABS('34'!$K$63-Tulokset!$I$62))))))</f>
        <v/>
      </c>
      <c r="BM37" s="333" t="str">
        <f>IF(OR(Tulokset!$G$63="",Tulokset!$I$63="",'34'!$I$64="",'34'!$K$64=""),"",IF(SIGN('34'!$I$64-'34'!$K$64)&lt;&gt;SIGN(Tulokset!$G$63-Tulokset!$I$63),0,IF(Tulokset!$G$63=Tulokset!$I$63,IF(AND('34'!$I$64=Tulokset!$G$63,'34'!$K$64=Tulokset!$I$63),6,3),MAX(0,6-(ABS('34'!$I$64-Tulokset!$G$63)+ABS('34'!$K$64-Tulokset!$I$63))))))</f>
        <v/>
      </c>
      <c r="BN37" s="333" t="str">
        <f>IF(OR(Tulokset!$G$64="",Tulokset!$I$64="",'34'!$I$65="",'34'!$K$65=""),"",IF(SIGN('34'!$I$65-'34'!$K$65)&lt;&gt;SIGN(Tulokset!$G$64-Tulokset!$I$64),0,IF(Tulokset!$G$64=Tulokset!$I$64,IF(AND('34'!$I$65=Tulokset!$G$64,'34'!$K$65=Tulokset!$I$64),6,3),MAX(0,6-(ABS('34'!$I$65-Tulokset!$G$64)+ABS('34'!$K$65-Tulokset!$I$64))))))</f>
        <v/>
      </c>
      <c r="BO37" s="333" t="str">
        <f>IF(OR(Tulokset!$G$65="",Tulokset!$I$65="",'34'!$I$66="",'34'!$K$66=""),"",IF(SIGN('34'!$I$66-'34'!$K$66)&lt;&gt;SIGN(Tulokset!$G$65-Tulokset!$I$65),0,IF(Tulokset!$G$65=Tulokset!$I$65,IF(AND('34'!$I$66=Tulokset!$G$65,'34'!$K$66=Tulokset!$I$65),6,3),MAX(0,6-(ABS('34'!$I$66-Tulokset!$G$65)+ABS('34'!$K$66-Tulokset!$I$65))))))</f>
        <v/>
      </c>
      <c r="BP37" s="333" t="str">
        <f>IF(OR(Tulokset!$G$66="",Tulokset!$I$66="",'34'!$I$67="",'34'!$K$67=""),"",IF(SIGN('34'!$I$67-'34'!$K$67)&lt;&gt;SIGN(Tulokset!$G$66-Tulokset!$I$66),0,IF(Tulokset!$G$66=Tulokset!$I$66,IF(AND('34'!$I$67=Tulokset!$G$66,'34'!$K$67=Tulokset!$I$66),6,3),MAX(0,6-(ABS('34'!$I$67-Tulokset!$G$66)+ABS('34'!$K$67-Tulokset!$I$66))))))</f>
        <v/>
      </c>
      <c r="BQ37" s="333" t="str">
        <f>IF(OR(Tulokset!$G$67="",Tulokset!$I$67="",'34'!$I$68="",'34'!$K$68=""),"",IF(SIGN('34'!$I$68-'34'!$K$68)&lt;&gt;SIGN(Tulokset!$G$67-Tulokset!$I$67),0,IF(Tulokset!$G$67=Tulokset!$I$67,IF(AND('34'!$I$68=Tulokset!$G$67,'34'!$K$68=Tulokset!$I$67),6,3),MAX(0,6-(ABS('34'!$I$68-Tulokset!$G$67)+ABS('34'!$K$68-Tulokset!$I$67))))))</f>
        <v/>
      </c>
      <c r="BR37" s="333" t="str">
        <f>IF(OR(Tulokset!$G$68="",Tulokset!$I$68="",'34'!$I$69="",'34'!$K$69=""),"",IF(SIGN('34'!$I$69-'34'!$K$69)&lt;&gt;SIGN(Tulokset!$G$68-Tulokset!$I$68),0,IF(Tulokset!$G$68=Tulokset!$I$68,IF(AND('34'!$I$69=Tulokset!$G$68,'34'!$K$69=Tulokset!$I$68),6,3),MAX(0,6-(ABS('34'!$I$69-Tulokset!$G$68)+ABS('34'!$K$69-Tulokset!$I$68))))))</f>
        <v/>
      </c>
      <c r="BS37" s="333" t="str">
        <f>IF(OR(Tulokset!$G$69="",Tulokset!$I$69="",'34'!$I$70="",'34'!$K$70=""),"",IF(SIGN('34'!$I$70-'34'!$K$70)&lt;&gt;SIGN(Tulokset!$G$69-Tulokset!$I$69),0,IF(Tulokset!$G$69=Tulokset!$I$69,IF(AND('34'!$I$70=Tulokset!$G$69,'34'!$K$70=Tulokset!$I$69),6,3),MAX(0,6-(ABS('34'!$I$70-Tulokset!$G$69)+ABS('34'!$K$70-Tulokset!$I$69))))))</f>
        <v/>
      </c>
      <c r="BT37" s="333" t="str">
        <f>IF(OR(Tulokset!$G$70="",Tulokset!$I$70="",'34'!$I$71="",'34'!$K$71=""),"",IF(SIGN('34'!$I$71-'34'!$K$71)&lt;&gt;SIGN(Tulokset!$G$70-Tulokset!$I$70),0,IF(Tulokset!$G$70=Tulokset!$I$70,IF(AND('34'!$I$71=Tulokset!$G$70,'34'!$K$71=Tulokset!$I$70),6,3),MAX(0,6-(ABS('34'!$I$71-Tulokset!$G$70)+ABS('34'!$K$71-Tulokset!$I$70))))))</f>
        <v/>
      </c>
      <c r="BU37" s="333" t="str">
        <f>IF(OR(Tulokset!$G$71="",Tulokset!$I$71="",'34'!$I$72="",'34'!$K$72=""),"",IF(SIGN('34'!$I$72-'34'!$K$72)&lt;&gt;SIGN(Tulokset!$G$71-Tulokset!$I$71),0,IF(Tulokset!$G$71=Tulokset!$I$71,IF(AND('34'!$I$72=Tulokset!$G$71,'34'!$K$72=Tulokset!$I$71),6,3),MAX(0,6-(ABS('34'!$I$72-Tulokset!$G$71)+ABS('34'!$K$72-Tulokset!$I$71))))))</f>
        <v/>
      </c>
      <c r="BV37" s="333" t="str">
        <f>IF(OR(Tulokset!$G$72="",Tulokset!$I$72="",'34'!$I$73="",'34'!$K$73=""),"",IF(SIGN('34'!$I$73-'34'!$K$73)&lt;&gt;SIGN(Tulokset!$G$72-Tulokset!$I$72),0,IF(Tulokset!$G$72=Tulokset!$I$72,IF(AND('34'!$I$73=Tulokset!$G$72,'34'!$K$73=Tulokset!$I$72),6,3),MAX(0,6-(ABS('34'!$I$73-Tulokset!$G$72)+ABS('34'!$K$73-Tulokset!$I$72))))))</f>
        <v/>
      </c>
      <c r="BW37" s="333" t="str">
        <f>IF(OR(Tulokset!$G$73="",Tulokset!$I$73="",'34'!$I$74="",'34'!$K$74=""),"",IF(SIGN('34'!$I$74-'34'!$K$74)&lt;&gt;SIGN(Tulokset!$G$73-Tulokset!$I$73),0,IF(Tulokset!$G$73=Tulokset!$I$73,IF(AND('34'!$I$74=Tulokset!$G$73,'34'!$K$74=Tulokset!$I$73),6,3),MAX(0,6-(ABS('34'!$I$74-Tulokset!$G$73)+ABS('34'!$K$74-Tulokset!$I$73))))))</f>
        <v/>
      </c>
      <c r="BX37" s="333" t="str">
        <f>IF(OR(Tulokset!$G$74="",Tulokset!$I$74="",'34'!$I$75="",'34'!$K$75=""),"",IF(SIGN('34'!$I$75-'34'!$K$75)&lt;&gt;SIGN(Tulokset!$G$74-Tulokset!$I$74),0,IF(Tulokset!$G$74=Tulokset!$I$74,IF(AND('34'!$I$75=Tulokset!$G$74,'34'!$K$75=Tulokset!$I$74),6,3),MAX(0,6-(ABS('34'!$I$75-Tulokset!$G$74)+ABS('34'!$K$75-Tulokset!$I$74))))))</f>
        <v/>
      </c>
      <c r="BY37" s="333" t="str">
        <f>IF(OR(Tulokset!$G$75="",Tulokset!$I$75="",'34'!$I$76="",'34'!$K$76=""),"",IF(SIGN('34'!$I$76-'34'!$K$76)&lt;&gt;SIGN(Tulokset!$G$75-Tulokset!$I$75),0,IF(Tulokset!$G$75=Tulokset!$I$75,IF(AND('34'!$I$76=Tulokset!$G$75,'34'!$K$76=Tulokset!$I$75),6,3),MAX(0,6-(ABS('34'!$I$76-Tulokset!$G$75)+ABS('34'!$K$76-Tulokset!$I$75))))))</f>
        <v/>
      </c>
      <c r="BZ37" s="333" t="str">
        <f>IF(OR(Tulokset!$G$76="",Tulokset!$I$76="",'34'!$I$77="",'34'!$K$77=""),"",IF(SIGN('34'!$I$77-'34'!$K$77)&lt;&gt;SIGN(Tulokset!$G$76-Tulokset!$I$76),0,IF(Tulokset!$G$76=Tulokset!$I$76,IF(AND('34'!$I$77=Tulokset!$G$76,'34'!$K$77=Tulokset!$I$76),6,3),MAX(0,6-(ABS('34'!$I$77-Tulokset!$G$76)+ABS('34'!$K$77-Tulokset!$I$76))))))</f>
        <v/>
      </c>
      <c r="CA37" s="333" t="str">
        <f>IF(OR(Tulokset!$G$77="",Tulokset!$I$77="",'34'!$I$78="",'34'!$K$78=""),"",IF(SIGN('34'!$I$78-'34'!$K$78)&lt;&gt;SIGN(Tulokset!$G$77-Tulokset!$I$77),0,IF(Tulokset!$G$77=Tulokset!$I$77,IF(AND('34'!$I$78=Tulokset!$G$77,'34'!$K$78=Tulokset!$I$77),6,3),MAX(0,6-(ABS('34'!$I$78-Tulokset!$G$77)+ABS('34'!$K$78-Tulokset!$I$77))))))</f>
        <v/>
      </c>
      <c r="CB37" s="333"/>
      <c r="CC37" s="333"/>
      <c r="CD37" s="333" t="str">
        <f ca="1">IF(OR(Tulokset!$M$6="",INDIRECT("'"&amp;$A37&amp;"'!$P$8")=""),"",IF(TRIM(INDIRECT("'"&amp;$A37&amp;"'!$P$8"))=TRIM(Tulokset!$M$6),2,0))</f>
        <v/>
      </c>
      <c r="CE37" s="333" t="str">
        <f ca="1">IF(OR(Tulokset!$M$7="",INDIRECT("'"&amp;$A37&amp;"'!$P$9")=""),"",IF(TRIM(INDIRECT("'"&amp;$A37&amp;"'!$P$9"))=TRIM(Tulokset!$M$7),2,0))</f>
        <v/>
      </c>
      <c r="CF37" s="333" t="str">
        <f ca="1">IF(OR(Tulokset!$M$8="",INDIRECT("'"&amp;$A37&amp;"'!$P$10")=""),"",IF(TRIM(INDIRECT("'"&amp;$A37&amp;"'!$P$10"))=TRIM(Tulokset!$M$8),2,0))</f>
        <v/>
      </c>
      <c r="CG37" s="333" t="str">
        <f ca="1">IF(OR(Tulokset!$M$9="",INDIRECT("'"&amp;$A37&amp;"'!$P$11")=""),"",IF(TRIM(INDIRECT("'"&amp;$A37&amp;"'!$P$11"))=TRIM(Tulokset!$M$9),2,0))</f>
        <v/>
      </c>
      <c r="CH37" s="333" t="str">
        <f ca="1">IF(OR(Tulokset!$N$6="",INDIRECT("'"&amp;$A37&amp;"'!$Q$8")=""),"",IF(TRIM(INDIRECT("'"&amp;$A37&amp;"'!$Q$8"))=TRIM(Tulokset!$N$6),2,0))</f>
        <v/>
      </c>
      <c r="CI37" s="333" t="str">
        <f ca="1">IF(OR(Tulokset!$N$7="",INDIRECT("'"&amp;$A37&amp;"'!$Q$9")=""),"",IF(TRIM(INDIRECT("'"&amp;$A37&amp;"'!$Q$9"))=TRIM(Tulokset!$N$7),2,0))</f>
        <v/>
      </c>
      <c r="CJ37" s="333" t="str">
        <f ca="1">IF(OR(Tulokset!$N$8="",INDIRECT("'"&amp;$A37&amp;"'!$Q$10")=""),"",IF(TRIM(INDIRECT("'"&amp;$A37&amp;"'!$Q$10"))=TRIM(Tulokset!$N$8),2,0))</f>
        <v/>
      </c>
      <c r="CK37" s="333" t="str">
        <f ca="1">IF(OR(Tulokset!$N$9="",INDIRECT("'"&amp;$A37&amp;"'!$Q$11")=""),"",IF(TRIM(INDIRECT("'"&amp;$A37&amp;"'!$Q$11"))=TRIM(Tulokset!$N$9),2,0))</f>
        <v/>
      </c>
      <c r="CL37" s="333" t="str">
        <f ca="1">IF(OR(Tulokset!$O$6="",INDIRECT("'"&amp;$A37&amp;"'!$R$8")=""),"",IF(TRIM(INDIRECT("'"&amp;$A37&amp;"'!$R$8"))=TRIM(Tulokset!$O$6),2,0))</f>
        <v/>
      </c>
      <c r="CM37" s="333" t="str">
        <f ca="1">IF(OR(Tulokset!$O$7="",INDIRECT("'"&amp;$A37&amp;"'!$R$9")=""),"",IF(TRIM(INDIRECT("'"&amp;$A37&amp;"'!$R$9"))=TRIM(Tulokset!$O$7),2,0))</f>
        <v/>
      </c>
      <c r="CN37" s="333" t="str">
        <f ca="1">IF(OR(Tulokset!$O$8="",INDIRECT("'"&amp;$A37&amp;"'!$R$10")=""),"",IF(TRIM(INDIRECT("'"&amp;$A37&amp;"'!$R$10"))=TRIM(Tulokset!$O$8),2,0))</f>
        <v/>
      </c>
      <c r="CO37" s="333" t="str">
        <f ca="1">IF(OR(Tulokset!$O$9="",INDIRECT("'"&amp;$A37&amp;"'!$R$11")=""),"",IF(TRIM(INDIRECT("'"&amp;$A37&amp;"'!$R$11"))=TRIM(Tulokset!$O$9),2,0))</f>
        <v/>
      </c>
      <c r="CP37" s="333" t="str">
        <f ca="1">IF(OR(Tulokset!$P$6="",INDIRECT("'"&amp;$A37&amp;"'!$S$8")=""),"",IF(TRIM(INDIRECT("'"&amp;$A37&amp;"'!$S$8"))=TRIM(Tulokset!$P$6),2,0))</f>
        <v/>
      </c>
      <c r="CQ37" s="333" t="str">
        <f ca="1">IF(OR(Tulokset!$P$7="",INDIRECT("'"&amp;$A37&amp;"'!$S$9")=""),"",IF(TRIM(INDIRECT("'"&amp;$A37&amp;"'!$S$9"))=TRIM(Tulokset!$P$7),2,0))</f>
        <v/>
      </c>
      <c r="CR37" s="333" t="str">
        <f ca="1">IF(OR(Tulokset!$P$8="",INDIRECT("'"&amp;$A37&amp;"'!$S$10")=""),"",IF(TRIM(INDIRECT("'"&amp;$A37&amp;"'!$S$10"))=TRIM(Tulokset!$P$8),2,0))</f>
        <v/>
      </c>
      <c r="CS37" s="333" t="str">
        <f ca="1">IF(OR(Tulokset!$P$9="",INDIRECT("'"&amp;$A37&amp;"'!$S$11")=""),"",IF(TRIM(INDIRECT("'"&amp;$A37&amp;"'!$S$11"))=TRIM(Tulokset!$P$9),2,0))</f>
        <v/>
      </c>
      <c r="CT37" s="333" t="str">
        <f ca="1">IF(OR(Tulokset!$Q$6="",INDIRECT("'"&amp;$A37&amp;"'!$T$8")=""),"",IF(TRIM(INDIRECT("'"&amp;$A37&amp;"'!$T$8"))=TRIM(Tulokset!$Q$6),2,0))</f>
        <v/>
      </c>
      <c r="CU37" s="333" t="str">
        <f ca="1">IF(OR(Tulokset!$Q$7="",INDIRECT("'"&amp;$A37&amp;"'!$T$9")=""),"",IF(TRIM(INDIRECT("'"&amp;$A37&amp;"'!$T$9"))=TRIM(Tulokset!$Q$7),2,0))</f>
        <v/>
      </c>
      <c r="CV37" s="333" t="str">
        <f ca="1">IF(OR(Tulokset!$Q$8="",INDIRECT("'"&amp;$A37&amp;"'!$T$10")=""),"",IF(TRIM(INDIRECT("'"&amp;$A37&amp;"'!$T$10"))=TRIM(Tulokset!$Q$8),2,0))</f>
        <v/>
      </c>
      <c r="CW37" s="333" t="str">
        <f ca="1">IF(OR(Tulokset!$Q$9="",INDIRECT("'"&amp;$A37&amp;"'!$T$11")=""),"",IF(TRIM(INDIRECT("'"&amp;$A37&amp;"'!$T$11"))=TRIM(Tulokset!$Q$9),2,0))</f>
        <v/>
      </c>
      <c r="CX37" s="333" t="str">
        <f ca="1">IF(OR(Tulokset!$R$6="",INDIRECT("'"&amp;$A37&amp;"'!$U$8")=""),"",IF(TRIM(INDIRECT("'"&amp;$A37&amp;"'!$U$8"))=TRIM(Tulokset!$R$6),2,0))</f>
        <v/>
      </c>
      <c r="CY37" s="333" t="str">
        <f ca="1">IF(OR(Tulokset!$R$7="",INDIRECT("'"&amp;$A37&amp;"'!$U$9")=""),"",IF(TRIM(INDIRECT("'"&amp;$A37&amp;"'!$U$9"))=TRIM(Tulokset!$R$7),2,0))</f>
        <v/>
      </c>
      <c r="CZ37" s="333" t="str">
        <f ca="1">IF(OR(Tulokset!$R$8="",INDIRECT("'"&amp;$A37&amp;"'!$U$10")=""),"",IF(TRIM(INDIRECT("'"&amp;$A37&amp;"'!$U$10"))=TRIM(Tulokset!$R$8),2,0))</f>
        <v/>
      </c>
      <c r="DA37" s="333" t="str">
        <f ca="1">IF(OR(Tulokset!$R$9="",INDIRECT("'"&amp;$A37&amp;"'!$U$11")=""),"",IF(TRIM(INDIRECT("'"&amp;$A37&amp;"'!$U$11"))=TRIM(Tulokset!$R$9),2,0))</f>
        <v/>
      </c>
      <c r="DB37" s="333" t="str">
        <f ca="1">IF(OR(Tulokset!$M$12="",INDIRECT("'"&amp;$A37&amp;"'!$P$14")=""),"",IF(TRIM(INDIRECT("'"&amp;$A37&amp;"'!$P$14"))=TRIM(Tulokset!$M$12),2,0))</f>
        <v/>
      </c>
      <c r="DC37" s="333" t="str">
        <f ca="1">IF(OR(Tulokset!$M$13="",INDIRECT("'"&amp;$A37&amp;"'!$P$15")=""),"",IF(TRIM(INDIRECT("'"&amp;$A37&amp;"'!$P$15"))=TRIM(Tulokset!$M$13),2,0))</f>
        <v/>
      </c>
      <c r="DD37" s="333" t="str">
        <f ca="1">IF(OR(Tulokset!$M$14="",INDIRECT("'"&amp;$A37&amp;"'!$P$16")=""),"",IF(TRIM(INDIRECT("'"&amp;$A37&amp;"'!$P$16"))=TRIM(Tulokset!$M$14),2,0))</f>
        <v/>
      </c>
      <c r="DE37" s="333" t="str">
        <f ca="1">IF(OR(Tulokset!$M$15="",INDIRECT("'"&amp;$A37&amp;"'!$P$17")=""),"",IF(TRIM(INDIRECT("'"&amp;$A37&amp;"'!$P$17"))=TRIM(Tulokset!$M$15),2,0))</f>
        <v/>
      </c>
      <c r="DF37" s="333" t="str">
        <f ca="1">IF(OR(Tulokset!$N$12="",INDIRECT("'"&amp;$A37&amp;"'!$Q$14")=""),"",IF(TRIM(INDIRECT("'"&amp;$A37&amp;"'!$Q$14"))=TRIM(Tulokset!$N$12),2,0))</f>
        <v/>
      </c>
      <c r="DG37" s="333" t="str">
        <f ca="1">IF(OR(Tulokset!$N$13="",INDIRECT("'"&amp;$A37&amp;"'!$Q$15")=""),"",IF(TRIM(INDIRECT("'"&amp;$A37&amp;"'!$Q$15"))=TRIM(Tulokset!$N$13),2,0))</f>
        <v/>
      </c>
      <c r="DH37" s="333" t="str">
        <f ca="1">IF(OR(Tulokset!$N$14="",INDIRECT("'"&amp;$A37&amp;"'!$Q$16")=""),"",IF(TRIM(INDIRECT("'"&amp;$A37&amp;"'!$Q$16"))=TRIM(Tulokset!$N$14),2,0))</f>
        <v/>
      </c>
      <c r="DI37" s="333" t="str">
        <f ca="1">IF(OR(Tulokset!$N$15="",INDIRECT("'"&amp;$A37&amp;"'!$Q$17")=""),"",IF(TRIM(INDIRECT("'"&amp;$A37&amp;"'!$Q$17"))=TRIM(Tulokset!$N$15),2,0))</f>
        <v/>
      </c>
      <c r="DJ37" s="333" t="str">
        <f ca="1">IF(OR(Tulokset!$O$12="",INDIRECT("'"&amp;$A37&amp;"'!$R$14")=""),"",IF(TRIM(INDIRECT("'"&amp;$A37&amp;"'!$R$14"))=TRIM(Tulokset!$O$12),2,0))</f>
        <v/>
      </c>
      <c r="DK37" s="333" t="str">
        <f ca="1">IF(OR(Tulokset!$O$13="",INDIRECT("'"&amp;$A37&amp;"'!$R$15")=""),"",IF(TRIM(INDIRECT("'"&amp;$A37&amp;"'!$R$15"))=TRIM(Tulokset!$O$13),2,0))</f>
        <v/>
      </c>
      <c r="DL37" s="333" t="str">
        <f ca="1">IF(OR(Tulokset!$O$14="",INDIRECT("'"&amp;$A37&amp;"'!$R$16")=""),"",IF(TRIM(INDIRECT("'"&amp;$A37&amp;"'!$R$16"))=TRIM(Tulokset!$O$14),2,0))</f>
        <v/>
      </c>
      <c r="DM37" s="333" t="str">
        <f ca="1">IF(OR(Tulokset!$O$15="",INDIRECT("'"&amp;$A37&amp;"'!$R$17")=""),"",IF(TRIM(INDIRECT("'"&amp;$A37&amp;"'!$R$17"))=TRIM(Tulokset!$O$15),2,0))</f>
        <v/>
      </c>
      <c r="DN37" s="333" t="str">
        <f ca="1">IF(OR(Tulokset!$P$12="",INDIRECT("'"&amp;$A37&amp;"'!$S$14")=""),"",IF(TRIM(INDIRECT("'"&amp;$A37&amp;"'!$S$14"))=TRIM(Tulokset!$P$12),2,0))</f>
        <v/>
      </c>
      <c r="DO37" s="333" t="str">
        <f ca="1">IF(OR(Tulokset!$P$13="",INDIRECT("'"&amp;$A37&amp;"'!$S$15")=""),"",IF(TRIM(INDIRECT("'"&amp;$A37&amp;"'!$S$15"))=TRIM(Tulokset!$P$13),2,0))</f>
        <v/>
      </c>
      <c r="DP37" s="333" t="str">
        <f ca="1">IF(OR(Tulokset!$P$14="",INDIRECT("'"&amp;$A37&amp;"'!$S$16")=""),"",IF(TRIM(INDIRECT("'"&amp;$A37&amp;"'!$S$16"))=TRIM(Tulokset!$P$14),2,0))</f>
        <v/>
      </c>
      <c r="DQ37" s="333" t="str">
        <f ca="1">IF(OR(Tulokset!$P$15="",INDIRECT("'"&amp;$A37&amp;"'!$S$17")=""),"",IF(TRIM(INDIRECT("'"&amp;$A37&amp;"'!$S$17"))=TRIM(Tulokset!$P$15),2,0))</f>
        <v/>
      </c>
      <c r="DR37" s="333" t="str">
        <f ca="1">IF(OR(Tulokset!$Q$12="",INDIRECT("'"&amp;$A37&amp;"'!$T$14")=""),"",IF(TRIM(INDIRECT("'"&amp;$A37&amp;"'!$T$14"))=TRIM(Tulokset!$Q$12),2,0))</f>
        <v/>
      </c>
      <c r="DS37" s="333" t="str">
        <f ca="1">IF(OR(Tulokset!$Q$13="",INDIRECT("'"&amp;$A37&amp;"'!$T$15")=""),"",IF(TRIM(INDIRECT("'"&amp;$A37&amp;"'!$T$15"))=TRIM(Tulokset!$Q$13),2,0))</f>
        <v/>
      </c>
      <c r="DT37" s="333" t="str">
        <f ca="1">IF(OR(Tulokset!$Q$14="",INDIRECT("'"&amp;$A37&amp;"'!$T$16")=""),"",IF(TRIM(INDIRECT("'"&amp;$A37&amp;"'!$T$16"))=TRIM(Tulokset!$Q$14),2,0))</f>
        <v/>
      </c>
      <c r="DU37" s="333" t="str">
        <f ca="1">IF(OR(Tulokset!$Q$15="",INDIRECT("'"&amp;$A37&amp;"'!$T$17")=""),"",IF(TRIM(INDIRECT("'"&amp;$A37&amp;"'!$T$17"))=TRIM(Tulokset!$Q$15),2,0))</f>
        <v/>
      </c>
      <c r="DV37" s="333" t="str">
        <f ca="1">IF(OR(Tulokset!$R$12="",INDIRECT("'"&amp;$A37&amp;"'!$U$14")=""),"",IF(TRIM(INDIRECT("'"&amp;$A37&amp;"'!$U$14"))=TRIM(Tulokset!$R$12),2,0))</f>
        <v/>
      </c>
      <c r="DW37" s="333" t="str">
        <f ca="1">IF(OR(Tulokset!$R$13="",INDIRECT("'"&amp;$A37&amp;"'!$U$15")=""),"",IF(TRIM(INDIRECT("'"&amp;$A37&amp;"'!$U$15"))=TRIM(Tulokset!$R$13),2,0))</f>
        <v/>
      </c>
      <c r="DX37" s="333" t="str">
        <f ca="1">IF(OR(Tulokset!$R$14="",INDIRECT("'"&amp;$A37&amp;"'!$U$16")=""),"",IF(TRIM(INDIRECT("'"&amp;$A37&amp;"'!$U$16"))=TRIM(Tulokset!$R$14),2,0))</f>
        <v/>
      </c>
      <c r="DY37" s="333" t="str">
        <f ca="1">IF(OR(Tulokset!$R$15="",INDIRECT("'"&amp;$A37&amp;"'!$U$17")=""),"",IF(TRIM(INDIRECT("'"&amp;$A37&amp;"'!$U$17"))=TRIM(Tulokset!$R$15),2,0))</f>
        <v/>
      </c>
      <c r="DZ37" s="333"/>
      <c r="EA37" s="333" t="str">
        <f ca="1">IF(OR(INDIRECT("'"&amp;$A37&amp;"'!$E$79")="",COUNTA(Tulokset!$M$20:$M$21)=0),"",IF(COUNTIF(Tulokset!$M$20:$M$21,INDIRECT("'"&amp;$A37&amp;"'!$E$79"))&gt;0,2,0))</f>
        <v/>
      </c>
      <c r="EB37" s="333" t="str">
        <f ca="1">IF(OR(INDIRECT("'"&amp;$A37&amp;"'!$G$79")="",COUNTA(Tulokset!$M$20:$M$21)=0),"",IF(COUNTIF(Tulokset!$M$20:$M$21,INDIRECT("'"&amp;$A37&amp;"'!$G$79"))&gt;0,2,0))</f>
        <v/>
      </c>
      <c r="EC37" s="333" t="str">
        <f ca="1">IF(OR(INDIRECT("'"&amp;$A37&amp;"'!$E$80")="",COUNTA(Tulokset!$M$23:$M$24)=0),"",IF(COUNTIF(Tulokset!$M$23:$M$24,INDIRECT("'"&amp;$A37&amp;"'!$E$80"))&gt;0,2,0))</f>
        <v/>
      </c>
      <c r="ED37" s="333" t="str">
        <f ca="1">IF(OR(INDIRECT("'"&amp;$A37&amp;"'!$G$80")="",COUNTA(Tulokset!$M$23:$M$24)=0),"",IF(COUNTIF(Tulokset!$M$23:$M$24,INDIRECT("'"&amp;$A37&amp;"'!$G$80"))&gt;0,2,0))</f>
        <v/>
      </c>
    </row>
    <row r="38" spans="1:134">
      <c r="A38" s="333">
        <v>35</v>
      </c>
      <c r="B38" s="333" t="str">
        <f t="shared" ca="1" si="0"/>
        <v/>
      </c>
      <c r="C38" s="334">
        <f t="shared" si="1"/>
        <v>0</v>
      </c>
      <c r="D38" s="334">
        <f t="shared" ca="1" si="2"/>
        <v>0</v>
      </c>
      <c r="E38" s="334">
        <f t="shared" ca="1" si="3"/>
        <v>0</v>
      </c>
      <c r="F38" s="334" t="str">
        <f t="shared" ca="1" si="4"/>
        <v/>
      </c>
      <c r="G38" s="334">
        <f t="shared" si="5"/>
        <v>0</v>
      </c>
      <c r="H38" s="333" t="str">
        <f>IF(OR(Tulokset!$G$6="",Tulokset!$I$6="",'35'!$I$7="",'35'!$K$7=""),"",IF(SIGN('35'!$I$7-'35'!$K$7)&lt;&gt;SIGN(Tulokset!$G$6-Tulokset!$I$6),0,IF(Tulokset!$G$6=Tulokset!$I$6,IF(AND('35'!$I$7=Tulokset!$G$6,'35'!$K$7=Tulokset!$I$6),6,3),MAX(0,6-(ABS('35'!$I$7-Tulokset!$G$6)+ABS('35'!$K$7-Tulokset!$I$6))))))</f>
        <v/>
      </c>
      <c r="I38" s="333" t="str">
        <f>IF(OR(Tulokset!$G$7="",Tulokset!$I$7="",'35'!$I$8="",'35'!$K$8=""),"",IF(SIGN('35'!$I$8-'35'!$K$8)&lt;&gt;SIGN(Tulokset!$G$7-Tulokset!$I$7),0,IF(Tulokset!$G$7=Tulokset!$I$7,IF(AND('35'!$I$8=Tulokset!$G$7,'35'!$K$8=Tulokset!$I$7),6,3),MAX(0,6-(ABS('35'!$I$8-Tulokset!$G$7)+ABS('35'!$K$8-Tulokset!$I$7))))))</f>
        <v/>
      </c>
      <c r="J38" s="333" t="str">
        <f>IF(OR(Tulokset!$G$8="",Tulokset!$I$8="",'35'!$I$9="",'35'!$K$9=""),"",IF(SIGN('35'!$I$9-'35'!$K$9)&lt;&gt;SIGN(Tulokset!$G$8-Tulokset!$I$8),0,IF(Tulokset!$G$8=Tulokset!$I$8,IF(AND('35'!$I$9=Tulokset!$G$8,'35'!$K$9=Tulokset!$I$8),6,3),MAX(0,6-(ABS('35'!$I$9-Tulokset!$G$8)+ABS('35'!$K$9-Tulokset!$I$8))))))</f>
        <v/>
      </c>
      <c r="K38" s="333" t="str">
        <f>IF(OR(Tulokset!$G$9="",Tulokset!$I$9="",'35'!$I$10="",'35'!$K$10=""),"",IF(SIGN('35'!$I$10-'35'!$K$10)&lt;&gt;SIGN(Tulokset!$G$9-Tulokset!$I$9),0,IF(Tulokset!$G$9=Tulokset!$I$9,IF(AND('35'!$I$10=Tulokset!$G$9,'35'!$K$10=Tulokset!$I$9),6,3),MAX(0,6-(ABS('35'!$I$10-Tulokset!$G$9)+ABS('35'!$K$10-Tulokset!$I$9))))))</f>
        <v/>
      </c>
      <c r="L38" s="333" t="str">
        <f>IF(OR(Tulokset!$G$10="",Tulokset!$I$10="",'35'!$I$11="",'35'!$K$11=""),"",IF(SIGN('35'!$I$11-'35'!$K$11)&lt;&gt;SIGN(Tulokset!$G$10-Tulokset!$I$10),0,IF(Tulokset!$G$10=Tulokset!$I$10,IF(AND('35'!$I$11=Tulokset!$G$10,'35'!$K$11=Tulokset!$I$10),6,3),MAX(0,6-(ABS('35'!$I$11-Tulokset!$G$10)+ABS('35'!$K$11-Tulokset!$I$10))))))</f>
        <v/>
      </c>
      <c r="M38" s="333" t="str">
        <f>IF(OR(Tulokset!$G$11="",Tulokset!$I$11="",'35'!$I$12="",'35'!$K$12=""),"",IF(SIGN('35'!$I$12-'35'!$K$12)&lt;&gt;SIGN(Tulokset!$G$11-Tulokset!$I$11),0,IF(Tulokset!$G$11=Tulokset!$I$11,IF(AND('35'!$I$12=Tulokset!$G$11,'35'!$K$12=Tulokset!$I$11),6,3),MAX(0,6-(ABS('35'!$I$12-Tulokset!$G$11)+ABS('35'!$K$12-Tulokset!$I$11))))))</f>
        <v/>
      </c>
      <c r="N38" s="333" t="str">
        <f>IF(OR(Tulokset!$G$12="",Tulokset!$I$12="",'35'!$I$13="",'35'!$K$13=""),"",IF(SIGN('35'!$I$13-'35'!$K$13)&lt;&gt;SIGN(Tulokset!$G$12-Tulokset!$I$12),0,IF(Tulokset!$G$12=Tulokset!$I$12,IF(AND('35'!$I$13=Tulokset!$G$12,'35'!$K$13=Tulokset!$I$12),6,3),MAX(0,6-(ABS('35'!$I$13-Tulokset!$G$12)+ABS('35'!$K$13-Tulokset!$I$12))))))</f>
        <v/>
      </c>
      <c r="O38" s="333" t="str">
        <f>IF(OR(Tulokset!$G$13="",Tulokset!$I$13="",'35'!$I$14="",'35'!$K$14=""),"",IF(SIGN('35'!$I$14-'35'!$K$14)&lt;&gt;SIGN(Tulokset!$G$13-Tulokset!$I$13),0,IF(Tulokset!$G$13=Tulokset!$I$13,IF(AND('35'!$I$14=Tulokset!$G$13,'35'!$K$14=Tulokset!$I$13),6,3),MAX(0,6-(ABS('35'!$I$14-Tulokset!$G$13)+ABS('35'!$K$14-Tulokset!$I$13))))))</f>
        <v/>
      </c>
      <c r="P38" s="333" t="str">
        <f>IF(OR(Tulokset!$G$14="",Tulokset!$I$14="",'35'!$I$15="",'35'!$K$15=""),"",IF(SIGN('35'!$I$15-'35'!$K$15)&lt;&gt;SIGN(Tulokset!$G$14-Tulokset!$I$14),0,IF(Tulokset!$G$14=Tulokset!$I$14,IF(AND('35'!$I$15=Tulokset!$G$14,'35'!$K$15=Tulokset!$I$14),6,3),MAX(0,6-(ABS('35'!$I$15-Tulokset!$G$14)+ABS('35'!$K$15-Tulokset!$I$14))))))</f>
        <v/>
      </c>
      <c r="Q38" s="333" t="str">
        <f>IF(OR(Tulokset!$G$15="",Tulokset!$I$15="",'35'!$I$16="",'35'!$K$16=""),"",IF(SIGN('35'!$I$16-'35'!$K$16)&lt;&gt;SIGN(Tulokset!$G$15-Tulokset!$I$15),0,IF(Tulokset!$G$15=Tulokset!$I$15,IF(AND('35'!$I$16=Tulokset!$G$15,'35'!$K$16=Tulokset!$I$15),6,3),MAX(0,6-(ABS('35'!$I$16-Tulokset!$G$15)+ABS('35'!$K$16-Tulokset!$I$15))))))</f>
        <v/>
      </c>
      <c r="R38" s="333" t="str">
        <f>IF(OR(Tulokset!$G$16="",Tulokset!$I$16="",'35'!$I$17="",'35'!$K$17=""),"",IF(SIGN('35'!$I$17-'35'!$K$17)&lt;&gt;SIGN(Tulokset!$G$16-Tulokset!$I$16),0,IF(Tulokset!$G$16=Tulokset!$I$16,IF(AND('35'!$I$17=Tulokset!$G$16,'35'!$K$17=Tulokset!$I$16),6,3),MAX(0,6-(ABS('35'!$I$17-Tulokset!$G$16)+ABS('35'!$K$17-Tulokset!$I$16))))))</f>
        <v/>
      </c>
      <c r="S38" s="333" t="str">
        <f>IF(OR(Tulokset!$G$17="",Tulokset!$I$17="",'35'!$I$18="",'35'!$K$18=""),"",IF(SIGN('35'!$I$18-'35'!$K$18)&lt;&gt;SIGN(Tulokset!$G$17-Tulokset!$I$17),0,IF(Tulokset!$G$17=Tulokset!$I$17,IF(AND('35'!$I$18=Tulokset!$G$17,'35'!$K$18=Tulokset!$I$17),6,3),MAX(0,6-(ABS('35'!$I$18-Tulokset!$G$17)+ABS('35'!$K$18-Tulokset!$I$17))))))</f>
        <v/>
      </c>
      <c r="T38" s="333" t="str">
        <f>IF(OR(Tulokset!$G$18="",Tulokset!$I$18="",'35'!$I$19="",'35'!$K$19=""),"",IF(SIGN('35'!$I$19-'35'!$K$19)&lt;&gt;SIGN(Tulokset!$G$18-Tulokset!$I$18),0,IF(Tulokset!$G$18=Tulokset!$I$18,IF(AND('35'!$I$19=Tulokset!$G$18,'35'!$K$19=Tulokset!$I$18),6,3),MAX(0,6-(ABS('35'!$I$19-Tulokset!$G$18)+ABS('35'!$K$19-Tulokset!$I$18))))))</f>
        <v/>
      </c>
      <c r="U38" s="333" t="str">
        <f>IF(OR(Tulokset!$G$19="",Tulokset!$I$19="",'35'!$I$20="",'35'!$K$20=""),"",IF(SIGN('35'!$I$20-'35'!$K$20)&lt;&gt;SIGN(Tulokset!$G$19-Tulokset!$I$19),0,IF(Tulokset!$G$19=Tulokset!$I$19,IF(AND('35'!$I$20=Tulokset!$G$19,'35'!$K$20=Tulokset!$I$19),6,3),MAX(0,6-(ABS('35'!$I$20-Tulokset!$G$19)+ABS('35'!$K$20-Tulokset!$I$19))))))</f>
        <v/>
      </c>
      <c r="V38" s="333" t="str">
        <f>IF(OR(Tulokset!$G$20="",Tulokset!$I$20="",'35'!$I$21="",'35'!$K$21=""),"",IF(SIGN('35'!$I$21-'35'!$K$21)&lt;&gt;SIGN(Tulokset!$G$20-Tulokset!$I$20),0,IF(Tulokset!$G$20=Tulokset!$I$20,IF(AND('35'!$I$21=Tulokset!$G$20,'35'!$K$21=Tulokset!$I$20),6,3),MAX(0,6-(ABS('35'!$I$21-Tulokset!$G$20)+ABS('35'!$K$21-Tulokset!$I$20))))))</f>
        <v/>
      </c>
      <c r="W38" s="333" t="str">
        <f>IF(OR(Tulokset!$G$21="",Tulokset!$I$21="",'35'!$I$22="",'35'!$K$22=""),"",IF(SIGN('35'!$I$22-'35'!$K$22)&lt;&gt;SIGN(Tulokset!$G$21-Tulokset!$I$21),0,IF(Tulokset!$G$21=Tulokset!$I$21,IF(AND('35'!$I$22=Tulokset!$G$21,'35'!$K$22=Tulokset!$I$21),6,3),MAX(0,6-(ABS('35'!$I$22-Tulokset!$G$21)+ABS('35'!$K$22-Tulokset!$I$21))))))</f>
        <v/>
      </c>
      <c r="X38" s="333" t="str">
        <f>IF(OR(Tulokset!$G$22="",Tulokset!$I$22="",'35'!$I$23="",'35'!$K$23=""),"",IF(SIGN('35'!$I$23-'35'!$K$23)&lt;&gt;SIGN(Tulokset!$G$22-Tulokset!$I$22),0,IF(Tulokset!$G$22=Tulokset!$I$22,IF(AND('35'!$I$23=Tulokset!$G$22,'35'!$K$23=Tulokset!$I$22),6,3),MAX(0,6-(ABS('35'!$I$23-Tulokset!$G$22)+ABS('35'!$K$23-Tulokset!$I$22))))))</f>
        <v/>
      </c>
      <c r="Y38" s="333" t="str">
        <f>IF(OR(Tulokset!$G$23="",Tulokset!$I$23="",'35'!$I$24="",'35'!$K$24=""),"",IF(SIGN('35'!$I$24-'35'!$K$24)&lt;&gt;SIGN(Tulokset!$G$23-Tulokset!$I$23),0,IF(Tulokset!$G$23=Tulokset!$I$23,IF(AND('35'!$I$24=Tulokset!$G$23,'35'!$K$24=Tulokset!$I$23),6,3),MAX(0,6-(ABS('35'!$I$24-Tulokset!$G$23)+ABS('35'!$K$24-Tulokset!$I$23))))))</f>
        <v/>
      </c>
      <c r="Z38" s="333" t="str">
        <f>IF(OR(Tulokset!$G$24="",Tulokset!$I$24="",'35'!$I$25="",'35'!$K$25=""),"",IF(SIGN('35'!$I$25-'35'!$K$25)&lt;&gt;SIGN(Tulokset!$G$24-Tulokset!$I$24),0,IF(Tulokset!$G$24=Tulokset!$I$24,IF(AND('35'!$I$25=Tulokset!$G$24,'35'!$K$25=Tulokset!$I$24),6,3),MAX(0,6-(ABS('35'!$I$25-Tulokset!$G$24)+ABS('35'!$K$25-Tulokset!$I$24))))))</f>
        <v/>
      </c>
      <c r="AA38" s="333" t="str">
        <f>IF(OR(Tulokset!$G$25="",Tulokset!$I$25="",'35'!$I$26="",'35'!$K$26=""),"",IF(SIGN('35'!$I$26-'35'!$K$26)&lt;&gt;SIGN(Tulokset!$G$25-Tulokset!$I$25),0,IF(Tulokset!$G$25=Tulokset!$I$25,IF(AND('35'!$I$26=Tulokset!$G$25,'35'!$K$26=Tulokset!$I$25),6,3),MAX(0,6-(ABS('35'!$I$26-Tulokset!$G$25)+ABS('35'!$K$26-Tulokset!$I$25))))))</f>
        <v/>
      </c>
      <c r="AB38" s="333" t="str">
        <f>IF(OR(Tulokset!$G$26="",Tulokset!$I$26="",'35'!$I$27="",'35'!$K$27=""),"",IF(SIGN('35'!$I$27-'35'!$K$27)&lt;&gt;SIGN(Tulokset!$G$26-Tulokset!$I$26),0,IF(Tulokset!$G$26=Tulokset!$I$26,IF(AND('35'!$I$27=Tulokset!$G$26,'35'!$K$27=Tulokset!$I$26),6,3),MAX(0,6-(ABS('35'!$I$27-Tulokset!$G$26)+ABS('35'!$K$27-Tulokset!$I$26))))))</f>
        <v/>
      </c>
      <c r="AC38" s="333" t="str">
        <f>IF(OR(Tulokset!$G$27="",Tulokset!$I$27="",'35'!$I$28="",'35'!$K$28=""),"",IF(SIGN('35'!$I$28-'35'!$K$28)&lt;&gt;SIGN(Tulokset!$G$27-Tulokset!$I$27),0,IF(Tulokset!$G$27=Tulokset!$I$27,IF(AND('35'!$I$28=Tulokset!$G$27,'35'!$K$28=Tulokset!$I$27),6,3),MAX(0,6-(ABS('35'!$I$28-Tulokset!$G$27)+ABS('35'!$K$28-Tulokset!$I$27))))))</f>
        <v/>
      </c>
      <c r="AD38" s="333" t="str">
        <f>IF(OR(Tulokset!$G$28="",Tulokset!$I$28="",'35'!$I$29="",'35'!$K$29=""),"",IF(SIGN('35'!$I$29-'35'!$K$29)&lt;&gt;SIGN(Tulokset!$G$28-Tulokset!$I$28),0,IF(Tulokset!$G$28=Tulokset!$I$28,IF(AND('35'!$I$29=Tulokset!$G$28,'35'!$K$29=Tulokset!$I$28),6,3),MAX(0,6-(ABS('35'!$I$29-Tulokset!$G$28)+ABS('35'!$K$29-Tulokset!$I$28))))))</f>
        <v/>
      </c>
      <c r="AE38" s="333" t="str">
        <f>IF(OR(Tulokset!$G$29="",Tulokset!$I$29="",'35'!$I$30="",'35'!$K$30=""),"",IF(SIGN('35'!$I$30-'35'!$K$30)&lt;&gt;SIGN(Tulokset!$G$29-Tulokset!$I$29),0,IF(Tulokset!$G$29=Tulokset!$I$29,IF(AND('35'!$I$30=Tulokset!$G$29,'35'!$K$30=Tulokset!$I$29),6,3),MAX(0,6-(ABS('35'!$I$30-Tulokset!$G$29)+ABS('35'!$K$30-Tulokset!$I$29))))))</f>
        <v/>
      </c>
      <c r="AF38" s="333" t="str">
        <f>IF(OR(Tulokset!$G$30="",Tulokset!$I$30="",'35'!$I$31="",'35'!$K$31=""),"",IF(SIGN('35'!$I$31-'35'!$K$31)&lt;&gt;SIGN(Tulokset!$G$30-Tulokset!$I$30),0,IF(Tulokset!$G$30=Tulokset!$I$30,IF(AND('35'!$I$31=Tulokset!$G$30,'35'!$K$31=Tulokset!$I$30),6,3),MAX(0,6-(ABS('35'!$I$31-Tulokset!$G$30)+ABS('35'!$K$31-Tulokset!$I$30))))))</f>
        <v/>
      </c>
      <c r="AG38" s="333" t="str">
        <f>IF(OR(Tulokset!$G$31="",Tulokset!$I$31="",'35'!$I$32="",'35'!$K$32=""),"",IF(SIGN('35'!$I$32-'35'!$K$32)&lt;&gt;SIGN(Tulokset!$G$31-Tulokset!$I$31),0,IF(Tulokset!$G$31=Tulokset!$I$31,IF(AND('35'!$I$32=Tulokset!$G$31,'35'!$K$32=Tulokset!$I$31),6,3),MAX(0,6-(ABS('35'!$I$32-Tulokset!$G$31)+ABS('35'!$K$32-Tulokset!$I$31))))))</f>
        <v/>
      </c>
      <c r="AH38" s="333" t="str">
        <f>IF(OR(Tulokset!$G$32="",Tulokset!$I$32="",'35'!$I$33="",'35'!$K$33=""),"",IF(SIGN('35'!$I$33-'35'!$K$33)&lt;&gt;SIGN(Tulokset!$G$32-Tulokset!$I$32),0,IF(Tulokset!$G$32=Tulokset!$I$32,IF(AND('35'!$I$33=Tulokset!$G$32,'35'!$K$33=Tulokset!$I$32),6,3),MAX(0,6-(ABS('35'!$I$33-Tulokset!$G$32)+ABS('35'!$K$33-Tulokset!$I$32))))))</f>
        <v/>
      </c>
      <c r="AI38" s="333" t="str">
        <f>IF(OR(Tulokset!$G$33="",Tulokset!$I$33="",'35'!$I$34="",'35'!$K$34=""),"",IF(SIGN('35'!$I$34-'35'!$K$34)&lt;&gt;SIGN(Tulokset!$G$33-Tulokset!$I$33),0,IF(Tulokset!$G$33=Tulokset!$I$33,IF(AND('35'!$I$34=Tulokset!$G$33,'35'!$K$34=Tulokset!$I$33),6,3),MAX(0,6-(ABS('35'!$I$34-Tulokset!$G$33)+ABS('35'!$K$34-Tulokset!$I$33))))))</f>
        <v/>
      </c>
      <c r="AJ38" s="333" t="str">
        <f>IF(OR(Tulokset!$G$34="",Tulokset!$I$34="",'35'!$I$35="",'35'!$K$35=""),"",IF(SIGN('35'!$I$35-'35'!$K$35)&lt;&gt;SIGN(Tulokset!$G$34-Tulokset!$I$34),0,IF(Tulokset!$G$34=Tulokset!$I$34,IF(AND('35'!$I$35=Tulokset!$G$34,'35'!$K$35=Tulokset!$I$34),6,3),MAX(0,6-(ABS('35'!$I$35-Tulokset!$G$34)+ABS('35'!$K$35-Tulokset!$I$34))))))</f>
        <v/>
      </c>
      <c r="AK38" s="333" t="str">
        <f>IF(OR(Tulokset!$G$35="",Tulokset!$I$35="",'35'!$I$36="",'35'!$K$36=""),"",IF(SIGN('35'!$I$36-'35'!$K$36)&lt;&gt;SIGN(Tulokset!$G$35-Tulokset!$I$35),0,IF(Tulokset!$G$35=Tulokset!$I$35,IF(AND('35'!$I$36=Tulokset!$G$35,'35'!$K$36=Tulokset!$I$35),6,3),MAX(0,6-(ABS('35'!$I$36-Tulokset!$G$35)+ABS('35'!$K$36-Tulokset!$I$35))))))</f>
        <v/>
      </c>
      <c r="AL38" s="333" t="str">
        <f>IF(OR(Tulokset!$G$36="",Tulokset!$I$36="",'35'!$I$37="",'35'!$K$37=""),"",IF(SIGN('35'!$I$37-'35'!$K$37)&lt;&gt;SIGN(Tulokset!$G$36-Tulokset!$I$36),0,IF(Tulokset!$G$36=Tulokset!$I$36,IF(AND('35'!$I$37=Tulokset!$G$36,'35'!$K$37=Tulokset!$I$36),6,3),MAX(0,6-(ABS('35'!$I$37-Tulokset!$G$36)+ABS('35'!$K$37-Tulokset!$I$36))))))</f>
        <v/>
      </c>
      <c r="AM38" s="333" t="str">
        <f>IF(OR(Tulokset!$G$37="",Tulokset!$I$37="",'35'!$I$38="",'35'!$K$38=""),"",IF(SIGN('35'!$I$38-'35'!$K$38)&lt;&gt;SIGN(Tulokset!$G$37-Tulokset!$I$37),0,IF(Tulokset!$G$37=Tulokset!$I$37,IF(AND('35'!$I$38=Tulokset!$G$37,'35'!$K$38=Tulokset!$I$37),6,3),MAX(0,6-(ABS('35'!$I$38-Tulokset!$G$37)+ABS('35'!$K$38-Tulokset!$I$37))))))</f>
        <v/>
      </c>
      <c r="AN38" s="333" t="str">
        <f>IF(OR(Tulokset!$G$38="",Tulokset!$I$38="",'35'!$I$39="",'35'!$K$39=""),"",IF(SIGN('35'!$I$39-'35'!$K$39)&lt;&gt;SIGN(Tulokset!$G$38-Tulokset!$I$38),0,IF(Tulokset!$G$38=Tulokset!$I$38,IF(AND('35'!$I$39=Tulokset!$G$38,'35'!$K$39=Tulokset!$I$38),6,3),MAX(0,6-(ABS('35'!$I$39-Tulokset!$G$38)+ABS('35'!$K$39-Tulokset!$I$38))))))</f>
        <v/>
      </c>
      <c r="AO38" s="333" t="str">
        <f>IF(OR(Tulokset!$G$39="",Tulokset!$I$39="",'35'!$I$40="",'35'!$K$40=""),"",IF(SIGN('35'!$I$40-'35'!$K$40)&lt;&gt;SIGN(Tulokset!$G$39-Tulokset!$I$39),0,IF(Tulokset!$G$39=Tulokset!$I$39,IF(AND('35'!$I$40=Tulokset!$G$39,'35'!$K$40=Tulokset!$I$39),6,3),MAX(0,6-(ABS('35'!$I$40-Tulokset!$G$39)+ABS('35'!$K$40-Tulokset!$I$39))))))</f>
        <v/>
      </c>
      <c r="AP38" s="333" t="str">
        <f>IF(OR(Tulokset!$G$40="",Tulokset!$I$40="",'35'!$I$41="",'35'!$K$41=""),"",IF(SIGN('35'!$I$41-'35'!$K$41)&lt;&gt;SIGN(Tulokset!$G$40-Tulokset!$I$40),0,IF(Tulokset!$G$40=Tulokset!$I$40,IF(AND('35'!$I$41=Tulokset!$G$40,'35'!$K$41=Tulokset!$I$40),6,3),MAX(0,6-(ABS('35'!$I$41-Tulokset!$G$40)+ABS('35'!$K$41-Tulokset!$I$40))))))</f>
        <v/>
      </c>
      <c r="AQ38" s="333" t="str">
        <f>IF(OR(Tulokset!$G$41="",Tulokset!$I$41="",'35'!$I$42="",'35'!$K$42=""),"",IF(SIGN('35'!$I$42-'35'!$K$42)&lt;&gt;SIGN(Tulokset!$G$41-Tulokset!$I$41),0,IF(Tulokset!$G$41=Tulokset!$I$41,IF(AND('35'!$I$42=Tulokset!$G$41,'35'!$K$42=Tulokset!$I$41),6,3),MAX(0,6-(ABS('35'!$I$42-Tulokset!$G$41)+ABS('35'!$K$42-Tulokset!$I$41))))))</f>
        <v/>
      </c>
      <c r="AR38" s="333" t="str">
        <f>IF(OR(Tulokset!$G$42="",Tulokset!$I$42="",'35'!$I$43="",'35'!$K$43=""),"",IF(SIGN('35'!$I$43-'35'!$K$43)&lt;&gt;SIGN(Tulokset!$G$42-Tulokset!$I$42),0,IF(Tulokset!$G$42=Tulokset!$I$42,IF(AND('35'!$I$43=Tulokset!$G$42,'35'!$K$43=Tulokset!$I$42),6,3),MAX(0,6-(ABS('35'!$I$43-Tulokset!$G$42)+ABS('35'!$K$43-Tulokset!$I$42))))))</f>
        <v/>
      </c>
      <c r="AS38" s="333" t="str">
        <f>IF(OR(Tulokset!$G$43="",Tulokset!$I$43="",'35'!$I$44="",'35'!$K$44=""),"",IF(SIGN('35'!$I$44-'35'!$K$44)&lt;&gt;SIGN(Tulokset!$G$43-Tulokset!$I$43),0,IF(Tulokset!$G$43=Tulokset!$I$43,IF(AND('35'!$I$44=Tulokset!$G$43,'35'!$K$44=Tulokset!$I$43),6,3),MAX(0,6-(ABS('35'!$I$44-Tulokset!$G$43)+ABS('35'!$K$44-Tulokset!$I$43))))))</f>
        <v/>
      </c>
      <c r="AT38" s="333" t="str">
        <f>IF(OR(Tulokset!$G$44="",Tulokset!$I$44="",'35'!$I$45="",'35'!$K$45=""),"",IF(SIGN('35'!$I$45-'35'!$K$45)&lt;&gt;SIGN(Tulokset!$G$44-Tulokset!$I$44),0,IF(Tulokset!$G$44=Tulokset!$I$44,IF(AND('35'!$I$45=Tulokset!$G$44,'35'!$K$45=Tulokset!$I$44),6,3),MAX(0,6-(ABS('35'!$I$45-Tulokset!$G$44)+ABS('35'!$K$45-Tulokset!$I$44))))))</f>
        <v/>
      </c>
      <c r="AU38" s="333" t="str">
        <f>IF(OR(Tulokset!$G$45="",Tulokset!$I$45="",'35'!$I$46="",'35'!$K$46=""),"",IF(SIGN('35'!$I$46-'35'!$K$46)&lt;&gt;SIGN(Tulokset!$G$45-Tulokset!$I$45),0,IF(Tulokset!$G$45=Tulokset!$I$45,IF(AND('35'!$I$46=Tulokset!$G$45,'35'!$K$46=Tulokset!$I$45),6,3),MAX(0,6-(ABS('35'!$I$46-Tulokset!$G$45)+ABS('35'!$K$46-Tulokset!$I$45))))))</f>
        <v/>
      </c>
      <c r="AV38" s="333" t="str">
        <f>IF(OR(Tulokset!$G$46="",Tulokset!$I$46="",'35'!$I$47="",'35'!$K$47=""),"",IF(SIGN('35'!$I$47-'35'!$K$47)&lt;&gt;SIGN(Tulokset!$G$46-Tulokset!$I$46),0,IF(Tulokset!$G$46=Tulokset!$I$46,IF(AND('35'!$I$47=Tulokset!$G$46,'35'!$K$47=Tulokset!$I$46),6,3),MAX(0,6-(ABS('35'!$I$47-Tulokset!$G$46)+ABS('35'!$K$47-Tulokset!$I$46))))))</f>
        <v/>
      </c>
      <c r="AW38" s="333" t="str">
        <f>IF(OR(Tulokset!$G$47="",Tulokset!$I$47="",'35'!$I$48="",'35'!$K$48=""),"",IF(SIGN('35'!$I$48-'35'!$K$48)&lt;&gt;SIGN(Tulokset!$G$47-Tulokset!$I$47),0,IF(Tulokset!$G$47=Tulokset!$I$47,IF(AND('35'!$I$48=Tulokset!$G$47,'35'!$K$48=Tulokset!$I$47),6,3),MAX(0,6-(ABS('35'!$I$48-Tulokset!$G$47)+ABS('35'!$K$48-Tulokset!$I$47))))))</f>
        <v/>
      </c>
      <c r="AX38" s="333" t="str">
        <f>IF(OR(Tulokset!$G$48="",Tulokset!$I$48="",'35'!$I$49="",'35'!$K$49=""),"",IF(SIGN('35'!$I$49-'35'!$K$49)&lt;&gt;SIGN(Tulokset!$G$48-Tulokset!$I$48),0,IF(Tulokset!$G$48=Tulokset!$I$48,IF(AND('35'!$I$49=Tulokset!$G$48,'35'!$K$49=Tulokset!$I$48),6,3),MAX(0,6-(ABS('35'!$I$49-Tulokset!$G$48)+ABS('35'!$K$49-Tulokset!$I$48))))))</f>
        <v/>
      </c>
      <c r="AY38" s="333" t="str">
        <f>IF(OR(Tulokset!$G$49="",Tulokset!$I$49="",'35'!$I$50="",'35'!$K$50=""),"",IF(SIGN('35'!$I$50-'35'!$K$50)&lt;&gt;SIGN(Tulokset!$G$49-Tulokset!$I$49),0,IF(Tulokset!$G$49=Tulokset!$I$49,IF(AND('35'!$I$50=Tulokset!$G$49,'35'!$K$50=Tulokset!$I$49),6,3),MAX(0,6-(ABS('35'!$I$50-Tulokset!$G$49)+ABS('35'!$K$50-Tulokset!$I$49))))))</f>
        <v/>
      </c>
      <c r="AZ38" s="333" t="str">
        <f>IF(OR(Tulokset!$G$50="",Tulokset!$I$50="",'35'!$I$51="",'35'!$K$51=""),"",IF(SIGN('35'!$I$51-'35'!$K$51)&lt;&gt;SIGN(Tulokset!$G$50-Tulokset!$I$50),0,IF(Tulokset!$G$50=Tulokset!$I$50,IF(AND('35'!$I$51=Tulokset!$G$50,'35'!$K$51=Tulokset!$I$50),6,3),MAX(0,6-(ABS('35'!$I$51-Tulokset!$G$50)+ABS('35'!$K$51-Tulokset!$I$50))))))</f>
        <v/>
      </c>
      <c r="BA38" s="333" t="str">
        <f>IF(OR(Tulokset!$G$51="",Tulokset!$I$51="",'35'!$I$52="",'35'!$K$52=""),"",IF(SIGN('35'!$I$52-'35'!$K$52)&lt;&gt;SIGN(Tulokset!$G$51-Tulokset!$I$51),0,IF(Tulokset!$G$51=Tulokset!$I$51,IF(AND('35'!$I$52=Tulokset!$G$51,'35'!$K$52=Tulokset!$I$51),6,3),MAX(0,6-(ABS('35'!$I$52-Tulokset!$G$51)+ABS('35'!$K$52-Tulokset!$I$51))))))</f>
        <v/>
      </c>
      <c r="BB38" s="333" t="str">
        <f>IF(OR(Tulokset!$G$52="",Tulokset!$I$52="",'35'!$I$53="",'35'!$K$53=""),"",IF(SIGN('35'!$I$53-'35'!$K$53)&lt;&gt;SIGN(Tulokset!$G$52-Tulokset!$I$52),0,IF(Tulokset!$G$52=Tulokset!$I$52,IF(AND('35'!$I$53=Tulokset!$G$52,'35'!$K$53=Tulokset!$I$52),6,3),MAX(0,6-(ABS('35'!$I$53-Tulokset!$G$52)+ABS('35'!$K$53-Tulokset!$I$52))))))</f>
        <v/>
      </c>
      <c r="BC38" s="333" t="str">
        <f>IF(OR(Tulokset!$G$53="",Tulokset!$I$53="",'35'!$I$54="",'35'!$K$54=""),"",IF(SIGN('35'!$I$54-'35'!$K$54)&lt;&gt;SIGN(Tulokset!$G$53-Tulokset!$I$53),0,IF(Tulokset!$G$53=Tulokset!$I$53,IF(AND('35'!$I$54=Tulokset!$G$53,'35'!$K$54=Tulokset!$I$53),6,3),MAX(0,6-(ABS('35'!$I$54-Tulokset!$G$53)+ABS('35'!$K$54-Tulokset!$I$53))))))</f>
        <v/>
      </c>
      <c r="BD38" s="333" t="str">
        <f>IF(OR(Tulokset!$G$54="",Tulokset!$I$54="",'35'!$I$55="",'35'!$K$55=""),"",IF(SIGN('35'!$I$55-'35'!$K$55)&lt;&gt;SIGN(Tulokset!$G$54-Tulokset!$I$54),0,IF(Tulokset!$G$54=Tulokset!$I$54,IF(AND('35'!$I$55=Tulokset!$G$54,'35'!$K$55=Tulokset!$I$54),6,3),MAX(0,6-(ABS('35'!$I$55-Tulokset!$G$54)+ABS('35'!$K$55-Tulokset!$I$54))))))</f>
        <v/>
      </c>
      <c r="BE38" s="333" t="str">
        <f>IF(OR(Tulokset!$G$55="",Tulokset!$I$55="",'35'!$I$56="",'35'!$K$56=""),"",IF(SIGN('35'!$I$56-'35'!$K$56)&lt;&gt;SIGN(Tulokset!$G$55-Tulokset!$I$55),0,IF(Tulokset!$G$55=Tulokset!$I$55,IF(AND('35'!$I$56=Tulokset!$G$55,'35'!$K$56=Tulokset!$I$55),6,3),MAX(0,6-(ABS('35'!$I$56-Tulokset!$G$55)+ABS('35'!$K$56-Tulokset!$I$55))))))</f>
        <v/>
      </c>
      <c r="BF38" s="333" t="str">
        <f>IF(OR(Tulokset!$G$56="",Tulokset!$I$56="",'35'!$I$57="",'35'!$K$57=""),"",IF(SIGN('35'!$I$57-'35'!$K$57)&lt;&gt;SIGN(Tulokset!$G$56-Tulokset!$I$56),0,IF(Tulokset!$G$56=Tulokset!$I$56,IF(AND('35'!$I$57=Tulokset!$G$56,'35'!$K$57=Tulokset!$I$56),6,3),MAX(0,6-(ABS('35'!$I$57-Tulokset!$G$56)+ABS('35'!$K$57-Tulokset!$I$56))))))</f>
        <v/>
      </c>
      <c r="BG38" s="333" t="str">
        <f>IF(OR(Tulokset!$G$57="",Tulokset!$I$57="",'35'!$I$58="",'35'!$K$58=""),"",IF(SIGN('35'!$I$58-'35'!$K$58)&lt;&gt;SIGN(Tulokset!$G$57-Tulokset!$I$57),0,IF(Tulokset!$G$57=Tulokset!$I$57,IF(AND('35'!$I$58=Tulokset!$G$57,'35'!$K$58=Tulokset!$I$57),6,3),MAX(0,6-(ABS('35'!$I$58-Tulokset!$G$57)+ABS('35'!$K$58-Tulokset!$I$57))))))</f>
        <v/>
      </c>
      <c r="BH38" s="333" t="str">
        <f>IF(OR(Tulokset!$G$58="",Tulokset!$I$58="",'35'!$I$59="",'35'!$K$59=""),"",IF(SIGN('35'!$I$59-'35'!$K$59)&lt;&gt;SIGN(Tulokset!$G$58-Tulokset!$I$58),0,IF(Tulokset!$G$58=Tulokset!$I$58,IF(AND('35'!$I$59=Tulokset!$G$58,'35'!$K$59=Tulokset!$I$58),6,3),MAX(0,6-(ABS('35'!$I$59-Tulokset!$G$58)+ABS('35'!$K$59-Tulokset!$I$58))))))</f>
        <v/>
      </c>
      <c r="BI38" s="333" t="str">
        <f>IF(OR(Tulokset!$G$59="",Tulokset!$I$59="",'35'!$I$60="",'35'!$K$60=""),"",IF(SIGN('35'!$I$60-'35'!$K$60)&lt;&gt;SIGN(Tulokset!$G$59-Tulokset!$I$59),0,IF(Tulokset!$G$59=Tulokset!$I$59,IF(AND('35'!$I$60=Tulokset!$G$59,'35'!$K$60=Tulokset!$I$59),6,3),MAX(0,6-(ABS('35'!$I$60-Tulokset!$G$59)+ABS('35'!$K$60-Tulokset!$I$59))))))</f>
        <v/>
      </c>
      <c r="BJ38" s="333" t="str">
        <f>IF(OR(Tulokset!$G$60="",Tulokset!$I$60="",'35'!$I$61="",'35'!$K$61=""),"",IF(SIGN('35'!$I$61-'35'!$K$61)&lt;&gt;SIGN(Tulokset!$G$60-Tulokset!$I$60),0,IF(Tulokset!$G$60=Tulokset!$I$60,IF(AND('35'!$I$61=Tulokset!$G$60,'35'!$K$61=Tulokset!$I$60),6,3),MAX(0,6-(ABS('35'!$I$61-Tulokset!$G$60)+ABS('35'!$K$61-Tulokset!$I$60))))))</f>
        <v/>
      </c>
      <c r="BK38" s="333" t="str">
        <f>IF(OR(Tulokset!$G$61="",Tulokset!$I$61="",'35'!$I$62="",'35'!$K$62=""),"",IF(SIGN('35'!$I$62-'35'!$K$62)&lt;&gt;SIGN(Tulokset!$G$61-Tulokset!$I$61),0,IF(Tulokset!$G$61=Tulokset!$I$61,IF(AND('35'!$I$62=Tulokset!$G$61,'35'!$K$62=Tulokset!$I$61),6,3),MAX(0,6-(ABS('35'!$I$62-Tulokset!$G$61)+ABS('35'!$K$62-Tulokset!$I$61))))))</f>
        <v/>
      </c>
      <c r="BL38" s="333" t="str">
        <f>IF(OR(Tulokset!$G$62="",Tulokset!$I$62="",'35'!$I$63="",'35'!$K$63=""),"",IF(SIGN('35'!$I$63-'35'!$K$63)&lt;&gt;SIGN(Tulokset!$G$62-Tulokset!$I$62),0,IF(Tulokset!$G$62=Tulokset!$I$62,IF(AND('35'!$I$63=Tulokset!$G$62,'35'!$K$63=Tulokset!$I$62),6,3),MAX(0,6-(ABS('35'!$I$63-Tulokset!$G$62)+ABS('35'!$K$63-Tulokset!$I$62))))))</f>
        <v/>
      </c>
      <c r="BM38" s="333" t="str">
        <f>IF(OR(Tulokset!$G$63="",Tulokset!$I$63="",'35'!$I$64="",'35'!$K$64=""),"",IF(SIGN('35'!$I$64-'35'!$K$64)&lt;&gt;SIGN(Tulokset!$G$63-Tulokset!$I$63),0,IF(Tulokset!$G$63=Tulokset!$I$63,IF(AND('35'!$I$64=Tulokset!$G$63,'35'!$K$64=Tulokset!$I$63),6,3),MAX(0,6-(ABS('35'!$I$64-Tulokset!$G$63)+ABS('35'!$K$64-Tulokset!$I$63))))))</f>
        <v/>
      </c>
      <c r="BN38" s="333" t="str">
        <f>IF(OR(Tulokset!$G$64="",Tulokset!$I$64="",'35'!$I$65="",'35'!$K$65=""),"",IF(SIGN('35'!$I$65-'35'!$K$65)&lt;&gt;SIGN(Tulokset!$G$64-Tulokset!$I$64),0,IF(Tulokset!$G$64=Tulokset!$I$64,IF(AND('35'!$I$65=Tulokset!$G$64,'35'!$K$65=Tulokset!$I$64),6,3),MAX(0,6-(ABS('35'!$I$65-Tulokset!$G$64)+ABS('35'!$K$65-Tulokset!$I$64))))))</f>
        <v/>
      </c>
      <c r="BO38" s="333" t="str">
        <f>IF(OR(Tulokset!$G$65="",Tulokset!$I$65="",'35'!$I$66="",'35'!$K$66=""),"",IF(SIGN('35'!$I$66-'35'!$K$66)&lt;&gt;SIGN(Tulokset!$G$65-Tulokset!$I$65),0,IF(Tulokset!$G$65=Tulokset!$I$65,IF(AND('35'!$I$66=Tulokset!$G$65,'35'!$K$66=Tulokset!$I$65),6,3),MAX(0,6-(ABS('35'!$I$66-Tulokset!$G$65)+ABS('35'!$K$66-Tulokset!$I$65))))))</f>
        <v/>
      </c>
      <c r="BP38" s="333" t="str">
        <f>IF(OR(Tulokset!$G$66="",Tulokset!$I$66="",'35'!$I$67="",'35'!$K$67=""),"",IF(SIGN('35'!$I$67-'35'!$K$67)&lt;&gt;SIGN(Tulokset!$G$66-Tulokset!$I$66),0,IF(Tulokset!$G$66=Tulokset!$I$66,IF(AND('35'!$I$67=Tulokset!$G$66,'35'!$K$67=Tulokset!$I$66),6,3),MAX(0,6-(ABS('35'!$I$67-Tulokset!$G$66)+ABS('35'!$K$67-Tulokset!$I$66))))))</f>
        <v/>
      </c>
      <c r="BQ38" s="333" t="str">
        <f>IF(OR(Tulokset!$G$67="",Tulokset!$I$67="",'35'!$I$68="",'35'!$K$68=""),"",IF(SIGN('35'!$I$68-'35'!$K$68)&lt;&gt;SIGN(Tulokset!$G$67-Tulokset!$I$67),0,IF(Tulokset!$G$67=Tulokset!$I$67,IF(AND('35'!$I$68=Tulokset!$G$67,'35'!$K$68=Tulokset!$I$67),6,3),MAX(0,6-(ABS('35'!$I$68-Tulokset!$G$67)+ABS('35'!$K$68-Tulokset!$I$67))))))</f>
        <v/>
      </c>
      <c r="BR38" s="333" t="str">
        <f>IF(OR(Tulokset!$G$68="",Tulokset!$I$68="",'35'!$I$69="",'35'!$K$69=""),"",IF(SIGN('35'!$I$69-'35'!$K$69)&lt;&gt;SIGN(Tulokset!$G$68-Tulokset!$I$68),0,IF(Tulokset!$G$68=Tulokset!$I$68,IF(AND('35'!$I$69=Tulokset!$G$68,'35'!$K$69=Tulokset!$I$68),6,3),MAX(0,6-(ABS('35'!$I$69-Tulokset!$G$68)+ABS('35'!$K$69-Tulokset!$I$68))))))</f>
        <v/>
      </c>
      <c r="BS38" s="333" t="str">
        <f>IF(OR(Tulokset!$G$69="",Tulokset!$I$69="",'35'!$I$70="",'35'!$K$70=""),"",IF(SIGN('35'!$I$70-'35'!$K$70)&lt;&gt;SIGN(Tulokset!$G$69-Tulokset!$I$69),0,IF(Tulokset!$G$69=Tulokset!$I$69,IF(AND('35'!$I$70=Tulokset!$G$69,'35'!$K$70=Tulokset!$I$69),6,3),MAX(0,6-(ABS('35'!$I$70-Tulokset!$G$69)+ABS('35'!$K$70-Tulokset!$I$69))))))</f>
        <v/>
      </c>
      <c r="BT38" s="333" t="str">
        <f>IF(OR(Tulokset!$G$70="",Tulokset!$I$70="",'35'!$I$71="",'35'!$K$71=""),"",IF(SIGN('35'!$I$71-'35'!$K$71)&lt;&gt;SIGN(Tulokset!$G$70-Tulokset!$I$70),0,IF(Tulokset!$G$70=Tulokset!$I$70,IF(AND('35'!$I$71=Tulokset!$G$70,'35'!$K$71=Tulokset!$I$70),6,3),MAX(0,6-(ABS('35'!$I$71-Tulokset!$G$70)+ABS('35'!$K$71-Tulokset!$I$70))))))</f>
        <v/>
      </c>
      <c r="BU38" s="333" t="str">
        <f>IF(OR(Tulokset!$G$71="",Tulokset!$I$71="",'35'!$I$72="",'35'!$K$72=""),"",IF(SIGN('35'!$I$72-'35'!$K$72)&lt;&gt;SIGN(Tulokset!$G$71-Tulokset!$I$71),0,IF(Tulokset!$G$71=Tulokset!$I$71,IF(AND('35'!$I$72=Tulokset!$G$71,'35'!$K$72=Tulokset!$I$71),6,3),MAX(0,6-(ABS('35'!$I$72-Tulokset!$G$71)+ABS('35'!$K$72-Tulokset!$I$71))))))</f>
        <v/>
      </c>
      <c r="BV38" s="333" t="str">
        <f>IF(OR(Tulokset!$G$72="",Tulokset!$I$72="",'35'!$I$73="",'35'!$K$73=""),"",IF(SIGN('35'!$I$73-'35'!$K$73)&lt;&gt;SIGN(Tulokset!$G$72-Tulokset!$I$72),0,IF(Tulokset!$G$72=Tulokset!$I$72,IF(AND('35'!$I$73=Tulokset!$G$72,'35'!$K$73=Tulokset!$I$72),6,3),MAX(0,6-(ABS('35'!$I$73-Tulokset!$G$72)+ABS('35'!$K$73-Tulokset!$I$72))))))</f>
        <v/>
      </c>
      <c r="BW38" s="333" t="str">
        <f>IF(OR(Tulokset!$G$73="",Tulokset!$I$73="",'35'!$I$74="",'35'!$K$74=""),"",IF(SIGN('35'!$I$74-'35'!$K$74)&lt;&gt;SIGN(Tulokset!$G$73-Tulokset!$I$73),0,IF(Tulokset!$G$73=Tulokset!$I$73,IF(AND('35'!$I$74=Tulokset!$G$73,'35'!$K$74=Tulokset!$I$73),6,3),MAX(0,6-(ABS('35'!$I$74-Tulokset!$G$73)+ABS('35'!$K$74-Tulokset!$I$73))))))</f>
        <v/>
      </c>
      <c r="BX38" s="333" t="str">
        <f>IF(OR(Tulokset!$G$74="",Tulokset!$I$74="",'35'!$I$75="",'35'!$K$75=""),"",IF(SIGN('35'!$I$75-'35'!$K$75)&lt;&gt;SIGN(Tulokset!$G$74-Tulokset!$I$74),0,IF(Tulokset!$G$74=Tulokset!$I$74,IF(AND('35'!$I$75=Tulokset!$G$74,'35'!$K$75=Tulokset!$I$74),6,3),MAX(0,6-(ABS('35'!$I$75-Tulokset!$G$74)+ABS('35'!$K$75-Tulokset!$I$74))))))</f>
        <v/>
      </c>
      <c r="BY38" s="333" t="str">
        <f>IF(OR(Tulokset!$G$75="",Tulokset!$I$75="",'35'!$I$76="",'35'!$K$76=""),"",IF(SIGN('35'!$I$76-'35'!$K$76)&lt;&gt;SIGN(Tulokset!$G$75-Tulokset!$I$75),0,IF(Tulokset!$G$75=Tulokset!$I$75,IF(AND('35'!$I$76=Tulokset!$G$75,'35'!$K$76=Tulokset!$I$75),6,3),MAX(0,6-(ABS('35'!$I$76-Tulokset!$G$75)+ABS('35'!$K$76-Tulokset!$I$75))))))</f>
        <v/>
      </c>
      <c r="BZ38" s="333" t="str">
        <f>IF(OR(Tulokset!$G$76="",Tulokset!$I$76="",'35'!$I$77="",'35'!$K$77=""),"",IF(SIGN('35'!$I$77-'35'!$K$77)&lt;&gt;SIGN(Tulokset!$G$76-Tulokset!$I$76),0,IF(Tulokset!$G$76=Tulokset!$I$76,IF(AND('35'!$I$77=Tulokset!$G$76,'35'!$K$77=Tulokset!$I$76),6,3),MAX(0,6-(ABS('35'!$I$77-Tulokset!$G$76)+ABS('35'!$K$77-Tulokset!$I$76))))))</f>
        <v/>
      </c>
      <c r="CA38" s="333" t="str">
        <f>IF(OR(Tulokset!$G$77="",Tulokset!$I$77="",'35'!$I$78="",'35'!$K$78=""),"",IF(SIGN('35'!$I$78-'35'!$K$78)&lt;&gt;SIGN(Tulokset!$G$77-Tulokset!$I$77),0,IF(Tulokset!$G$77=Tulokset!$I$77,IF(AND('35'!$I$78=Tulokset!$G$77,'35'!$K$78=Tulokset!$I$77),6,3),MAX(0,6-(ABS('35'!$I$78-Tulokset!$G$77)+ABS('35'!$K$78-Tulokset!$I$77))))))</f>
        <v/>
      </c>
      <c r="CB38" s="333"/>
      <c r="CC38" s="333"/>
      <c r="CD38" s="333" t="str">
        <f ca="1">IF(OR(Tulokset!$M$6="",INDIRECT("'"&amp;$A38&amp;"'!$P$8")=""),"",IF(TRIM(INDIRECT("'"&amp;$A38&amp;"'!$P$8"))=TRIM(Tulokset!$M$6),2,0))</f>
        <v/>
      </c>
      <c r="CE38" s="333" t="str">
        <f ca="1">IF(OR(Tulokset!$M$7="",INDIRECT("'"&amp;$A38&amp;"'!$P$9")=""),"",IF(TRIM(INDIRECT("'"&amp;$A38&amp;"'!$P$9"))=TRIM(Tulokset!$M$7),2,0))</f>
        <v/>
      </c>
      <c r="CF38" s="333" t="str">
        <f ca="1">IF(OR(Tulokset!$M$8="",INDIRECT("'"&amp;$A38&amp;"'!$P$10")=""),"",IF(TRIM(INDIRECT("'"&amp;$A38&amp;"'!$P$10"))=TRIM(Tulokset!$M$8),2,0))</f>
        <v/>
      </c>
      <c r="CG38" s="333" t="str">
        <f ca="1">IF(OR(Tulokset!$M$9="",INDIRECT("'"&amp;$A38&amp;"'!$P$11")=""),"",IF(TRIM(INDIRECT("'"&amp;$A38&amp;"'!$P$11"))=TRIM(Tulokset!$M$9),2,0))</f>
        <v/>
      </c>
      <c r="CH38" s="333" t="str">
        <f ca="1">IF(OR(Tulokset!$N$6="",INDIRECT("'"&amp;$A38&amp;"'!$Q$8")=""),"",IF(TRIM(INDIRECT("'"&amp;$A38&amp;"'!$Q$8"))=TRIM(Tulokset!$N$6),2,0))</f>
        <v/>
      </c>
      <c r="CI38" s="333" t="str">
        <f ca="1">IF(OR(Tulokset!$N$7="",INDIRECT("'"&amp;$A38&amp;"'!$Q$9")=""),"",IF(TRIM(INDIRECT("'"&amp;$A38&amp;"'!$Q$9"))=TRIM(Tulokset!$N$7),2,0))</f>
        <v/>
      </c>
      <c r="CJ38" s="333" t="str">
        <f ca="1">IF(OR(Tulokset!$N$8="",INDIRECT("'"&amp;$A38&amp;"'!$Q$10")=""),"",IF(TRIM(INDIRECT("'"&amp;$A38&amp;"'!$Q$10"))=TRIM(Tulokset!$N$8),2,0))</f>
        <v/>
      </c>
      <c r="CK38" s="333" t="str">
        <f ca="1">IF(OR(Tulokset!$N$9="",INDIRECT("'"&amp;$A38&amp;"'!$Q$11")=""),"",IF(TRIM(INDIRECT("'"&amp;$A38&amp;"'!$Q$11"))=TRIM(Tulokset!$N$9),2,0))</f>
        <v/>
      </c>
      <c r="CL38" s="333" t="str">
        <f ca="1">IF(OR(Tulokset!$O$6="",INDIRECT("'"&amp;$A38&amp;"'!$R$8")=""),"",IF(TRIM(INDIRECT("'"&amp;$A38&amp;"'!$R$8"))=TRIM(Tulokset!$O$6),2,0))</f>
        <v/>
      </c>
      <c r="CM38" s="333" t="str">
        <f ca="1">IF(OR(Tulokset!$O$7="",INDIRECT("'"&amp;$A38&amp;"'!$R$9")=""),"",IF(TRIM(INDIRECT("'"&amp;$A38&amp;"'!$R$9"))=TRIM(Tulokset!$O$7),2,0))</f>
        <v/>
      </c>
      <c r="CN38" s="333" t="str">
        <f ca="1">IF(OR(Tulokset!$O$8="",INDIRECT("'"&amp;$A38&amp;"'!$R$10")=""),"",IF(TRIM(INDIRECT("'"&amp;$A38&amp;"'!$R$10"))=TRIM(Tulokset!$O$8),2,0))</f>
        <v/>
      </c>
      <c r="CO38" s="333" t="str">
        <f ca="1">IF(OR(Tulokset!$O$9="",INDIRECT("'"&amp;$A38&amp;"'!$R$11")=""),"",IF(TRIM(INDIRECT("'"&amp;$A38&amp;"'!$R$11"))=TRIM(Tulokset!$O$9),2,0))</f>
        <v/>
      </c>
      <c r="CP38" s="333" t="str">
        <f ca="1">IF(OR(Tulokset!$P$6="",INDIRECT("'"&amp;$A38&amp;"'!$S$8")=""),"",IF(TRIM(INDIRECT("'"&amp;$A38&amp;"'!$S$8"))=TRIM(Tulokset!$P$6),2,0))</f>
        <v/>
      </c>
      <c r="CQ38" s="333" t="str">
        <f ca="1">IF(OR(Tulokset!$P$7="",INDIRECT("'"&amp;$A38&amp;"'!$S$9")=""),"",IF(TRIM(INDIRECT("'"&amp;$A38&amp;"'!$S$9"))=TRIM(Tulokset!$P$7),2,0))</f>
        <v/>
      </c>
      <c r="CR38" s="333" t="str">
        <f ca="1">IF(OR(Tulokset!$P$8="",INDIRECT("'"&amp;$A38&amp;"'!$S$10")=""),"",IF(TRIM(INDIRECT("'"&amp;$A38&amp;"'!$S$10"))=TRIM(Tulokset!$P$8),2,0))</f>
        <v/>
      </c>
      <c r="CS38" s="333" t="str">
        <f ca="1">IF(OR(Tulokset!$P$9="",INDIRECT("'"&amp;$A38&amp;"'!$S$11")=""),"",IF(TRIM(INDIRECT("'"&amp;$A38&amp;"'!$S$11"))=TRIM(Tulokset!$P$9),2,0))</f>
        <v/>
      </c>
      <c r="CT38" s="333" t="str">
        <f ca="1">IF(OR(Tulokset!$Q$6="",INDIRECT("'"&amp;$A38&amp;"'!$T$8")=""),"",IF(TRIM(INDIRECT("'"&amp;$A38&amp;"'!$T$8"))=TRIM(Tulokset!$Q$6),2,0))</f>
        <v/>
      </c>
      <c r="CU38" s="333" t="str">
        <f ca="1">IF(OR(Tulokset!$Q$7="",INDIRECT("'"&amp;$A38&amp;"'!$T$9")=""),"",IF(TRIM(INDIRECT("'"&amp;$A38&amp;"'!$T$9"))=TRIM(Tulokset!$Q$7),2,0))</f>
        <v/>
      </c>
      <c r="CV38" s="333" t="str">
        <f ca="1">IF(OR(Tulokset!$Q$8="",INDIRECT("'"&amp;$A38&amp;"'!$T$10")=""),"",IF(TRIM(INDIRECT("'"&amp;$A38&amp;"'!$T$10"))=TRIM(Tulokset!$Q$8),2,0))</f>
        <v/>
      </c>
      <c r="CW38" s="333" t="str">
        <f ca="1">IF(OR(Tulokset!$Q$9="",INDIRECT("'"&amp;$A38&amp;"'!$T$11")=""),"",IF(TRIM(INDIRECT("'"&amp;$A38&amp;"'!$T$11"))=TRIM(Tulokset!$Q$9),2,0))</f>
        <v/>
      </c>
      <c r="CX38" s="333" t="str">
        <f ca="1">IF(OR(Tulokset!$R$6="",INDIRECT("'"&amp;$A38&amp;"'!$U$8")=""),"",IF(TRIM(INDIRECT("'"&amp;$A38&amp;"'!$U$8"))=TRIM(Tulokset!$R$6),2,0))</f>
        <v/>
      </c>
      <c r="CY38" s="333" t="str">
        <f ca="1">IF(OR(Tulokset!$R$7="",INDIRECT("'"&amp;$A38&amp;"'!$U$9")=""),"",IF(TRIM(INDIRECT("'"&amp;$A38&amp;"'!$U$9"))=TRIM(Tulokset!$R$7),2,0))</f>
        <v/>
      </c>
      <c r="CZ38" s="333" t="str">
        <f ca="1">IF(OR(Tulokset!$R$8="",INDIRECT("'"&amp;$A38&amp;"'!$U$10")=""),"",IF(TRIM(INDIRECT("'"&amp;$A38&amp;"'!$U$10"))=TRIM(Tulokset!$R$8),2,0))</f>
        <v/>
      </c>
      <c r="DA38" s="333" t="str">
        <f ca="1">IF(OR(Tulokset!$R$9="",INDIRECT("'"&amp;$A38&amp;"'!$U$11")=""),"",IF(TRIM(INDIRECT("'"&amp;$A38&amp;"'!$U$11"))=TRIM(Tulokset!$R$9),2,0))</f>
        <v/>
      </c>
      <c r="DB38" s="333" t="str">
        <f ca="1">IF(OR(Tulokset!$M$12="",INDIRECT("'"&amp;$A38&amp;"'!$P$14")=""),"",IF(TRIM(INDIRECT("'"&amp;$A38&amp;"'!$P$14"))=TRIM(Tulokset!$M$12),2,0))</f>
        <v/>
      </c>
      <c r="DC38" s="333" t="str">
        <f ca="1">IF(OR(Tulokset!$M$13="",INDIRECT("'"&amp;$A38&amp;"'!$P$15")=""),"",IF(TRIM(INDIRECT("'"&amp;$A38&amp;"'!$P$15"))=TRIM(Tulokset!$M$13),2,0))</f>
        <v/>
      </c>
      <c r="DD38" s="333" t="str">
        <f ca="1">IF(OR(Tulokset!$M$14="",INDIRECT("'"&amp;$A38&amp;"'!$P$16")=""),"",IF(TRIM(INDIRECT("'"&amp;$A38&amp;"'!$P$16"))=TRIM(Tulokset!$M$14),2,0))</f>
        <v/>
      </c>
      <c r="DE38" s="333" t="str">
        <f ca="1">IF(OR(Tulokset!$M$15="",INDIRECT("'"&amp;$A38&amp;"'!$P$17")=""),"",IF(TRIM(INDIRECT("'"&amp;$A38&amp;"'!$P$17"))=TRIM(Tulokset!$M$15),2,0))</f>
        <v/>
      </c>
      <c r="DF38" s="333" t="str">
        <f ca="1">IF(OR(Tulokset!$N$12="",INDIRECT("'"&amp;$A38&amp;"'!$Q$14")=""),"",IF(TRIM(INDIRECT("'"&amp;$A38&amp;"'!$Q$14"))=TRIM(Tulokset!$N$12),2,0))</f>
        <v/>
      </c>
      <c r="DG38" s="333" t="str">
        <f ca="1">IF(OR(Tulokset!$N$13="",INDIRECT("'"&amp;$A38&amp;"'!$Q$15")=""),"",IF(TRIM(INDIRECT("'"&amp;$A38&amp;"'!$Q$15"))=TRIM(Tulokset!$N$13),2,0))</f>
        <v/>
      </c>
      <c r="DH38" s="333" t="str">
        <f ca="1">IF(OR(Tulokset!$N$14="",INDIRECT("'"&amp;$A38&amp;"'!$Q$16")=""),"",IF(TRIM(INDIRECT("'"&amp;$A38&amp;"'!$Q$16"))=TRIM(Tulokset!$N$14),2,0))</f>
        <v/>
      </c>
      <c r="DI38" s="333" t="str">
        <f ca="1">IF(OR(Tulokset!$N$15="",INDIRECT("'"&amp;$A38&amp;"'!$Q$17")=""),"",IF(TRIM(INDIRECT("'"&amp;$A38&amp;"'!$Q$17"))=TRIM(Tulokset!$N$15),2,0))</f>
        <v/>
      </c>
      <c r="DJ38" s="333" t="str">
        <f ca="1">IF(OR(Tulokset!$O$12="",INDIRECT("'"&amp;$A38&amp;"'!$R$14")=""),"",IF(TRIM(INDIRECT("'"&amp;$A38&amp;"'!$R$14"))=TRIM(Tulokset!$O$12),2,0))</f>
        <v/>
      </c>
      <c r="DK38" s="333" t="str">
        <f ca="1">IF(OR(Tulokset!$O$13="",INDIRECT("'"&amp;$A38&amp;"'!$R$15")=""),"",IF(TRIM(INDIRECT("'"&amp;$A38&amp;"'!$R$15"))=TRIM(Tulokset!$O$13),2,0))</f>
        <v/>
      </c>
      <c r="DL38" s="333" t="str">
        <f ca="1">IF(OR(Tulokset!$O$14="",INDIRECT("'"&amp;$A38&amp;"'!$R$16")=""),"",IF(TRIM(INDIRECT("'"&amp;$A38&amp;"'!$R$16"))=TRIM(Tulokset!$O$14),2,0))</f>
        <v/>
      </c>
      <c r="DM38" s="333" t="str">
        <f ca="1">IF(OR(Tulokset!$O$15="",INDIRECT("'"&amp;$A38&amp;"'!$R$17")=""),"",IF(TRIM(INDIRECT("'"&amp;$A38&amp;"'!$R$17"))=TRIM(Tulokset!$O$15),2,0))</f>
        <v/>
      </c>
      <c r="DN38" s="333" t="str">
        <f ca="1">IF(OR(Tulokset!$P$12="",INDIRECT("'"&amp;$A38&amp;"'!$S$14")=""),"",IF(TRIM(INDIRECT("'"&amp;$A38&amp;"'!$S$14"))=TRIM(Tulokset!$P$12),2,0))</f>
        <v/>
      </c>
      <c r="DO38" s="333" t="str">
        <f ca="1">IF(OR(Tulokset!$P$13="",INDIRECT("'"&amp;$A38&amp;"'!$S$15")=""),"",IF(TRIM(INDIRECT("'"&amp;$A38&amp;"'!$S$15"))=TRIM(Tulokset!$P$13),2,0))</f>
        <v/>
      </c>
      <c r="DP38" s="333" t="str">
        <f ca="1">IF(OR(Tulokset!$P$14="",INDIRECT("'"&amp;$A38&amp;"'!$S$16")=""),"",IF(TRIM(INDIRECT("'"&amp;$A38&amp;"'!$S$16"))=TRIM(Tulokset!$P$14),2,0))</f>
        <v/>
      </c>
      <c r="DQ38" s="333" t="str">
        <f ca="1">IF(OR(Tulokset!$P$15="",INDIRECT("'"&amp;$A38&amp;"'!$S$17")=""),"",IF(TRIM(INDIRECT("'"&amp;$A38&amp;"'!$S$17"))=TRIM(Tulokset!$P$15),2,0))</f>
        <v/>
      </c>
      <c r="DR38" s="333" t="str">
        <f ca="1">IF(OR(Tulokset!$Q$12="",INDIRECT("'"&amp;$A38&amp;"'!$T$14")=""),"",IF(TRIM(INDIRECT("'"&amp;$A38&amp;"'!$T$14"))=TRIM(Tulokset!$Q$12),2,0))</f>
        <v/>
      </c>
      <c r="DS38" s="333" t="str">
        <f ca="1">IF(OR(Tulokset!$Q$13="",INDIRECT("'"&amp;$A38&amp;"'!$T$15")=""),"",IF(TRIM(INDIRECT("'"&amp;$A38&amp;"'!$T$15"))=TRIM(Tulokset!$Q$13),2,0))</f>
        <v/>
      </c>
      <c r="DT38" s="333" t="str">
        <f ca="1">IF(OR(Tulokset!$Q$14="",INDIRECT("'"&amp;$A38&amp;"'!$T$16")=""),"",IF(TRIM(INDIRECT("'"&amp;$A38&amp;"'!$T$16"))=TRIM(Tulokset!$Q$14),2,0))</f>
        <v/>
      </c>
      <c r="DU38" s="333" t="str">
        <f ca="1">IF(OR(Tulokset!$Q$15="",INDIRECT("'"&amp;$A38&amp;"'!$T$17")=""),"",IF(TRIM(INDIRECT("'"&amp;$A38&amp;"'!$T$17"))=TRIM(Tulokset!$Q$15),2,0))</f>
        <v/>
      </c>
      <c r="DV38" s="333" t="str">
        <f ca="1">IF(OR(Tulokset!$R$12="",INDIRECT("'"&amp;$A38&amp;"'!$U$14")=""),"",IF(TRIM(INDIRECT("'"&amp;$A38&amp;"'!$U$14"))=TRIM(Tulokset!$R$12),2,0))</f>
        <v/>
      </c>
      <c r="DW38" s="333" t="str">
        <f ca="1">IF(OR(Tulokset!$R$13="",INDIRECT("'"&amp;$A38&amp;"'!$U$15")=""),"",IF(TRIM(INDIRECT("'"&amp;$A38&amp;"'!$U$15"))=TRIM(Tulokset!$R$13),2,0))</f>
        <v/>
      </c>
      <c r="DX38" s="333" t="str">
        <f ca="1">IF(OR(Tulokset!$R$14="",INDIRECT("'"&amp;$A38&amp;"'!$U$16")=""),"",IF(TRIM(INDIRECT("'"&amp;$A38&amp;"'!$U$16"))=TRIM(Tulokset!$R$14),2,0))</f>
        <v/>
      </c>
      <c r="DY38" s="333" t="str">
        <f ca="1">IF(OR(Tulokset!$R$15="",INDIRECT("'"&amp;$A38&amp;"'!$U$17")=""),"",IF(TRIM(INDIRECT("'"&amp;$A38&amp;"'!$U$17"))=TRIM(Tulokset!$R$15),2,0))</f>
        <v/>
      </c>
      <c r="DZ38" s="333"/>
      <c r="EA38" s="333" t="str">
        <f ca="1">IF(OR(INDIRECT("'"&amp;$A38&amp;"'!$E$79")="",COUNTA(Tulokset!$M$20:$M$21)=0),"",IF(COUNTIF(Tulokset!$M$20:$M$21,INDIRECT("'"&amp;$A38&amp;"'!$E$79"))&gt;0,2,0))</f>
        <v/>
      </c>
      <c r="EB38" s="333" t="str">
        <f ca="1">IF(OR(INDIRECT("'"&amp;$A38&amp;"'!$G$79")="",COUNTA(Tulokset!$M$20:$M$21)=0),"",IF(COUNTIF(Tulokset!$M$20:$M$21,INDIRECT("'"&amp;$A38&amp;"'!$G$79"))&gt;0,2,0))</f>
        <v/>
      </c>
      <c r="EC38" s="333" t="str">
        <f ca="1">IF(OR(INDIRECT("'"&amp;$A38&amp;"'!$E$80")="",COUNTA(Tulokset!$M$23:$M$24)=0),"",IF(COUNTIF(Tulokset!$M$23:$M$24,INDIRECT("'"&amp;$A38&amp;"'!$E$80"))&gt;0,2,0))</f>
        <v/>
      </c>
      <c r="ED38" s="333" t="str">
        <f ca="1">IF(OR(INDIRECT("'"&amp;$A38&amp;"'!$G$80")="",COUNTA(Tulokset!$M$23:$M$24)=0),"",IF(COUNTIF(Tulokset!$M$23:$M$24,INDIRECT("'"&amp;$A38&amp;"'!$G$80"))&gt;0,2,0))</f>
        <v/>
      </c>
    </row>
    <row r="39" spans="1:134">
      <c r="A39" s="333">
        <v>36</v>
      </c>
      <c r="B39" s="333" t="str">
        <f t="shared" ca="1" si="0"/>
        <v/>
      </c>
      <c r="C39" s="334">
        <f t="shared" si="1"/>
        <v>0</v>
      </c>
      <c r="D39" s="334">
        <f t="shared" ca="1" si="2"/>
        <v>0</v>
      </c>
      <c r="E39" s="334">
        <f t="shared" ca="1" si="3"/>
        <v>0</v>
      </c>
      <c r="F39" s="334" t="str">
        <f t="shared" ca="1" si="4"/>
        <v/>
      </c>
      <c r="G39" s="334">
        <f t="shared" si="5"/>
        <v>0</v>
      </c>
      <c r="H39" s="333" t="str">
        <f>IF(OR(Tulokset!$G$6="",Tulokset!$I$6="",'36'!$I$7="",'36'!$K$7=""),"",IF(SIGN('36'!$I$7-'36'!$K$7)&lt;&gt;SIGN(Tulokset!$G$6-Tulokset!$I$6),0,IF(Tulokset!$G$6=Tulokset!$I$6,IF(AND('36'!$I$7=Tulokset!$G$6,'36'!$K$7=Tulokset!$I$6),6,3),MAX(0,6-(ABS('36'!$I$7-Tulokset!$G$6)+ABS('36'!$K$7-Tulokset!$I$6))))))</f>
        <v/>
      </c>
      <c r="I39" s="333" t="str">
        <f>IF(OR(Tulokset!$G$7="",Tulokset!$I$7="",'36'!$I$8="",'36'!$K$8=""),"",IF(SIGN('36'!$I$8-'36'!$K$8)&lt;&gt;SIGN(Tulokset!$G$7-Tulokset!$I$7),0,IF(Tulokset!$G$7=Tulokset!$I$7,IF(AND('36'!$I$8=Tulokset!$G$7,'36'!$K$8=Tulokset!$I$7),6,3),MAX(0,6-(ABS('36'!$I$8-Tulokset!$G$7)+ABS('36'!$K$8-Tulokset!$I$7))))))</f>
        <v/>
      </c>
      <c r="J39" s="333" t="str">
        <f>IF(OR(Tulokset!$G$8="",Tulokset!$I$8="",'36'!$I$9="",'36'!$K$9=""),"",IF(SIGN('36'!$I$9-'36'!$K$9)&lt;&gt;SIGN(Tulokset!$G$8-Tulokset!$I$8),0,IF(Tulokset!$G$8=Tulokset!$I$8,IF(AND('36'!$I$9=Tulokset!$G$8,'36'!$K$9=Tulokset!$I$8),6,3),MAX(0,6-(ABS('36'!$I$9-Tulokset!$G$8)+ABS('36'!$K$9-Tulokset!$I$8))))))</f>
        <v/>
      </c>
      <c r="K39" s="333" t="str">
        <f>IF(OR(Tulokset!$G$9="",Tulokset!$I$9="",'36'!$I$10="",'36'!$K$10=""),"",IF(SIGN('36'!$I$10-'36'!$K$10)&lt;&gt;SIGN(Tulokset!$G$9-Tulokset!$I$9),0,IF(Tulokset!$G$9=Tulokset!$I$9,IF(AND('36'!$I$10=Tulokset!$G$9,'36'!$K$10=Tulokset!$I$9),6,3),MAX(0,6-(ABS('36'!$I$10-Tulokset!$G$9)+ABS('36'!$K$10-Tulokset!$I$9))))))</f>
        <v/>
      </c>
      <c r="L39" s="333" t="str">
        <f>IF(OR(Tulokset!$G$10="",Tulokset!$I$10="",'36'!$I$11="",'36'!$K$11=""),"",IF(SIGN('36'!$I$11-'36'!$K$11)&lt;&gt;SIGN(Tulokset!$G$10-Tulokset!$I$10),0,IF(Tulokset!$G$10=Tulokset!$I$10,IF(AND('36'!$I$11=Tulokset!$G$10,'36'!$K$11=Tulokset!$I$10),6,3),MAX(0,6-(ABS('36'!$I$11-Tulokset!$G$10)+ABS('36'!$K$11-Tulokset!$I$10))))))</f>
        <v/>
      </c>
      <c r="M39" s="333" t="str">
        <f>IF(OR(Tulokset!$G$11="",Tulokset!$I$11="",'36'!$I$12="",'36'!$K$12=""),"",IF(SIGN('36'!$I$12-'36'!$K$12)&lt;&gt;SIGN(Tulokset!$G$11-Tulokset!$I$11),0,IF(Tulokset!$G$11=Tulokset!$I$11,IF(AND('36'!$I$12=Tulokset!$G$11,'36'!$K$12=Tulokset!$I$11),6,3),MAX(0,6-(ABS('36'!$I$12-Tulokset!$G$11)+ABS('36'!$K$12-Tulokset!$I$11))))))</f>
        <v/>
      </c>
      <c r="N39" s="333" t="str">
        <f>IF(OR(Tulokset!$G$12="",Tulokset!$I$12="",'36'!$I$13="",'36'!$K$13=""),"",IF(SIGN('36'!$I$13-'36'!$K$13)&lt;&gt;SIGN(Tulokset!$G$12-Tulokset!$I$12),0,IF(Tulokset!$G$12=Tulokset!$I$12,IF(AND('36'!$I$13=Tulokset!$G$12,'36'!$K$13=Tulokset!$I$12),6,3),MAX(0,6-(ABS('36'!$I$13-Tulokset!$G$12)+ABS('36'!$K$13-Tulokset!$I$12))))))</f>
        <v/>
      </c>
      <c r="O39" s="333" t="str">
        <f>IF(OR(Tulokset!$G$13="",Tulokset!$I$13="",'36'!$I$14="",'36'!$K$14=""),"",IF(SIGN('36'!$I$14-'36'!$K$14)&lt;&gt;SIGN(Tulokset!$G$13-Tulokset!$I$13),0,IF(Tulokset!$G$13=Tulokset!$I$13,IF(AND('36'!$I$14=Tulokset!$G$13,'36'!$K$14=Tulokset!$I$13),6,3),MAX(0,6-(ABS('36'!$I$14-Tulokset!$G$13)+ABS('36'!$K$14-Tulokset!$I$13))))))</f>
        <v/>
      </c>
      <c r="P39" s="333" t="str">
        <f>IF(OR(Tulokset!$G$14="",Tulokset!$I$14="",'36'!$I$15="",'36'!$K$15=""),"",IF(SIGN('36'!$I$15-'36'!$K$15)&lt;&gt;SIGN(Tulokset!$G$14-Tulokset!$I$14),0,IF(Tulokset!$G$14=Tulokset!$I$14,IF(AND('36'!$I$15=Tulokset!$G$14,'36'!$K$15=Tulokset!$I$14),6,3),MAX(0,6-(ABS('36'!$I$15-Tulokset!$G$14)+ABS('36'!$K$15-Tulokset!$I$14))))))</f>
        <v/>
      </c>
      <c r="Q39" s="333" t="str">
        <f>IF(OR(Tulokset!$G$15="",Tulokset!$I$15="",'36'!$I$16="",'36'!$K$16=""),"",IF(SIGN('36'!$I$16-'36'!$K$16)&lt;&gt;SIGN(Tulokset!$G$15-Tulokset!$I$15),0,IF(Tulokset!$G$15=Tulokset!$I$15,IF(AND('36'!$I$16=Tulokset!$G$15,'36'!$K$16=Tulokset!$I$15),6,3),MAX(0,6-(ABS('36'!$I$16-Tulokset!$G$15)+ABS('36'!$K$16-Tulokset!$I$15))))))</f>
        <v/>
      </c>
      <c r="R39" s="333" t="str">
        <f>IF(OR(Tulokset!$G$16="",Tulokset!$I$16="",'36'!$I$17="",'36'!$K$17=""),"",IF(SIGN('36'!$I$17-'36'!$K$17)&lt;&gt;SIGN(Tulokset!$G$16-Tulokset!$I$16),0,IF(Tulokset!$G$16=Tulokset!$I$16,IF(AND('36'!$I$17=Tulokset!$G$16,'36'!$K$17=Tulokset!$I$16),6,3),MAX(0,6-(ABS('36'!$I$17-Tulokset!$G$16)+ABS('36'!$K$17-Tulokset!$I$16))))))</f>
        <v/>
      </c>
      <c r="S39" s="333" t="str">
        <f>IF(OR(Tulokset!$G$17="",Tulokset!$I$17="",'36'!$I$18="",'36'!$K$18=""),"",IF(SIGN('36'!$I$18-'36'!$K$18)&lt;&gt;SIGN(Tulokset!$G$17-Tulokset!$I$17),0,IF(Tulokset!$G$17=Tulokset!$I$17,IF(AND('36'!$I$18=Tulokset!$G$17,'36'!$K$18=Tulokset!$I$17),6,3),MAX(0,6-(ABS('36'!$I$18-Tulokset!$G$17)+ABS('36'!$K$18-Tulokset!$I$17))))))</f>
        <v/>
      </c>
      <c r="T39" s="333" t="str">
        <f>IF(OR(Tulokset!$G$18="",Tulokset!$I$18="",'36'!$I$19="",'36'!$K$19=""),"",IF(SIGN('36'!$I$19-'36'!$K$19)&lt;&gt;SIGN(Tulokset!$G$18-Tulokset!$I$18),0,IF(Tulokset!$G$18=Tulokset!$I$18,IF(AND('36'!$I$19=Tulokset!$G$18,'36'!$K$19=Tulokset!$I$18),6,3),MAX(0,6-(ABS('36'!$I$19-Tulokset!$G$18)+ABS('36'!$K$19-Tulokset!$I$18))))))</f>
        <v/>
      </c>
      <c r="U39" s="333" t="str">
        <f>IF(OR(Tulokset!$G$19="",Tulokset!$I$19="",'36'!$I$20="",'36'!$K$20=""),"",IF(SIGN('36'!$I$20-'36'!$K$20)&lt;&gt;SIGN(Tulokset!$G$19-Tulokset!$I$19),0,IF(Tulokset!$G$19=Tulokset!$I$19,IF(AND('36'!$I$20=Tulokset!$G$19,'36'!$K$20=Tulokset!$I$19),6,3),MAX(0,6-(ABS('36'!$I$20-Tulokset!$G$19)+ABS('36'!$K$20-Tulokset!$I$19))))))</f>
        <v/>
      </c>
      <c r="V39" s="333" t="str">
        <f>IF(OR(Tulokset!$G$20="",Tulokset!$I$20="",'36'!$I$21="",'36'!$K$21=""),"",IF(SIGN('36'!$I$21-'36'!$K$21)&lt;&gt;SIGN(Tulokset!$G$20-Tulokset!$I$20),0,IF(Tulokset!$G$20=Tulokset!$I$20,IF(AND('36'!$I$21=Tulokset!$G$20,'36'!$K$21=Tulokset!$I$20),6,3),MAX(0,6-(ABS('36'!$I$21-Tulokset!$G$20)+ABS('36'!$K$21-Tulokset!$I$20))))))</f>
        <v/>
      </c>
      <c r="W39" s="333" t="str">
        <f>IF(OR(Tulokset!$G$21="",Tulokset!$I$21="",'36'!$I$22="",'36'!$K$22=""),"",IF(SIGN('36'!$I$22-'36'!$K$22)&lt;&gt;SIGN(Tulokset!$G$21-Tulokset!$I$21),0,IF(Tulokset!$G$21=Tulokset!$I$21,IF(AND('36'!$I$22=Tulokset!$G$21,'36'!$K$22=Tulokset!$I$21),6,3),MAX(0,6-(ABS('36'!$I$22-Tulokset!$G$21)+ABS('36'!$K$22-Tulokset!$I$21))))))</f>
        <v/>
      </c>
      <c r="X39" s="333" t="str">
        <f>IF(OR(Tulokset!$G$22="",Tulokset!$I$22="",'36'!$I$23="",'36'!$K$23=""),"",IF(SIGN('36'!$I$23-'36'!$K$23)&lt;&gt;SIGN(Tulokset!$G$22-Tulokset!$I$22),0,IF(Tulokset!$G$22=Tulokset!$I$22,IF(AND('36'!$I$23=Tulokset!$G$22,'36'!$K$23=Tulokset!$I$22),6,3),MAX(0,6-(ABS('36'!$I$23-Tulokset!$G$22)+ABS('36'!$K$23-Tulokset!$I$22))))))</f>
        <v/>
      </c>
      <c r="Y39" s="333" t="str">
        <f>IF(OR(Tulokset!$G$23="",Tulokset!$I$23="",'36'!$I$24="",'36'!$K$24=""),"",IF(SIGN('36'!$I$24-'36'!$K$24)&lt;&gt;SIGN(Tulokset!$G$23-Tulokset!$I$23),0,IF(Tulokset!$G$23=Tulokset!$I$23,IF(AND('36'!$I$24=Tulokset!$G$23,'36'!$K$24=Tulokset!$I$23),6,3),MAX(0,6-(ABS('36'!$I$24-Tulokset!$G$23)+ABS('36'!$K$24-Tulokset!$I$23))))))</f>
        <v/>
      </c>
      <c r="Z39" s="333" t="str">
        <f>IF(OR(Tulokset!$G$24="",Tulokset!$I$24="",'36'!$I$25="",'36'!$K$25=""),"",IF(SIGN('36'!$I$25-'36'!$K$25)&lt;&gt;SIGN(Tulokset!$G$24-Tulokset!$I$24),0,IF(Tulokset!$G$24=Tulokset!$I$24,IF(AND('36'!$I$25=Tulokset!$G$24,'36'!$K$25=Tulokset!$I$24),6,3),MAX(0,6-(ABS('36'!$I$25-Tulokset!$G$24)+ABS('36'!$K$25-Tulokset!$I$24))))))</f>
        <v/>
      </c>
      <c r="AA39" s="333" t="str">
        <f>IF(OR(Tulokset!$G$25="",Tulokset!$I$25="",'36'!$I$26="",'36'!$K$26=""),"",IF(SIGN('36'!$I$26-'36'!$K$26)&lt;&gt;SIGN(Tulokset!$G$25-Tulokset!$I$25),0,IF(Tulokset!$G$25=Tulokset!$I$25,IF(AND('36'!$I$26=Tulokset!$G$25,'36'!$K$26=Tulokset!$I$25),6,3),MAX(0,6-(ABS('36'!$I$26-Tulokset!$G$25)+ABS('36'!$K$26-Tulokset!$I$25))))))</f>
        <v/>
      </c>
      <c r="AB39" s="333" t="str">
        <f>IF(OR(Tulokset!$G$26="",Tulokset!$I$26="",'36'!$I$27="",'36'!$K$27=""),"",IF(SIGN('36'!$I$27-'36'!$K$27)&lt;&gt;SIGN(Tulokset!$G$26-Tulokset!$I$26),0,IF(Tulokset!$G$26=Tulokset!$I$26,IF(AND('36'!$I$27=Tulokset!$G$26,'36'!$K$27=Tulokset!$I$26),6,3),MAX(0,6-(ABS('36'!$I$27-Tulokset!$G$26)+ABS('36'!$K$27-Tulokset!$I$26))))))</f>
        <v/>
      </c>
      <c r="AC39" s="333" t="str">
        <f>IF(OR(Tulokset!$G$27="",Tulokset!$I$27="",'36'!$I$28="",'36'!$K$28=""),"",IF(SIGN('36'!$I$28-'36'!$K$28)&lt;&gt;SIGN(Tulokset!$G$27-Tulokset!$I$27),0,IF(Tulokset!$G$27=Tulokset!$I$27,IF(AND('36'!$I$28=Tulokset!$G$27,'36'!$K$28=Tulokset!$I$27),6,3),MAX(0,6-(ABS('36'!$I$28-Tulokset!$G$27)+ABS('36'!$K$28-Tulokset!$I$27))))))</f>
        <v/>
      </c>
      <c r="AD39" s="333" t="str">
        <f>IF(OR(Tulokset!$G$28="",Tulokset!$I$28="",'36'!$I$29="",'36'!$K$29=""),"",IF(SIGN('36'!$I$29-'36'!$K$29)&lt;&gt;SIGN(Tulokset!$G$28-Tulokset!$I$28),0,IF(Tulokset!$G$28=Tulokset!$I$28,IF(AND('36'!$I$29=Tulokset!$G$28,'36'!$K$29=Tulokset!$I$28),6,3),MAX(0,6-(ABS('36'!$I$29-Tulokset!$G$28)+ABS('36'!$K$29-Tulokset!$I$28))))))</f>
        <v/>
      </c>
      <c r="AE39" s="333" t="str">
        <f>IF(OR(Tulokset!$G$29="",Tulokset!$I$29="",'36'!$I$30="",'36'!$K$30=""),"",IF(SIGN('36'!$I$30-'36'!$K$30)&lt;&gt;SIGN(Tulokset!$G$29-Tulokset!$I$29),0,IF(Tulokset!$G$29=Tulokset!$I$29,IF(AND('36'!$I$30=Tulokset!$G$29,'36'!$K$30=Tulokset!$I$29),6,3),MAX(0,6-(ABS('36'!$I$30-Tulokset!$G$29)+ABS('36'!$K$30-Tulokset!$I$29))))))</f>
        <v/>
      </c>
      <c r="AF39" s="333" t="str">
        <f>IF(OR(Tulokset!$G$30="",Tulokset!$I$30="",'36'!$I$31="",'36'!$K$31=""),"",IF(SIGN('36'!$I$31-'36'!$K$31)&lt;&gt;SIGN(Tulokset!$G$30-Tulokset!$I$30),0,IF(Tulokset!$G$30=Tulokset!$I$30,IF(AND('36'!$I$31=Tulokset!$G$30,'36'!$K$31=Tulokset!$I$30),6,3),MAX(0,6-(ABS('36'!$I$31-Tulokset!$G$30)+ABS('36'!$K$31-Tulokset!$I$30))))))</f>
        <v/>
      </c>
      <c r="AG39" s="333" t="str">
        <f>IF(OR(Tulokset!$G$31="",Tulokset!$I$31="",'36'!$I$32="",'36'!$K$32=""),"",IF(SIGN('36'!$I$32-'36'!$K$32)&lt;&gt;SIGN(Tulokset!$G$31-Tulokset!$I$31),0,IF(Tulokset!$G$31=Tulokset!$I$31,IF(AND('36'!$I$32=Tulokset!$G$31,'36'!$K$32=Tulokset!$I$31),6,3),MAX(0,6-(ABS('36'!$I$32-Tulokset!$G$31)+ABS('36'!$K$32-Tulokset!$I$31))))))</f>
        <v/>
      </c>
      <c r="AH39" s="333" t="str">
        <f>IF(OR(Tulokset!$G$32="",Tulokset!$I$32="",'36'!$I$33="",'36'!$K$33=""),"",IF(SIGN('36'!$I$33-'36'!$K$33)&lt;&gt;SIGN(Tulokset!$G$32-Tulokset!$I$32),0,IF(Tulokset!$G$32=Tulokset!$I$32,IF(AND('36'!$I$33=Tulokset!$G$32,'36'!$K$33=Tulokset!$I$32),6,3),MAX(0,6-(ABS('36'!$I$33-Tulokset!$G$32)+ABS('36'!$K$33-Tulokset!$I$32))))))</f>
        <v/>
      </c>
      <c r="AI39" s="333" t="str">
        <f>IF(OR(Tulokset!$G$33="",Tulokset!$I$33="",'36'!$I$34="",'36'!$K$34=""),"",IF(SIGN('36'!$I$34-'36'!$K$34)&lt;&gt;SIGN(Tulokset!$G$33-Tulokset!$I$33),0,IF(Tulokset!$G$33=Tulokset!$I$33,IF(AND('36'!$I$34=Tulokset!$G$33,'36'!$K$34=Tulokset!$I$33),6,3),MAX(0,6-(ABS('36'!$I$34-Tulokset!$G$33)+ABS('36'!$K$34-Tulokset!$I$33))))))</f>
        <v/>
      </c>
      <c r="AJ39" s="333" t="str">
        <f>IF(OR(Tulokset!$G$34="",Tulokset!$I$34="",'36'!$I$35="",'36'!$K$35=""),"",IF(SIGN('36'!$I$35-'36'!$K$35)&lt;&gt;SIGN(Tulokset!$G$34-Tulokset!$I$34),0,IF(Tulokset!$G$34=Tulokset!$I$34,IF(AND('36'!$I$35=Tulokset!$G$34,'36'!$K$35=Tulokset!$I$34),6,3),MAX(0,6-(ABS('36'!$I$35-Tulokset!$G$34)+ABS('36'!$K$35-Tulokset!$I$34))))))</f>
        <v/>
      </c>
      <c r="AK39" s="333" t="str">
        <f>IF(OR(Tulokset!$G$35="",Tulokset!$I$35="",'36'!$I$36="",'36'!$K$36=""),"",IF(SIGN('36'!$I$36-'36'!$K$36)&lt;&gt;SIGN(Tulokset!$G$35-Tulokset!$I$35),0,IF(Tulokset!$G$35=Tulokset!$I$35,IF(AND('36'!$I$36=Tulokset!$G$35,'36'!$K$36=Tulokset!$I$35),6,3),MAX(0,6-(ABS('36'!$I$36-Tulokset!$G$35)+ABS('36'!$K$36-Tulokset!$I$35))))))</f>
        <v/>
      </c>
      <c r="AL39" s="333" t="str">
        <f>IF(OR(Tulokset!$G$36="",Tulokset!$I$36="",'36'!$I$37="",'36'!$K$37=""),"",IF(SIGN('36'!$I$37-'36'!$K$37)&lt;&gt;SIGN(Tulokset!$G$36-Tulokset!$I$36),0,IF(Tulokset!$G$36=Tulokset!$I$36,IF(AND('36'!$I$37=Tulokset!$G$36,'36'!$K$37=Tulokset!$I$36),6,3),MAX(0,6-(ABS('36'!$I$37-Tulokset!$G$36)+ABS('36'!$K$37-Tulokset!$I$36))))))</f>
        <v/>
      </c>
      <c r="AM39" s="333" t="str">
        <f>IF(OR(Tulokset!$G$37="",Tulokset!$I$37="",'36'!$I$38="",'36'!$K$38=""),"",IF(SIGN('36'!$I$38-'36'!$K$38)&lt;&gt;SIGN(Tulokset!$G$37-Tulokset!$I$37),0,IF(Tulokset!$G$37=Tulokset!$I$37,IF(AND('36'!$I$38=Tulokset!$G$37,'36'!$K$38=Tulokset!$I$37),6,3),MAX(0,6-(ABS('36'!$I$38-Tulokset!$G$37)+ABS('36'!$K$38-Tulokset!$I$37))))))</f>
        <v/>
      </c>
      <c r="AN39" s="333" t="str">
        <f>IF(OR(Tulokset!$G$38="",Tulokset!$I$38="",'36'!$I$39="",'36'!$K$39=""),"",IF(SIGN('36'!$I$39-'36'!$K$39)&lt;&gt;SIGN(Tulokset!$G$38-Tulokset!$I$38),0,IF(Tulokset!$G$38=Tulokset!$I$38,IF(AND('36'!$I$39=Tulokset!$G$38,'36'!$K$39=Tulokset!$I$38),6,3),MAX(0,6-(ABS('36'!$I$39-Tulokset!$G$38)+ABS('36'!$K$39-Tulokset!$I$38))))))</f>
        <v/>
      </c>
      <c r="AO39" s="333" t="str">
        <f>IF(OR(Tulokset!$G$39="",Tulokset!$I$39="",'36'!$I$40="",'36'!$K$40=""),"",IF(SIGN('36'!$I$40-'36'!$K$40)&lt;&gt;SIGN(Tulokset!$G$39-Tulokset!$I$39),0,IF(Tulokset!$G$39=Tulokset!$I$39,IF(AND('36'!$I$40=Tulokset!$G$39,'36'!$K$40=Tulokset!$I$39),6,3),MAX(0,6-(ABS('36'!$I$40-Tulokset!$G$39)+ABS('36'!$K$40-Tulokset!$I$39))))))</f>
        <v/>
      </c>
      <c r="AP39" s="333" t="str">
        <f>IF(OR(Tulokset!$G$40="",Tulokset!$I$40="",'36'!$I$41="",'36'!$K$41=""),"",IF(SIGN('36'!$I$41-'36'!$K$41)&lt;&gt;SIGN(Tulokset!$G$40-Tulokset!$I$40),0,IF(Tulokset!$G$40=Tulokset!$I$40,IF(AND('36'!$I$41=Tulokset!$G$40,'36'!$K$41=Tulokset!$I$40),6,3),MAX(0,6-(ABS('36'!$I$41-Tulokset!$G$40)+ABS('36'!$K$41-Tulokset!$I$40))))))</f>
        <v/>
      </c>
      <c r="AQ39" s="333" t="str">
        <f>IF(OR(Tulokset!$G$41="",Tulokset!$I$41="",'36'!$I$42="",'36'!$K$42=""),"",IF(SIGN('36'!$I$42-'36'!$K$42)&lt;&gt;SIGN(Tulokset!$G$41-Tulokset!$I$41),0,IF(Tulokset!$G$41=Tulokset!$I$41,IF(AND('36'!$I$42=Tulokset!$G$41,'36'!$K$42=Tulokset!$I$41),6,3),MAX(0,6-(ABS('36'!$I$42-Tulokset!$G$41)+ABS('36'!$K$42-Tulokset!$I$41))))))</f>
        <v/>
      </c>
      <c r="AR39" s="333" t="str">
        <f>IF(OR(Tulokset!$G$42="",Tulokset!$I$42="",'36'!$I$43="",'36'!$K$43=""),"",IF(SIGN('36'!$I$43-'36'!$K$43)&lt;&gt;SIGN(Tulokset!$G$42-Tulokset!$I$42),0,IF(Tulokset!$G$42=Tulokset!$I$42,IF(AND('36'!$I$43=Tulokset!$G$42,'36'!$K$43=Tulokset!$I$42),6,3),MAX(0,6-(ABS('36'!$I$43-Tulokset!$G$42)+ABS('36'!$K$43-Tulokset!$I$42))))))</f>
        <v/>
      </c>
      <c r="AS39" s="333" t="str">
        <f>IF(OR(Tulokset!$G$43="",Tulokset!$I$43="",'36'!$I$44="",'36'!$K$44=""),"",IF(SIGN('36'!$I$44-'36'!$K$44)&lt;&gt;SIGN(Tulokset!$G$43-Tulokset!$I$43),0,IF(Tulokset!$G$43=Tulokset!$I$43,IF(AND('36'!$I$44=Tulokset!$G$43,'36'!$K$44=Tulokset!$I$43),6,3),MAX(0,6-(ABS('36'!$I$44-Tulokset!$G$43)+ABS('36'!$K$44-Tulokset!$I$43))))))</f>
        <v/>
      </c>
      <c r="AT39" s="333" t="str">
        <f>IF(OR(Tulokset!$G$44="",Tulokset!$I$44="",'36'!$I$45="",'36'!$K$45=""),"",IF(SIGN('36'!$I$45-'36'!$K$45)&lt;&gt;SIGN(Tulokset!$G$44-Tulokset!$I$44),0,IF(Tulokset!$G$44=Tulokset!$I$44,IF(AND('36'!$I$45=Tulokset!$G$44,'36'!$K$45=Tulokset!$I$44),6,3),MAX(0,6-(ABS('36'!$I$45-Tulokset!$G$44)+ABS('36'!$K$45-Tulokset!$I$44))))))</f>
        <v/>
      </c>
      <c r="AU39" s="333" t="str">
        <f>IF(OR(Tulokset!$G$45="",Tulokset!$I$45="",'36'!$I$46="",'36'!$K$46=""),"",IF(SIGN('36'!$I$46-'36'!$K$46)&lt;&gt;SIGN(Tulokset!$G$45-Tulokset!$I$45),0,IF(Tulokset!$G$45=Tulokset!$I$45,IF(AND('36'!$I$46=Tulokset!$G$45,'36'!$K$46=Tulokset!$I$45),6,3),MAX(0,6-(ABS('36'!$I$46-Tulokset!$G$45)+ABS('36'!$K$46-Tulokset!$I$45))))))</f>
        <v/>
      </c>
      <c r="AV39" s="333" t="str">
        <f>IF(OR(Tulokset!$G$46="",Tulokset!$I$46="",'36'!$I$47="",'36'!$K$47=""),"",IF(SIGN('36'!$I$47-'36'!$K$47)&lt;&gt;SIGN(Tulokset!$G$46-Tulokset!$I$46),0,IF(Tulokset!$G$46=Tulokset!$I$46,IF(AND('36'!$I$47=Tulokset!$G$46,'36'!$K$47=Tulokset!$I$46),6,3),MAX(0,6-(ABS('36'!$I$47-Tulokset!$G$46)+ABS('36'!$K$47-Tulokset!$I$46))))))</f>
        <v/>
      </c>
      <c r="AW39" s="333" t="str">
        <f>IF(OR(Tulokset!$G$47="",Tulokset!$I$47="",'36'!$I$48="",'36'!$K$48=""),"",IF(SIGN('36'!$I$48-'36'!$K$48)&lt;&gt;SIGN(Tulokset!$G$47-Tulokset!$I$47),0,IF(Tulokset!$G$47=Tulokset!$I$47,IF(AND('36'!$I$48=Tulokset!$G$47,'36'!$K$48=Tulokset!$I$47),6,3),MAX(0,6-(ABS('36'!$I$48-Tulokset!$G$47)+ABS('36'!$K$48-Tulokset!$I$47))))))</f>
        <v/>
      </c>
      <c r="AX39" s="333" t="str">
        <f>IF(OR(Tulokset!$G$48="",Tulokset!$I$48="",'36'!$I$49="",'36'!$K$49=""),"",IF(SIGN('36'!$I$49-'36'!$K$49)&lt;&gt;SIGN(Tulokset!$G$48-Tulokset!$I$48),0,IF(Tulokset!$G$48=Tulokset!$I$48,IF(AND('36'!$I$49=Tulokset!$G$48,'36'!$K$49=Tulokset!$I$48),6,3),MAX(0,6-(ABS('36'!$I$49-Tulokset!$G$48)+ABS('36'!$K$49-Tulokset!$I$48))))))</f>
        <v/>
      </c>
      <c r="AY39" s="333" t="str">
        <f>IF(OR(Tulokset!$G$49="",Tulokset!$I$49="",'36'!$I$50="",'36'!$K$50=""),"",IF(SIGN('36'!$I$50-'36'!$K$50)&lt;&gt;SIGN(Tulokset!$G$49-Tulokset!$I$49),0,IF(Tulokset!$G$49=Tulokset!$I$49,IF(AND('36'!$I$50=Tulokset!$G$49,'36'!$K$50=Tulokset!$I$49),6,3),MAX(0,6-(ABS('36'!$I$50-Tulokset!$G$49)+ABS('36'!$K$50-Tulokset!$I$49))))))</f>
        <v/>
      </c>
      <c r="AZ39" s="333" t="str">
        <f>IF(OR(Tulokset!$G$50="",Tulokset!$I$50="",'36'!$I$51="",'36'!$K$51=""),"",IF(SIGN('36'!$I$51-'36'!$K$51)&lt;&gt;SIGN(Tulokset!$G$50-Tulokset!$I$50),0,IF(Tulokset!$G$50=Tulokset!$I$50,IF(AND('36'!$I$51=Tulokset!$G$50,'36'!$K$51=Tulokset!$I$50),6,3),MAX(0,6-(ABS('36'!$I$51-Tulokset!$G$50)+ABS('36'!$K$51-Tulokset!$I$50))))))</f>
        <v/>
      </c>
      <c r="BA39" s="333" t="str">
        <f>IF(OR(Tulokset!$G$51="",Tulokset!$I$51="",'36'!$I$52="",'36'!$K$52=""),"",IF(SIGN('36'!$I$52-'36'!$K$52)&lt;&gt;SIGN(Tulokset!$G$51-Tulokset!$I$51),0,IF(Tulokset!$G$51=Tulokset!$I$51,IF(AND('36'!$I$52=Tulokset!$G$51,'36'!$K$52=Tulokset!$I$51),6,3),MAX(0,6-(ABS('36'!$I$52-Tulokset!$G$51)+ABS('36'!$K$52-Tulokset!$I$51))))))</f>
        <v/>
      </c>
      <c r="BB39" s="333" t="str">
        <f>IF(OR(Tulokset!$G$52="",Tulokset!$I$52="",'36'!$I$53="",'36'!$K$53=""),"",IF(SIGN('36'!$I$53-'36'!$K$53)&lt;&gt;SIGN(Tulokset!$G$52-Tulokset!$I$52),0,IF(Tulokset!$G$52=Tulokset!$I$52,IF(AND('36'!$I$53=Tulokset!$G$52,'36'!$K$53=Tulokset!$I$52),6,3),MAX(0,6-(ABS('36'!$I$53-Tulokset!$G$52)+ABS('36'!$K$53-Tulokset!$I$52))))))</f>
        <v/>
      </c>
      <c r="BC39" s="333" t="str">
        <f>IF(OR(Tulokset!$G$53="",Tulokset!$I$53="",'36'!$I$54="",'36'!$K$54=""),"",IF(SIGN('36'!$I$54-'36'!$K$54)&lt;&gt;SIGN(Tulokset!$G$53-Tulokset!$I$53),0,IF(Tulokset!$G$53=Tulokset!$I$53,IF(AND('36'!$I$54=Tulokset!$G$53,'36'!$K$54=Tulokset!$I$53),6,3),MAX(0,6-(ABS('36'!$I$54-Tulokset!$G$53)+ABS('36'!$K$54-Tulokset!$I$53))))))</f>
        <v/>
      </c>
      <c r="BD39" s="333" t="str">
        <f>IF(OR(Tulokset!$G$54="",Tulokset!$I$54="",'36'!$I$55="",'36'!$K$55=""),"",IF(SIGN('36'!$I$55-'36'!$K$55)&lt;&gt;SIGN(Tulokset!$G$54-Tulokset!$I$54),0,IF(Tulokset!$G$54=Tulokset!$I$54,IF(AND('36'!$I$55=Tulokset!$G$54,'36'!$K$55=Tulokset!$I$54),6,3),MAX(0,6-(ABS('36'!$I$55-Tulokset!$G$54)+ABS('36'!$K$55-Tulokset!$I$54))))))</f>
        <v/>
      </c>
      <c r="BE39" s="333" t="str">
        <f>IF(OR(Tulokset!$G$55="",Tulokset!$I$55="",'36'!$I$56="",'36'!$K$56=""),"",IF(SIGN('36'!$I$56-'36'!$K$56)&lt;&gt;SIGN(Tulokset!$G$55-Tulokset!$I$55),0,IF(Tulokset!$G$55=Tulokset!$I$55,IF(AND('36'!$I$56=Tulokset!$G$55,'36'!$K$56=Tulokset!$I$55),6,3),MAX(0,6-(ABS('36'!$I$56-Tulokset!$G$55)+ABS('36'!$K$56-Tulokset!$I$55))))))</f>
        <v/>
      </c>
      <c r="BF39" s="333" t="str">
        <f>IF(OR(Tulokset!$G$56="",Tulokset!$I$56="",'36'!$I$57="",'36'!$K$57=""),"",IF(SIGN('36'!$I$57-'36'!$K$57)&lt;&gt;SIGN(Tulokset!$G$56-Tulokset!$I$56),0,IF(Tulokset!$G$56=Tulokset!$I$56,IF(AND('36'!$I$57=Tulokset!$G$56,'36'!$K$57=Tulokset!$I$56),6,3),MAX(0,6-(ABS('36'!$I$57-Tulokset!$G$56)+ABS('36'!$K$57-Tulokset!$I$56))))))</f>
        <v/>
      </c>
      <c r="BG39" s="333" t="str">
        <f>IF(OR(Tulokset!$G$57="",Tulokset!$I$57="",'36'!$I$58="",'36'!$K$58=""),"",IF(SIGN('36'!$I$58-'36'!$K$58)&lt;&gt;SIGN(Tulokset!$G$57-Tulokset!$I$57),0,IF(Tulokset!$G$57=Tulokset!$I$57,IF(AND('36'!$I$58=Tulokset!$G$57,'36'!$K$58=Tulokset!$I$57),6,3),MAX(0,6-(ABS('36'!$I$58-Tulokset!$G$57)+ABS('36'!$K$58-Tulokset!$I$57))))))</f>
        <v/>
      </c>
      <c r="BH39" s="333" t="str">
        <f>IF(OR(Tulokset!$G$58="",Tulokset!$I$58="",'36'!$I$59="",'36'!$K$59=""),"",IF(SIGN('36'!$I$59-'36'!$K$59)&lt;&gt;SIGN(Tulokset!$G$58-Tulokset!$I$58),0,IF(Tulokset!$G$58=Tulokset!$I$58,IF(AND('36'!$I$59=Tulokset!$G$58,'36'!$K$59=Tulokset!$I$58),6,3),MAX(0,6-(ABS('36'!$I$59-Tulokset!$G$58)+ABS('36'!$K$59-Tulokset!$I$58))))))</f>
        <v/>
      </c>
      <c r="BI39" s="333" t="str">
        <f>IF(OR(Tulokset!$G$59="",Tulokset!$I$59="",'36'!$I$60="",'36'!$K$60=""),"",IF(SIGN('36'!$I$60-'36'!$K$60)&lt;&gt;SIGN(Tulokset!$G$59-Tulokset!$I$59),0,IF(Tulokset!$G$59=Tulokset!$I$59,IF(AND('36'!$I$60=Tulokset!$G$59,'36'!$K$60=Tulokset!$I$59),6,3),MAX(0,6-(ABS('36'!$I$60-Tulokset!$G$59)+ABS('36'!$K$60-Tulokset!$I$59))))))</f>
        <v/>
      </c>
      <c r="BJ39" s="333" t="str">
        <f>IF(OR(Tulokset!$G$60="",Tulokset!$I$60="",'36'!$I$61="",'36'!$K$61=""),"",IF(SIGN('36'!$I$61-'36'!$K$61)&lt;&gt;SIGN(Tulokset!$G$60-Tulokset!$I$60),0,IF(Tulokset!$G$60=Tulokset!$I$60,IF(AND('36'!$I$61=Tulokset!$G$60,'36'!$K$61=Tulokset!$I$60),6,3),MAX(0,6-(ABS('36'!$I$61-Tulokset!$G$60)+ABS('36'!$K$61-Tulokset!$I$60))))))</f>
        <v/>
      </c>
      <c r="BK39" s="333" t="str">
        <f>IF(OR(Tulokset!$G$61="",Tulokset!$I$61="",'36'!$I$62="",'36'!$K$62=""),"",IF(SIGN('36'!$I$62-'36'!$K$62)&lt;&gt;SIGN(Tulokset!$G$61-Tulokset!$I$61),0,IF(Tulokset!$G$61=Tulokset!$I$61,IF(AND('36'!$I$62=Tulokset!$G$61,'36'!$K$62=Tulokset!$I$61),6,3),MAX(0,6-(ABS('36'!$I$62-Tulokset!$G$61)+ABS('36'!$K$62-Tulokset!$I$61))))))</f>
        <v/>
      </c>
      <c r="BL39" s="333" t="str">
        <f>IF(OR(Tulokset!$G$62="",Tulokset!$I$62="",'36'!$I$63="",'36'!$K$63=""),"",IF(SIGN('36'!$I$63-'36'!$K$63)&lt;&gt;SIGN(Tulokset!$G$62-Tulokset!$I$62),0,IF(Tulokset!$G$62=Tulokset!$I$62,IF(AND('36'!$I$63=Tulokset!$G$62,'36'!$K$63=Tulokset!$I$62),6,3),MAX(0,6-(ABS('36'!$I$63-Tulokset!$G$62)+ABS('36'!$K$63-Tulokset!$I$62))))))</f>
        <v/>
      </c>
      <c r="BM39" s="333" t="str">
        <f>IF(OR(Tulokset!$G$63="",Tulokset!$I$63="",'36'!$I$64="",'36'!$K$64=""),"",IF(SIGN('36'!$I$64-'36'!$K$64)&lt;&gt;SIGN(Tulokset!$G$63-Tulokset!$I$63),0,IF(Tulokset!$G$63=Tulokset!$I$63,IF(AND('36'!$I$64=Tulokset!$G$63,'36'!$K$64=Tulokset!$I$63),6,3),MAX(0,6-(ABS('36'!$I$64-Tulokset!$G$63)+ABS('36'!$K$64-Tulokset!$I$63))))))</f>
        <v/>
      </c>
      <c r="BN39" s="333" t="str">
        <f>IF(OR(Tulokset!$G$64="",Tulokset!$I$64="",'36'!$I$65="",'36'!$K$65=""),"",IF(SIGN('36'!$I$65-'36'!$K$65)&lt;&gt;SIGN(Tulokset!$G$64-Tulokset!$I$64),0,IF(Tulokset!$G$64=Tulokset!$I$64,IF(AND('36'!$I$65=Tulokset!$G$64,'36'!$K$65=Tulokset!$I$64),6,3),MAX(0,6-(ABS('36'!$I$65-Tulokset!$G$64)+ABS('36'!$K$65-Tulokset!$I$64))))))</f>
        <v/>
      </c>
      <c r="BO39" s="333" t="str">
        <f>IF(OR(Tulokset!$G$65="",Tulokset!$I$65="",'36'!$I$66="",'36'!$K$66=""),"",IF(SIGN('36'!$I$66-'36'!$K$66)&lt;&gt;SIGN(Tulokset!$G$65-Tulokset!$I$65),0,IF(Tulokset!$G$65=Tulokset!$I$65,IF(AND('36'!$I$66=Tulokset!$G$65,'36'!$K$66=Tulokset!$I$65),6,3),MAX(0,6-(ABS('36'!$I$66-Tulokset!$G$65)+ABS('36'!$K$66-Tulokset!$I$65))))))</f>
        <v/>
      </c>
      <c r="BP39" s="333" t="str">
        <f>IF(OR(Tulokset!$G$66="",Tulokset!$I$66="",'36'!$I$67="",'36'!$K$67=""),"",IF(SIGN('36'!$I$67-'36'!$K$67)&lt;&gt;SIGN(Tulokset!$G$66-Tulokset!$I$66),0,IF(Tulokset!$G$66=Tulokset!$I$66,IF(AND('36'!$I$67=Tulokset!$G$66,'36'!$K$67=Tulokset!$I$66),6,3),MAX(0,6-(ABS('36'!$I$67-Tulokset!$G$66)+ABS('36'!$K$67-Tulokset!$I$66))))))</f>
        <v/>
      </c>
      <c r="BQ39" s="333" t="str">
        <f>IF(OR(Tulokset!$G$67="",Tulokset!$I$67="",'36'!$I$68="",'36'!$K$68=""),"",IF(SIGN('36'!$I$68-'36'!$K$68)&lt;&gt;SIGN(Tulokset!$G$67-Tulokset!$I$67),0,IF(Tulokset!$G$67=Tulokset!$I$67,IF(AND('36'!$I$68=Tulokset!$G$67,'36'!$K$68=Tulokset!$I$67),6,3),MAX(0,6-(ABS('36'!$I$68-Tulokset!$G$67)+ABS('36'!$K$68-Tulokset!$I$67))))))</f>
        <v/>
      </c>
      <c r="BR39" s="333" t="str">
        <f>IF(OR(Tulokset!$G$68="",Tulokset!$I$68="",'36'!$I$69="",'36'!$K$69=""),"",IF(SIGN('36'!$I$69-'36'!$K$69)&lt;&gt;SIGN(Tulokset!$G$68-Tulokset!$I$68),0,IF(Tulokset!$G$68=Tulokset!$I$68,IF(AND('36'!$I$69=Tulokset!$G$68,'36'!$K$69=Tulokset!$I$68),6,3),MAX(0,6-(ABS('36'!$I$69-Tulokset!$G$68)+ABS('36'!$K$69-Tulokset!$I$68))))))</f>
        <v/>
      </c>
      <c r="BS39" s="333" t="str">
        <f>IF(OR(Tulokset!$G$69="",Tulokset!$I$69="",'36'!$I$70="",'36'!$K$70=""),"",IF(SIGN('36'!$I$70-'36'!$K$70)&lt;&gt;SIGN(Tulokset!$G$69-Tulokset!$I$69),0,IF(Tulokset!$G$69=Tulokset!$I$69,IF(AND('36'!$I$70=Tulokset!$G$69,'36'!$K$70=Tulokset!$I$69),6,3),MAX(0,6-(ABS('36'!$I$70-Tulokset!$G$69)+ABS('36'!$K$70-Tulokset!$I$69))))))</f>
        <v/>
      </c>
      <c r="BT39" s="333" t="str">
        <f>IF(OR(Tulokset!$G$70="",Tulokset!$I$70="",'36'!$I$71="",'36'!$K$71=""),"",IF(SIGN('36'!$I$71-'36'!$K$71)&lt;&gt;SIGN(Tulokset!$G$70-Tulokset!$I$70),0,IF(Tulokset!$G$70=Tulokset!$I$70,IF(AND('36'!$I$71=Tulokset!$G$70,'36'!$K$71=Tulokset!$I$70),6,3),MAX(0,6-(ABS('36'!$I$71-Tulokset!$G$70)+ABS('36'!$K$71-Tulokset!$I$70))))))</f>
        <v/>
      </c>
      <c r="BU39" s="333" t="str">
        <f>IF(OR(Tulokset!$G$71="",Tulokset!$I$71="",'36'!$I$72="",'36'!$K$72=""),"",IF(SIGN('36'!$I$72-'36'!$K$72)&lt;&gt;SIGN(Tulokset!$G$71-Tulokset!$I$71),0,IF(Tulokset!$G$71=Tulokset!$I$71,IF(AND('36'!$I$72=Tulokset!$G$71,'36'!$K$72=Tulokset!$I$71),6,3),MAX(0,6-(ABS('36'!$I$72-Tulokset!$G$71)+ABS('36'!$K$72-Tulokset!$I$71))))))</f>
        <v/>
      </c>
      <c r="BV39" s="333" t="str">
        <f>IF(OR(Tulokset!$G$72="",Tulokset!$I$72="",'36'!$I$73="",'36'!$K$73=""),"",IF(SIGN('36'!$I$73-'36'!$K$73)&lt;&gt;SIGN(Tulokset!$G$72-Tulokset!$I$72),0,IF(Tulokset!$G$72=Tulokset!$I$72,IF(AND('36'!$I$73=Tulokset!$G$72,'36'!$K$73=Tulokset!$I$72),6,3),MAX(0,6-(ABS('36'!$I$73-Tulokset!$G$72)+ABS('36'!$K$73-Tulokset!$I$72))))))</f>
        <v/>
      </c>
      <c r="BW39" s="333" t="str">
        <f>IF(OR(Tulokset!$G$73="",Tulokset!$I$73="",'36'!$I$74="",'36'!$K$74=""),"",IF(SIGN('36'!$I$74-'36'!$K$74)&lt;&gt;SIGN(Tulokset!$G$73-Tulokset!$I$73),0,IF(Tulokset!$G$73=Tulokset!$I$73,IF(AND('36'!$I$74=Tulokset!$G$73,'36'!$K$74=Tulokset!$I$73),6,3),MAX(0,6-(ABS('36'!$I$74-Tulokset!$G$73)+ABS('36'!$K$74-Tulokset!$I$73))))))</f>
        <v/>
      </c>
      <c r="BX39" s="333" t="str">
        <f>IF(OR(Tulokset!$G$74="",Tulokset!$I$74="",'36'!$I$75="",'36'!$K$75=""),"",IF(SIGN('36'!$I$75-'36'!$K$75)&lt;&gt;SIGN(Tulokset!$G$74-Tulokset!$I$74),0,IF(Tulokset!$G$74=Tulokset!$I$74,IF(AND('36'!$I$75=Tulokset!$G$74,'36'!$K$75=Tulokset!$I$74),6,3),MAX(0,6-(ABS('36'!$I$75-Tulokset!$G$74)+ABS('36'!$K$75-Tulokset!$I$74))))))</f>
        <v/>
      </c>
      <c r="BY39" s="333" t="str">
        <f>IF(OR(Tulokset!$G$75="",Tulokset!$I$75="",'36'!$I$76="",'36'!$K$76=""),"",IF(SIGN('36'!$I$76-'36'!$K$76)&lt;&gt;SIGN(Tulokset!$G$75-Tulokset!$I$75),0,IF(Tulokset!$G$75=Tulokset!$I$75,IF(AND('36'!$I$76=Tulokset!$G$75,'36'!$K$76=Tulokset!$I$75),6,3),MAX(0,6-(ABS('36'!$I$76-Tulokset!$G$75)+ABS('36'!$K$76-Tulokset!$I$75))))))</f>
        <v/>
      </c>
      <c r="BZ39" s="333" t="str">
        <f>IF(OR(Tulokset!$G$76="",Tulokset!$I$76="",'36'!$I$77="",'36'!$K$77=""),"",IF(SIGN('36'!$I$77-'36'!$K$77)&lt;&gt;SIGN(Tulokset!$G$76-Tulokset!$I$76),0,IF(Tulokset!$G$76=Tulokset!$I$76,IF(AND('36'!$I$77=Tulokset!$G$76,'36'!$K$77=Tulokset!$I$76),6,3),MAX(0,6-(ABS('36'!$I$77-Tulokset!$G$76)+ABS('36'!$K$77-Tulokset!$I$76))))))</f>
        <v/>
      </c>
      <c r="CA39" s="333" t="str">
        <f>IF(OR(Tulokset!$G$77="",Tulokset!$I$77="",'36'!$I$78="",'36'!$K$78=""),"",IF(SIGN('36'!$I$78-'36'!$K$78)&lt;&gt;SIGN(Tulokset!$G$77-Tulokset!$I$77),0,IF(Tulokset!$G$77=Tulokset!$I$77,IF(AND('36'!$I$78=Tulokset!$G$77,'36'!$K$78=Tulokset!$I$77),6,3),MAX(0,6-(ABS('36'!$I$78-Tulokset!$G$77)+ABS('36'!$K$78-Tulokset!$I$77))))))</f>
        <v/>
      </c>
      <c r="CB39" s="333"/>
      <c r="CC39" s="333"/>
      <c r="CD39" s="333" t="str">
        <f ca="1">IF(OR(Tulokset!$M$6="",INDIRECT("'"&amp;$A39&amp;"'!$P$8")=""),"",IF(TRIM(INDIRECT("'"&amp;$A39&amp;"'!$P$8"))=TRIM(Tulokset!$M$6),2,0))</f>
        <v/>
      </c>
      <c r="CE39" s="333" t="str">
        <f ca="1">IF(OR(Tulokset!$M$7="",INDIRECT("'"&amp;$A39&amp;"'!$P$9")=""),"",IF(TRIM(INDIRECT("'"&amp;$A39&amp;"'!$P$9"))=TRIM(Tulokset!$M$7),2,0))</f>
        <v/>
      </c>
      <c r="CF39" s="333" t="str">
        <f ca="1">IF(OR(Tulokset!$M$8="",INDIRECT("'"&amp;$A39&amp;"'!$P$10")=""),"",IF(TRIM(INDIRECT("'"&amp;$A39&amp;"'!$P$10"))=TRIM(Tulokset!$M$8),2,0))</f>
        <v/>
      </c>
      <c r="CG39" s="333" t="str">
        <f ca="1">IF(OR(Tulokset!$M$9="",INDIRECT("'"&amp;$A39&amp;"'!$P$11")=""),"",IF(TRIM(INDIRECT("'"&amp;$A39&amp;"'!$P$11"))=TRIM(Tulokset!$M$9),2,0))</f>
        <v/>
      </c>
      <c r="CH39" s="333" t="str">
        <f ca="1">IF(OR(Tulokset!$N$6="",INDIRECT("'"&amp;$A39&amp;"'!$Q$8")=""),"",IF(TRIM(INDIRECT("'"&amp;$A39&amp;"'!$Q$8"))=TRIM(Tulokset!$N$6),2,0))</f>
        <v/>
      </c>
      <c r="CI39" s="333" t="str">
        <f ca="1">IF(OR(Tulokset!$N$7="",INDIRECT("'"&amp;$A39&amp;"'!$Q$9")=""),"",IF(TRIM(INDIRECT("'"&amp;$A39&amp;"'!$Q$9"))=TRIM(Tulokset!$N$7),2,0))</f>
        <v/>
      </c>
      <c r="CJ39" s="333" t="str">
        <f ca="1">IF(OR(Tulokset!$N$8="",INDIRECT("'"&amp;$A39&amp;"'!$Q$10")=""),"",IF(TRIM(INDIRECT("'"&amp;$A39&amp;"'!$Q$10"))=TRIM(Tulokset!$N$8),2,0))</f>
        <v/>
      </c>
      <c r="CK39" s="333" t="str">
        <f ca="1">IF(OR(Tulokset!$N$9="",INDIRECT("'"&amp;$A39&amp;"'!$Q$11")=""),"",IF(TRIM(INDIRECT("'"&amp;$A39&amp;"'!$Q$11"))=TRIM(Tulokset!$N$9),2,0))</f>
        <v/>
      </c>
      <c r="CL39" s="333" t="str">
        <f ca="1">IF(OR(Tulokset!$O$6="",INDIRECT("'"&amp;$A39&amp;"'!$R$8")=""),"",IF(TRIM(INDIRECT("'"&amp;$A39&amp;"'!$R$8"))=TRIM(Tulokset!$O$6),2,0))</f>
        <v/>
      </c>
      <c r="CM39" s="333" t="str">
        <f ca="1">IF(OR(Tulokset!$O$7="",INDIRECT("'"&amp;$A39&amp;"'!$R$9")=""),"",IF(TRIM(INDIRECT("'"&amp;$A39&amp;"'!$R$9"))=TRIM(Tulokset!$O$7),2,0))</f>
        <v/>
      </c>
      <c r="CN39" s="333" t="str">
        <f ca="1">IF(OR(Tulokset!$O$8="",INDIRECT("'"&amp;$A39&amp;"'!$R$10")=""),"",IF(TRIM(INDIRECT("'"&amp;$A39&amp;"'!$R$10"))=TRIM(Tulokset!$O$8),2,0))</f>
        <v/>
      </c>
      <c r="CO39" s="333" t="str">
        <f ca="1">IF(OR(Tulokset!$O$9="",INDIRECT("'"&amp;$A39&amp;"'!$R$11")=""),"",IF(TRIM(INDIRECT("'"&amp;$A39&amp;"'!$R$11"))=TRIM(Tulokset!$O$9),2,0))</f>
        <v/>
      </c>
      <c r="CP39" s="333" t="str">
        <f ca="1">IF(OR(Tulokset!$P$6="",INDIRECT("'"&amp;$A39&amp;"'!$S$8")=""),"",IF(TRIM(INDIRECT("'"&amp;$A39&amp;"'!$S$8"))=TRIM(Tulokset!$P$6),2,0))</f>
        <v/>
      </c>
      <c r="CQ39" s="333" t="str">
        <f ca="1">IF(OR(Tulokset!$P$7="",INDIRECT("'"&amp;$A39&amp;"'!$S$9")=""),"",IF(TRIM(INDIRECT("'"&amp;$A39&amp;"'!$S$9"))=TRIM(Tulokset!$P$7),2,0))</f>
        <v/>
      </c>
      <c r="CR39" s="333" t="str">
        <f ca="1">IF(OR(Tulokset!$P$8="",INDIRECT("'"&amp;$A39&amp;"'!$S$10")=""),"",IF(TRIM(INDIRECT("'"&amp;$A39&amp;"'!$S$10"))=TRIM(Tulokset!$P$8),2,0))</f>
        <v/>
      </c>
      <c r="CS39" s="333" t="str">
        <f ca="1">IF(OR(Tulokset!$P$9="",INDIRECT("'"&amp;$A39&amp;"'!$S$11")=""),"",IF(TRIM(INDIRECT("'"&amp;$A39&amp;"'!$S$11"))=TRIM(Tulokset!$P$9),2,0))</f>
        <v/>
      </c>
      <c r="CT39" s="333" t="str">
        <f ca="1">IF(OR(Tulokset!$Q$6="",INDIRECT("'"&amp;$A39&amp;"'!$T$8")=""),"",IF(TRIM(INDIRECT("'"&amp;$A39&amp;"'!$T$8"))=TRIM(Tulokset!$Q$6),2,0))</f>
        <v/>
      </c>
      <c r="CU39" s="333" t="str">
        <f ca="1">IF(OR(Tulokset!$Q$7="",INDIRECT("'"&amp;$A39&amp;"'!$T$9")=""),"",IF(TRIM(INDIRECT("'"&amp;$A39&amp;"'!$T$9"))=TRIM(Tulokset!$Q$7),2,0))</f>
        <v/>
      </c>
      <c r="CV39" s="333" t="str">
        <f ca="1">IF(OR(Tulokset!$Q$8="",INDIRECT("'"&amp;$A39&amp;"'!$T$10")=""),"",IF(TRIM(INDIRECT("'"&amp;$A39&amp;"'!$T$10"))=TRIM(Tulokset!$Q$8),2,0))</f>
        <v/>
      </c>
      <c r="CW39" s="333" t="str">
        <f ca="1">IF(OR(Tulokset!$Q$9="",INDIRECT("'"&amp;$A39&amp;"'!$T$11")=""),"",IF(TRIM(INDIRECT("'"&amp;$A39&amp;"'!$T$11"))=TRIM(Tulokset!$Q$9),2,0))</f>
        <v/>
      </c>
      <c r="CX39" s="333" t="str">
        <f ca="1">IF(OR(Tulokset!$R$6="",INDIRECT("'"&amp;$A39&amp;"'!$U$8")=""),"",IF(TRIM(INDIRECT("'"&amp;$A39&amp;"'!$U$8"))=TRIM(Tulokset!$R$6),2,0))</f>
        <v/>
      </c>
      <c r="CY39" s="333" t="str">
        <f ca="1">IF(OR(Tulokset!$R$7="",INDIRECT("'"&amp;$A39&amp;"'!$U$9")=""),"",IF(TRIM(INDIRECT("'"&amp;$A39&amp;"'!$U$9"))=TRIM(Tulokset!$R$7),2,0))</f>
        <v/>
      </c>
      <c r="CZ39" s="333" t="str">
        <f ca="1">IF(OR(Tulokset!$R$8="",INDIRECT("'"&amp;$A39&amp;"'!$U$10")=""),"",IF(TRIM(INDIRECT("'"&amp;$A39&amp;"'!$U$10"))=TRIM(Tulokset!$R$8),2,0))</f>
        <v/>
      </c>
      <c r="DA39" s="333" t="str">
        <f ca="1">IF(OR(Tulokset!$R$9="",INDIRECT("'"&amp;$A39&amp;"'!$U$11")=""),"",IF(TRIM(INDIRECT("'"&amp;$A39&amp;"'!$U$11"))=TRIM(Tulokset!$R$9),2,0))</f>
        <v/>
      </c>
      <c r="DB39" s="333" t="str">
        <f ca="1">IF(OR(Tulokset!$M$12="",INDIRECT("'"&amp;$A39&amp;"'!$P$14")=""),"",IF(TRIM(INDIRECT("'"&amp;$A39&amp;"'!$P$14"))=TRIM(Tulokset!$M$12),2,0))</f>
        <v/>
      </c>
      <c r="DC39" s="333" t="str">
        <f ca="1">IF(OR(Tulokset!$M$13="",INDIRECT("'"&amp;$A39&amp;"'!$P$15")=""),"",IF(TRIM(INDIRECT("'"&amp;$A39&amp;"'!$P$15"))=TRIM(Tulokset!$M$13),2,0))</f>
        <v/>
      </c>
      <c r="DD39" s="333" t="str">
        <f ca="1">IF(OR(Tulokset!$M$14="",INDIRECT("'"&amp;$A39&amp;"'!$P$16")=""),"",IF(TRIM(INDIRECT("'"&amp;$A39&amp;"'!$P$16"))=TRIM(Tulokset!$M$14),2,0))</f>
        <v/>
      </c>
      <c r="DE39" s="333" t="str">
        <f ca="1">IF(OR(Tulokset!$M$15="",INDIRECT("'"&amp;$A39&amp;"'!$P$17")=""),"",IF(TRIM(INDIRECT("'"&amp;$A39&amp;"'!$P$17"))=TRIM(Tulokset!$M$15),2,0))</f>
        <v/>
      </c>
      <c r="DF39" s="333" t="str">
        <f ca="1">IF(OR(Tulokset!$N$12="",INDIRECT("'"&amp;$A39&amp;"'!$Q$14")=""),"",IF(TRIM(INDIRECT("'"&amp;$A39&amp;"'!$Q$14"))=TRIM(Tulokset!$N$12),2,0))</f>
        <v/>
      </c>
      <c r="DG39" s="333" t="str">
        <f ca="1">IF(OR(Tulokset!$N$13="",INDIRECT("'"&amp;$A39&amp;"'!$Q$15")=""),"",IF(TRIM(INDIRECT("'"&amp;$A39&amp;"'!$Q$15"))=TRIM(Tulokset!$N$13),2,0))</f>
        <v/>
      </c>
      <c r="DH39" s="333" t="str">
        <f ca="1">IF(OR(Tulokset!$N$14="",INDIRECT("'"&amp;$A39&amp;"'!$Q$16")=""),"",IF(TRIM(INDIRECT("'"&amp;$A39&amp;"'!$Q$16"))=TRIM(Tulokset!$N$14),2,0))</f>
        <v/>
      </c>
      <c r="DI39" s="333" t="str">
        <f ca="1">IF(OR(Tulokset!$N$15="",INDIRECT("'"&amp;$A39&amp;"'!$Q$17")=""),"",IF(TRIM(INDIRECT("'"&amp;$A39&amp;"'!$Q$17"))=TRIM(Tulokset!$N$15),2,0))</f>
        <v/>
      </c>
      <c r="DJ39" s="333" t="str">
        <f ca="1">IF(OR(Tulokset!$O$12="",INDIRECT("'"&amp;$A39&amp;"'!$R$14")=""),"",IF(TRIM(INDIRECT("'"&amp;$A39&amp;"'!$R$14"))=TRIM(Tulokset!$O$12),2,0))</f>
        <v/>
      </c>
      <c r="DK39" s="333" t="str">
        <f ca="1">IF(OR(Tulokset!$O$13="",INDIRECT("'"&amp;$A39&amp;"'!$R$15")=""),"",IF(TRIM(INDIRECT("'"&amp;$A39&amp;"'!$R$15"))=TRIM(Tulokset!$O$13),2,0))</f>
        <v/>
      </c>
      <c r="DL39" s="333" t="str">
        <f ca="1">IF(OR(Tulokset!$O$14="",INDIRECT("'"&amp;$A39&amp;"'!$R$16")=""),"",IF(TRIM(INDIRECT("'"&amp;$A39&amp;"'!$R$16"))=TRIM(Tulokset!$O$14),2,0))</f>
        <v/>
      </c>
      <c r="DM39" s="333" t="str">
        <f ca="1">IF(OR(Tulokset!$O$15="",INDIRECT("'"&amp;$A39&amp;"'!$R$17")=""),"",IF(TRIM(INDIRECT("'"&amp;$A39&amp;"'!$R$17"))=TRIM(Tulokset!$O$15),2,0))</f>
        <v/>
      </c>
      <c r="DN39" s="333" t="str">
        <f ca="1">IF(OR(Tulokset!$P$12="",INDIRECT("'"&amp;$A39&amp;"'!$S$14")=""),"",IF(TRIM(INDIRECT("'"&amp;$A39&amp;"'!$S$14"))=TRIM(Tulokset!$P$12),2,0))</f>
        <v/>
      </c>
      <c r="DO39" s="333" t="str">
        <f ca="1">IF(OR(Tulokset!$P$13="",INDIRECT("'"&amp;$A39&amp;"'!$S$15")=""),"",IF(TRIM(INDIRECT("'"&amp;$A39&amp;"'!$S$15"))=TRIM(Tulokset!$P$13),2,0))</f>
        <v/>
      </c>
      <c r="DP39" s="333" t="str">
        <f ca="1">IF(OR(Tulokset!$P$14="",INDIRECT("'"&amp;$A39&amp;"'!$S$16")=""),"",IF(TRIM(INDIRECT("'"&amp;$A39&amp;"'!$S$16"))=TRIM(Tulokset!$P$14),2,0))</f>
        <v/>
      </c>
      <c r="DQ39" s="333" t="str">
        <f ca="1">IF(OR(Tulokset!$P$15="",INDIRECT("'"&amp;$A39&amp;"'!$S$17")=""),"",IF(TRIM(INDIRECT("'"&amp;$A39&amp;"'!$S$17"))=TRIM(Tulokset!$P$15),2,0))</f>
        <v/>
      </c>
      <c r="DR39" s="333" t="str">
        <f ca="1">IF(OR(Tulokset!$Q$12="",INDIRECT("'"&amp;$A39&amp;"'!$T$14")=""),"",IF(TRIM(INDIRECT("'"&amp;$A39&amp;"'!$T$14"))=TRIM(Tulokset!$Q$12),2,0))</f>
        <v/>
      </c>
      <c r="DS39" s="333" t="str">
        <f ca="1">IF(OR(Tulokset!$Q$13="",INDIRECT("'"&amp;$A39&amp;"'!$T$15")=""),"",IF(TRIM(INDIRECT("'"&amp;$A39&amp;"'!$T$15"))=TRIM(Tulokset!$Q$13),2,0))</f>
        <v/>
      </c>
      <c r="DT39" s="333" t="str">
        <f ca="1">IF(OR(Tulokset!$Q$14="",INDIRECT("'"&amp;$A39&amp;"'!$T$16")=""),"",IF(TRIM(INDIRECT("'"&amp;$A39&amp;"'!$T$16"))=TRIM(Tulokset!$Q$14),2,0))</f>
        <v/>
      </c>
      <c r="DU39" s="333" t="str">
        <f ca="1">IF(OR(Tulokset!$Q$15="",INDIRECT("'"&amp;$A39&amp;"'!$T$17")=""),"",IF(TRIM(INDIRECT("'"&amp;$A39&amp;"'!$T$17"))=TRIM(Tulokset!$Q$15),2,0))</f>
        <v/>
      </c>
      <c r="DV39" s="333" t="str">
        <f ca="1">IF(OR(Tulokset!$R$12="",INDIRECT("'"&amp;$A39&amp;"'!$U$14")=""),"",IF(TRIM(INDIRECT("'"&amp;$A39&amp;"'!$U$14"))=TRIM(Tulokset!$R$12),2,0))</f>
        <v/>
      </c>
      <c r="DW39" s="333" t="str">
        <f ca="1">IF(OR(Tulokset!$R$13="",INDIRECT("'"&amp;$A39&amp;"'!$U$15")=""),"",IF(TRIM(INDIRECT("'"&amp;$A39&amp;"'!$U$15"))=TRIM(Tulokset!$R$13),2,0))</f>
        <v/>
      </c>
      <c r="DX39" s="333" t="str">
        <f ca="1">IF(OR(Tulokset!$R$14="",INDIRECT("'"&amp;$A39&amp;"'!$U$16")=""),"",IF(TRIM(INDIRECT("'"&amp;$A39&amp;"'!$U$16"))=TRIM(Tulokset!$R$14),2,0))</f>
        <v/>
      </c>
      <c r="DY39" s="333" t="str">
        <f ca="1">IF(OR(Tulokset!$R$15="",INDIRECT("'"&amp;$A39&amp;"'!$U$17")=""),"",IF(TRIM(INDIRECT("'"&amp;$A39&amp;"'!$U$17"))=TRIM(Tulokset!$R$15),2,0))</f>
        <v/>
      </c>
      <c r="DZ39" s="333"/>
      <c r="EA39" s="333" t="str">
        <f ca="1">IF(OR(INDIRECT("'"&amp;$A39&amp;"'!$E$79")="",COUNTA(Tulokset!$M$20:$M$21)=0),"",IF(COUNTIF(Tulokset!$M$20:$M$21,INDIRECT("'"&amp;$A39&amp;"'!$E$79"))&gt;0,2,0))</f>
        <v/>
      </c>
      <c r="EB39" s="333" t="str">
        <f ca="1">IF(OR(INDIRECT("'"&amp;$A39&amp;"'!$G$79")="",COUNTA(Tulokset!$M$20:$M$21)=0),"",IF(COUNTIF(Tulokset!$M$20:$M$21,INDIRECT("'"&amp;$A39&amp;"'!$G$79"))&gt;0,2,0))</f>
        <v/>
      </c>
      <c r="EC39" s="333" t="str">
        <f ca="1">IF(OR(INDIRECT("'"&amp;$A39&amp;"'!$E$80")="",COUNTA(Tulokset!$M$23:$M$24)=0),"",IF(COUNTIF(Tulokset!$M$23:$M$24,INDIRECT("'"&amp;$A39&amp;"'!$E$80"))&gt;0,2,0))</f>
        <v/>
      </c>
      <c r="ED39" s="333" t="str">
        <f ca="1">IF(OR(INDIRECT("'"&amp;$A39&amp;"'!$G$80")="",COUNTA(Tulokset!$M$23:$M$24)=0),"",IF(COUNTIF(Tulokset!$M$23:$M$24,INDIRECT("'"&amp;$A39&amp;"'!$G$80"))&gt;0,2,0))</f>
        <v/>
      </c>
    </row>
    <row r="40" spans="1:134">
      <c r="A40" s="333">
        <v>37</v>
      </c>
      <c r="B40" s="333" t="str">
        <f t="shared" ca="1" si="0"/>
        <v/>
      </c>
      <c r="C40" s="334">
        <f t="shared" si="1"/>
        <v>0</v>
      </c>
      <c r="D40" s="334">
        <f t="shared" ca="1" si="2"/>
        <v>0</v>
      </c>
      <c r="E40" s="334">
        <f t="shared" ca="1" si="3"/>
        <v>0</v>
      </c>
      <c r="F40" s="334" t="str">
        <f t="shared" ca="1" si="4"/>
        <v/>
      </c>
      <c r="G40" s="334">
        <f t="shared" si="5"/>
        <v>0</v>
      </c>
      <c r="H40" s="333" t="str">
        <f>IF(OR(Tulokset!$G$6="",Tulokset!$I$6="",'37'!$I$7="",'37'!$K$7=""),"",IF(SIGN('37'!$I$7-'37'!$K$7)&lt;&gt;SIGN(Tulokset!$G$6-Tulokset!$I$6),0,IF(Tulokset!$G$6=Tulokset!$I$6,IF(AND('37'!$I$7=Tulokset!$G$6,'37'!$K$7=Tulokset!$I$6),6,3),MAX(0,6-(ABS('37'!$I$7-Tulokset!$G$6)+ABS('37'!$K$7-Tulokset!$I$6))))))</f>
        <v/>
      </c>
      <c r="I40" s="333" t="str">
        <f>IF(OR(Tulokset!$G$7="",Tulokset!$I$7="",'37'!$I$8="",'37'!$K$8=""),"",IF(SIGN('37'!$I$8-'37'!$K$8)&lt;&gt;SIGN(Tulokset!$G$7-Tulokset!$I$7),0,IF(Tulokset!$G$7=Tulokset!$I$7,IF(AND('37'!$I$8=Tulokset!$G$7,'37'!$K$8=Tulokset!$I$7),6,3),MAX(0,6-(ABS('37'!$I$8-Tulokset!$G$7)+ABS('37'!$K$8-Tulokset!$I$7))))))</f>
        <v/>
      </c>
      <c r="J40" s="333" t="str">
        <f>IF(OR(Tulokset!$G$8="",Tulokset!$I$8="",'37'!$I$9="",'37'!$K$9=""),"",IF(SIGN('37'!$I$9-'37'!$K$9)&lt;&gt;SIGN(Tulokset!$G$8-Tulokset!$I$8),0,IF(Tulokset!$G$8=Tulokset!$I$8,IF(AND('37'!$I$9=Tulokset!$G$8,'37'!$K$9=Tulokset!$I$8),6,3),MAX(0,6-(ABS('37'!$I$9-Tulokset!$G$8)+ABS('37'!$K$9-Tulokset!$I$8))))))</f>
        <v/>
      </c>
      <c r="K40" s="333" t="str">
        <f>IF(OR(Tulokset!$G$9="",Tulokset!$I$9="",'37'!$I$10="",'37'!$K$10=""),"",IF(SIGN('37'!$I$10-'37'!$K$10)&lt;&gt;SIGN(Tulokset!$G$9-Tulokset!$I$9),0,IF(Tulokset!$G$9=Tulokset!$I$9,IF(AND('37'!$I$10=Tulokset!$G$9,'37'!$K$10=Tulokset!$I$9),6,3),MAX(0,6-(ABS('37'!$I$10-Tulokset!$G$9)+ABS('37'!$K$10-Tulokset!$I$9))))))</f>
        <v/>
      </c>
      <c r="L40" s="333" t="str">
        <f>IF(OR(Tulokset!$G$10="",Tulokset!$I$10="",'37'!$I$11="",'37'!$K$11=""),"",IF(SIGN('37'!$I$11-'37'!$K$11)&lt;&gt;SIGN(Tulokset!$G$10-Tulokset!$I$10),0,IF(Tulokset!$G$10=Tulokset!$I$10,IF(AND('37'!$I$11=Tulokset!$G$10,'37'!$K$11=Tulokset!$I$10),6,3),MAX(0,6-(ABS('37'!$I$11-Tulokset!$G$10)+ABS('37'!$K$11-Tulokset!$I$10))))))</f>
        <v/>
      </c>
      <c r="M40" s="333" t="str">
        <f>IF(OR(Tulokset!$G$11="",Tulokset!$I$11="",'37'!$I$12="",'37'!$K$12=""),"",IF(SIGN('37'!$I$12-'37'!$K$12)&lt;&gt;SIGN(Tulokset!$G$11-Tulokset!$I$11),0,IF(Tulokset!$G$11=Tulokset!$I$11,IF(AND('37'!$I$12=Tulokset!$G$11,'37'!$K$12=Tulokset!$I$11),6,3),MAX(0,6-(ABS('37'!$I$12-Tulokset!$G$11)+ABS('37'!$K$12-Tulokset!$I$11))))))</f>
        <v/>
      </c>
      <c r="N40" s="333" t="str">
        <f>IF(OR(Tulokset!$G$12="",Tulokset!$I$12="",'37'!$I$13="",'37'!$K$13=""),"",IF(SIGN('37'!$I$13-'37'!$K$13)&lt;&gt;SIGN(Tulokset!$G$12-Tulokset!$I$12),0,IF(Tulokset!$G$12=Tulokset!$I$12,IF(AND('37'!$I$13=Tulokset!$G$12,'37'!$K$13=Tulokset!$I$12),6,3),MAX(0,6-(ABS('37'!$I$13-Tulokset!$G$12)+ABS('37'!$K$13-Tulokset!$I$12))))))</f>
        <v/>
      </c>
      <c r="O40" s="333" t="str">
        <f>IF(OR(Tulokset!$G$13="",Tulokset!$I$13="",'37'!$I$14="",'37'!$K$14=""),"",IF(SIGN('37'!$I$14-'37'!$K$14)&lt;&gt;SIGN(Tulokset!$G$13-Tulokset!$I$13),0,IF(Tulokset!$G$13=Tulokset!$I$13,IF(AND('37'!$I$14=Tulokset!$G$13,'37'!$K$14=Tulokset!$I$13),6,3),MAX(0,6-(ABS('37'!$I$14-Tulokset!$G$13)+ABS('37'!$K$14-Tulokset!$I$13))))))</f>
        <v/>
      </c>
      <c r="P40" s="333" t="str">
        <f>IF(OR(Tulokset!$G$14="",Tulokset!$I$14="",'37'!$I$15="",'37'!$K$15=""),"",IF(SIGN('37'!$I$15-'37'!$K$15)&lt;&gt;SIGN(Tulokset!$G$14-Tulokset!$I$14),0,IF(Tulokset!$G$14=Tulokset!$I$14,IF(AND('37'!$I$15=Tulokset!$G$14,'37'!$K$15=Tulokset!$I$14),6,3),MAX(0,6-(ABS('37'!$I$15-Tulokset!$G$14)+ABS('37'!$K$15-Tulokset!$I$14))))))</f>
        <v/>
      </c>
      <c r="Q40" s="333" t="str">
        <f>IF(OR(Tulokset!$G$15="",Tulokset!$I$15="",'37'!$I$16="",'37'!$K$16=""),"",IF(SIGN('37'!$I$16-'37'!$K$16)&lt;&gt;SIGN(Tulokset!$G$15-Tulokset!$I$15),0,IF(Tulokset!$G$15=Tulokset!$I$15,IF(AND('37'!$I$16=Tulokset!$G$15,'37'!$K$16=Tulokset!$I$15),6,3),MAX(0,6-(ABS('37'!$I$16-Tulokset!$G$15)+ABS('37'!$K$16-Tulokset!$I$15))))))</f>
        <v/>
      </c>
      <c r="R40" s="333" t="str">
        <f>IF(OR(Tulokset!$G$16="",Tulokset!$I$16="",'37'!$I$17="",'37'!$K$17=""),"",IF(SIGN('37'!$I$17-'37'!$K$17)&lt;&gt;SIGN(Tulokset!$G$16-Tulokset!$I$16),0,IF(Tulokset!$G$16=Tulokset!$I$16,IF(AND('37'!$I$17=Tulokset!$G$16,'37'!$K$17=Tulokset!$I$16),6,3),MAX(0,6-(ABS('37'!$I$17-Tulokset!$G$16)+ABS('37'!$K$17-Tulokset!$I$16))))))</f>
        <v/>
      </c>
      <c r="S40" s="333" t="str">
        <f>IF(OR(Tulokset!$G$17="",Tulokset!$I$17="",'37'!$I$18="",'37'!$K$18=""),"",IF(SIGN('37'!$I$18-'37'!$K$18)&lt;&gt;SIGN(Tulokset!$G$17-Tulokset!$I$17),0,IF(Tulokset!$G$17=Tulokset!$I$17,IF(AND('37'!$I$18=Tulokset!$G$17,'37'!$K$18=Tulokset!$I$17),6,3),MAX(0,6-(ABS('37'!$I$18-Tulokset!$G$17)+ABS('37'!$K$18-Tulokset!$I$17))))))</f>
        <v/>
      </c>
      <c r="T40" s="333" t="str">
        <f>IF(OR(Tulokset!$G$18="",Tulokset!$I$18="",'37'!$I$19="",'37'!$K$19=""),"",IF(SIGN('37'!$I$19-'37'!$K$19)&lt;&gt;SIGN(Tulokset!$G$18-Tulokset!$I$18),0,IF(Tulokset!$G$18=Tulokset!$I$18,IF(AND('37'!$I$19=Tulokset!$G$18,'37'!$K$19=Tulokset!$I$18),6,3),MAX(0,6-(ABS('37'!$I$19-Tulokset!$G$18)+ABS('37'!$K$19-Tulokset!$I$18))))))</f>
        <v/>
      </c>
      <c r="U40" s="333" t="str">
        <f>IF(OR(Tulokset!$G$19="",Tulokset!$I$19="",'37'!$I$20="",'37'!$K$20=""),"",IF(SIGN('37'!$I$20-'37'!$K$20)&lt;&gt;SIGN(Tulokset!$G$19-Tulokset!$I$19),0,IF(Tulokset!$G$19=Tulokset!$I$19,IF(AND('37'!$I$20=Tulokset!$G$19,'37'!$K$20=Tulokset!$I$19),6,3),MAX(0,6-(ABS('37'!$I$20-Tulokset!$G$19)+ABS('37'!$K$20-Tulokset!$I$19))))))</f>
        <v/>
      </c>
      <c r="V40" s="333" t="str">
        <f>IF(OR(Tulokset!$G$20="",Tulokset!$I$20="",'37'!$I$21="",'37'!$K$21=""),"",IF(SIGN('37'!$I$21-'37'!$K$21)&lt;&gt;SIGN(Tulokset!$G$20-Tulokset!$I$20),0,IF(Tulokset!$G$20=Tulokset!$I$20,IF(AND('37'!$I$21=Tulokset!$G$20,'37'!$K$21=Tulokset!$I$20),6,3),MAX(0,6-(ABS('37'!$I$21-Tulokset!$G$20)+ABS('37'!$K$21-Tulokset!$I$20))))))</f>
        <v/>
      </c>
      <c r="W40" s="333" t="str">
        <f>IF(OR(Tulokset!$G$21="",Tulokset!$I$21="",'37'!$I$22="",'37'!$K$22=""),"",IF(SIGN('37'!$I$22-'37'!$K$22)&lt;&gt;SIGN(Tulokset!$G$21-Tulokset!$I$21),0,IF(Tulokset!$G$21=Tulokset!$I$21,IF(AND('37'!$I$22=Tulokset!$G$21,'37'!$K$22=Tulokset!$I$21),6,3),MAX(0,6-(ABS('37'!$I$22-Tulokset!$G$21)+ABS('37'!$K$22-Tulokset!$I$21))))))</f>
        <v/>
      </c>
      <c r="X40" s="333" t="str">
        <f>IF(OR(Tulokset!$G$22="",Tulokset!$I$22="",'37'!$I$23="",'37'!$K$23=""),"",IF(SIGN('37'!$I$23-'37'!$K$23)&lt;&gt;SIGN(Tulokset!$G$22-Tulokset!$I$22),0,IF(Tulokset!$G$22=Tulokset!$I$22,IF(AND('37'!$I$23=Tulokset!$G$22,'37'!$K$23=Tulokset!$I$22),6,3),MAX(0,6-(ABS('37'!$I$23-Tulokset!$G$22)+ABS('37'!$K$23-Tulokset!$I$22))))))</f>
        <v/>
      </c>
      <c r="Y40" s="333" t="str">
        <f>IF(OR(Tulokset!$G$23="",Tulokset!$I$23="",'37'!$I$24="",'37'!$K$24=""),"",IF(SIGN('37'!$I$24-'37'!$K$24)&lt;&gt;SIGN(Tulokset!$G$23-Tulokset!$I$23),0,IF(Tulokset!$G$23=Tulokset!$I$23,IF(AND('37'!$I$24=Tulokset!$G$23,'37'!$K$24=Tulokset!$I$23),6,3),MAX(0,6-(ABS('37'!$I$24-Tulokset!$G$23)+ABS('37'!$K$24-Tulokset!$I$23))))))</f>
        <v/>
      </c>
      <c r="Z40" s="333" t="str">
        <f>IF(OR(Tulokset!$G$24="",Tulokset!$I$24="",'37'!$I$25="",'37'!$K$25=""),"",IF(SIGN('37'!$I$25-'37'!$K$25)&lt;&gt;SIGN(Tulokset!$G$24-Tulokset!$I$24),0,IF(Tulokset!$G$24=Tulokset!$I$24,IF(AND('37'!$I$25=Tulokset!$G$24,'37'!$K$25=Tulokset!$I$24),6,3),MAX(0,6-(ABS('37'!$I$25-Tulokset!$G$24)+ABS('37'!$K$25-Tulokset!$I$24))))))</f>
        <v/>
      </c>
      <c r="AA40" s="333" t="str">
        <f>IF(OR(Tulokset!$G$25="",Tulokset!$I$25="",'37'!$I$26="",'37'!$K$26=""),"",IF(SIGN('37'!$I$26-'37'!$K$26)&lt;&gt;SIGN(Tulokset!$G$25-Tulokset!$I$25),0,IF(Tulokset!$G$25=Tulokset!$I$25,IF(AND('37'!$I$26=Tulokset!$G$25,'37'!$K$26=Tulokset!$I$25),6,3),MAX(0,6-(ABS('37'!$I$26-Tulokset!$G$25)+ABS('37'!$K$26-Tulokset!$I$25))))))</f>
        <v/>
      </c>
      <c r="AB40" s="333" t="str">
        <f>IF(OR(Tulokset!$G$26="",Tulokset!$I$26="",'37'!$I$27="",'37'!$K$27=""),"",IF(SIGN('37'!$I$27-'37'!$K$27)&lt;&gt;SIGN(Tulokset!$G$26-Tulokset!$I$26),0,IF(Tulokset!$G$26=Tulokset!$I$26,IF(AND('37'!$I$27=Tulokset!$G$26,'37'!$K$27=Tulokset!$I$26),6,3),MAX(0,6-(ABS('37'!$I$27-Tulokset!$G$26)+ABS('37'!$K$27-Tulokset!$I$26))))))</f>
        <v/>
      </c>
      <c r="AC40" s="333" t="str">
        <f>IF(OR(Tulokset!$G$27="",Tulokset!$I$27="",'37'!$I$28="",'37'!$K$28=""),"",IF(SIGN('37'!$I$28-'37'!$K$28)&lt;&gt;SIGN(Tulokset!$G$27-Tulokset!$I$27),0,IF(Tulokset!$G$27=Tulokset!$I$27,IF(AND('37'!$I$28=Tulokset!$G$27,'37'!$K$28=Tulokset!$I$27),6,3),MAX(0,6-(ABS('37'!$I$28-Tulokset!$G$27)+ABS('37'!$K$28-Tulokset!$I$27))))))</f>
        <v/>
      </c>
      <c r="AD40" s="333" t="str">
        <f>IF(OR(Tulokset!$G$28="",Tulokset!$I$28="",'37'!$I$29="",'37'!$K$29=""),"",IF(SIGN('37'!$I$29-'37'!$K$29)&lt;&gt;SIGN(Tulokset!$G$28-Tulokset!$I$28),0,IF(Tulokset!$G$28=Tulokset!$I$28,IF(AND('37'!$I$29=Tulokset!$G$28,'37'!$K$29=Tulokset!$I$28),6,3),MAX(0,6-(ABS('37'!$I$29-Tulokset!$G$28)+ABS('37'!$K$29-Tulokset!$I$28))))))</f>
        <v/>
      </c>
      <c r="AE40" s="333" t="str">
        <f>IF(OR(Tulokset!$G$29="",Tulokset!$I$29="",'37'!$I$30="",'37'!$K$30=""),"",IF(SIGN('37'!$I$30-'37'!$K$30)&lt;&gt;SIGN(Tulokset!$G$29-Tulokset!$I$29),0,IF(Tulokset!$G$29=Tulokset!$I$29,IF(AND('37'!$I$30=Tulokset!$G$29,'37'!$K$30=Tulokset!$I$29),6,3),MAX(0,6-(ABS('37'!$I$30-Tulokset!$G$29)+ABS('37'!$K$30-Tulokset!$I$29))))))</f>
        <v/>
      </c>
      <c r="AF40" s="333" t="str">
        <f>IF(OR(Tulokset!$G$30="",Tulokset!$I$30="",'37'!$I$31="",'37'!$K$31=""),"",IF(SIGN('37'!$I$31-'37'!$K$31)&lt;&gt;SIGN(Tulokset!$G$30-Tulokset!$I$30),0,IF(Tulokset!$G$30=Tulokset!$I$30,IF(AND('37'!$I$31=Tulokset!$G$30,'37'!$K$31=Tulokset!$I$30),6,3),MAX(0,6-(ABS('37'!$I$31-Tulokset!$G$30)+ABS('37'!$K$31-Tulokset!$I$30))))))</f>
        <v/>
      </c>
      <c r="AG40" s="333" t="str">
        <f>IF(OR(Tulokset!$G$31="",Tulokset!$I$31="",'37'!$I$32="",'37'!$K$32=""),"",IF(SIGN('37'!$I$32-'37'!$K$32)&lt;&gt;SIGN(Tulokset!$G$31-Tulokset!$I$31),0,IF(Tulokset!$G$31=Tulokset!$I$31,IF(AND('37'!$I$32=Tulokset!$G$31,'37'!$K$32=Tulokset!$I$31),6,3),MAX(0,6-(ABS('37'!$I$32-Tulokset!$G$31)+ABS('37'!$K$32-Tulokset!$I$31))))))</f>
        <v/>
      </c>
      <c r="AH40" s="333" t="str">
        <f>IF(OR(Tulokset!$G$32="",Tulokset!$I$32="",'37'!$I$33="",'37'!$K$33=""),"",IF(SIGN('37'!$I$33-'37'!$K$33)&lt;&gt;SIGN(Tulokset!$G$32-Tulokset!$I$32),0,IF(Tulokset!$G$32=Tulokset!$I$32,IF(AND('37'!$I$33=Tulokset!$G$32,'37'!$K$33=Tulokset!$I$32),6,3),MAX(0,6-(ABS('37'!$I$33-Tulokset!$G$32)+ABS('37'!$K$33-Tulokset!$I$32))))))</f>
        <v/>
      </c>
      <c r="AI40" s="333" t="str">
        <f>IF(OR(Tulokset!$G$33="",Tulokset!$I$33="",'37'!$I$34="",'37'!$K$34=""),"",IF(SIGN('37'!$I$34-'37'!$K$34)&lt;&gt;SIGN(Tulokset!$G$33-Tulokset!$I$33),0,IF(Tulokset!$G$33=Tulokset!$I$33,IF(AND('37'!$I$34=Tulokset!$G$33,'37'!$K$34=Tulokset!$I$33),6,3),MAX(0,6-(ABS('37'!$I$34-Tulokset!$G$33)+ABS('37'!$K$34-Tulokset!$I$33))))))</f>
        <v/>
      </c>
      <c r="AJ40" s="333" t="str">
        <f>IF(OR(Tulokset!$G$34="",Tulokset!$I$34="",'37'!$I$35="",'37'!$K$35=""),"",IF(SIGN('37'!$I$35-'37'!$K$35)&lt;&gt;SIGN(Tulokset!$G$34-Tulokset!$I$34),0,IF(Tulokset!$G$34=Tulokset!$I$34,IF(AND('37'!$I$35=Tulokset!$G$34,'37'!$K$35=Tulokset!$I$34),6,3),MAX(0,6-(ABS('37'!$I$35-Tulokset!$G$34)+ABS('37'!$K$35-Tulokset!$I$34))))))</f>
        <v/>
      </c>
      <c r="AK40" s="333" t="str">
        <f>IF(OR(Tulokset!$G$35="",Tulokset!$I$35="",'37'!$I$36="",'37'!$K$36=""),"",IF(SIGN('37'!$I$36-'37'!$K$36)&lt;&gt;SIGN(Tulokset!$G$35-Tulokset!$I$35),0,IF(Tulokset!$G$35=Tulokset!$I$35,IF(AND('37'!$I$36=Tulokset!$G$35,'37'!$K$36=Tulokset!$I$35),6,3),MAX(0,6-(ABS('37'!$I$36-Tulokset!$G$35)+ABS('37'!$K$36-Tulokset!$I$35))))))</f>
        <v/>
      </c>
      <c r="AL40" s="333" t="str">
        <f>IF(OR(Tulokset!$G$36="",Tulokset!$I$36="",'37'!$I$37="",'37'!$K$37=""),"",IF(SIGN('37'!$I$37-'37'!$K$37)&lt;&gt;SIGN(Tulokset!$G$36-Tulokset!$I$36),0,IF(Tulokset!$G$36=Tulokset!$I$36,IF(AND('37'!$I$37=Tulokset!$G$36,'37'!$K$37=Tulokset!$I$36),6,3),MAX(0,6-(ABS('37'!$I$37-Tulokset!$G$36)+ABS('37'!$K$37-Tulokset!$I$36))))))</f>
        <v/>
      </c>
      <c r="AM40" s="333" t="str">
        <f>IF(OR(Tulokset!$G$37="",Tulokset!$I$37="",'37'!$I$38="",'37'!$K$38=""),"",IF(SIGN('37'!$I$38-'37'!$K$38)&lt;&gt;SIGN(Tulokset!$G$37-Tulokset!$I$37),0,IF(Tulokset!$G$37=Tulokset!$I$37,IF(AND('37'!$I$38=Tulokset!$G$37,'37'!$K$38=Tulokset!$I$37),6,3),MAX(0,6-(ABS('37'!$I$38-Tulokset!$G$37)+ABS('37'!$K$38-Tulokset!$I$37))))))</f>
        <v/>
      </c>
      <c r="AN40" s="333" t="str">
        <f>IF(OR(Tulokset!$G$38="",Tulokset!$I$38="",'37'!$I$39="",'37'!$K$39=""),"",IF(SIGN('37'!$I$39-'37'!$K$39)&lt;&gt;SIGN(Tulokset!$G$38-Tulokset!$I$38),0,IF(Tulokset!$G$38=Tulokset!$I$38,IF(AND('37'!$I$39=Tulokset!$G$38,'37'!$K$39=Tulokset!$I$38),6,3),MAX(0,6-(ABS('37'!$I$39-Tulokset!$G$38)+ABS('37'!$K$39-Tulokset!$I$38))))))</f>
        <v/>
      </c>
      <c r="AO40" s="333" t="str">
        <f>IF(OR(Tulokset!$G$39="",Tulokset!$I$39="",'37'!$I$40="",'37'!$K$40=""),"",IF(SIGN('37'!$I$40-'37'!$K$40)&lt;&gt;SIGN(Tulokset!$G$39-Tulokset!$I$39),0,IF(Tulokset!$G$39=Tulokset!$I$39,IF(AND('37'!$I$40=Tulokset!$G$39,'37'!$K$40=Tulokset!$I$39),6,3),MAX(0,6-(ABS('37'!$I$40-Tulokset!$G$39)+ABS('37'!$K$40-Tulokset!$I$39))))))</f>
        <v/>
      </c>
      <c r="AP40" s="333" t="str">
        <f>IF(OR(Tulokset!$G$40="",Tulokset!$I$40="",'37'!$I$41="",'37'!$K$41=""),"",IF(SIGN('37'!$I$41-'37'!$K$41)&lt;&gt;SIGN(Tulokset!$G$40-Tulokset!$I$40),0,IF(Tulokset!$G$40=Tulokset!$I$40,IF(AND('37'!$I$41=Tulokset!$G$40,'37'!$K$41=Tulokset!$I$40),6,3),MAX(0,6-(ABS('37'!$I$41-Tulokset!$G$40)+ABS('37'!$K$41-Tulokset!$I$40))))))</f>
        <v/>
      </c>
      <c r="AQ40" s="333" t="str">
        <f>IF(OR(Tulokset!$G$41="",Tulokset!$I$41="",'37'!$I$42="",'37'!$K$42=""),"",IF(SIGN('37'!$I$42-'37'!$K$42)&lt;&gt;SIGN(Tulokset!$G$41-Tulokset!$I$41),0,IF(Tulokset!$G$41=Tulokset!$I$41,IF(AND('37'!$I$42=Tulokset!$G$41,'37'!$K$42=Tulokset!$I$41),6,3),MAX(0,6-(ABS('37'!$I$42-Tulokset!$G$41)+ABS('37'!$K$42-Tulokset!$I$41))))))</f>
        <v/>
      </c>
      <c r="AR40" s="333" t="str">
        <f>IF(OR(Tulokset!$G$42="",Tulokset!$I$42="",'37'!$I$43="",'37'!$K$43=""),"",IF(SIGN('37'!$I$43-'37'!$K$43)&lt;&gt;SIGN(Tulokset!$G$42-Tulokset!$I$42),0,IF(Tulokset!$G$42=Tulokset!$I$42,IF(AND('37'!$I$43=Tulokset!$G$42,'37'!$K$43=Tulokset!$I$42),6,3),MAX(0,6-(ABS('37'!$I$43-Tulokset!$G$42)+ABS('37'!$K$43-Tulokset!$I$42))))))</f>
        <v/>
      </c>
      <c r="AS40" s="333" t="str">
        <f>IF(OR(Tulokset!$G$43="",Tulokset!$I$43="",'37'!$I$44="",'37'!$K$44=""),"",IF(SIGN('37'!$I$44-'37'!$K$44)&lt;&gt;SIGN(Tulokset!$G$43-Tulokset!$I$43),0,IF(Tulokset!$G$43=Tulokset!$I$43,IF(AND('37'!$I$44=Tulokset!$G$43,'37'!$K$44=Tulokset!$I$43),6,3),MAX(0,6-(ABS('37'!$I$44-Tulokset!$G$43)+ABS('37'!$K$44-Tulokset!$I$43))))))</f>
        <v/>
      </c>
      <c r="AT40" s="333" t="str">
        <f>IF(OR(Tulokset!$G$44="",Tulokset!$I$44="",'37'!$I$45="",'37'!$K$45=""),"",IF(SIGN('37'!$I$45-'37'!$K$45)&lt;&gt;SIGN(Tulokset!$G$44-Tulokset!$I$44),0,IF(Tulokset!$G$44=Tulokset!$I$44,IF(AND('37'!$I$45=Tulokset!$G$44,'37'!$K$45=Tulokset!$I$44),6,3),MAX(0,6-(ABS('37'!$I$45-Tulokset!$G$44)+ABS('37'!$K$45-Tulokset!$I$44))))))</f>
        <v/>
      </c>
      <c r="AU40" s="333" t="str">
        <f>IF(OR(Tulokset!$G$45="",Tulokset!$I$45="",'37'!$I$46="",'37'!$K$46=""),"",IF(SIGN('37'!$I$46-'37'!$K$46)&lt;&gt;SIGN(Tulokset!$G$45-Tulokset!$I$45),0,IF(Tulokset!$G$45=Tulokset!$I$45,IF(AND('37'!$I$46=Tulokset!$G$45,'37'!$K$46=Tulokset!$I$45),6,3),MAX(0,6-(ABS('37'!$I$46-Tulokset!$G$45)+ABS('37'!$K$46-Tulokset!$I$45))))))</f>
        <v/>
      </c>
      <c r="AV40" s="333" t="str">
        <f>IF(OR(Tulokset!$G$46="",Tulokset!$I$46="",'37'!$I$47="",'37'!$K$47=""),"",IF(SIGN('37'!$I$47-'37'!$K$47)&lt;&gt;SIGN(Tulokset!$G$46-Tulokset!$I$46),0,IF(Tulokset!$G$46=Tulokset!$I$46,IF(AND('37'!$I$47=Tulokset!$G$46,'37'!$K$47=Tulokset!$I$46),6,3),MAX(0,6-(ABS('37'!$I$47-Tulokset!$G$46)+ABS('37'!$K$47-Tulokset!$I$46))))))</f>
        <v/>
      </c>
      <c r="AW40" s="333" t="str">
        <f>IF(OR(Tulokset!$G$47="",Tulokset!$I$47="",'37'!$I$48="",'37'!$K$48=""),"",IF(SIGN('37'!$I$48-'37'!$K$48)&lt;&gt;SIGN(Tulokset!$G$47-Tulokset!$I$47),0,IF(Tulokset!$G$47=Tulokset!$I$47,IF(AND('37'!$I$48=Tulokset!$G$47,'37'!$K$48=Tulokset!$I$47),6,3),MAX(0,6-(ABS('37'!$I$48-Tulokset!$G$47)+ABS('37'!$K$48-Tulokset!$I$47))))))</f>
        <v/>
      </c>
      <c r="AX40" s="333" t="str">
        <f>IF(OR(Tulokset!$G$48="",Tulokset!$I$48="",'37'!$I$49="",'37'!$K$49=""),"",IF(SIGN('37'!$I$49-'37'!$K$49)&lt;&gt;SIGN(Tulokset!$G$48-Tulokset!$I$48),0,IF(Tulokset!$G$48=Tulokset!$I$48,IF(AND('37'!$I$49=Tulokset!$G$48,'37'!$K$49=Tulokset!$I$48),6,3),MAX(0,6-(ABS('37'!$I$49-Tulokset!$G$48)+ABS('37'!$K$49-Tulokset!$I$48))))))</f>
        <v/>
      </c>
      <c r="AY40" s="333" t="str">
        <f>IF(OR(Tulokset!$G$49="",Tulokset!$I$49="",'37'!$I$50="",'37'!$K$50=""),"",IF(SIGN('37'!$I$50-'37'!$K$50)&lt;&gt;SIGN(Tulokset!$G$49-Tulokset!$I$49),0,IF(Tulokset!$G$49=Tulokset!$I$49,IF(AND('37'!$I$50=Tulokset!$G$49,'37'!$K$50=Tulokset!$I$49),6,3),MAX(0,6-(ABS('37'!$I$50-Tulokset!$G$49)+ABS('37'!$K$50-Tulokset!$I$49))))))</f>
        <v/>
      </c>
      <c r="AZ40" s="333" t="str">
        <f>IF(OR(Tulokset!$G$50="",Tulokset!$I$50="",'37'!$I$51="",'37'!$K$51=""),"",IF(SIGN('37'!$I$51-'37'!$K$51)&lt;&gt;SIGN(Tulokset!$G$50-Tulokset!$I$50),0,IF(Tulokset!$G$50=Tulokset!$I$50,IF(AND('37'!$I$51=Tulokset!$G$50,'37'!$K$51=Tulokset!$I$50),6,3),MAX(0,6-(ABS('37'!$I$51-Tulokset!$G$50)+ABS('37'!$K$51-Tulokset!$I$50))))))</f>
        <v/>
      </c>
      <c r="BA40" s="333" t="str">
        <f>IF(OR(Tulokset!$G$51="",Tulokset!$I$51="",'37'!$I$52="",'37'!$K$52=""),"",IF(SIGN('37'!$I$52-'37'!$K$52)&lt;&gt;SIGN(Tulokset!$G$51-Tulokset!$I$51),0,IF(Tulokset!$G$51=Tulokset!$I$51,IF(AND('37'!$I$52=Tulokset!$G$51,'37'!$K$52=Tulokset!$I$51),6,3),MAX(0,6-(ABS('37'!$I$52-Tulokset!$G$51)+ABS('37'!$K$52-Tulokset!$I$51))))))</f>
        <v/>
      </c>
      <c r="BB40" s="333" t="str">
        <f>IF(OR(Tulokset!$G$52="",Tulokset!$I$52="",'37'!$I$53="",'37'!$K$53=""),"",IF(SIGN('37'!$I$53-'37'!$K$53)&lt;&gt;SIGN(Tulokset!$G$52-Tulokset!$I$52),0,IF(Tulokset!$G$52=Tulokset!$I$52,IF(AND('37'!$I$53=Tulokset!$G$52,'37'!$K$53=Tulokset!$I$52),6,3),MAX(0,6-(ABS('37'!$I$53-Tulokset!$G$52)+ABS('37'!$K$53-Tulokset!$I$52))))))</f>
        <v/>
      </c>
      <c r="BC40" s="333" t="str">
        <f>IF(OR(Tulokset!$G$53="",Tulokset!$I$53="",'37'!$I$54="",'37'!$K$54=""),"",IF(SIGN('37'!$I$54-'37'!$K$54)&lt;&gt;SIGN(Tulokset!$G$53-Tulokset!$I$53),0,IF(Tulokset!$G$53=Tulokset!$I$53,IF(AND('37'!$I$54=Tulokset!$G$53,'37'!$K$54=Tulokset!$I$53),6,3),MAX(0,6-(ABS('37'!$I$54-Tulokset!$G$53)+ABS('37'!$K$54-Tulokset!$I$53))))))</f>
        <v/>
      </c>
      <c r="BD40" s="333" t="str">
        <f>IF(OR(Tulokset!$G$54="",Tulokset!$I$54="",'37'!$I$55="",'37'!$K$55=""),"",IF(SIGN('37'!$I$55-'37'!$K$55)&lt;&gt;SIGN(Tulokset!$G$54-Tulokset!$I$54),0,IF(Tulokset!$G$54=Tulokset!$I$54,IF(AND('37'!$I$55=Tulokset!$G$54,'37'!$K$55=Tulokset!$I$54),6,3),MAX(0,6-(ABS('37'!$I$55-Tulokset!$G$54)+ABS('37'!$K$55-Tulokset!$I$54))))))</f>
        <v/>
      </c>
      <c r="BE40" s="333" t="str">
        <f>IF(OR(Tulokset!$G$55="",Tulokset!$I$55="",'37'!$I$56="",'37'!$K$56=""),"",IF(SIGN('37'!$I$56-'37'!$K$56)&lt;&gt;SIGN(Tulokset!$G$55-Tulokset!$I$55),0,IF(Tulokset!$G$55=Tulokset!$I$55,IF(AND('37'!$I$56=Tulokset!$G$55,'37'!$K$56=Tulokset!$I$55),6,3),MAX(0,6-(ABS('37'!$I$56-Tulokset!$G$55)+ABS('37'!$K$56-Tulokset!$I$55))))))</f>
        <v/>
      </c>
      <c r="BF40" s="333" t="str">
        <f>IF(OR(Tulokset!$G$56="",Tulokset!$I$56="",'37'!$I$57="",'37'!$K$57=""),"",IF(SIGN('37'!$I$57-'37'!$K$57)&lt;&gt;SIGN(Tulokset!$G$56-Tulokset!$I$56),0,IF(Tulokset!$G$56=Tulokset!$I$56,IF(AND('37'!$I$57=Tulokset!$G$56,'37'!$K$57=Tulokset!$I$56),6,3),MAX(0,6-(ABS('37'!$I$57-Tulokset!$G$56)+ABS('37'!$K$57-Tulokset!$I$56))))))</f>
        <v/>
      </c>
      <c r="BG40" s="333" t="str">
        <f>IF(OR(Tulokset!$G$57="",Tulokset!$I$57="",'37'!$I$58="",'37'!$K$58=""),"",IF(SIGN('37'!$I$58-'37'!$K$58)&lt;&gt;SIGN(Tulokset!$G$57-Tulokset!$I$57),0,IF(Tulokset!$G$57=Tulokset!$I$57,IF(AND('37'!$I$58=Tulokset!$G$57,'37'!$K$58=Tulokset!$I$57),6,3),MAX(0,6-(ABS('37'!$I$58-Tulokset!$G$57)+ABS('37'!$K$58-Tulokset!$I$57))))))</f>
        <v/>
      </c>
      <c r="BH40" s="333" t="str">
        <f>IF(OR(Tulokset!$G$58="",Tulokset!$I$58="",'37'!$I$59="",'37'!$K$59=""),"",IF(SIGN('37'!$I$59-'37'!$K$59)&lt;&gt;SIGN(Tulokset!$G$58-Tulokset!$I$58),0,IF(Tulokset!$G$58=Tulokset!$I$58,IF(AND('37'!$I$59=Tulokset!$G$58,'37'!$K$59=Tulokset!$I$58),6,3),MAX(0,6-(ABS('37'!$I$59-Tulokset!$G$58)+ABS('37'!$K$59-Tulokset!$I$58))))))</f>
        <v/>
      </c>
      <c r="BI40" s="333" t="str">
        <f>IF(OR(Tulokset!$G$59="",Tulokset!$I$59="",'37'!$I$60="",'37'!$K$60=""),"",IF(SIGN('37'!$I$60-'37'!$K$60)&lt;&gt;SIGN(Tulokset!$G$59-Tulokset!$I$59),0,IF(Tulokset!$G$59=Tulokset!$I$59,IF(AND('37'!$I$60=Tulokset!$G$59,'37'!$K$60=Tulokset!$I$59),6,3),MAX(0,6-(ABS('37'!$I$60-Tulokset!$G$59)+ABS('37'!$K$60-Tulokset!$I$59))))))</f>
        <v/>
      </c>
      <c r="BJ40" s="333" t="str">
        <f>IF(OR(Tulokset!$G$60="",Tulokset!$I$60="",'37'!$I$61="",'37'!$K$61=""),"",IF(SIGN('37'!$I$61-'37'!$K$61)&lt;&gt;SIGN(Tulokset!$G$60-Tulokset!$I$60),0,IF(Tulokset!$G$60=Tulokset!$I$60,IF(AND('37'!$I$61=Tulokset!$G$60,'37'!$K$61=Tulokset!$I$60),6,3),MAX(0,6-(ABS('37'!$I$61-Tulokset!$G$60)+ABS('37'!$K$61-Tulokset!$I$60))))))</f>
        <v/>
      </c>
      <c r="BK40" s="333" t="str">
        <f>IF(OR(Tulokset!$G$61="",Tulokset!$I$61="",'37'!$I$62="",'37'!$K$62=""),"",IF(SIGN('37'!$I$62-'37'!$K$62)&lt;&gt;SIGN(Tulokset!$G$61-Tulokset!$I$61),0,IF(Tulokset!$G$61=Tulokset!$I$61,IF(AND('37'!$I$62=Tulokset!$G$61,'37'!$K$62=Tulokset!$I$61),6,3),MAX(0,6-(ABS('37'!$I$62-Tulokset!$G$61)+ABS('37'!$K$62-Tulokset!$I$61))))))</f>
        <v/>
      </c>
      <c r="BL40" s="333" t="str">
        <f>IF(OR(Tulokset!$G$62="",Tulokset!$I$62="",'37'!$I$63="",'37'!$K$63=""),"",IF(SIGN('37'!$I$63-'37'!$K$63)&lt;&gt;SIGN(Tulokset!$G$62-Tulokset!$I$62),0,IF(Tulokset!$G$62=Tulokset!$I$62,IF(AND('37'!$I$63=Tulokset!$G$62,'37'!$K$63=Tulokset!$I$62),6,3),MAX(0,6-(ABS('37'!$I$63-Tulokset!$G$62)+ABS('37'!$K$63-Tulokset!$I$62))))))</f>
        <v/>
      </c>
      <c r="BM40" s="333" t="str">
        <f>IF(OR(Tulokset!$G$63="",Tulokset!$I$63="",'37'!$I$64="",'37'!$K$64=""),"",IF(SIGN('37'!$I$64-'37'!$K$64)&lt;&gt;SIGN(Tulokset!$G$63-Tulokset!$I$63),0,IF(Tulokset!$G$63=Tulokset!$I$63,IF(AND('37'!$I$64=Tulokset!$G$63,'37'!$K$64=Tulokset!$I$63),6,3),MAX(0,6-(ABS('37'!$I$64-Tulokset!$G$63)+ABS('37'!$K$64-Tulokset!$I$63))))))</f>
        <v/>
      </c>
      <c r="BN40" s="333" t="str">
        <f>IF(OR(Tulokset!$G$64="",Tulokset!$I$64="",'37'!$I$65="",'37'!$K$65=""),"",IF(SIGN('37'!$I$65-'37'!$K$65)&lt;&gt;SIGN(Tulokset!$G$64-Tulokset!$I$64),0,IF(Tulokset!$G$64=Tulokset!$I$64,IF(AND('37'!$I$65=Tulokset!$G$64,'37'!$K$65=Tulokset!$I$64),6,3),MAX(0,6-(ABS('37'!$I$65-Tulokset!$G$64)+ABS('37'!$K$65-Tulokset!$I$64))))))</f>
        <v/>
      </c>
      <c r="BO40" s="333" t="str">
        <f>IF(OR(Tulokset!$G$65="",Tulokset!$I$65="",'37'!$I$66="",'37'!$K$66=""),"",IF(SIGN('37'!$I$66-'37'!$K$66)&lt;&gt;SIGN(Tulokset!$G$65-Tulokset!$I$65),0,IF(Tulokset!$G$65=Tulokset!$I$65,IF(AND('37'!$I$66=Tulokset!$G$65,'37'!$K$66=Tulokset!$I$65),6,3),MAX(0,6-(ABS('37'!$I$66-Tulokset!$G$65)+ABS('37'!$K$66-Tulokset!$I$65))))))</f>
        <v/>
      </c>
      <c r="BP40" s="333" t="str">
        <f>IF(OR(Tulokset!$G$66="",Tulokset!$I$66="",'37'!$I$67="",'37'!$K$67=""),"",IF(SIGN('37'!$I$67-'37'!$K$67)&lt;&gt;SIGN(Tulokset!$G$66-Tulokset!$I$66),0,IF(Tulokset!$G$66=Tulokset!$I$66,IF(AND('37'!$I$67=Tulokset!$G$66,'37'!$K$67=Tulokset!$I$66),6,3),MAX(0,6-(ABS('37'!$I$67-Tulokset!$G$66)+ABS('37'!$K$67-Tulokset!$I$66))))))</f>
        <v/>
      </c>
      <c r="BQ40" s="333" t="str">
        <f>IF(OR(Tulokset!$G$67="",Tulokset!$I$67="",'37'!$I$68="",'37'!$K$68=""),"",IF(SIGN('37'!$I$68-'37'!$K$68)&lt;&gt;SIGN(Tulokset!$G$67-Tulokset!$I$67),0,IF(Tulokset!$G$67=Tulokset!$I$67,IF(AND('37'!$I$68=Tulokset!$G$67,'37'!$K$68=Tulokset!$I$67),6,3),MAX(0,6-(ABS('37'!$I$68-Tulokset!$G$67)+ABS('37'!$K$68-Tulokset!$I$67))))))</f>
        <v/>
      </c>
      <c r="BR40" s="333" t="str">
        <f>IF(OR(Tulokset!$G$68="",Tulokset!$I$68="",'37'!$I$69="",'37'!$K$69=""),"",IF(SIGN('37'!$I$69-'37'!$K$69)&lt;&gt;SIGN(Tulokset!$G$68-Tulokset!$I$68),0,IF(Tulokset!$G$68=Tulokset!$I$68,IF(AND('37'!$I$69=Tulokset!$G$68,'37'!$K$69=Tulokset!$I$68),6,3),MAX(0,6-(ABS('37'!$I$69-Tulokset!$G$68)+ABS('37'!$K$69-Tulokset!$I$68))))))</f>
        <v/>
      </c>
      <c r="BS40" s="333" t="str">
        <f>IF(OR(Tulokset!$G$69="",Tulokset!$I$69="",'37'!$I$70="",'37'!$K$70=""),"",IF(SIGN('37'!$I$70-'37'!$K$70)&lt;&gt;SIGN(Tulokset!$G$69-Tulokset!$I$69),0,IF(Tulokset!$G$69=Tulokset!$I$69,IF(AND('37'!$I$70=Tulokset!$G$69,'37'!$K$70=Tulokset!$I$69),6,3),MAX(0,6-(ABS('37'!$I$70-Tulokset!$G$69)+ABS('37'!$K$70-Tulokset!$I$69))))))</f>
        <v/>
      </c>
      <c r="BT40" s="333" t="str">
        <f>IF(OR(Tulokset!$G$70="",Tulokset!$I$70="",'37'!$I$71="",'37'!$K$71=""),"",IF(SIGN('37'!$I$71-'37'!$K$71)&lt;&gt;SIGN(Tulokset!$G$70-Tulokset!$I$70),0,IF(Tulokset!$G$70=Tulokset!$I$70,IF(AND('37'!$I$71=Tulokset!$G$70,'37'!$K$71=Tulokset!$I$70),6,3),MAX(0,6-(ABS('37'!$I$71-Tulokset!$G$70)+ABS('37'!$K$71-Tulokset!$I$70))))))</f>
        <v/>
      </c>
      <c r="BU40" s="333" t="str">
        <f>IF(OR(Tulokset!$G$71="",Tulokset!$I$71="",'37'!$I$72="",'37'!$K$72=""),"",IF(SIGN('37'!$I$72-'37'!$K$72)&lt;&gt;SIGN(Tulokset!$G$71-Tulokset!$I$71),0,IF(Tulokset!$G$71=Tulokset!$I$71,IF(AND('37'!$I$72=Tulokset!$G$71,'37'!$K$72=Tulokset!$I$71),6,3),MAX(0,6-(ABS('37'!$I$72-Tulokset!$G$71)+ABS('37'!$K$72-Tulokset!$I$71))))))</f>
        <v/>
      </c>
      <c r="BV40" s="333" t="str">
        <f>IF(OR(Tulokset!$G$72="",Tulokset!$I$72="",'37'!$I$73="",'37'!$K$73=""),"",IF(SIGN('37'!$I$73-'37'!$K$73)&lt;&gt;SIGN(Tulokset!$G$72-Tulokset!$I$72),0,IF(Tulokset!$G$72=Tulokset!$I$72,IF(AND('37'!$I$73=Tulokset!$G$72,'37'!$K$73=Tulokset!$I$72),6,3),MAX(0,6-(ABS('37'!$I$73-Tulokset!$G$72)+ABS('37'!$K$73-Tulokset!$I$72))))))</f>
        <v/>
      </c>
      <c r="BW40" s="333" t="str">
        <f>IF(OR(Tulokset!$G$73="",Tulokset!$I$73="",'37'!$I$74="",'37'!$K$74=""),"",IF(SIGN('37'!$I$74-'37'!$K$74)&lt;&gt;SIGN(Tulokset!$G$73-Tulokset!$I$73),0,IF(Tulokset!$G$73=Tulokset!$I$73,IF(AND('37'!$I$74=Tulokset!$G$73,'37'!$K$74=Tulokset!$I$73),6,3),MAX(0,6-(ABS('37'!$I$74-Tulokset!$G$73)+ABS('37'!$K$74-Tulokset!$I$73))))))</f>
        <v/>
      </c>
      <c r="BX40" s="333" t="str">
        <f>IF(OR(Tulokset!$G$74="",Tulokset!$I$74="",'37'!$I$75="",'37'!$K$75=""),"",IF(SIGN('37'!$I$75-'37'!$K$75)&lt;&gt;SIGN(Tulokset!$G$74-Tulokset!$I$74),0,IF(Tulokset!$G$74=Tulokset!$I$74,IF(AND('37'!$I$75=Tulokset!$G$74,'37'!$K$75=Tulokset!$I$74),6,3),MAX(0,6-(ABS('37'!$I$75-Tulokset!$G$74)+ABS('37'!$K$75-Tulokset!$I$74))))))</f>
        <v/>
      </c>
      <c r="BY40" s="333" t="str">
        <f>IF(OR(Tulokset!$G$75="",Tulokset!$I$75="",'37'!$I$76="",'37'!$K$76=""),"",IF(SIGN('37'!$I$76-'37'!$K$76)&lt;&gt;SIGN(Tulokset!$G$75-Tulokset!$I$75),0,IF(Tulokset!$G$75=Tulokset!$I$75,IF(AND('37'!$I$76=Tulokset!$G$75,'37'!$K$76=Tulokset!$I$75),6,3),MAX(0,6-(ABS('37'!$I$76-Tulokset!$G$75)+ABS('37'!$K$76-Tulokset!$I$75))))))</f>
        <v/>
      </c>
      <c r="BZ40" s="333" t="str">
        <f>IF(OR(Tulokset!$G$76="",Tulokset!$I$76="",'37'!$I$77="",'37'!$K$77=""),"",IF(SIGN('37'!$I$77-'37'!$K$77)&lt;&gt;SIGN(Tulokset!$G$76-Tulokset!$I$76),0,IF(Tulokset!$G$76=Tulokset!$I$76,IF(AND('37'!$I$77=Tulokset!$G$76,'37'!$K$77=Tulokset!$I$76),6,3),MAX(0,6-(ABS('37'!$I$77-Tulokset!$G$76)+ABS('37'!$K$77-Tulokset!$I$76))))))</f>
        <v/>
      </c>
      <c r="CA40" s="333" t="str">
        <f>IF(OR(Tulokset!$G$77="",Tulokset!$I$77="",'37'!$I$78="",'37'!$K$78=""),"",IF(SIGN('37'!$I$78-'37'!$K$78)&lt;&gt;SIGN(Tulokset!$G$77-Tulokset!$I$77),0,IF(Tulokset!$G$77=Tulokset!$I$77,IF(AND('37'!$I$78=Tulokset!$G$77,'37'!$K$78=Tulokset!$I$77),6,3),MAX(0,6-(ABS('37'!$I$78-Tulokset!$G$77)+ABS('37'!$K$78-Tulokset!$I$77))))))</f>
        <v/>
      </c>
      <c r="CB40" s="333"/>
      <c r="CC40" s="333"/>
      <c r="CD40" s="333" t="str">
        <f ca="1">IF(OR(Tulokset!$M$6="",INDIRECT("'"&amp;$A40&amp;"'!$P$8")=""),"",IF(TRIM(INDIRECT("'"&amp;$A40&amp;"'!$P$8"))=TRIM(Tulokset!$M$6),2,0))</f>
        <v/>
      </c>
      <c r="CE40" s="333" t="str">
        <f ca="1">IF(OR(Tulokset!$M$7="",INDIRECT("'"&amp;$A40&amp;"'!$P$9")=""),"",IF(TRIM(INDIRECT("'"&amp;$A40&amp;"'!$P$9"))=TRIM(Tulokset!$M$7),2,0))</f>
        <v/>
      </c>
      <c r="CF40" s="333" t="str">
        <f ca="1">IF(OR(Tulokset!$M$8="",INDIRECT("'"&amp;$A40&amp;"'!$P$10")=""),"",IF(TRIM(INDIRECT("'"&amp;$A40&amp;"'!$P$10"))=TRIM(Tulokset!$M$8),2,0))</f>
        <v/>
      </c>
      <c r="CG40" s="333" t="str">
        <f ca="1">IF(OR(Tulokset!$M$9="",INDIRECT("'"&amp;$A40&amp;"'!$P$11")=""),"",IF(TRIM(INDIRECT("'"&amp;$A40&amp;"'!$P$11"))=TRIM(Tulokset!$M$9),2,0))</f>
        <v/>
      </c>
      <c r="CH40" s="333" t="str">
        <f ca="1">IF(OR(Tulokset!$N$6="",INDIRECT("'"&amp;$A40&amp;"'!$Q$8")=""),"",IF(TRIM(INDIRECT("'"&amp;$A40&amp;"'!$Q$8"))=TRIM(Tulokset!$N$6),2,0))</f>
        <v/>
      </c>
      <c r="CI40" s="333" t="str">
        <f ca="1">IF(OR(Tulokset!$N$7="",INDIRECT("'"&amp;$A40&amp;"'!$Q$9")=""),"",IF(TRIM(INDIRECT("'"&amp;$A40&amp;"'!$Q$9"))=TRIM(Tulokset!$N$7),2,0))</f>
        <v/>
      </c>
      <c r="CJ40" s="333" t="str">
        <f ca="1">IF(OR(Tulokset!$N$8="",INDIRECT("'"&amp;$A40&amp;"'!$Q$10")=""),"",IF(TRIM(INDIRECT("'"&amp;$A40&amp;"'!$Q$10"))=TRIM(Tulokset!$N$8),2,0))</f>
        <v/>
      </c>
      <c r="CK40" s="333" t="str">
        <f ca="1">IF(OR(Tulokset!$N$9="",INDIRECT("'"&amp;$A40&amp;"'!$Q$11")=""),"",IF(TRIM(INDIRECT("'"&amp;$A40&amp;"'!$Q$11"))=TRIM(Tulokset!$N$9),2,0))</f>
        <v/>
      </c>
      <c r="CL40" s="333" t="str">
        <f ca="1">IF(OR(Tulokset!$O$6="",INDIRECT("'"&amp;$A40&amp;"'!$R$8")=""),"",IF(TRIM(INDIRECT("'"&amp;$A40&amp;"'!$R$8"))=TRIM(Tulokset!$O$6),2,0))</f>
        <v/>
      </c>
      <c r="CM40" s="333" t="str">
        <f ca="1">IF(OR(Tulokset!$O$7="",INDIRECT("'"&amp;$A40&amp;"'!$R$9")=""),"",IF(TRIM(INDIRECT("'"&amp;$A40&amp;"'!$R$9"))=TRIM(Tulokset!$O$7),2,0))</f>
        <v/>
      </c>
      <c r="CN40" s="333" t="str">
        <f ca="1">IF(OR(Tulokset!$O$8="",INDIRECT("'"&amp;$A40&amp;"'!$R$10")=""),"",IF(TRIM(INDIRECT("'"&amp;$A40&amp;"'!$R$10"))=TRIM(Tulokset!$O$8),2,0))</f>
        <v/>
      </c>
      <c r="CO40" s="333" t="str">
        <f ca="1">IF(OR(Tulokset!$O$9="",INDIRECT("'"&amp;$A40&amp;"'!$R$11")=""),"",IF(TRIM(INDIRECT("'"&amp;$A40&amp;"'!$R$11"))=TRIM(Tulokset!$O$9),2,0))</f>
        <v/>
      </c>
      <c r="CP40" s="333" t="str">
        <f ca="1">IF(OR(Tulokset!$P$6="",INDIRECT("'"&amp;$A40&amp;"'!$S$8")=""),"",IF(TRIM(INDIRECT("'"&amp;$A40&amp;"'!$S$8"))=TRIM(Tulokset!$P$6),2,0))</f>
        <v/>
      </c>
      <c r="CQ40" s="333" t="str">
        <f ca="1">IF(OR(Tulokset!$P$7="",INDIRECT("'"&amp;$A40&amp;"'!$S$9")=""),"",IF(TRIM(INDIRECT("'"&amp;$A40&amp;"'!$S$9"))=TRIM(Tulokset!$P$7),2,0))</f>
        <v/>
      </c>
      <c r="CR40" s="333" t="str">
        <f ca="1">IF(OR(Tulokset!$P$8="",INDIRECT("'"&amp;$A40&amp;"'!$S$10")=""),"",IF(TRIM(INDIRECT("'"&amp;$A40&amp;"'!$S$10"))=TRIM(Tulokset!$P$8),2,0))</f>
        <v/>
      </c>
      <c r="CS40" s="333" t="str">
        <f ca="1">IF(OR(Tulokset!$P$9="",INDIRECT("'"&amp;$A40&amp;"'!$S$11")=""),"",IF(TRIM(INDIRECT("'"&amp;$A40&amp;"'!$S$11"))=TRIM(Tulokset!$P$9),2,0))</f>
        <v/>
      </c>
      <c r="CT40" s="333" t="str">
        <f ca="1">IF(OR(Tulokset!$Q$6="",INDIRECT("'"&amp;$A40&amp;"'!$T$8")=""),"",IF(TRIM(INDIRECT("'"&amp;$A40&amp;"'!$T$8"))=TRIM(Tulokset!$Q$6),2,0))</f>
        <v/>
      </c>
      <c r="CU40" s="333" t="str">
        <f ca="1">IF(OR(Tulokset!$Q$7="",INDIRECT("'"&amp;$A40&amp;"'!$T$9")=""),"",IF(TRIM(INDIRECT("'"&amp;$A40&amp;"'!$T$9"))=TRIM(Tulokset!$Q$7),2,0))</f>
        <v/>
      </c>
      <c r="CV40" s="333" t="str">
        <f ca="1">IF(OR(Tulokset!$Q$8="",INDIRECT("'"&amp;$A40&amp;"'!$T$10")=""),"",IF(TRIM(INDIRECT("'"&amp;$A40&amp;"'!$T$10"))=TRIM(Tulokset!$Q$8),2,0))</f>
        <v/>
      </c>
      <c r="CW40" s="333" t="str">
        <f ca="1">IF(OR(Tulokset!$Q$9="",INDIRECT("'"&amp;$A40&amp;"'!$T$11")=""),"",IF(TRIM(INDIRECT("'"&amp;$A40&amp;"'!$T$11"))=TRIM(Tulokset!$Q$9),2,0))</f>
        <v/>
      </c>
      <c r="CX40" s="333" t="str">
        <f ca="1">IF(OR(Tulokset!$R$6="",INDIRECT("'"&amp;$A40&amp;"'!$U$8")=""),"",IF(TRIM(INDIRECT("'"&amp;$A40&amp;"'!$U$8"))=TRIM(Tulokset!$R$6),2,0))</f>
        <v/>
      </c>
      <c r="CY40" s="333" t="str">
        <f ca="1">IF(OR(Tulokset!$R$7="",INDIRECT("'"&amp;$A40&amp;"'!$U$9")=""),"",IF(TRIM(INDIRECT("'"&amp;$A40&amp;"'!$U$9"))=TRIM(Tulokset!$R$7),2,0))</f>
        <v/>
      </c>
      <c r="CZ40" s="333" t="str">
        <f ca="1">IF(OR(Tulokset!$R$8="",INDIRECT("'"&amp;$A40&amp;"'!$U$10")=""),"",IF(TRIM(INDIRECT("'"&amp;$A40&amp;"'!$U$10"))=TRIM(Tulokset!$R$8),2,0))</f>
        <v/>
      </c>
      <c r="DA40" s="333" t="str">
        <f ca="1">IF(OR(Tulokset!$R$9="",INDIRECT("'"&amp;$A40&amp;"'!$U$11")=""),"",IF(TRIM(INDIRECT("'"&amp;$A40&amp;"'!$U$11"))=TRIM(Tulokset!$R$9),2,0))</f>
        <v/>
      </c>
      <c r="DB40" s="333" t="str">
        <f ca="1">IF(OR(Tulokset!$M$12="",INDIRECT("'"&amp;$A40&amp;"'!$P$14")=""),"",IF(TRIM(INDIRECT("'"&amp;$A40&amp;"'!$P$14"))=TRIM(Tulokset!$M$12),2,0))</f>
        <v/>
      </c>
      <c r="DC40" s="333" t="str">
        <f ca="1">IF(OR(Tulokset!$M$13="",INDIRECT("'"&amp;$A40&amp;"'!$P$15")=""),"",IF(TRIM(INDIRECT("'"&amp;$A40&amp;"'!$P$15"))=TRIM(Tulokset!$M$13),2,0))</f>
        <v/>
      </c>
      <c r="DD40" s="333" t="str">
        <f ca="1">IF(OR(Tulokset!$M$14="",INDIRECT("'"&amp;$A40&amp;"'!$P$16")=""),"",IF(TRIM(INDIRECT("'"&amp;$A40&amp;"'!$P$16"))=TRIM(Tulokset!$M$14),2,0))</f>
        <v/>
      </c>
      <c r="DE40" s="333" t="str">
        <f ca="1">IF(OR(Tulokset!$M$15="",INDIRECT("'"&amp;$A40&amp;"'!$P$17")=""),"",IF(TRIM(INDIRECT("'"&amp;$A40&amp;"'!$P$17"))=TRIM(Tulokset!$M$15),2,0))</f>
        <v/>
      </c>
      <c r="DF40" s="333" t="str">
        <f ca="1">IF(OR(Tulokset!$N$12="",INDIRECT("'"&amp;$A40&amp;"'!$Q$14")=""),"",IF(TRIM(INDIRECT("'"&amp;$A40&amp;"'!$Q$14"))=TRIM(Tulokset!$N$12),2,0))</f>
        <v/>
      </c>
      <c r="DG40" s="333" t="str">
        <f ca="1">IF(OR(Tulokset!$N$13="",INDIRECT("'"&amp;$A40&amp;"'!$Q$15")=""),"",IF(TRIM(INDIRECT("'"&amp;$A40&amp;"'!$Q$15"))=TRIM(Tulokset!$N$13),2,0))</f>
        <v/>
      </c>
      <c r="DH40" s="333" t="str">
        <f ca="1">IF(OR(Tulokset!$N$14="",INDIRECT("'"&amp;$A40&amp;"'!$Q$16")=""),"",IF(TRIM(INDIRECT("'"&amp;$A40&amp;"'!$Q$16"))=TRIM(Tulokset!$N$14),2,0))</f>
        <v/>
      </c>
      <c r="DI40" s="333" t="str">
        <f ca="1">IF(OR(Tulokset!$N$15="",INDIRECT("'"&amp;$A40&amp;"'!$Q$17")=""),"",IF(TRIM(INDIRECT("'"&amp;$A40&amp;"'!$Q$17"))=TRIM(Tulokset!$N$15),2,0))</f>
        <v/>
      </c>
      <c r="DJ40" s="333" t="str">
        <f ca="1">IF(OR(Tulokset!$O$12="",INDIRECT("'"&amp;$A40&amp;"'!$R$14")=""),"",IF(TRIM(INDIRECT("'"&amp;$A40&amp;"'!$R$14"))=TRIM(Tulokset!$O$12),2,0))</f>
        <v/>
      </c>
      <c r="DK40" s="333" t="str">
        <f ca="1">IF(OR(Tulokset!$O$13="",INDIRECT("'"&amp;$A40&amp;"'!$R$15")=""),"",IF(TRIM(INDIRECT("'"&amp;$A40&amp;"'!$R$15"))=TRIM(Tulokset!$O$13),2,0))</f>
        <v/>
      </c>
      <c r="DL40" s="333" t="str">
        <f ca="1">IF(OR(Tulokset!$O$14="",INDIRECT("'"&amp;$A40&amp;"'!$R$16")=""),"",IF(TRIM(INDIRECT("'"&amp;$A40&amp;"'!$R$16"))=TRIM(Tulokset!$O$14),2,0))</f>
        <v/>
      </c>
      <c r="DM40" s="333" t="str">
        <f ca="1">IF(OR(Tulokset!$O$15="",INDIRECT("'"&amp;$A40&amp;"'!$R$17")=""),"",IF(TRIM(INDIRECT("'"&amp;$A40&amp;"'!$R$17"))=TRIM(Tulokset!$O$15),2,0))</f>
        <v/>
      </c>
      <c r="DN40" s="333" t="str">
        <f ca="1">IF(OR(Tulokset!$P$12="",INDIRECT("'"&amp;$A40&amp;"'!$S$14")=""),"",IF(TRIM(INDIRECT("'"&amp;$A40&amp;"'!$S$14"))=TRIM(Tulokset!$P$12),2,0))</f>
        <v/>
      </c>
      <c r="DO40" s="333" t="str">
        <f ca="1">IF(OR(Tulokset!$P$13="",INDIRECT("'"&amp;$A40&amp;"'!$S$15")=""),"",IF(TRIM(INDIRECT("'"&amp;$A40&amp;"'!$S$15"))=TRIM(Tulokset!$P$13),2,0))</f>
        <v/>
      </c>
      <c r="DP40" s="333" t="str">
        <f ca="1">IF(OR(Tulokset!$P$14="",INDIRECT("'"&amp;$A40&amp;"'!$S$16")=""),"",IF(TRIM(INDIRECT("'"&amp;$A40&amp;"'!$S$16"))=TRIM(Tulokset!$P$14),2,0))</f>
        <v/>
      </c>
      <c r="DQ40" s="333" t="str">
        <f ca="1">IF(OR(Tulokset!$P$15="",INDIRECT("'"&amp;$A40&amp;"'!$S$17")=""),"",IF(TRIM(INDIRECT("'"&amp;$A40&amp;"'!$S$17"))=TRIM(Tulokset!$P$15),2,0))</f>
        <v/>
      </c>
      <c r="DR40" s="333" t="str">
        <f ca="1">IF(OR(Tulokset!$Q$12="",INDIRECT("'"&amp;$A40&amp;"'!$T$14")=""),"",IF(TRIM(INDIRECT("'"&amp;$A40&amp;"'!$T$14"))=TRIM(Tulokset!$Q$12),2,0))</f>
        <v/>
      </c>
      <c r="DS40" s="333" t="str">
        <f ca="1">IF(OR(Tulokset!$Q$13="",INDIRECT("'"&amp;$A40&amp;"'!$T$15")=""),"",IF(TRIM(INDIRECT("'"&amp;$A40&amp;"'!$T$15"))=TRIM(Tulokset!$Q$13),2,0))</f>
        <v/>
      </c>
      <c r="DT40" s="333" t="str">
        <f ca="1">IF(OR(Tulokset!$Q$14="",INDIRECT("'"&amp;$A40&amp;"'!$T$16")=""),"",IF(TRIM(INDIRECT("'"&amp;$A40&amp;"'!$T$16"))=TRIM(Tulokset!$Q$14),2,0))</f>
        <v/>
      </c>
      <c r="DU40" s="333" t="str">
        <f ca="1">IF(OR(Tulokset!$Q$15="",INDIRECT("'"&amp;$A40&amp;"'!$T$17")=""),"",IF(TRIM(INDIRECT("'"&amp;$A40&amp;"'!$T$17"))=TRIM(Tulokset!$Q$15),2,0))</f>
        <v/>
      </c>
      <c r="DV40" s="333" t="str">
        <f ca="1">IF(OR(Tulokset!$R$12="",INDIRECT("'"&amp;$A40&amp;"'!$U$14")=""),"",IF(TRIM(INDIRECT("'"&amp;$A40&amp;"'!$U$14"))=TRIM(Tulokset!$R$12),2,0))</f>
        <v/>
      </c>
      <c r="DW40" s="333" t="str">
        <f ca="1">IF(OR(Tulokset!$R$13="",INDIRECT("'"&amp;$A40&amp;"'!$U$15")=""),"",IF(TRIM(INDIRECT("'"&amp;$A40&amp;"'!$U$15"))=TRIM(Tulokset!$R$13),2,0))</f>
        <v/>
      </c>
      <c r="DX40" s="333" t="str">
        <f ca="1">IF(OR(Tulokset!$R$14="",INDIRECT("'"&amp;$A40&amp;"'!$U$16")=""),"",IF(TRIM(INDIRECT("'"&amp;$A40&amp;"'!$U$16"))=TRIM(Tulokset!$R$14),2,0))</f>
        <v/>
      </c>
      <c r="DY40" s="333" t="str">
        <f ca="1">IF(OR(Tulokset!$R$15="",INDIRECT("'"&amp;$A40&amp;"'!$U$17")=""),"",IF(TRIM(INDIRECT("'"&amp;$A40&amp;"'!$U$17"))=TRIM(Tulokset!$R$15),2,0))</f>
        <v/>
      </c>
      <c r="DZ40" s="333"/>
      <c r="EA40" s="333" t="str">
        <f ca="1">IF(OR(INDIRECT("'"&amp;$A40&amp;"'!$E$79")="",COUNTA(Tulokset!$M$20:$M$21)=0),"",IF(COUNTIF(Tulokset!$M$20:$M$21,INDIRECT("'"&amp;$A40&amp;"'!$E$79"))&gt;0,2,0))</f>
        <v/>
      </c>
      <c r="EB40" s="333" t="str">
        <f ca="1">IF(OR(INDIRECT("'"&amp;$A40&amp;"'!$G$79")="",COUNTA(Tulokset!$M$20:$M$21)=0),"",IF(COUNTIF(Tulokset!$M$20:$M$21,INDIRECT("'"&amp;$A40&amp;"'!$G$79"))&gt;0,2,0))</f>
        <v/>
      </c>
      <c r="EC40" s="333" t="str">
        <f ca="1">IF(OR(INDIRECT("'"&amp;$A40&amp;"'!$E$80")="",COUNTA(Tulokset!$M$23:$M$24)=0),"",IF(COUNTIF(Tulokset!$M$23:$M$24,INDIRECT("'"&amp;$A40&amp;"'!$E$80"))&gt;0,2,0))</f>
        <v/>
      </c>
      <c r="ED40" s="333" t="str">
        <f ca="1">IF(OR(INDIRECT("'"&amp;$A40&amp;"'!$G$80")="",COUNTA(Tulokset!$M$23:$M$24)=0),"",IF(COUNTIF(Tulokset!$M$23:$M$24,INDIRECT("'"&amp;$A40&amp;"'!$G$80"))&gt;0,2,0))</f>
        <v/>
      </c>
    </row>
    <row r="41" spans="1:134">
      <c r="A41" s="333">
        <v>38</v>
      </c>
      <c r="B41" s="333" t="str">
        <f t="shared" ca="1" si="0"/>
        <v/>
      </c>
      <c r="C41" s="334">
        <f t="shared" si="1"/>
        <v>0</v>
      </c>
      <c r="D41" s="334">
        <f t="shared" ca="1" si="2"/>
        <v>0</v>
      </c>
      <c r="E41" s="334">
        <f t="shared" ca="1" si="3"/>
        <v>0</v>
      </c>
      <c r="F41" s="334" t="str">
        <f t="shared" ca="1" si="4"/>
        <v/>
      </c>
      <c r="G41" s="334">
        <f t="shared" si="5"/>
        <v>0</v>
      </c>
      <c r="H41" s="333" t="str">
        <f>IF(OR(Tulokset!$G$6="",Tulokset!$I$6="",'38'!$I$7="",'38'!$K$7=""),"",IF(SIGN('38'!$I$7-'38'!$K$7)&lt;&gt;SIGN(Tulokset!$G$6-Tulokset!$I$6),0,IF(Tulokset!$G$6=Tulokset!$I$6,IF(AND('38'!$I$7=Tulokset!$G$6,'38'!$K$7=Tulokset!$I$6),6,3),MAX(0,6-(ABS('38'!$I$7-Tulokset!$G$6)+ABS('38'!$K$7-Tulokset!$I$6))))))</f>
        <v/>
      </c>
      <c r="I41" s="333" t="str">
        <f>IF(OR(Tulokset!$G$7="",Tulokset!$I$7="",'38'!$I$8="",'38'!$K$8=""),"",IF(SIGN('38'!$I$8-'38'!$K$8)&lt;&gt;SIGN(Tulokset!$G$7-Tulokset!$I$7),0,IF(Tulokset!$G$7=Tulokset!$I$7,IF(AND('38'!$I$8=Tulokset!$G$7,'38'!$K$8=Tulokset!$I$7),6,3),MAX(0,6-(ABS('38'!$I$8-Tulokset!$G$7)+ABS('38'!$K$8-Tulokset!$I$7))))))</f>
        <v/>
      </c>
      <c r="J41" s="333" t="str">
        <f>IF(OR(Tulokset!$G$8="",Tulokset!$I$8="",'38'!$I$9="",'38'!$K$9=""),"",IF(SIGN('38'!$I$9-'38'!$K$9)&lt;&gt;SIGN(Tulokset!$G$8-Tulokset!$I$8),0,IF(Tulokset!$G$8=Tulokset!$I$8,IF(AND('38'!$I$9=Tulokset!$G$8,'38'!$K$9=Tulokset!$I$8),6,3),MAX(0,6-(ABS('38'!$I$9-Tulokset!$G$8)+ABS('38'!$K$9-Tulokset!$I$8))))))</f>
        <v/>
      </c>
      <c r="K41" s="333" t="str">
        <f>IF(OR(Tulokset!$G$9="",Tulokset!$I$9="",'38'!$I$10="",'38'!$K$10=""),"",IF(SIGN('38'!$I$10-'38'!$K$10)&lt;&gt;SIGN(Tulokset!$G$9-Tulokset!$I$9),0,IF(Tulokset!$G$9=Tulokset!$I$9,IF(AND('38'!$I$10=Tulokset!$G$9,'38'!$K$10=Tulokset!$I$9),6,3),MAX(0,6-(ABS('38'!$I$10-Tulokset!$G$9)+ABS('38'!$K$10-Tulokset!$I$9))))))</f>
        <v/>
      </c>
      <c r="L41" s="333" t="str">
        <f>IF(OR(Tulokset!$G$10="",Tulokset!$I$10="",'38'!$I$11="",'38'!$K$11=""),"",IF(SIGN('38'!$I$11-'38'!$K$11)&lt;&gt;SIGN(Tulokset!$G$10-Tulokset!$I$10),0,IF(Tulokset!$G$10=Tulokset!$I$10,IF(AND('38'!$I$11=Tulokset!$G$10,'38'!$K$11=Tulokset!$I$10),6,3),MAX(0,6-(ABS('38'!$I$11-Tulokset!$G$10)+ABS('38'!$K$11-Tulokset!$I$10))))))</f>
        <v/>
      </c>
      <c r="M41" s="333" t="str">
        <f>IF(OR(Tulokset!$G$11="",Tulokset!$I$11="",'38'!$I$12="",'38'!$K$12=""),"",IF(SIGN('38'!$I$12-'38'!$K$12)&lt;&gt;SIGN(Tulokset!$G$11-Tulokset!$I$11),0,IF(Tulokset!$G$11=Tulokset!$I$11,IF(AND('38'!$I$12=Tulokset!$G$11,'38'!$K$12=Tulokset!$I$11),6,3),MAX(0,6-(ABS('38'!$I$12-Tulokset!$G$11)+ABS('38'!$K$12-Tulokset!$I$11))))))</f>
        <v/>
      </c>
      <c r="N41" s="333" t="str">
        <f>IF(OR(Tulokset!$G$12="",Tulokset!$I$12="",'38'!$I$13="",'38'!$K$13=""),"",IF(SIGN('38'!$I$13-'38'!$K$13)&lt;&gt;SIGN(Tulokset!$G$12-Tulokset!$I$12),0,IF(Tulokset!$G$12=Tulokset!$I$12,IF(AND('38'!$I$13=Tulokset!$G$12,'38'!$K$13=Tulokset!$I$12),6,3),MAX(0,6-(ABS('38'!$I$13-Tulokset!$G$12)+ABS('38'!$K$13-Tulokset!$I$12))))))</f>
        <v/>
      </c>
      <c r="O41" s="333" t="str">
        <f>IF(OR(Tulokset!$G$13="",Tulokset!$I$13="",'38'!$I$14="",'38'!$K$14=""),"",IF(SIGN('38'!$I$14-'38'!$K$14)&lt;&gt;SIGN(Tulokset!$G$13-Tulokset!$I$13),0,IF(Tulokset!$G$13=Tulokset!$I$13,IF(AND('38'!$I$14=Tulokset!$G$13,'38'!$K$14=Tulokset!$I$13),6,3),MAX(0,6-(ABS('38'!$I$14-Tulokset!$G$13)+ABS('38'!$K$14-Tulokset!$I$13))))))</f>
        <v/>
      </c>
      <c r="P41" s="333" t="str">
        <f>IF(OR(Tulokset!$G$14="",Tulokset!$I$14="",'38'!$I$15="",'38'!$K$15=""),"",IF(SIGN('38'!$I$15-'38'!$K$15)&lt;&gt;SIGN(Tulokset!$G$14-Tulokset!$I$14),0,IF(Tulokset!$G$14=Tulokset!$I$14,IF(AND('38'!$I$15=Tulokset!$G$14,'38'!$K$15=Tulokset!$I$14),6,3),MAX(0,6-(ABS('38'!$I$15-Tulokset!$G$14)+ABS('38'!$K$15-Tulokset!$I$14))))))</f>
        <v/>
      </c>
      <c r="Q41" s="333" t="str">
        <f>IF(OR(Tulokset!$G$15="",Tulokset!$I$15="",'38'!$I$16="",'38'!$K$16=""),"",IF(SIGN('38'!$I$16-'38'!$K$16)&lt;&gt;SIGN(Tulokset!$G$15-Tulokset!$I$15),0,IF(Tulokset!$G$15=Tulokset!$I$15,IF(AND('38'!$I$16=Tulokset!$G$15,'38'!$K$16=Tulokset!$I$15),6,3),MAX(0,6-(ABS('38'!$I$16-Tulokset!$G$15)+ABS('38'!$K$16-Tulokset!$I$15))))))</f>
        <v/>
      </c>
      <c r="R41" s="333" t="str">
        <f>IF(OR(Tulokset!$G$16="",Tulokset!$I$16="",'38'!$I$17="",'38'!$K$17=""),"",IF(SIGN('38'!$I$17-'38'!$K$17)&lt;&gt;SIGN(Tulokset!$G$16-Tulokset!$I$16),0,IF(Tulokset!$G$16=Tulokset!$I$16,IF(AND('38'!$I$17=Tulokset!$G$16,'38'!$K$17=Tulokset!$I$16),6,3),MAX(0,6-(ABS('38'!$I$17-Tulokset!$G$16)+ABS('38'!$K$17-Tulokset!$I$16))))))</f>
        <v/>
      </c>
      <c r="S41" s="333" t="str">
        <f>IF(OR(Tulokset!$G$17="",Tulokset!$I$17="",'38'!$I$18="",'38'!$K$18=""),"",IF(SIGN('38'!$I$18-'38'!$K$18)&lt;&gt;SIGN(Tulokset!$G$17-Tulokset!$I$17),0,IF(Tulokset!$G$17=Tulokset!$I$17,IF(AND('38'!$I$18=Tulokset!$G$17,'38'!$K$18=Tulokset!$I$17),6,3),MAX(0,6-(ABS('38'!$I$18-Tulokset!$G$17)+ABS('38'!$K$18-Tulokset!$I$17))))))</f>
        <v/>
      </c>
      <c r="T41" s="333" t="str">
        <f>IF(OR(Tulokset!$G$18="",Tulokset!$I$18="",'38'!$I$19="",'38'!$K$19=""),"",IF(SIGN('38'!$I$19-'38'!$K$19)&lt;&gt;SIGN(Tulokset!$G$18-Tulokset!$I$18),0,IF(Tulokset!$G$18=Tulokset!$I$18,IF(AND('38'!$I$19=Tulokset!$G$18,'38'!$K$19=Tulokset!$I$18),6,3),MAX(0,6-(ABS('38'!$I$19-Tulokset!$G$18)+ABS('38'!$K$19-Tulokset!$I$18))))))</f>
        <v/>
      </c>
      <c r="U41" s="333" t="str">
        <f>IF(OR(Tulokset!$G$19="",Tulokset!$I$19="",'38'!$I$20="",'38'!$K$20=""),"",IF(SIGN('38'!$I$20-'38'!$K$20)&lt;&gt;SIGN(Tulokset!$G$19-Tulokset!$I$19),0,IF(Tulokset!$G$19=Tulokset!$I$19,IF(AND('38'!$I$20=Tulokset!$G$19,'38'!$K$20=Tulokset!$I$19),6,3),MAX(0,6-(ABS('38'!$I$20-Tulokset!$G$19)+ABS('38'!$K$20-Tulokset!$I$19))))))</f>
        <v/>
      </c>
      <c r="V41" s="333" t="str">
        <f>IF(OR(Tulokset!$G$20="",Tulokset!$I$20="",'38'!$I$21="",'38'!$K$21=""),"",IF(SIGN('38'!$I$21-'38'!$K$21)&lt;&gt;SIGN(Tulokset!$G$20-Tulokset!$I$20),0,IF(Tulokset!$G$20=Tulokset!$I$20,IF(AND('38'!$I$21=Tulokset!$G$20,'38'!$K$21=Tulokset!$I$20),6,3),MAX(0,6-(ABS('38'!$I$21-Tulokset!$G$20)+ABS('38'!$K$21-Tulokset!$I$20))))))</f>
        <v/>
      </c>
      <c r="W41" s="333" t="str">
        <f>IF(OR(Tulokset!$G$21="",Tulokset!$I$21="",'38'!$I$22="",'38'!$K$22=""),"",IF(SIGN('38'!$I$22-'38'!$K$22)&lt;&gt;SIGN(Tulokset!$G$21-Tulokset!$I$21),0,IF(Tulokset!$G$21=Tulokset!$I$21,IF(AND('38'!$I$22=Tulokset!$G$21,'38'!$K$22=Tulokset!$I$21),6,3),MAX(0,6-(ABS('38'!$I$22-Tulokset!$G$21)+ABS('38'!$K$22-Tulokset!$I$21))))))</f>
        <v/>
      </c>
      <c r="X41" s="333" t="str">
        <f>IF(OR(Tulokset!$G$22="",Tulokset!$I$22="",'38'!$I$23="",'38'!$K$23=""),"",IF(SIGN('38'!$I$23-'38'!$K$23)&lt;&gt;SIGN(Tulokset!$G$22-Tulokset!$I$22),0,IF(Tulokset!$G$22=Tulokset!$I$22,IF(AND('38'!$I$23=Tulokset!$G$22,'38'!$K$23=Tulokset!$I$22),6,3),MAX(0,6-(ABS('38'!$I$23-Tulokset!$G$22)+ABS('38'!$K$23-Tulokset!$I$22))))))</f>
        <v/>
      </c>
      <c r="Y41" s="333" t="str">
        <f>IF(OR(Tulokset!$G$23="",Tulokset!$I$23="",'38'!$I$24="",'38'!$K$24=""),"",IF(SIGN('38'!$I$24-'38'!$K$24)&lt;&gt;SIGN(Tulokset!$G$23-Tulokset!$I$23),0,IF(Tulokset!$G$23=Tulokset!$I$23,IF(AND('38'!$I$24=Tulokset!$G$23,'38'!$K$24=Tulokset!$I$23),6,3),MAX(0,6-(ABS('38'!$I$24-Tulokset!$G$23)+ABS('38'!$K$24-Tulokset!$I$23))))))</f>
        <v/>
      </c>
      <c r="Z41" s="333" t="str">
        <f>IF(OR(Tulokset!$G$24="",Tulokset!$I$24="",'38'!$I$25="",'38'!$K$25=""),"",IF(SIGN('38'!$I$25-'38'!$K$25)&lt;&gt;SIGN(Tulokset!$G$24-Tulokset!$I$24),0,IF(Tulokset!$G$24=Tulokset!$I$24,IF(AND('38'!$I$25=Tulokset!$G$24,'38'!$K$25=Tulokset!$I$24),6,3),MAX(0,6-(ABS('38'!$I$25-Tulokset!$G$24)+ABS('38'!$K$25-Tulokset!$I$24))))))</f>
        <v/>
      </c>
      <c r="AA41" s="333" t="str">
        <f>IF(OR(Tulokset!$G$25="",Tulokset!$I$25="",'38'!$I$26="",'38'!$K$26=""),"",IF(SIGN('38'!$I$26-'38'!$K$26)&lt;&gt;SIGN(Tulokset!$G$25-Tulokset!$I$25),0,IF(Tulokset!$G$25=Tulokset!$I$25,IF(AND('38'!$I$26=Tulokset!$G$25,'38'!$K$26=Tulokset!$I$25),6,3),MAX(0,6-(ABS('38'!$I$26-Tulokset!$G$25)+ABS('38'!$K$26-Tulokset!$I$25))))))</f>
        <v/>
      </c>
      <c r="AB41" s="333" t="str">
        <f>IF(OR(Tulokset!$G$26="",Tulokset!$I$26="",'38'!$I$27="",'38'!$K$27=""),"",IF(SIGN('38'!$I$27-'38'!$K$27)&lt;&gt;SIGN(Tulokset!$G$26-Tulokset!$I$26),0,IF(Tulokset!$G$26=Tulokset!$I$26,IF(AND('38'!$I$27=Tulokset!$G$26,'38'!$K$27=Tulokset!$I$26),6,3),MAX(0,6-(ABS('38'!$I$27-Tulokset!$G$26)+ABS('38'!$K$27-Tulokset!$I$26))))))</f>
        <v/>
      </c>
      <c r="AC41" s="333" t="str">
        <f>IF(OR(Tulokset!$G$27="",Tulokset!$I$27="",'38'!$I$28="",'38'!$K$28=""),"",IF(SIGN('38'!$I$28-'38'!$K$28)&lt;&gt;SIGN(Tulokset!$G$27-Tulokset!$I$27),0,IF(Tulokset!$G$27=Tulokset!$I$27,IF(AND('38'!$I$28=Tulokset!$G$27,'38'!$K$28=Tulokset!$I$27),6,3),MAX(0,6-(ABS('38'!$I$28-Tulokset!$G$27)+ABS('38'!$K$28-Tulokset!$I$27))))))</f>
        <v/>
      </c>
      <c r="AD41" s="333" t="str">
        <f>IF(OR(Tulokset!$G$28="",Tulokset!$I$28="",'38'!$I$29="",'38'!$K$29=""),"",IF(SIGN('38'!$I$29-'38'!$K$29)&lt;&gt;SIGN(Tulokset!$G$28-Tulokset!$I$28),0,IF(Tulokset!$G$28=Tulokset!$I$28,IF(AND('38'!$I$29=Tulokset!$G$28,'38'!$K$29=Tulokset!$I$28),6,3),MAX(0,6-(ABS('38'!$I$29-Tulokset!$G$28)+ABS('38'!$K$29-Tulokset!$I$28))))))</f>
        <v/>
      </c>
      <c r="AE41" s="333" t="str">
        <f>IF(OR(Tulokset!$G$29="",Tulokset!$I$29="",'38'!$I$30="",'38'!$K$30=""),"",IF(SIGN('38'!$I$30-'38'!$K$30)&lt;&gt;SIGN(Tulokset!$G$29-Tulokset!$I$29),0,IF(Tulokset!$G$29=Tulokset!$I$29,IF(AND('38'!$I$30=Tulokset!$G$29,'38'!$K$30=Tulokset!$I$29),6,3),MAX(0,6-(ABS('38'!$I$30-Tulokset!$G$29)+ABS('38'!$K$30-Tulokset!$I$29))))))</f>
        <v/>
      </c>
      <c r="AF41" s="333" t="str">
        <f>IF(OR(Tulokset!$G$30="",Tulokset!$I$30="",'38'!$I$31="",'38'!$K$31=""),"",IF(SIGN('38'!$I$31-'38'!$K$31)&lt;&gt;SIGN(Tulokset!$G$30-Tulokset!$I$30),0,IF(Tulokset!$G$30=Tulokset!$I$30,IF(AND('38'!$I$31=Tulokset!$G$30,'38'!$K$31=Tulokset!$I$30),6,3),MAX(0,6-(ABS('38'!$I$31-Tulokset!$G$30)+ABS('38'!$K$31-Tulokset!$I$30))))))</f>
        <v/>
      </c>
      <c r="AG41" s="333" t="str">
        <f>IF(OR(Tulokset!$G$31="",Tulokset!$I$31="",'38'!$I$32="",'38'!$K$32=""),"",IF(SIGN('38'!$I$32-'38'!$K$32)&lt;&gt;SIGN(Tulokset!$G$31-Tulokset!$I$31),0,IF(Tulokset!$G$31=Tulokset!$I$31,IF(AND('38'!$I$32=Tulokset!$G$31,'38'!$K$32=Tulokset!$I$31),6,3),MAX(0,6-(ABS('38'!$I$32-Tulokset!$G$31)+ABS('38'!$K$32-Tulokset!$I$31))))))</f>
        <v/>
      </c>
      <c r="AH41" s="333" t="str">
        <f>IF(OR(Tulokset!$G$32="",Tulokset!$I$32="",'38'!$I$33="",'38'!$K$33=""),"",IF(SIGN('38'!$I$33-'38'!$K$33)&lt;&gt;SIGN(Tulokset!$G$32-Tulokset!$I$32),0,IF(Tulokset!$G$32=Tulokset!$I$32,IF(AND('38'!$I$33=Tulokset!$G$32,'38'!$K$33=Tulokset!$I$32),6,3),MAX(0,6-(ABS('38'!$I$33-Tulokset!$G$32)+ABS('38'!$K$33-Tulokset!$I$32))))))</f>
        <v/>
      </c>
      <c r="AI41" s="333" t="str">
        <f>IF(OR(Tulokset!$G$33="",Tulokset!$I$33="",'38'!$I$34="",'38'!$K$34=""),"",IF(SIGN('38'!$I$34-'38'!$K$34)&lt;&gt;SIGN(Tulokset!$G$33-Tulokset!$I$33),0,IF(Tulokset!$G$33=Tulokset!$I$33,IF(AND('38'!$I$34=Tulokset!$G$33,'38'!$K$34=Tulokset!$I$33),6,3),MAX(0,6-(ABS('38'!$I$34-Tulokset!$G$33)+ABS('38'!$K$34-Tulokset!$I$33))))))</f>
        <v/>
      </c>
      <c r="AJ41" s="333" t="str">
        <f>IF(OR(Tulokset!$G$34="",Tulokset!$I$34="",'38'!$I$35="",'38'!$K$35=""),"",IF(SIGN('38'!$I$35-'38'!$K$35)&lt;&gt;SIGN(Tulokset!$G$34-Tulokset!$I$34),0,IF(Tulokset!$G$34=Tulokset!$I$34,IF(AND('38'!$I$35=Tulokset!$G$34,'38'!$K$35=Tulokset!$I$34),6,3),MAX(0,6-(ABS('38'!$I$35-Tulokset!$G$34)+ABS('38'!$K$35-Tulokset!$I$34))))))</f>
        <v/>
      </c>
      <c r="AK41" s="333" t="str">
        <f>IF(OR(Tulokset!$G$35="",Tulokset!$I$35="",'38'!$I$36="",'38'!$K$36=""),"",IF(SIGN('38'!$I$36-'38'!$K$36)&lt;&gt;SIGN(Tulokset!$G$35-Tulokset!$I$35),0,IF(Tulokset!$G$35=Tulokset!$I$35,IF(AND('38'!$I$36=Tulokset!$G$35,'38'!$K$36=Tulokset!$I$35),6,3),MAX(0,6-(ABS('38'!$I$36-Tulokset!$G$35)+ABS('38'!$K$36-Tulokset!$I$35))))))</f>
        <v/>
      </c>
      <c r="AL41" s="333" t="str">
        <f>IF(OR(Tulokset!$G$36="",Tulokset!$I$36="",'38'!$I$37="",'38'!$K$37=""),"",IF(SIGN('38'!$I$37-'38'!$K$37)&lt;&gt;SIGN(Tulokset!$G$36-Tulokset!$I$36),0,IF(Tulokset!$G$36=Tulokset!$I$36,IF(AND('38'!$I$37=Tulokset!$G$36,'38'!$K$37=Tulokset!$I$36),6,3),MAX(0,6-(ABS('38'!$I$37-Tulokset!$G$36)+ABS('38'!$K$37-Tulokset!$I$36))))))</f>
        <v/>
      </c>
      <c r="AM41" s="333" t="str">
        <f>IF(OR(Tulokset!$G$37="",Tulokset!$I$37="",'38'!$I$38="",'38'!$K$38=""),"",IF(SIGN('38'!$I$38-'38'!$K$38)&lt;&gt;SIGN(Tulokset!$G$37-Tulokset!$I$37),0,IF(Tulokset!$G$37=Tulokset!$I$37,IF(AND('38'!$I$38=Tulokset!$G$37,'38'!$K$38=Tulokset!$I$37),6,3),MAX(0,6-(ABS('38'!$I$38-Tulokset!$G$37)+ABS('38'!$K$38-Tulokset!$I$37))))))</f>
        <v/>
      </c>
      <c r="AN41" s="333" t="str">
        <f>IF(OR(Tulokset!$G$38="",Tulokset!$I$38="",'38'!$I$39="",'38'!$K$39=""),"",IF(SIGN('38'!$I$39-'38'!$K$39)&lt;&gt;SIGN(Tulokset!$G$38-Tulokset!$I$38),0,IF(Tulokset!$G$38=Tulokset!$I$38,IF(AND('38'!$I$39=Tulokset!$G$38,'38'!$K$39=Tulokset!$I$38),6,3),MAX(0,6-(ABS('38'!$I$39-Tulokset!$G$38)+ABS('38'!$K$39-Tulokset!$I$38))))))</f>
        <v/>
      </c>
      <c r="AO41" s="333" t="str">
        <f>IF(OR(Tulokset!$G$39="",Tulokset!$I$39="",'38'!$I$40="",'38'!$K$40=""),"",IF(SIGN('38'!$I$40-'38'!$K$40)&lt;&gt;SIGN(Tulokset!$G$39-Tulokset!$I$39),0,IF(Tulokset!$G$39=Tulokset!$I$39,IF(AND('38'!$I$40=Tulokset!$G$39,'38'!$K$40=Tulokset!$I$39),6,3),MAX(0,6-(ABS('38'!$I$40-Tulokset!$G$39)+ABS('38'!$K$40-Tulokset!$I$39))))))</f>
        <v/>
      </c>
      <c r="AP41" s="333" t="str">
        <f>IF(OR(Tulokset!$G$40="",Tulokset!$I$40="",'38'!$I$41="",'38'!$K$41=""),"",IF(SIGN('38'!$I$41-'38'!$K$41)&lt;&gt;SIGN(Tulokset!$G$40-Tulokset!$I$40),0,IF(Tulokset!$G$40=Tulokset!$I$40,IF(AND('38'!$I$41=Tulokset!$G$40,'38'!$K$41=Tulokset!$I$40),6,3),MAX(0,6-(ABS('38'!$I$41-Tulokset!$G$40)+ABS('38'!$K$41-Tulokset!$I$40))))))</f>
        <v/>
      </c>
      <c r="AQ41" s="333" t="str">
        <f>IF(OR(Tulokset!$G$41="",Tulokset!$I$41="",'38'!$I$42="",'38'!$K$42=""),"",IF(SIGN('38'!$I$42-'38'!$K$42)&lt;&gt;SIGN(Tulokset!$G$41-Tulokset!$I$41),0,IF(Tulokset!$G$41=Tulokset!$I$41,IF(AND('38'!$I$42=Tulokset!$G$41,'38'!$K$42=Tulokset!$I$41),6,3),MAX(0,6-(ABS('38'!$I$42-Tulokset!$G$41)+ABS('38'!$K$42-Tulokset!$I$41))))))</f>
        <v/>
      </c>
      <c r="AR41" s="333" t="str">
        <f>IF(OR(Tulokset!$G$42="",Tulokset!$I$42="",'38'!$I$43="",'38'!$K$43=""),"",IF(SIGN('38'!$I$43-'38'!$K$43)&lt;&gt;SIGN(Tulokset!$G$42-Tulokset!$I$42),0,IF(Tulokset!$G$42=Tulokset!$I$42,IF(AND('38'!$I$43=Tulokset!$G$42,'38'!$K$43=Tulokset!$I$42),6,3),MAX(0,6-(ABS('38'!$I$43-Tulokset!$G$42)+ABS('38'!$K$43-Tulokset!$I$42))))))</f>
        <v/>
      </c>
      <c r="AS41" s="333" t="str">
        <f>IF(OR(Tulokset!$G$43="",Tulokset!$I$43="",'38'!$I$44="",'38'!$K$44=""),"",IF(SIGN('38'!$I$44-'38'!$K$44)&lt;&gt;SIGN(Tulokset!$G$43-Tulokset!$I$43),0,IF(Tulokset!$G$43=Tulokset!$I$43,IF(AND('38'!$I$44=Tulokset!$G$43,'38'!$K$44=Tulokset!$I$43),6,3),MAX(0,6-(ABS('38'!$I$44-Tulokset!$G$43)+ABS('38'!$K$44-Tulokset!$I$43))))))</f>
        <v/>
      </c>
      <c r="AT41" s="333" t="str">
        <f>IF(OR(Tulokset!$G$44="",Tulokset!$I$44="",'38'!$I$45="",'38'!$K$45=""),"",IF(SIGN('38'!$I$45-'38'!$K$45)&lt;&gt;SIGN(Tulokset!$G$44-Tulokset!$I$44),0,IF(Tulokset!$G$44=Tulokset!$I$44,IF(AND('38'!$I$45=Tulokset!$G$44,'38'!$K$45=Tulokset!$I$44),6,3),MAX(0,6-(ABS('38'!$I$45-Tulokset!$G$44)+ABS('38'!$K$45-Tulokset!$I$44))))))</f>
        <v/>
      </c>
      <c r="AU41" s="333" t="str">
        <f>IF(OR(Tulokset!$G$45="",Tulokset!$I$45="",'38'!$I$46="",'38'!$K$46=""),"",IF(SIGN('38'!$I$46-'38'!$K$46)&lt;&gt;SIGN(Tulokset!$G$45-Tulokset!$I$45),0,IF(Tulokset!$G$45=Tulokset!$I$45,IF(AND('38'!$I$46=Tulokset!$G$45,'38'!$K$46=Tulokset!$I$45),6,3),MAX(0,6-(ABS('38'!$I$46-Tulokset!$G$45)+ABS('38'!$K$46-Tulokset!$I$45))))))</f>
        <v/>
      </c>
      <c r="AV41" s="333" t="str">
        <f>IF(OR(Tulokset!$G$46="",Tulokset!$I$46="",'38'!$I$47="",'38'!$K$47=""),"",IF(SIGN('38'!$I$47-'38'!$K$47)&lt;&gt;SIGN(Tulokset!$G$46-Tulokset!$I$46),0,IF(Tulokset!$G$46=Tulokset!$I$46,IF(AND('38'!$I$47=Tulokset!$G$46,'38'!$K$47=Tulokset!$I$46),6,3),MAX(0,6-(ABS('38'!$I$47-Tulokset!$G$46)+ABS('38'!$K$47-Tulokset!$I$46))))))</f>
        <v/>
      </c>
      <c r="AW41" s="333" t="str">
        <f>IF(OR(Tulokset!$G$47="",Tulokset!$I$47="",'38'!$I$48="",'38'!$K$48=""),"",IF(SIGN('38'!$I$48-'38'!$K$48)&lt;&gt;SIGN(Tulokset!$G$47-Tulokset!$I$47),0,IF(Tulokset!$G$47=Tulokset!$I$47,IF(AND('38'!$I$48=Tulokset!$G$47,'38'!$K$48=Tulokset!$I$47),6,3),MAX(0,6-(ABS('38'!$I$48-Tulokset!$G$47)+ABS('38'!$K$48-Tulokset!$I$47))))))</f>
        <v/>
      </c>
      <c r="AX41" s="333" t="str">
        <f>IF(OR(Tulokset!$G$48="",Tulokset!$I$48="",'38'!$I$49="",'38'!$K$49=""),"",IF(SIGN('38'!$I$49-'38'!$K$49)&lt;&gt;SIGN(Tulokset!$G$48-Tulokset!$I$48),0,IF(Tulokset!$G$48=Tulokset!$I$48,IF(AND('38'!$I$49=Tulokset!$G$48,'38'!$K$49=Tulokset!$I$48),6,3),MAX(0,6-(ABS('38'!$I$49-Tulokset!$G$48)+ABS('38'!$K$49-Tulokset!$I$48))))))</f>
        <v/>
      </c>
      <c r="AY41" s="333" t="str">
        <f>IF(OR(Tulokset!$G$49="",Tulokset!$I$49="",'38'!$I$50="",'38'!$K$50=""),"",IF(SIGN('38'!$I$50-'38'!$K$50)&lt;&gt;SIGN(Tulokset!$G$49-Tulokset!$I$49),0,IF(Tulokset!$G$49=Tulokset!$I$49,IF(AND('38'!$I$50=Tulokset!$G$49,'38'!$K$50=Tulokset!$I$49),6,3),MAX(0,6-(ABS('38'!$I$50-Tulokset!$G$49)+ABS('38'!$K$50-Tulokset!$I$49))))))</f>
        <v/>
      </c>
      <c r="AZ41" s="333" t="str">
        <f>IF(OR(Tulokset!$G$50="",Tulokset!$I$50="",'38'!$I$51="",'38'!$K$51=""),"",IF(SIGN('38'!$I$51-'38'!$K$51)&lt;&gt;SIGN(Tulokset!$G$50-Tulokset!$I$50),0,IF(Tulokset!$G$50=Tulokset!$I$50,IF(AND('38'!$I$51=Tulokset!$G$50,'38'!$K$51=Tulokset!$I$50),6,3),MAX(0,6-(ABS('38'!$I$51-Tulokset!$G$50)+ABS('38'!$K$51-Tulokset!$I$50))))))</f>
        <v/>
      </c>
      <c r="BA41" s="333" t="str">
        <f>IF(OR(Tulokset!$G$51="",Tulokset!$I$51="",'38'!$I$52="",'38'!$K$52=""),"",IF(SIGN('38'!$I$52-'38'!$K$52)&lt;&gt;SIGN(Tulokset!$G$51-Tulokset!$I$51),0,IF(Tulokset!$G$51=Tulokset!$I$51,IF(AND('38'!$I$52=Tulokset!$G$51,'38'!$K$52=Tulokset!$I$51),6,3),MAX(0,6-(ABS('38'!$I$52-Tulokset!$G$51)+ABS('38'!$K$52-Tulokset!$I$51))))))</f>
        <v/>
      </c>
      <c r="BB41" s="333" t="str">
        <f>IF(OR(Tulokset!$G$52="",Tulokset!$I$52="",'38'!$I$53="",'38'!$K$53=""),"",IF(SIGN('38'!$I$53-'38'!$K$53)&lt;&gt;SIGN(Tulokset!$G$52-Tulokset!$I$52),0,IF(Tulokset!$G$52=Tulokset!$I$52,IF(AND('38'!$I$53=Tulokset!$G$52,'38'!$K$53=Tulokset!$I$52),6,3),MAX(0,6-(ABS('38'!$I$53-Tulokset!$G$52)+ABS('38'!$K$53-Tulokset!$I$52))))))</f>
        <v/>
      </c>
      <c r="BC41" s="333" t="str">
        <f>IF(OR(Tulokset!$G$53="",Tulokset!$I$53="",'38'!$I$54="",'38'!$K$54=""),"",IF(SIGN('38'!$I$54-'38'!$K$54)&lt;&gt;SIGN(Tulokset!$G$53-Tulokset!$I$53),0,IF(Tulokset!$G$53=Tulokset!$I$53,IF(AND('38'!$I$54=Tulokset!$G$53,'38'!$K$54=Tulokset!$I$53),6,3),MAX(0,6-(ABS('38'!$I$54-Tulokset!$G$53)+ABS('38'!$K$54-Tulokset!$I$53))))))</f>
        <v/>
      </c>
      <c r="BD41" s="333" t="str">
        <f>IF(OR(Tulokset!$G$54="",Tulokset!$I$54="",'38'!$I$55="",'38'!$K$55=""),"",IF(SIGN('38'!$I$55-'38'!$K$55)&lt;&gt;SIGN(Tulokset!$G$54-Tulokset!$I$54),0,IF(Tulokset!$G$54=Tulokset!$I$54,IF(AND('38'!$I$55=Tulokset!$G$54,'38'!$K$55=Tulokset!$I$54),6,3),MAX(0,6-(ABS('38'!$I$55-Tulokset!$G$54)+ABS('38'!$K$55-Tulokset!$I$54))))))</f>
        <v/>
      </c>
      <c r="BE41" s="333" t="str">
        <f>IF(OR(Tulokset!$G$55="",Tulokset!$I$55="",'38'!$I$56="",'38'!$K$56=""),"",IF(SIGN('38'!$I$56-'38'!$K$56)&lt;&gt;SIGN(Tulokset!$G$55-Tulokset!$I$55),0,IF(Tulokset!$G$55=Tulokset!$I$55,IF(AND('38'!$I$56=Tulokset!$G$55,'38'!$K$56=Tulokset!$I$55),6,3),MAX(0,6-(ABS('38'!$I$56-Tulokset!$G$55)+ABS('38'!$K$56-Tulokset!$I$55))))))</f>
        <v/>
      </c>
      <c r="BF41" s="333" t="str">
        <f>IF(OR(Tulokset!$G$56="",Tulokset!$I$56="",'38'!$I$57="",'38'!$K$57=""),"",IF(SIGN('38'!$I$57-'38'!$K$57)&lt;&gt;SIGN(Tulokset!$G$56-Tulokset!$I$56),0,IF(Tulokset!$G$56=Tulokset!$I$56,IF(AND('38'!$I$57=Tulokset!$G$56,'38'!$K$57=Tulokset!$I$56),6,3),MAX(0,6-(ABS('38'!$I$57-Tulokset!$G$56)+ABS('38'!$K$57-Tulokset!$I$56))))))</f>
        <v/>
      </c>
      <c r="BG41" s="333" t="str">
        <f>IF(OR(Tulokset!$G$57="",Tulokset!$I$57="",'38'!$I$58="",'38'!$K$58=""),"",IF(SIGN('38'!$I$58-'38'!$K$58)&lt;&gt;SIGN(Tulokset!$G$57-Tulokset!$I$57),0,IF(Tulokset!$G$57=Tulokset!$I$57,IF(AND('38'!$I$58=Tulokset!$G$57,'38'!$K$58=Tulokset!$I$57),6,3),MAX(0,6-(ABS('38'!$I$58-Tulokset!$G$57)+ABS('38'!$K$58-Tulokset!$I$57))))))</f>
        <v/>
      </c>
      <c r="BH41" s="333" t="str">
        <f>IF(OR(Tulokset!$G$58="",Tulokset!$I$58="",'38'!$I$59="",'38'!$K$59=""),"",IF(SIGN('38'!$I$59-'38'!$K$59)&lt;&gt;SIGN(Tulokset!$G$58-Tulokset!$I$58),0,IF(Tulokset!$G$58=Tulokset!$I$58,IF(AND('38'!$I$59=Tulokset!$G$58,'38'!$K$59=Tulokset!$I$58),6,3),MAX(0,6-(ABS('38'!$I$59-Tulokset!$G$58)+ABS('38'!$K$59-Tulokset!$I$58))))))</f>
        <v/>
      </c>
      <c r="BI41" s="333" t="str">
        <f>IF(OR(Tulokset!$G$59="",Tulokset!$I$59="",'38'!$I$60="",'38'!$K$60=""),"",IF(SIGN('38'!$I$60-'38'!$K$60)&lt;&gt;SIGN(Tulokset!$G$59-Tulokset!$I$59),0,IF(Tulokset!$G$59=Tulokset!$I$59,IF(AND('38'!$I$60=Tulokset!$G$59,'38'!$K$60=Tulokset!$I$59),6,3),MAX(0,6-(ABS('38'!$I$60-Tulokset!$G$59)+ABS('38'!$K$60-Tulokset!$I$59))))))</f>
        <v/>
      </c>
      <c r="BJ41" s="333" t="str">
        <f>IF(OR(Tulokset!$G$60="",Tulokset!$I$60="",'38'!$I$61="",'38'!$K$61=""),"",IF(SIGN('38'!$I$61-'38'!$K$61)&lt;&gt;SIGN(Tulokset!$G$60-Tulokset!$I$60),0,IF(Tulokset!$G$60=Tulokset!$I$60,IF(AND('38'!$I$61=Tulokset!$G$60,'38'!$K$61=Tulokset!$I$60),6,3),MAX(0,6-(ABS('38'!$I$61-Tulokset!$G$60)+ABS('38'!$K$61-Tulokset!$I$60))))))</f>
        <v/>
      </c>
      <c r="BK41" s="333" t="str">
        <f>IF(OR(Tulokset!$G$61="",Tulokset!$I$61="",'38'!$I$62="",'38'!$K$62=""),"",IF(SIGN('38'!$I$62-'38'!$K$62)&lt;&gt;SIGN(Tulokset!$G$61-Tulokset!$I$61),0,IF(Tulokset!$G$61=Tulokset!$I$61,IF(AND('38'!$I$62=Tulokset!$G$61,'38'!$K$62=Tulokset!$I$61),6,3),MAX(0,6-(ABS('38'!$I$62-Tulokset!$G$61)+ABS('38'!$K$62-Tulokset!$I$61))))))</f>
        <v/>
      </c>
      <c r="BL41" s="333" t="str">
        <f>IF(OR(Tulokset!$G$62="",Tulokset!$I$62="",'38'!$I$63="",'38'!$K$63=""),"",IF(SIGN('38'!$I$63-'38'!$K$63)&lt;&gt;SIGN(Tulokset!$G$62-Tulokset!$I$62),0,IF(Tulokset!$G$62=Tulokset!$I$62,IF(AND('38'!$I$63=Tulokset!$G$62,'38'!$K$63=Tulokset!$I$62),6,3),MAX(0,6-(ABS('38'!$I$63-Tulokset!$G$62)+ABS('38'!$K$63-Tulokset!$I$62))))))</f>
        <v/>
      </c>
      <c r="BM41" s="333" t="str">
        <f>IF(OR(Tulokset!$G$63="",Tulokset!$I$63="",'38'!$I$64="",'38'!$K$64=""),"",IF(SIGN('38'!$I$64-'38'!$K$64)&lt;&gt;SIGN(Tulokset!$G$63-Tulokset!$I$63),0,IF(Tulokset!$G$63=Tulokset!$I$63,IF(AND('38'!$I$64=Tulokset!$G$63,'38'!$K$64=Tulokset!$I$63),6,3),MAX(0,6-(ABS('38'!$I$64-Tulokset!$G$63)+ABS('38'!$K$64-Tulokset!$I$63))))))</f>
        <v/>
      </c>
      <c r="BN41" s="333" t="str">
        <f>IF(OR(Tulokset!$G$64="",Tulokset!$I$64="",'38'!$I$65="",'38'!$K$65=""),"",IF(SIGN('38'!$I$65-'38'!$K$65)&lt;&gt;SIGN(Tulokset!$G$64-Tulokset!$I$64),0,IF(Tulokset!$G$64=Tulokset!$I$64,IF(AND('38'!$I$65=Tulokset!$G$64,'38'!$K$65=Tulokset!$I$64),6,3),MAX(0,6-(ABS('38'!$I$65-Tulokset!$G$64)+ABS('38'!$K$65-Tulokset!$I$64))))))</f>
        <v/>
      </c>
      <c r="BO41" s="333" t="str">
        <f>IF(OR(Tulokset!$G$65="",Tulokset!$I$65="",'38'!$I$66="",'38'!$K$66=""),"",IF(SIGN('38'!$I$66-'38'!$K$66)&lt;&gt;SIGN(Tulokset!$G$65-Tulokset!$I$65),0,IF(Tulokset!$G$65=Tulokset!$I$65,IF(AND('38'!$I$66=Tulokset!$G$65,'38'!$K$66=Tulokset!$I$65),6,3),MAX(0,6-(ABS('38'!$I$66-Tulokset!$G$65)+ABS('38'!$K$66-Tulokset!$I$65))))))</f>
        <v/>
      </c>
      <c r="BP41" s="333" t="str">
        <f>IF(OR(Tulokset!$G$66="",Tulokset!$I$66="",'38'!$I$67="",'38'!$K$67=""),"",IF(SIGN('38'!$I$67-'38'!$K$67)&lt;&gt;SIGN(Tulokset!$G$66-Tulokset!$I$66),0,IF(Tulokset!$G$66=Tulokset!$I$66,IF(AND('38'!$I$67=Tulokset!$G$66,'38'!$K$67=Tulokset!$I$66),6,3),MAX(0,6-(ABS('38'!$I$67-Tulokset!$G$66)+ABS('38'!$K$67-Tulokset!$I$66))))))</f>
        <v/>
      </c>
      <c r="BQ41" s="333" t="str">
        <f>IF(OR(Tulokset!$G$67="",Tulokset!$I$67="",'38'!$I$68="",'38'!$K$68=""),"",IF(SIGN('38'!$I$68-'38'!$K$68)&lt;&gt;SIGN(Tulokset!$G$67-Tulokset!$I$67),0,IF(Tulokset!$G$67=Tulokset!$I$67,IF(AND('38'!$I$68=Tulokset!$G$67,'38'!$K$68=Tulokset!$I$67),6,3),MAX(0,6-(ABS('38'!$I$68-Tulokset!$G$67)+ABS('38'!$K$68-Tulokset!$I$67))))))</f>
        <v/>
      </c>
      <c r="BR41" s="333" t="str">
        <f>IF(OR(Tulokset!$G$68="",Tulokset!$I$68="",'38'!$I$69="",'38'!$K$69=""),"",IF(SIGN('38'!$I$69-'38'!$K$69)&lt;&gt;SIGN(Tulokset!$G$68-Tulokset!$I$68),0,IF(Tulokset!$G$68=Tulokset!$I$68,IF(AND('38'!$I$69=Tulokset!$G$68,'38'!$K$69=Tulokset!$I$68),6,3),MAX(0,6-(ABS('38'!$I$69-Tulokset!$G$68)+ABS('38'!$K$69-Tulokset!$I$68))))))</f>
        <v/>
      </c>
      <c r="BS41" s="333" t="str">
        <f>IF(OR(Tulokset!$G$69="",Tulokset!$I$69="",'38'!$I$70="",'38'!$K$70=""),"",IF(SIGN('38'!$I$70-'38'!$K$70)&lt;&gt;SIGN(Tulokset!$G$69-Tulokset!$I$69),0,IF(Tulokset!$G$69=Tulokset!$I$69,IF(AND('38'!$I$70=Tulokset!$G$69,'38'!$K$70=Tulokset!$I$69),6,3),MAX(0,6-(ABS('38'!$I$70-Tulokset!$G$69)+ABS('38'!$K$70-Tulokset!$I$69))))))</f>
        <v/>
      </c>
      <c r="BT41" s="333" t="str">
        <f>IF(OR(Tulokset!$G$70="",Tulokset!$I$70="",'38'!$I$71="",'38'!$K$71=""),"",IF(SIGN('38'!$I$71-'38'!$K$71)&lt;&gt;SIGN(Tulokset!$G$70-Tulokset!$I$70),0,IF(Tulokset!$G$70=Tulokset!$I$70,IF(AND('38'!$I$71=Tulokset!$G$70,'38'!$K$71=Tulokset!$I$70),6,3),MAX(0,6-(ABS('38'!$I$71-Tulokset!$G$70)+ABS('38'!$K$71-Tulokset!$I$70))))))</f>
        <v/>
      </c>
      <c r="BU41" s="333" t="str">
        <f>IF(OR(Tulokset!$G$71="",Tulokset!$I$71="",'38'!$I$72="",'38'!$K$72=""),"",IF(SIGN('38'!$I$72-'38'!$K$72)&lt;&gt;SIGN(Tulokset!$G$71-Tulokset!$I$71),0,IF(Tulokset!$G$71=Tulokset!$I$71,IF(AND('38'!$I$72=Tulokset!$G$71,'38'!$K$72=Tulokset!$I$71),6,3),MAX(0,6-(ABS('38'!$I$72-Tulokset!$G$71)+ABS('38'!$K$72-Tulokset!$I$71))))))</f>
        <v/>
      </c>
      <c r="BV41" s="333" t="str">
        <f>IF(OR(Tulokset!$G$72="",Tulokset!$I$72="",'38'!$I$73="",'38'!$K$73=""),"",IF(SIGN('38'!$I$73-'38'!$K$73)&lt;&gt;SIGN(Tulokset!$G$72-Tulokset!$I$72),0,IF(Tulokset!$G$72=Tulokset!$I$72,IF(AND('38'!$I$73=Tulokset!$G$72,'38'!$K$73=Tulokset!$I$72),6,3),MAX(0,6-(ABS('38'!$I$73-Tulokset!$G$72)+ABS('38'!$K$73-Tulokset!$I$72))))))</f>
        <v/>
      </c>
      <c r="BW41" s="333" t="str">
        <f>IF(OR(Tulokset!$G$73="",Tulokset!$I$73="",'38'!$I$74="",'38'!$K$74=""),"",IF(SIGN('38'!$I$74-'38'!$K$74)&lt;&gt;SIGN(Tulokset!$G$73-Tulokset!$I$73),0,IF(Tulokset!$G$73=Tulokset!$I$73,IF(AND('38'!$I$74=Tulokset!$G$73,'38'!$K$74=Tulokset!$I$73),6,3),MAX(0,6-(ABS('38'!$I$74-Tulokset!$G$73)+ABS('38'!$K$74-Tulokset!$I$73))))))</f>
        <v/>
      </c>
      <c r="BX41" s="333" t="str">
        <f>IF(OR(Tulokset!$G$74="",Tulokset!$I$74="",'38'!$I$75="",'38'!$K$75=""),"",IF(SIGN('38'!$I$75-'38'!$K$75)&lt;&gt;SIGN(Tulokset!$G$74-Tulokset!$I$74),0,IF(Tulokset!$G$74=Tulokset!$I$74,IF(AND('38'!$I$75=Tulokset!$G$74,'38'!$K$75=Tulokset!$I$74),6,3),MAX(0,6-(ABS('38'!$I$75-Tulokset!$G$74)+ABS('38'!$K$75-Tulokset!$I$74))))))</f>
        <v/>
      </c>
      <c r="BY41" s="333" t="str">
        <f>IF(OR(Tulokset!$G$75="",Tulokset!$I$75="",'38'!$I$76="",'38'!$K$76=""),"",IF(SIGN('38'!$I$76-'38'!$K$76)&lt;&gt;SIGN(Tulokset!$G$75-Tulokset!$I$75),0,IF(Tulokset!$G$75=Tulokset!$I$75,IF(AND('38'!$I$76=Tulokset!$G$75,'38'!$K$76=Tulokset!$I$75),6,3),MAX(0,6-(ABS('38'!$I$76-Tulokset!$G$75)+ABS('38'!$K$76-Tulokset!$I$75))))))</f>
        <v/>
      </c>
      <c r="BZ41" s="333" t="str">
        <f>IF(OR(Tulokset!$G$76="",Tulokset!$I$76="",'38'!$I$77="",'38'!$K$77=""),"",IF(SIGN('38'!$I$77-'38'!$K$77)&lt;&gt;SIGN(Tulokset!$G$76-Tulokset!$I$76),0,IF(Tulokset!$G$76=Tulokset!$I$76,IF(AND('38'!$I$77=Tulokset!$G$76,'38'!$K$77=Tulokset!$I$76),6,3),MAX(0,6-(ABS('38'!$I$77-Tulokset!$G$76)+ABS('38'!$K$77-Tulokset!$I$76))))))</f>
        <v/>
      </c>
      <c r="CA41" s="333" t="str">
        <f>IF(OR(Tulokset!$G$77="",Tulokset!$I$77="",'38'!$I$78="",'38'!$K$78=""),"",IF(SIGN('38'!$I$78-'38'!$K$78)&lt;&gt;SIGN(Tulokset!$G$77-Tulokset!$I$77),0,IF(Tulokset!$G$77=Tulokset!$I$77,IF(AND('38'!$I$78=Tulokset!$G$77,'38'!$K$78=Tulokset!$I$77),6,3),MAX(0,6-(ABS('38'!$I$78-Tulokset!$G$77)+ABS('38'!$K$78-Tulokset!$I$77))))))</f>
        <v/>
      </c>
      <c r="CB41" s="333"/>
      <c r="CC41" s="333"/>
      <c r="CD41" s="333" t="str">
        <f ca="1">IF(OR(Tulokset!$M$6="",INDIRECT("'"&amp;$A41&amp;"'!$P$8")=""),"",IF(TRIM(INDIRECT("'"&amp;$A41&amp;"'!$P$8"))=TRIM(Tulokset!$M$6),2,0))</f>
        <v/>
      </c>
      <c r="CE41" s="333" t="str">
        <f ca="1">IF(OR(Tulokset!$M$7="",INDIRECT("'"&amp;$A41&amp;"'!$P$9")=""),"",IF(TRIM(INDIRECT("'"&amp;$A41&amp;"'!$P$9"))=TRIM(Tulokset!$M$7),2,0))</f>
        <v/>
      </c>
      <c r="CF41" s="333" t="str">
        <f ca="1">IF(OR(Tulokset!$M$8="",INDIRECT("'"&amp;$A41&amp;"'!$P$10")=""),"",IF(TRIM(INDIRECT("'"&amp;$A41&amp;"'!$P$10"))=TRIM(Tulokset!$M$8),2,0))</f>
        <v/>
      </c>
      <c r="CG41" s="333" t="str">
        <f ca="1">IF(OR(Tulokset!$M$9="",INDIRECT("'"&amp;$A41&amp;"'!$P$11")=""),"",IF(TRIM(INDIRECT("'"&amp;$A41&amp;"'!$P$11"))=TRIM(Tulokset!$M$9),2,0))</f>
        <v/>
      </c>
      <c r="CH41" s="333" t="str">
        <f ca="1">IF(OR(Tulokset!$N$6="",INDIRECT("'"&amp;$A41&amp;"'!$Q$8")=""),"",IF(TRIM(INDIRECT("'"&amp;$A41&amp;"'!$Q$8"))=TRIM(Tulokset!$N$6),2,0))</f>
        <v/>
      </c>
      <c r="CI41" s="333" t="str">
        <f ca="1">IF(OR(Tulokset!$N$7="",INDIRECT("'"&amp;$A41&amp;"'!$Q$9")=""),"",IF(TRIM(INDIRECT("'"&amp;$A41&amp;"'!$Q$9"))=TRIM(Tulokset!$N$7),2,0))</f>
        <v/>
      </c>
      <c r="CJ41" s="333" t="str">
        <f ca="1">IF(OR(Tulokset!$N$8="",INDIRECT("'"&amp;$A41&amp;"'!$Q$10")=""),"",IF(TRIM(INDIRECT("'"&amp;$A41&amp;"'!$Q$10"))=TRIM(Tulokset!$N$8),2,0))</f>
        <v/>
      </c>
      <c r="CK41" s="333" t="str">
        <f ca="1">IF(OR(Tulokset!$N$9="",INDIRECT("'"&amp;$A41&amp;"'!$Q$11")=""),"",IF(TRIM(INDIRECT("'"&amp;$A41&amp;"'!$Q$11"))=TRIM(Tulokset!$N$9),2,0))</f>
        <v/>
      </c>
      <c r="CL41" s="333" t="str">
        <f ca="1">IF(OR(Tulokset!$O$6="",INDIRECT("'"&amp;$A41&amp;"'!$R$8")=""),"",IF(TRIM(INDIRECT("'"&amp;$A41&amp;"'!$R$8"))=TRIM(Tulokset!$O$6),2,0))</f>
        <v/>
      </c>
      <c r="CM41" s="333" t="str">
        <f ca="1">IF(OR(Tulokset!$O$7="",INDIRECT("'"&amp;$A41&amp;"'!$R$9")=""),"",IF(TRIM(INDIRECT("'"&amp;$A41&amp;"'!$R$9"))=TRIM(Tulokset!$O$7),2,0))</f>
        <v/>
      </c>
      <c r="CN41" s="333" t="str">
        <f ca="1">IF(OR(Tulokset!$O$8="",INDIRECT("'"&amp;$A41&amp;"'!$R$10")=""),"",IF(TRIM(INDIRECT("'"&amp;$A41&amp;"'!$R$10"))=TRIM(Tulokset!$O$8),2,0))</f>
        <v/>
      </c>
      <c r="CO41" s="333" t="str">
        <f ca="1">IF(OR(Tulokset!$O$9="",INDIRECT("'"&amp;$A41&amp;"'!$R$11")=""),"",IF(TRIM(INDIRECT("'"&amp;$A41&amp;"'!$R$11"))=TRIM(Tulokset!$O$9),2,0))</f>
        <v/>
      </c>
      <c r="CP41" s="333" t="str">
        <f ca="1">IF(OR(Tulokset!$P$6="",INDIRECT("'"&amp;$A41&amp;"'!$S$8")=""),"",IF(TRIM(INDIRECT("'"&amp;$A41&amp;"'!$S$8"))=TRIM(Tulokset!$P$6),2,0))</f>
        <v/>
      </c>
      <c r="CQ41" s="333" t="str">
        <f ca="1">IF(OR(Tulokset!$P$7="",INDIRECT("'"&amp;$A41&amp;"'!$S$9")=""),"",IF(TRIM(INDIRECT("'"&amp;$A41&amp;"'!$S$9"))=TRIM(Tulokset!$P$7),2,0))</f>
        <v/>
      </c>
      <c r="CR41" s="333" t="str">
        <f ca="1">IF(OR(Tulokset!$P$8="",INDIRECT("'"&amp;$A41&amp;"'!$S$10")=""),"",IF(TRIM(INDIRECT("'"&amp;$A41&amp;"'!$S$10"))=TRIM(Tulokset!$P$8),2,0))</f>
        <v/>
      </c>
      <c r="CS41" s="333" t="str">
        <f ca="1">IF(OR(Tulokset!$P$9="",INDIRECT("'"&amp;$A41&amp;"'!$S$11")=""),"",IF(TRIM(INDIRECT("'"&amp;$A41&amp;"'!$S$11"))=TRIM(Tulokset!$P$9),2,0))</f>
        <v/>
      </c>
      <c r="CT41" s="333" t="str">
        <f ca="1">IF(OR(Tulokset!$Q$6="",INDIRECT("'"&amp;$A41&amp;"'!$T$8")=""),"",IF(TRIM(INDIRECT("'"&amp;$A41&amp;"'!$T$8"))=TRIM(Tulokset!$Q$6),2,0))</f>
        <v/>
      </c>
      <c r="CU41" s="333" t="str">
        <f ca="1">IF(OR(Tulokset!$Q$7="",INDIRECT("'"&amp;$A41&amp;"'!$T$9")=""),"",IF(TRIM(INDIRECT("'"&amp;$A41&amp;"'!$T$9"))=TRIM(Tulokset!$Q$7),2,0))</f>
        <v/>
      </c>
      <c r="CV41" s="333" t="str">
        <f ca="1">IF(OR(Tulokset!$Q$8="",INDIRECT("'"&amp;$A41&amp;"'!$T$10")=""),"",IF(TRIM(INDIRECT("'"&amp;$A41&amp;"'!$T$10"))=TRIM(Tulokset!$Q$8),2,0))</f>
        <v/>
      </c>
      <c r="CW41" s="333" t="str">
        <f ca="1">IF(OR(Tulokset!$Q$9="",INDIRECT("'"&amp;$A41&amp;"'!$T$11")=""),"",IF(TRIM(INDIRECT("'"&amp;$A41&amp;"'!$T$11"))=TRIM(Tulokset!$Q$9),2,0))</f>
        <v/>
      </c>
      <c r="CX41" s="333" t="str">
        <f ca="1">IF(OR(Tulokset!$R$6="",INDIRECT("'"&amp;$A41&amp;"'!$U$8")=""),"",IF(TRIM(INDIRECT("'"&amp;$A41&amp;"'!$U$8"))=TRIM(Tulokset!$R$6),2,0))</f>
        <v/>
      </c>
      <c r="CY41" s="333" t="str">
        <f ca="1">IF(OR(Tulokset!$R$7="",INDIRECT("'"&amp;$A41&amp;"'!$U$9")=""),"",IF(TRIM(INDIRECT("'"&amp;$A41&amp;"'!$U$9"))=TRIM(Tulokset!$R$7),2,0))</f>
        <v/>
      </c>
      <c r="CZ41" s="333" t="str">
        <f ca="1">IF(OR(Tulokset!$R$8="",INDIRECT("'"&amp;$A41&amp;"'!$U$10")=""),"",IF(TRIM(INDIRECT("'"&amp;$A41&amp;"'!$U$10"))=TRIM(Tulokset!$R$8),2,0))</f>
        <v/>
      </c>
      <c r="DA41" s="333" t="str">
        <f ca="1">IF(OR(Tulokset!$R$9="",INDIRECT("'"&amp;$A41&amp;"'!$U$11")=""),"",IF(TRIM(INDIRECT("'"&amp;$A41&amp;"'!$U$11"))=TRIM(Tulokset!$R$9),2,0))</f>
        <v/>
      </c>
      <c r="DB41" s="333" t="str">
        <f ca="1">IF(OR(Tulokset!$M$12="",INDIRECT("'"&amp;$A41&amp;"'!$P$14")=""),"",IF(TRIM(INDIRECT("'"&amp;$A41&amp;"'!$P$14"))=TRIM(Tulokset!$M$12),2,0))</f>
        <v/>
      </c>
      <c r="DC41" s="333" t="str">
        <f ca="1">IF(OR(Tulokset!$M$13="",INDIRECT("'"&amp;$A41&amp;"'!$P$15")=""),"",IF(TRIM(INDIRECT("'"&amp;$A41&amp;"'!$P$15"))=TRIM(Tulokset!$M$13),2,0))</f>
        <v/>
      </c>
      <c r="DD41" s="333" t="str">
        <f ca="1">IF(OR(Tulokset!$M$14="",INDIRECT("'"&amp;$A41&amp;"'!$P$16")=""),"",IF(TRIM(INDIRECT("'"&amp;$A41&amp;"'!$P$16"))=TRIM(Tulokset!$M$14),2,0))</f>
        <v/>
      </c>
      <c r="DE41" s="333" t="str">
        <f ca="1">IF(OR(Tulokset!$M$15="",INDIRECT("'"&amp;$A41&amp;"'!$P$17")=""),"",IF(TRIM(INDIRECT("'"&amp;$A41&amp;"'!$P$17"))=TRIM(Tulokset!$M$15),2,0))</f>
        <v/>
      </c>
      <c r="DF41" s="333" t="str">
        <f ca="1">IF(OR(Tulokset!$N$12="",INDIRECT("'"&amp;$A41&amp;"'!$Q$14")=""),"",IF(TRIM(INDIRECT("'"&amp;$A41&amp;"'!$Q$14"))=TRIM(Tulokset!$N$12),2,0))</f>
        <v/>
      </c>
      <c r="DG41" s="333" t="str">
        <f ca="1">IF(OR(Tulokset!$N$13="",INDIRECT("'"&amp;$A41&amp;"'!$Q$15")=""),"",IF(TRIM(INDIRECT("'"&amp;$A41&amp;"'!$Q$15"))=TRIM(Tulokset!$N$13),2,0))</f>
        <v/>
      </c>
      <c r="DH41" s="333" t="str">
        <f ca="1">IF(OR(Tulokset!$N$14="",INDIRECT("'"&amp;$A41&amp;"'!$Q$16")=""),"",IF(TRIM(INDIRECT("'"&amp;$A41&amp;"'!$Q$16"))=TRIM(Tulokset!$N$14),2,0))</f>
        <v/>
      </c>
      <c r="DI41" s="333" t="str">
        <f ca="1">IF(OR(Tulokset!$N$15="",INDIRECT("'"&amp;$A41&amp;"'!$Q$17")=""),"",IF(TRIM(INDIRECT("'"&amp;$A41&amp;"'!$Q$17"))=TRIM(Tulokset!$N$15),2,0))</f>
        <v/>
      </c>
      <c r="DJ41" s="333" t="str">
        <f ca="1">IF(OR(Tulokset!$O$12="",INDIRECT("'"&amp;$A41&amp;"'!$R$14")=""),"",IF(TRIM(INDIRECT("'"&amp;$A41&amp;"'!$R$14"))=TRIM(Tulokset!$O$12),2,0))</f>
        <v/>
      </c>
      <c r="DK41" s="333" t="str">
        <f ca="1">IF(OR(Tulokset!$O$13="",INDIRECT("'"&amp;$A41&amp;"'!$R$15")=""),"",IF(TRIM(INDIRECT("'"&amp;$A41&amp;"'!$R$15"))=TRIM(Tulokset!$O$13),2,0))</f>
        <v/>
      </c>
      <c r="DL41" s="333" t="str">
        <f ca="1">IF(OR(Tulokset!$O$14="",INDIRECT("'"&amp;$A41&amp;"'!$R$16")=""),"",IF(TRIM(INDIRECT("'"&amp;$A41&amp;"'!$R$16"))=TRIM(Tulokset!$O$14),2,0))</f>
        <v/>
      </c>
      <c r="DM41" s="333" t="str">
        <f ca="1">IF(OR(Tulokset!$O$15="",INDIRECT("'"&amp;$A41&amp;"'!$R$17")=""),"",IF(TRIM(INDIRECT("'"&amp;$A41&amp;"'!$R$17"))=TRIM(Tulokset!$O$15),2,0))</f>
        <v/>
      </c>
      <c r="DN41" s="333" t="str">
        <f ca="1">IF(OR(Tulokset!$P$12="",INDIRECT("'"&amp;$A41&amp;"'!$S$14")=""),"",IF(TRIM(INDIRECT("'"&amp;$A41&amp;"'!$S$14"))=TRIM(Tulokset!$P$12),2,0))</f>
        <v/>
      </c>
      <c r="DO41" s="333" t="str">
        <f ca="1">IF(OR(Tulokset!$P$13="",INDIRECT("'"&amp;$A41&amp;"'!$S$15")=""),"",IF(TRIM(INDIRECT("'"&amp;$A41&amp;"'!$S$15"))=TRIM(Tulokset!$P$13),2,0))</f>
        <v/>
      </c>
      <c r="DP41" s="333" t="str">
        <f ca="1">IF(OR(Tulokset!$P$14="",INDIRECT("'"&amp;$A41&amp;"'!$S$16")=""),"",IF(TRIM(INDIRECT("'"&amp;$A41&amp;"'!$S$16"))=TRIM(Tulokset!$P$14),2,0))</f>
        <v/>
      </c>
      <c r="DQ41" s="333" t="str">
        <f ca="1">IF(OR(Tulokset!$P$15="",INDIRECT("'"&amp;$A41&amp;"'!$S$17")=""),"",IF(TRIM(INDIRECT("'"&amp;$A41&amp;"'!$S$17"))=TRIM(Tulokset!$P$15),2,0))</f>
        <v/>
      </c>
      <c r="DR41" s="333" t="str">
        <f ca="1">IF(OR(Tulokset!$Q$12="",INDIRECT("'"&amp;$A41&amp;"'!$T$14")=""),"",IF(TRIM(INDIRECT("'"&amp;$A41&amp;"'!$T$14"))=TRIM(Tulokset!$Q$12),2,0))</f>
        <v/>
      </c>
      <c r="DS41" s="333" t="str">
        <f ca="1">IF(OR(Tulokset!$Q$13="",INDIRECT("'"&amp;$A41&amp;"'!$T$15")=""),"",IF(TRIM(INDIRECT("'"&amp;$A41&amp;"'!$T$15"))=TRIM(Tulokset!$Q$13),2,0))</f>
        <v/>
      </c>
      <c r="DT41" s="333" t="str">
        <f ca="1">IF(OR(Tulokset!$Q$14="",INDIRECT("'"&amp;$A41&amp;"'!$T$16")=""),"",IF(TRIM(INDIRECT("'"&amp;$A41&amp;"'!$T$16"))=TRIM(Tulokset!$Q$14),2,0))</f>
        <v/>
      </c>
      <c r="DU41" s="333" t="str">
        <f ca="1">IF(OR(Tulokset!$Q$15="",INDIRECT("'"&amp;$A41&amp;"'!$T$17")=""),"",IF(TRIM(INDIRECT("'"&amp;$A41&amp;"'!$T$17"))=TRIM(Tulokset!$Q$15),2,0))</f>
        <v/>
      </c>
      <c r="DV41" s="333" t="str">
        <f ca="1">IF(OR(Tulokset!$R$12="",INDIRECT("'"&amp;$A41&amp;"'!$U$14")=""),"",IF(TRIM(INDIRECT("'"&amp;$A41&amp;"'!$U$14"))=TRIM(Tulokset!$R$12),2,0))</f>
        <v/>
      </c>
      <c r="DW41" s="333" t="str">
        <f ca="1">IF(OR(Tulokset!$R$13="",INDIRECT("'"&amp;$A41&amp;"'!$U$15")=""),"",IF(TRIM(INDIRECT("'"&amp;$A41&amp;"'!$U$15"))=TRIM(Tulokset!$R$13),2,0))</f>
        <v/>
      </c>
      <c r="DX41" s="333" t="str">
        <f ca="1">IF(OR(Tulokset!$R$14="",INDIRECT("'"&amp;$A41&amp;"'!$U$16")=""),"",IF(TRIM(INDIRECT("'"&amp;$A41&amp;"'!$U$16"))=TRIM(Tulokset!$R$14),2,0))</f>
        <v/>
      </c>
      <c r="DY41" s="333" t="str">
        <f ca="1">IF(OR(Tulokset!$R$15="",INDIRECT("'"&amp;$A41&amp;"'!$U$17")=""),"",IF(TRIM(INDIRECT("'"&amp;$A41&amp;"'!$U$17"))=TRIM(Tulokset!$R$15),2,0))</f>
        <v/>
      </c>
      <c r="DZ41" s="333"/>
      <c r="EA41" s="333" t="str">
        <f ca="1">IF(OR(INDIRECT("'"&amp;$A41&amp;"'!$E$79")="",COUNTA(Tulokset!$M$20:$M$21)=0),"",IF(COUNTIF(Tulokset!$M$20:$M$21,INDIRECT("'"&amp;$A41&amp;"'!$E$79"))&gt;0,2,0))</f>
        <v/>
      </c>
      <c r="EB41" s="333" t="str">
        <f ca="1">IF(OR(INDIRECT("'"&amp;$A41&amp;"'!$G$79")="",COUNTA(Tulokset!$M$20:$M$21)=0),"",IF(COUNTIF(Tulokset!$M$20:$M$21,INDIRECT("'"&amp;$A41&amp;"'!$G$79"))&gt;0,2,0))</f>
        <v/>
      </c>
      <c r="EC41" s="333" t="str">
        <f ca="1">IF(OR(INDIRECT("'"&amp;$A41&amp;"'!$E$80")="",COUNTA(Tulokset!$M$23:$M$24)=0),"",IF(COUNTIF(Tulokset!$M$23:$M$24,INDIRECT("'"&amp;$A41&amp;"'!$E$80"))&gt;0,2,0))</f>
        <v/>
      </c>
      <c r="ED41" s="333" t="str">
        <f ca="1">IF(OR(INDIRECT("'"&amp;$A41&amp;"'!$G$80")="",COUNTA(Tulokset!$M$23:$M$24)=0),"",IF(COUNTIF(Tulokset!$M$23:$M$24,INDIRECT("'"&amp;$A41&amp;"'!$G$80"))&gt;0,2,0))</f>
        <v/>
      </c>
    </row>
    <row r="42" spans="1:134">
      <c r="A42" s="333">
        <v>39</v>
      </c>
      <c r="B42" s="333" t="str">
        <f t="shared" ca="1" si="0"/>
        <v/>
      </c>
      <c r="C42" s="334">
        <f t="shared" si="1"/>
        <v>0</v>
      </c>
      <c r="D42" s="334">
        <f t="shared" ca="1" si="2"/>
        <v>0</v>
      </c>
      <c r="E42" s="334">
        <f t="shared" ca="1" si="3"/>
        <v>0</v>
      </c>
      <c r="F42" s="334" t="str">
        <f t="shared" ca="1" si="4"/>
        <v/>
      </c>
      <c r="G42" s="334">
        <f t="shared" si="5"/>
        <v>0</v>
      </c>
      <c r="H42" s="333" t="str">
        <f>IF(OR(Tulokset!$G$6="",Tulokset!$I$6="",'39'!$I$7="",'39'!$K$7=""),"",IF(SIGN('39'!$I$7-'39'!$K$7)&lt;&gt;SIGN(Tulokset!$G$6-Tulokset!$I$6),0,IF(Tulokset!$G$6=Tulokset!$I$6,IF(AND('39'!$I$7=Tulokset!$G$6,'39'!$K$7=Tulokset!$I$6),6,3),MAX(0,6-(ABS('39'!$I$7-Tulokset!$G$6)+ABS('39'!$K$7-Tulokset!$I$6))))))</f>
        <v/>
      </c>
      <c r="I42" s="333" t="str">
        <f>IF(OR(Tulokset!$G$7="",Tulokset!$I$7="",'39'!$I$8="",'39'!$K$8=""),"",IF(SIGN('39'!$I$8-'39'!$K$8)&lt;&gt;SIGN(Tulokset!$G$7-Tulokset!$I$7),0,IF(Tulokset!$G$7=Tulokset!$I$7,IF(AND('39'!$I$8=Tulokset!$G$7,'39'!$K$8=Tulokset!$I$7),6,3),MAX(0,6-(ABS('39'!$I$8-Tulokset!$G$7)+ABS('39'!$K$8-Tulokset!$I$7))))))</f>
        <v/>
      </c>
      <c r="J42" s="333" t="str">
        <f>IF(OR(Tulokset!$G$8="",Tulokset!$I$8="",'39'!$I$9="",'39'!$K$9=""),"",IF(SIGN('39'!$I$9-'39'!$K$9)&lt;&gt;SIGN(Tulokset!$G$8-Tulokset!$I$8),0,IF(Tulokset!$G$8=Tulokset!$I$8,IF(AND('39'!$I$9=Tulokset!$G$8,'39'!$K$9=Tulokset!$I$8),6,3),MAX(0,6-(ABS('39'!$I$9-Tulokset!$G$8)+ABS('39'!$K$9-Tulokset!$I$8))))))</f>
        <v/>
      </c>
      <c r="K42" s="333" t="str">
        <f>IF(OR(Tulokset!$G$9="",Tulokset!$I$9="",'39'!$I$10="",'39'!$K$10=""),"",IF(SIGN('39'!$I$10-'39'!$K$10)&lt;&gt;SIGN(Tulokset!$G$9-Tulokset!$I$9),0,IF(Tulokset!$G$9=Tulokset!$I$9,IF(AND('39'!$I$10=Tulokset!$G$9,'39'!$K$10=Tulokset!$I$9),6,3),MAX(0,6-(ABS('39'!$I$10-Tulokset!$G$9)+ABS('39'!$K$10-Tulokset!$I$9))))))</f>
        <v/>
      </c>
      <c r="L42" s="333" t="str">
        <f>IF(OR(Tulokset!$G$10="",Tulokset!$I$10="",'39'!$I$11="",'39'!$K$11=""),"",IF(SIGN('39'!$I$11-'39'!$K$11)&lt;&gt;SIGN(Tulokset!$G$10-Tulokset!$I$10),0,IF(Tulokset!$G$10=Tulokset!$I$10,IF(AND('39'!$I$11=Tulokset!$G$10,'39'!$K$11=Tulokset!$I$10),6,3),MAX(0,6-(ABS('39'!$I$11-Tulokset!$G$10)+ABS('39'!$K$11-Tulokset!$I$10))))))</f>
        <v/>
      </c>
      <c r="M42" s="333" t="str">
        <f>IF(OR(Tulokset!$G$11="",Tulokset!$I$11="",'39'!$I$12="",'39'!$K$12=""),"",IF(SIGN('39'!$I$12-'39'!$K$12)&lt;&gt;SIGN(Tulokset!$G$11-Tulokset!$I$11),0,IF(Tulokset!$G$11=Tulokset!$I$11,IF(AND('39'!$I$12=Tulokset!$G$11,'39'!$K$12=Tulokset!$I$11),6,3),MAX(0,6-(ABS('39'!$I$12-Tulokset!$G$11)+ABS('39'!$K$12-Tulokset!$I$11))))))</f>
        <v/>
      </c>
      <c r="N42" s="333" t="str">
        <f>IF(OR(Tulokset!$G$12="",Tulokset!$I$12="",'39'!$I$13="",'39'!$K$13=""),"",IF(SIGN('39'!$I$13-'39'!$K$13)&lt;&gt;SIGN(Tulokset!$G$12-Tulokset!$I$12),0,IF(Tulokset!$G$12=Tulokset!$I$12,IF(AND('39'!$I$13=Tulokset!$G$12,'39'!$K$13=Tulokset!$I$12),6,3),MAX(0,6-(ABS('39'!$I$13-Tulokset!$G$12)+ABS('39'!$K$13-Tulokset!$I$12))))))</f>
        <v/>
      </c>
      <c r="O42" s="333" t="str">
        <f>IF(OR(Tulokset!$G$13="",Tulokset!$I$13="",'39'!$I$14="",'39'!$K$14=""),"",IF(SIGN('39'!$I$14-'39'!$K$14)&lt;&gt;SIGN(Tulokset!$G$13-Tulokset!$I$13),0,IF(Tulokset!$G$13=Tulokset!$I$13,IF(AND('39'!$I$14=Tulokset!$G$13,'39'!$K$14=Tulokset!$I$13),6,3),MAX(0,6-(ABS('39'!$I$14-Tulokset!$G$13)+ABS('39'!$K$14-Tulokset!$I$13))))))</f>
        <v/>
      </c>
      <c r="P42" s="333" t="str">
        <f>IF(OR(Tulokset!$G$14="",Tulokset!$I$14="",'39'!$I$15="",'39'!$K$15=""),"",IF(SIGN('39'!$I$15-'39'!$K$15)&lt;&gt;SIGN(Tulokset!$G$14-Tulokset!$I$14),0,IF(Tulokset!$G$14=Tulokset!$I$14,IF(AND('39'!$I$15=Tulokset!$G$14,'39'!$K$15=Tulokset!$I$14),6,3),MAX(0,6-(ABS('39'!$I$15-Tulokset!$G$14)+ABS('39'!$K$15-Tulokset!$I$14))))))</f>
        <v/>
      </c>
      <c r="Q42" s="333" t="str">
        <f>IF(OR(Tulokset!$G$15="",Tulokset!$I$15="",'39'!$I$16="",'39'!$K$16=""),"",IF(SIGN('39'!$I$16-'39'!$K$16)&lt;&gt;SIGN(Tulokset!$G$15-Tulokset!$I$15),0,IF(Tulokset!$G$15=Tulokset!$I$15,IF(AND('39'!$I$16=Tulokset!$G$15,'39'!$K$16=Tulokset!$I$15),6,3),MAX(0,6-(ABS('39'!$I$16-Tulokset!$G$15)+ABS('39'!$K$16-Tulokset!$I$15))))))</f>
        <v/>
      </c>
      <c r="R42" s="333" t="str">
        <f>IF(OR(Tulokset!$G$16="",Tulokset!$I$16="",'39'!$I$17="",'39'!$K$17=""),"",IF(SIGN('39'!$I$17-'39'!$K$17)&lt;&gt;SIGN(Tulokset!$G$16-Tulokset!$I$16),0,IF(Tulokset!$G$16=Tulokset!$I$16,IF(AND('39'!$I$17=Tulokset!$G$16,'39'!$K$17=Tulokset!$I$16),6,3),MAX(0,6-(ABS('39'!$I$17-Tulokset!$G$16)+ABS('39'!$K$17-Tulokset!$I$16))))))</f>
        <v/>
      </c>
      <c r="S42" s="333" t="str">
        <f>IF(OR(Tulokset!$G$17="",Tulokset!$I$17="",'39'!$I$18="",'39'!$K$18=""),"",IF(SIGN('39'!$I$18-'39'!$K$18)&lt;&gt;SIGN(Tulokset!$G$17-Tulokset!$I$17),0,IF(Tulokset!$G$17=Tulokset!$I$17,IF(AND('39'!$I$18=Tulokset!$G$17,'39'!$K$18=Tulokset!$I$17),6,3),MAX(0,6-(ABS('39'!$I$18-Tulokset!$G$17)+ABS('39'!$K$18-Tulokset!$I$17))))))</f>
        <v/>
      </c>
      <c r="T42" s="333" t="str">
        <f>IF(OR(Tulokset!$G$18="",Tulokset!$I$18="",'39'!$I$19="",'39'!$K$19=""),"",IF(SIGN('39'!$I$19-'39'!$K$19)&lt;&gt;SIGN(Tulokset!$G$18-Tulokset!$I$18),0,IF(Tulokset!$G$18=Tulokset!$I$18,IF(AND('39'!$I$19=Tulokset!$G$18,'39'!$K$19=Tulokset!$I$18),6,3),MAX(0,6-(ABS('39'!$I$19-Tulokset!$G$18)+ABS('39'!$K$19-Tulokset!$I$18))))))</f>
        <v/>
      </c>
      <c r="U42" s="333" t="str">
        <f>IF(OR(Tulokset!$G$19="",Tulokset!$I$19="",'39'!$I$20="",'39'!$K$20=""),"",IF(SIGN('39'!$I$20-'39'!$K$20)&lt;&gt;SIGN(Tulokset!$G$19-Tulokset!$I$19),0,IF(Tulokset!$G$19=Tulokset!$I$19,IF(AND('39'!$I$20=Tulokset!$G$19,'39'!$K$20=Tulokset!$I$19),6,3),MAX(0,6-(ABS('39'!$I$20-Tulokset!$G$19)+ABS('39'!$K$20-Tulokset!$I$19))))))</f>
        <v/>
      </c>
      <c r="V42" s="333" t="str">
        <f>IF(OR(Tulokset!$G$20="",Tulokset!$I$20="",'39'!$I$21="",'39'!$K$21=""),"",IF(SIGN('39'!$I$21-'39'!$K$21)&lt;&gt;SIGN(Tulokset!$G$20-Tulokset!$I$20),0,IF(Tulokset!$G$20=Tulokset!$I$20,IF(AND('39'!$I$21=Tulokset!$G$20,'39'!$K$21=Tulokset!$I$20),6,3),MAX(0,6-(ABS('39'!$I$21-Tulokset!$G$20)+ABS('39'!$K$21-Tulokset!$I$20))))))</f>
        <v/>
      </c>
      <c r="W42" s="333" t="str">
        <f>IF(OR(Tulokset!$G$21="",Tulokset!$I$21="",'39'!$I$22="",'39'!$K$22=""),"",IF(SIGN('39'!$I$22-'39'!$K$22)&lt;&gt;SIGN(Tulokset!$G$21-Tulokset!$I$21),0,IF(Tulokset!$G$21=Tulokset!$I$21,IF(AND('39'!$I$22=Tulokset!$G$21,'39'!$K$22=Tulokset!$I$21),6,3),MAX(0,6-(ABS('39'!$I$22-Tulokset!$G$21)+ABS('39'!$K$22-Tulokset!$I$21))))))</f>
        <v/>
      </c>
      <c r="X42" s="333" t="str">
        <f>IF(OR(Tulokset!$G$22="",Tulokset!$I$22="",'39'!$I$23="",'39'!$K$23=""),"",IF(SIGN('39'!$I$23-'39'!$K$23)&lt;&gt;SIGN(Tulokset!$G$22-Tulokset!$I$22),0,IF(Tulokset!$G$22=Tulokset!$I$22,IF(AND('39'!$I$23=Tulokset!$G$22,'39'!$K$23=Tulokset!$I$22),6,3),MAX(0,6-(ABS('39'!$I$23-Tulokset!$G$22)+ABS('39'!$K$23-Tulokset!$I$22))))))</f>
        <v/>
      </c>
      <c r="Y42" s="333" t="str">
        <f>IF(OR(Tulokset!$G$23="",Tulokset!$I$23="",'39'!$I$24="",'39'!$K$24=""),"",IF(SIGN('39'!$I$24-'39'!$K$24)&lt;&gt;SIGN(Tulokset!$G$23-Tulokset!$I$23),0,IF(Tulokset!$G$23=Tulokset!$I$23,IF(AND('39'!$I$24=Tulokset!$G$23,'39'!$K$24=Tulokset!$I$23),6,3),MAX(0,6-(ABS('39'!$I$24-Tulokset!$G$23)+ABS('39'!$K$24-Tulokset!$I$23))))))</f>
        <v/>
      </c>
      <c r="Z42" s="333" t="str">
        <f>IF(OR(Tulokset!$G$24="",Tulokset!$I$24="",'39'!$I$25="",'39'!$K$25=""),"",IF(SIGN('39'!$I$25-'39'!$K$25)&lt;&gt;SIGN(Tulokset!$G$24-Tulokset!$I$24),0,IF(Tulokset!$G$24=Tulokset!$I$24,IF(AND('39'!$I$25=Tulokset!$G$24,'39'!$K$25=Tulokset!$I$24),6,3),MAX(0,6-(ABS('39'!$I$25-Tulokset!$G$24)+ABS('39'!$K$25-Tulokset!$I$24))))))</f>
        <v/>
      </c>
      <c r="AA42" s="333" t="str">
        <f>IF(OR(Tulokset!$G$25="",Tulokset!$I$25="",'39'!$I$26="",'39'!$K$26=""),"",IF(SIGN('39'!$I$26-'39'!$K$26)&lt;&gt;SIGN(Tulokset!$G$25-Tulokset!$I$25),0,IF(Tulokset!$G$25=Tulokset!$I$25,IF(AND('39'!$I$26=Tulokset!$G$25,'39'!$K$26=Tulokset!$I$25),6,3),MAX(0,6-(ABS('39'!$I$26-Tulokset!$G$25)+ABS('39'!$K$26-Tulokset!$I$25))))))</f>
        <v/>
      </c>
      <c r="AB42" s="333" t="str">
        <f>IF(OR(Tulokset!$G$26="",Tulokset!$I$26="",'39'!$I$27="",'39'!$K$27=""),"",IF(SIGN('39'!$I$27-'39'!$K$27)&lt;&gt;SIGN(Tulokset!$G$26-Tulokset!$I$26),0,IF(Tulokset!$G$26=Tulokset!$I$26,IF(AND('39'!$I$27=Tulokset!$G$26,'39'!$K$27=Tulokset!$I$26),6,3),MAX(0,6-(ABS('39'!$I$27-Tulokset!$G$26)+ABS('39'!$K$27-Tulokset!$I$26))))))</f>
        <v/>
      </c>
      <c r="AC42" s="333" t="str">
        <f>IF(OR(Tulokset!$G$27="",Tulokset!$I$27="",'39'!$I$28="",'39'!$K$28=""),"",IF(SIGN('39'!$I$28-'39'!$K$28)&lt;&gt;SIGN(Tulokset!$G$27-Tulokset!$I$27),0,IF(Tulokset!$G$27=Tulokset!$I$27,IF(AND('39'!$I$28=Tulokset!$G$27,'39'!$K$28=Tulokset!$I$27),6,3),MAX(0,6-(ABS('39'!$I$28-Tulokset!$G$27)+ABS('39'!$K$28-Tulokset!$I$27))))))</f>
        <v/>
      </c>
      <c r="AD42" s="333" t="str">
        <f>IF(OR(Tulokset!$G$28="",Tulokset!$I$28="",'39'!$I$29="",'39'!$K$29=""),"",IF(SIGN('39'!$I$29-'39'!$K$29)&lt;&gt;SIGN(Tulokset!$G$28-Tulokset!$I$28),0,IF(Tulokset!$G$28=Tulokset!$I$28,IF(AND('39'!$I$29=Tulokset!$G$28,'39'!$K$29=Tulokset!$I$28),6,3),MAX(0,6-(ABS('39'!$I$29-Tulokset!$G$28)+ABS('39'!$K$29-Tulokset!$I$28))))))</f>
        <v/>
      </c>
      <c r="AE42" s="333" t="str">
        <f>IF(OR(Tulokset!$G$29="",Tulokset!$I$29="",'39'!$I$30="",'39'!$K$30=""),"",IF(SIGN('39'!$I$30-'39'!$K$30)&lt;&gt;SIGN(Tulokset!$G$29-Tulokset!$I$29),0,IF(Tulokset!$G$29=Tulokset!$I$29,IF(AND('39'!$I$30=Tulokset!$G$29,'39'!$K$30=Tulokset!$I$29),6,3),MAX(0,6-(ABS('39'!$I$30-Tulokset!$G$29)+ABS('39'!$K$30-Tulokset!$I$29))))))</f>
        <v/>
      </c>
      <c r="AF42" s="333" t="str">
        <f>IF(OR(Tulokset!$G$30="",Tulokset!$I$30="",'39'!$I$31="",'39'!$K$31=""),"",IF(SIGN('39'!$I$31-'39'!$K$31)&lt;&gt;SIGN(Tulokset!$G$30-Tulokset!$I$30),0,IF(Tulokset!$G$30=Tulokset!$I$30,IF(AND('39'!$I$31=Tulokset!$G$30,'39'!$K$31=Tulokset!$I$30),6,3),MAX(0,6-(ABS('39'!$I$31-Tulokset!$G$30)+ABS('39'!$K$31-Tulokset!$I$30))))))</f>
        <v/>
      </c>
      <c r="AG42" s="333" t="str">
        <f>IF(OR(Tulokset!$G$31="",Tulokset!$I$31="",'39'!$I$32="",'39'!$K$32=""),"",IF(SIGN('39'!$I$32-'39'!$K$32)&lt;&gt;SIGN(Tulokset!$G$31-Tulokset!$I$31),0,IF(Tulokset!$G$31=Tulokset!$I$31,IF(AND('39'!$I$32=Tulokset!$G$31,'39'!$K$32=Tulokset!$I$31),6,3),MAX(0,6-(ABS('39'!$I$32-Tulokset!$G$31)+ABS('39'!$K$32-Tulokset!$I$31))))))</f>
        <v/>
      </c>
      <c r="AH42" s="333" t="str">
        <f>IF(OR(Tulokset!$G$32="",Tulokset!$I$32="",'39'!$I$33="",'39'!$K$33=""),"",IF(SIGN('39'!$I$33-'39'!$K$33)&lt;&gt;SIGN(Tulokset!$G$32-Tulokset!$I$32),0,IF(Tulokset!$G$32=Tulokset!$I$32,IF(AND('39'!$I$33=Tulokset!$G$32,'39'!$K$33=Tulokset!$I$32),6,3),MAX(0,6-(ABS('39'!$I$33-Tulokset!$G$32)+ABS('39'!$K$33-Tulokset!$I$32))))))</f>
        <v/>
      </c>
      <c r="AI42" s="333" t="str">
        <f>IF(OR(Tulokset!$G$33="",Tulokset!$I$33="",'39'!$I$34="",'39'!$K$34=""),"",IF(SIGN('39'!$I$34-'39'!$K$34)&lt;&gt;SIGN(Tulokset!$G$33-Tulokset!$I$33),0,IF(Tulokset!$G$33=Tulokset!$I$33,IF(AND('39'!$I$34=Tulokset!$G$33,'39'!$K$34=Tulokset!$I$33),6,3),MAX(0,6-(ABS('39'!$I$34-Tulokset!$G$33)+ABS('39'!$K$34-Tulokset!$I$33))))))</f>
        <v/>
      </c>
      <c r="AJ42" s="333" t="str">
        <f>IF(OR(Tulokset!$G$34="",Tulokset!$I$34="",'39'!$I$35="",'39'!$K$35=""),"",IF(SIGN('39'!$I$35-'39'!$K$35)&lt;&gt;SIGN(Tulokset!$G$34-Tulokset!$I$34),0,IF(Tulokset!$G$34=Tulokset!$I$34,IF(AND('39'!$I$35=Tulokset!$G$34,'39'!$K$35=Tulokset!$I$34),6,3),MAX(0,6-(ABS('39'!$I$35-Tulokset!$G$34)+ABS('39'!$K$35-Tulokset!$I$34))))))</f>
        <v/>
      </c>
      <c r="AK42" s="333" t="str">
        <f>IF(OR(Tulokset!$G$35="",Tulokset!$I$35="",'39'!$I$36="",'39'!$K$36=""),"",IF(SIGN('39'!$I$36-'39'!$K$36)&lt;&gt;SIGN(Tulokset!$G$35-Tulokset!$I$35),0,IF(Tulokset!$G$35=Tulokset!$I$35,IF(AND('39'!$I$36=Tulokset!$G$35,'39'!$K$36=Tulokset!$I$35),6,3),MAX(0,6-(ABS('39'!$I$36-Tulokset!$G$35)+ABS('39'!$K$36-Tulokset!$I$35))))))</f>
        <v/>
      </c>
      <c r="AL42" s="333" t="str">
        <f>IF(OR(Tulokset!$G$36="",Tulokset!$I$36="",'39'!$I$37="",'39'!$K$37=""),"",IF(SIGN('39'!$I$37-'39'!$K$37)&lt;&gt;SIGN(Tulokset!$G$36-Tulokset!$I$36),0,IF(Tulokset!$G$36=Tulokset!$I$36,IF(AND('39'!$I$37=Tulokset!$G$36,'39'!$K$37=Tulokset!$I$36),6,3),MAX(0,6-(ABS('39'!$I$37-Tulokset!$G$36)+ABS('39'!$K$37-Tulokset!$I$36))))))</f>
        <v/>
      </c>
      <c r="AM42" s="333" t="str">
        <f>IF(OR(Tulokset!$G$37="",Tulokset!$I$37="",'39'!$I$38="",'39'!$K$38=""),"",IF(SIGN('39'!$I$38-'39'!$K$38)&lt;&gt;SIGN(Tulokset!$G$37-Tulokset!$I$37),0,IF(Tulokset!$G$37=Tulokset!$I$37,IF(AND('39'!$I$38=Tulokset!$G$37,'39'!$K$38=Tulokset!$I$37),6,3),MAX(0,6-(ABS('39'!$I$38-Tulokset!$G$37)+ABS('39'!$K$38-Tulokset!$I$37))))))</f>
        <v/>
      </c>
      <c r="AN42" s="333" t="str">
        <f>IF(OR(Tulokset!$G$38="",Tulokset!$I$38="",'39'!$I$39="",'39'!$K$39=""),"",IF(SIGN('39'!$I$39-'39'!$K$39)&lt;&gt;SIGN(Tulokset!$G$38-Tulokset!$I$38),0,IF(Tulokset!$G$38=Tulokset!$I$38,IF(AND('39'!$I$39=Tulokset!$G$38,'39'!$K$39=Tulokset!$I$38),6,3),MAX(0,6-(ABS('39'!$I$39-Tulokset!$G$38)+ABS('39'!$K$39-Tulokset!$I$38))))))</f>
        <v/>
      </c>
      <c r="AO42" s="333" t="str">
        <f>IF(OR(Tulokset!$G$39="",Tulokset!$I$39="",'39'!$I$40="",'39'!$K$40=""),"",IF(SIGN('39'!$I$40-'39'!$K$40)&lt;&gt;SIGN(Tulokset!$G$39-Tulokset!$I$39),0,IF(Tulokset!$G$39=Tulokset!$I$39,IF(AND('39'!$I$40=Tulokset!$G$39,'39'!$K$40=Tulokset!$I$39),6,3),MAX(0,6-(ABS('39'!$I$40-Tulokset!$G$39)+ABS('39'!$K$40-Tulokset!$I$39))))))</f>
        <v/>
      </c>
      <c r="AP42" s="333" t="str">
        <f>IF(OR(Tulokset!$G$40="",Tulokset!$I$40="",'39'!$I$41="",'39'!$K$41=""),"",IF(SIGN('39'!$I$41-'39'!$K$41)&lt;&gt;SIGN(Tulokset!$G$40-Tulokset!$I$40),0,IF(Tulokset!$G$40=Tulokset!$I$40,IF(AND('39'!$I$41=Tulokset!$G$40,'39'!$K$41=Tulokset!$I$40),6,3),MAX(0,6-(ABS('39'!$I$41-Tulokset!$G$40)+ABS('39'!$K$41-Tulokset!$I$40))))))</f>
        <v/>
      </c>
      <c r="AQ42" s="333" t="str">
        <f>IF(OR(Tulokset!$G$41="",Tulokset!$I$41="",'39'!$I$42="",'39'!$K$42=""),"",IF(SIGN('39'!$I$42-'39'!$K$42)&lt;&gt;SIGN(Tulokset!$G$41-Tulokset!$I$41),0,IF(Tulokset!$G$41=Tulokset!$I$41,IF(AND('39'!$I$42=Tulokset!$G$41,'39'!$K$42=Tulokset!$I$41),6,3),MAX(0,6-(ABS('39'!$I$42-Tulokset!$G$41)+ABS('39'!$K$42-Tulokset!$I$41))))))</f>
        <v/>
      </c>
      <c r="AR42" s="333" t="str">
        <f>IF(OR(Tulokset!$G$42="",Tulokset!$I$42="",'39'!$I$43="",'39'!$K$43=""),"",IF(SIGN('39'!$I$43-'39'!$K$43)&lt;&gt;SIGN(Tulokset!$G$42-Tulokset!$I$42),0,IF(Tulokset!$G$42=Tulokset!$I$42,IF(AND('39'!$I$43=Tulokset!$G$42,'39'!$K$43=Tulokset!$I$42),6,3),MAX(0,6-(ABS('39'!$I$43-Tulokset!$G$42)+ABS('39'!$K$43-Tulokset!$I$42))))))</f>
        <v/>
      </c>
      <c r="AS42" s="333" t="str">
        <f>IF(OR(Tulokset!$G$43="",Tulokset!$I$43="",'39'!$I$44="",'39'!$K$44=""),"",IF(SIGN('39'!$I$44-'39'!$K$44)&lt;&gt;SIGN(Tulokset!$G$43-Tulokset!$I$43),0,IF(Tulokset!$G$43=Tulokset!$I$43,IF(AND('39'!$I$44=Tulokset!$G$43,'39'!$K$44=Tulokset!$I$43),6,3),MAX(0,6-(ABS('39'!$I$44-Tulokset!$G$43)+ABS('39'!$K$44-Tulokset!$I$43))))))</f>
        <v/>
      </c>
      <c r="AT42" s="333" t="str">
        <f>IF(OR(Tulokset!$G$44="",Tulokset!$I$44="",'39'!$I$45="",'39'!$K$45=""),"",IF(SIGN('39'!$I$45-'39'!$K$45)&lt;&gt;SIGN(Tulokset!$G$44-Tulokset!$I$44),0,IF(Tulokset!$G$44=Tulokset!$I$44,IF(AND('39'!$I$45=Tulokset!$G$44,'39'!$K$45=Tulokset!$I$44),6,3),MAX(0,6-(ABS('39'!$I$45-Tulokset!$G$44)+ABS('39'!$K$45-Tulokset!$I$44))))))</f>
        <v/>
      </c>
      <c r="AU42" s="333" t="str">
        <f>IF(OR(Tulokset!$G$45="",Tulokset!$I$45="",'39'!$I$46="",'39'!$K$46=""),"",IF(SIGN('39'!$I$46-'39'!$K$46)&lt;&gt;SIGN(Tulokset!$G$45-Tulokset!$I$45),0,IF(Tulokset!$G$45=Tulokset!$I$45,IF(AND('39'!$I$46=Tulokset!$G$45,'39'!$K$46=Tulokset!$I$45),6,3),MAX(0,6-(ABS('39'!$I$46-Tulokset!$G$45)+ABS('39'!$K$46-Tulokset!$I$45))))))</f>
        <v/>
      </c>
      <c r="AV42" s="333" t="str">
        <f>IF(OR(Tulokset!$G$46="",Tulokset!$I$46="",'39'!$I$47="",'39'!$K$47=""),"",IF(SIGN('39'!$I$47-'39'!$K$47)&lt;&gt;SIGN(Tulokset!$G$46-Tulokset!$I$46),0,IF(Tulokset!$G$46=Tulokset!$I$46,IF(AND('39'!$I$47=Tulokset!$G$46,'39'!$K$47=Tulokset!$I$46),6,3),MAX(0,6-(ABS('39'!$I$47-Tulokset!$G$46)+ABS('39'!$K$47-Tulokset!$I$46))))))</f>
        <v/>
      </c>
      <c r="AW42" s="333" t="str">
        <f>IF(OR(Tulokset!$G$47="",Tulokset!$I$47="",'39'!$I$48="",'39'!$K$48=""),"",IF(SIGN('39'!$I$48-'39'!$K$48)&lt;&gt;SIGN(Tulokset!$G$47-Tulokset!$I$47),0,IF(Tulokset!$G$47=Tulokset!$I$47,IF(AND('39'!$I$48=Tulokset!$G$47,'39'!$K$48=Tulokset!$I$47),6,3),MAX(0,6-(ABS('39'!$I$48-Tulokset!$G$47)+ABS('39'!$K$48-Tulokset!$I$47))))))</f>
        <v/>
      </c>
      <c r="AX42" s="333" t="str">
        <f>IF(OR(Tulokset!$G$48="",Tulokset!$I$48="",'39'!$I$49="",'39'!$K$49=""),"",IF(SIGN('39'!$I$49-'39'!$K$49)&lt;&gt;SIGN(Tulokset!$G$48-Tulokset!$I$48),0,IF(Tulokset!$G$48=Tulokset!$I$48,IF(AND('39'!$I$49=Tulokset!$G$48,'39'!$K$49=Tulokset!$I$48),6,3),MAX(0,6-(ABS('39'!$I$49-Tulokset!$G$48)+ABS('39'!$K$49-Tulokset!$I$48))))))</f>
        <v/>
      </c>
      <c r="AY42" s="333" t="str">
        <f>IF(OR(Tulokset!$G$49="",Tulokset!$I$49="",'39'!$I$50="",'39'!$K$50=""),"",IF(SIGN('39'!$I$50-'39'!$K$50)&lt;&gt;SIGN(Tulokset!$G$49-Tulokset!$I$49),0,IF(Tulokset!$G$49=Tulokset!$I$49,IF(AND('39'!$I$50=Tulokset!$G$49,'39'!$K$50=Tulokset!$I$49),6,3),MAX(0,6-(ABS('39'!$I$50-Tulokset!$G$49)+ABS('39'!$K$50-Tulokset!$I$49))))))</f>
        <v/>
      </c>
      <c r="AZ42" s="333" t="str">
        <f>IF(OR(Tulokset!$G$50="",Tulokset!$I$50="",'39'!$I$51="",'39'!$K$51=""),"",IF(SIGN('39'!$I$51-'39'!$K$51)&lt;&gt;SIGN(Tulokset!$G$50-Tulokset!$I$50),0,IF(Tulokset!$G$50=Tulokset!$I$50,IF(AND('39'!$I$51=Tulokset!$G$50,'39'!$K$51=Tulokset!$I$50),6,3),MAX(0,6-(ABS('39'!$I$51-Tulokset!$G$50)+ABS('39'!$K$51-Tulokset!$I$50))))))</f>
        <v/>
      </c>
      <c r="BA42" s="333" t="str">
        <f>IF(OR(Tulokset!$G$51="",Tulokset!$I$51="",'39'!$I$52="",'39'!$K$52=""),"",IF(SIGN('39'!$I$52-'39'!$K$52)&lt;&gt;SIGN(Tulokset!$G$51-Tulokset!$I$51),0,IF(Tulokset!$G$51=Tulokset!$I$51,IF(AND('39'!$I$52=Tulokset!$G$51,'39'!$K$52=Tulokset!$I$51),6,3),MAX(0,6-(ABS('39'!$I$52-Tulokset!$G$51)+ABS('39'!$K$52-Tulokset!$I$51))))))</f>
        <v/>
      </c>
      <c r="BB42" s="333" t="str">
        <f>IF(OR(Tulokset!$G$52="",Tulokset!$I$52="",'39'!$I$53="",'39'!$K$53=""),"",IF(SIGN('39'!$I$53-'39'!$K$53)&lt;&gt;SIGN(Tulokset!$G$52-Tulokset!$I$52),0,IF(Tulokset!$G$52=Tulokset!$I$52,IF(AND('39'!$I$53=Tulokset!$G$52,'39'!$K$53=Tulokset!$I$52),6,3),MAX(0,6-(ABS('39'!$I$53-Tulokset!$G$52)+ABS('39'!$K$53-Tulokset!$I$52))))))</f>
        <v/>
      </c>
      <c r="BC42" s="333" t="str">
        <f>IF(OR(Tulokset!$G$53="",Tulokset!$I$53="",'39'!$I$54="",'39'!$K$54=""),"",IF(SIGN('39'!$I$54-'39'!$K$54)&lt;&gt;SIGN(Tulokset!$G$53-Tulokset!$I$53),0,IF(Tulokset!$G$53=Tulokset!$I$53,IF(AND('39'!$I$54=Tulokset!$G$53,'39'!$K$54=Tulokset!$I$53),6,3),MAX(0,6-(ABS('39'!$I$54-Tulokset!$G$53)+ABS('39'!$K$54-Tulokset!$I$53))))))</f>
        <v/>
      </c>
      <c r="BD42" s="333" t="str">
        <f>IF(OR(Tulokset!$G$54="",Tulokset!$I$54="",'39'!$I$55="",'39'!$K$55=""),"",IF(SIGN('39'!$I$55-'39'!$K$55)&lt;&gt;SIGN(Tulokset!$G$54-Tulokset!$I$54),0,IF(Tulokset!$G$54=Tulokset!$I$54,IF(AND('39'!$I$55=Tulokset!$G$54,'39'!$K$55=Tulokset!$I$54),6,3),MAX(0,6-(ABS('39'!$I$55-Tulokset!$G$54)+ABS('39'!$K$55-Tulokset!$I$54))))))</f>
        <v/>
      </c>
      <c r="BE42" s="333" t="str">
        <f>IF(OR(Tulokset!$G$55="",Tulokset!$I$55="",'39'!$I$56="",'39'!$K$56=""),"",IF(SIGN('39'!$I$56-'39'!$K$56)&lt;&gt;SIGN(Tulokset!$G$55-Tulokset!$I$55),0,IF(Tulokset!$G$55=Tulokset!$I$55,IF(AND('39'!$I$56=Tulokset!$G$55,'39'!$K$56=Tulokset!$I$55),6,3),MAX(0,6-(ABS('39'!$I$56-Tulokset!$G$55)+ABS('39'!$K$56-Tulokset!$I$55))))))</f>
        <v/>
      </c>
      <c r="BF42" s="333" t="str">
        <f>IF(OR(Tulokset!$G$56="",Tulokset!$I$56="",'39'!$I$57="",'39'!$K$57=""),"",IF(SIGN('39'!$I$57-'39'!$K$57)&lt;&gt;SIGN(Tulokset!$G$56-Tulokset!$I$56),0,IF(Tulokset!$G$56=Tulokset!$I$56,IF(AND('39'!$I$57=Tulokset!$G$56,'39'!$K$57=Tulokset!$I$56),6,3),MAX(0,6-(ABS('39'!$I$57-Tulokset!$G$56)+ABS('39'!$K$57-Tulokset!$I$56))))))</f>
        <v/>
      </c>
      <c r="BG42" s="333" t="str">
        <f>IF(OR(Tulokset!$G$57="",Tulokset!$I$57="",'39'!$I$58="",'39'!$K$58=""),"",IF(SIGN('39'!$I$58-'39'!$K$58)&lt;&gt;SIGN(Tulokset!$G$57-Tulokset!$I$57),0,IF(Tulokset!$G$57=Tulokset!$I$57,IF(AND('39'!$I$58=Tulokset!$G$57,'39'!$K$58=Tulokset!$I$57),6,3),MAX(0,6-(ABS('39'!$I$58-Tulokset!$G$57)+ABS('39'!$K$58-Tulokset!$I$57))))))</f>
        <v/>
      </c>
      <c r="BH42" s="333" t="str">
        <f>IF(OR(Tulokset!$G$58="",Tulokset!$I$58="",'39'!$I$59="",'39'!$K$59=""),"",IF(SIGN('39'!$I$59-'39'!$K$59)&lt;&gt;SIGN(Tulokset!$G$58-Tulokset!$I$58),0,IF(Tulokset!$G$58=Tulokset!$I$58,IF(AND('39'!$I$59=Tulokset!$G$58,'39'!$K$59=Tulokset!$I$58),6,3),MAX(0,6-(ABS('39'!$I$59-Tulokset!$G$58)+ABS('39'!$K$59-Tulokset!$I$58))))))</f>
        <v/>
      </c>
      <c r="BI42" s="333" t="str">
        <f>IF(OR(Tulokset!$G$59="",Tulokset!$I$59="",'39'!$I$60="",'39'!$K$60=""),"",IF(SIGN('39'!$I$60-'39'!$K$60)&lt;&gt;SIGN(Tulokset!$G$59-Tulokset!$I$59),0,IF(Tulokset!$G$59=Tulokset!$I$59,IF(AND('39'!$I$60=Tulokset!$G$59,'39'!$K$60=Tulokset!$I$59),6,3),MAX(0,6-(ABS('39'!$I$60-Tulokset!$G$59)+ABS('39'!$K$60-Tulokset!$I$59))))))</f>
        <v/>
      </c>
      <c r="BJ42" s="333" t="str">
        <f>IF(OR(Tulokset!$G$60="",Tulokset!$I$60="",'39'!$I$61="",'39'!$K$61=""),"",IF(SIGN('39'!$I$61-'39'!$K$61)&lt;&gt;SIGN(Tulokset!$G$60-Tulokset!$I$60),0,IF(Tulokset!$G$60=Tulokset!$I$60,IF(AND('39'!$I$61=Tulokset!$G$60,'39'!$K$61=Tulokset!$I$60),6,3),MAX(0,6-(ABS('39'!$I$61-Tulokset!$G$60)+ABS('39'!$K$61-Tulokset!$I$60))))))</f>
        <v/>
      </c>
      <c r="BK42" s="333" t="str">
        <f>IF(OR(Tulokset!$G$61="",Tulokset!$I$61="",'39'!$I$62="",'39'!$K$62=""),"",IF(SIGN('39'!$I$62-'39'!$K$62)&lt;&gt;SIGN(Tulokset!$G$61-Tulokset!$I$61),0,IF(Tulokset!$G$61=Tulokset!$I$61,IF(AND('39'!$I$62=Tulokset!$G$61,'39'!$K$62=Tulokset!$I$61),6,3),MAX(0,6-(ABS('39'!$I$62-Tulokset!$G$61)+ABS('39'!$K$62-Tulokset!$I$61))))))</f>
        <v/>
      </c>
      <c r="BL42" s="333" t="str">
        <f>IF(OR(Tulokset!$G$62="",Tulokset!$I$62="",'39'!$I$63="",'39'!$K$63=""),"",IF(SIGN('39'!$I$63-'39'!$K$63)&lt;&gt;SIGN(Tulokset!$G$62-Tulokset!$I$62),0,IF(Tulokset!$G$62=Tulokset!$I$62,IF(AND('39'!$I$63=Tulokset!$G$62,'39'!$K$63=Tulokset!$I$62),6,3),MAX(0,6-(ABS('39'!$I$63-Tulokset!$G$62)+ABS('39'!$K$63-Tulokset!$I$62))))))</f>
        <v/>
      </c>
      <c r="BM42" s="333" t="str">
        <f>IF(OR(Tulokset!$G$63="",Tulokset!$I$63="",'39'!$I$64="",'39'!$K$64=""),"",IF(SIGN('39'!$I$64-'39'!$K$64)&lt;&gt;SIGN(Tulokset!$G$63-Tulokset!$I$63),0,IF(Tulokset!$G$63=Tulokset!$I$63,IF(AND('39'!$I$64=Tulokset!$G$63,'39'!$K$64=Tulokset!$I$63),6,3),MAX(0,6-(ABS('39'!$I$64-Tulokset!$G$63)+ABS('39'!$K$64-Tulokset!$I$63))))))</f>
        <v/>
      </c>
      <c r="BN42" s="333" t="str">
        <f>IF(OR(Tulokset!$G$64="",Tulokset!$I$64="",'39'!$I$65="",'39'!$K$65=""),"",IF(SIGN('39'!$I$65-'39'!$K$65)&lt;&gt;SIGN(Tulokset!$G$64-Tulokset!$I$64),0,IF(Tulokset!$G$64=Tulokset!$I$64,IF(AND('39'!$I$65=Tulokset!$G$64,'39'!$K$65=Tulokset!$I$64),6,3),MAX(0,6-(ABS('39'!$I$65-Tulokset!$G$64)+ABS('39'!$K$65-Tulokset!$I$64))))))</f>
        <v/>
      </c>
      <c r="BO42" s="333" t="str">
        <f>IF(OR(Tulokset!$G$65="",Tulokset!$I$65="",'39'!$I$66="",'39'!$K$66=""),"",IF(SIGN('39'!$I$66-'39'!$K$66)&lt;&gt;SIGN(Tulokset!$G$65-Tulokset!$I$65),0,IF(Tulokset!$G$65=Tulokset!$I$65,IF(AND('39'!$I$66=Tulokset!$G$65,'39'!$K$66=Tulokset!$I$65),6,3),MAX(0,6-(ABS('39'!$I$66-Tulokset!$G$65)+ABS('39'!$K$66-Tulokset!$I$65))))))</f>
        <v/>
      </c>
      <c r="BP42" s="333" t="str">
        <f>IF(OR(Tulokset!$G$66="",Tulokset!$I$66="",'39'!$I$67="",'39'!$K$67=""),"",IF(SIGN('39'!$I$67-'39'!$K$67)&lt;&gt;SIGN(Tulokset!$G$66-Tulokset!$I$66),0,IF(Tulokset!$G$66=Tulokset!$I$66,IF(AND('39'!$I$67=Tulokset!$G$66,'39'!$K$67=Tulokset!$I$66),6,3),MAX(0,6-(ABS('39'!$I$67-Tulokset!$G$66)+ABS('39'!$K$67-Tulokset!$I$66))))))</f>
        <v/>
      </c>
      <c r="BQ42" s="333" t="str">
        <f>IF(OR(Tulokset!$G$67="",Tulokset!$I$67="",'39'!$I$68="",'39'!$K$68=""),"",IF(SIGN('39'!$I$68-'39'!$K$68)&lt;&gt;SIGN(Tulokset!$G$67-Tulokset!$I$67),0,IF(Tulokset!$G$67=Tulokset!$I$67,IF(AND('39'!$I$68=Tulokset!$G$67,'39'!$K$68=Tulokset!$I$67),6,3),MAX(0,6-(ABS('39'!$I$68-Tulokset!$G$67)+ABS('39'!$K$68-Tulokset!$I$67))))))</f>
        <v/>
      </c>
      <c r="BR42" s="333" t="str">
        <f>IF(OR(Tulokset!$G$68="",Tulokset!$I$68="",'39'!$I$69="",'39'!$K$69=""),"",IF(SIGN('39'!$I$69-'39'!$K$69)&lt;&gt;SIGN(Tulokset!$G$68-Tulokset!$I$68),0,IF(Tulokset!$G$68=Tulokset!$I$68,IF(AND('39'!$I$69=Tulokset!$G$68,'39'!$K$69=Tulokset!$I$68),6,3),MAX(0,6-(ABS('39'!$I$69-Tulokset!$G$68)+ABS('39'!$K$69-Tulokset!$I$68))))))</f>
        <v/>
      </c>
      <c r="BS42" s="333" t="str">
        <f>IF(OR(Tulokset!$G$69="",Tulokset!$I$69="",'39'!$I$70="",'39'!$K$70=""),"",IF(SIGN('39'!$I$70-'39'!$K$70)&lt;&gt;SIGN(Tulokset!$G$69-Tulokset!$I$69),0,IF(Tulokset!$G$69=Tulokset!$I$69,IF(AND('39'!$I$70=Tulokset!$G$69,'39'!$K$70=Tulokset!$I$69),6,3),MAX(0,6-(ABS('39'!$I$70-Tulokset!$G$69)+ABS('39'!$K$70-Tulokset!$I$69))))))</f>
        <v/>
      </c>
      <c r="BT42" s="333" t="str">
        <f>IF(OR(Tulokset!$G$70="",Tulokset!$I$70="",'39'!$I$71="",'39'!$K$71=""),"",IF(SIGN('39'!$I$71-'39'!$K$71)&lt;&gt;SIGN(Tulokset!$G$70-Tulokset!$I$70),0,IF(Tulokset!$G$70=Tulokset!$I$70,IF(AND('39'!$I$71=Tulokset!$G$70,'39'!$K$71=Tulokset!$I$70),6,3),MAX(0,6-(ABS('39'!$I$71-Tulokset!$G$70)+ABS('39'!$K$71-Tulokset!$I$70))))))</f>
        <v/>
      </c>
      <c r="BU42" s="333" t="str">
        <f>IF(OR(Tulokset!$G$71="",Tulokset!$I$71="",'39'!$I$72="",'39'!$K$72=""),"",IF(SIGN('39'!$I$72-'39'!$K$72)&lt;&gt;SIGN(Tulokset!$G$71-Tulokset!$I$71),0,IF(Tulokset!$G$71=Tulokset!$I$71,IF(AND('39'!$I$72=Tulokset!$G$71,'39'!$K$72=Tulokset!$I$71),6,3),MAX(0,6-(ABS('39'!$I$72-Tulokset!$G$71)+ABS('39'!$K$72-Tulokset!$I$71))))))</f>
        <v/>
      </c>
      <c r="BV42" s="333" t="str">
        <f>IF(OR(Tulokset!$G$72="",Tulokset!$I$72="",'39'!$I$73="",'39'!$K$73=""),"",IF(SIGN('39'!$I$73-'39'!$K$73)&lt;&gt;SIGN(Tulokset!$G$72-Tulokset!$I$72),0,IF(Tulokset!$G$72=Tulokset!$I$72,IF(AND('39'!$I$73=Tulokset!$G$72,'39'!$K$73=Tulokset!$I$72),6,3),MAX(0,6-(ABS('39'!$I$73-Tulokset!$G$72)+ABS('39'!$K$73-Tulokset!$I$72))))))</f>
        <v/>
      </c>
      <c r="BW42" s="333" t="str">
        <f>IF(OR(Tulokset!$G$73="",Tulokset!$I$73="",'39'!$I$74="",'39'!$K$74=""),"",IF(SIGN('39'!$I$74-'39'!$K$74)&lt;&gt;SIGN(Tulokset!$G$73-Tulokset!$I$73),0,IF(Tulokset!$G$73=Tulokset!$I$73,IF(AND('39'!$I$74=Tulokset!$G$73,'39'!$K$74=Tulokset!$I$73),6,3),MAX(0,6-(ABS('39'!$I$74-Tulokset!$G$73)+ABS('39'!$K$74-Tulokset!$I$73))))))</f>
        <v/>
      </c>
      <c r="BX42" s="333" t="str">
        <f>IF(OR(Tulokset!$G$74="",Tulokset!$I$74="",'39'!$I$75="",'39'!$K$75=""),"",IF(SIGN('39'!$I$75-'39'!$K$75)&lt;&gt;SIGN(Tulokset!$G$74-Tulokset!$I$74),0,IF(Tulokset!$G$74=Tulokset!$I$74,IF(AND('39'!$I$75=Tulokset!$G$74,'39'!$K$75=Tulokset!$I$74),6,3),MAX(0,6-(ABS('39'!$I$75-Tulokset!$G$74)+ABS('39'!$K$75-Tulokset!$I$74))))))</f>
        <v/>
      </c>
      <c r="BY42" s="333" t="str">
        <f>IF(OR(Tulokset!$G$75="",Tulokset!$I$75="",'39'!$I$76="",'39'!$K$76=""),"",IF(SIGN('39'!$I$76-'39'!$K$76)&lt;&gt;SIGN(Tulokset!$G$75-Tulokset!$I$75),0,IF(Tulokset!$G$75=Tulokset!$I$75,IF(AND('39'!$I$76=Tulokset!$G$75,'39'!$K$76=Tulokset!$I$75),6,3),MAX(0,6-(ABS('39'!$I$76-Tulokset!$G$75)+ABS('39'!$K$76-Tulokset!$I$75))))))</f>
        <v/>
      </c>
      <c r="BZ42" s="333" t="str">
        <f>IF(OR(Tulokset!$G$76="",Tulokset!$I$76="",'39'!$I$77="",'39'!$K$77=""),"",IF(SIGN('39'!$I$77-'39'!$K$77)&lt;&gt;SIGN(Tulokset!$G$76-Tulokset!$I$76),0,IF(Tulokset!$G$76=Tulokset!$I$76,IF(AND('39'!$I$77=Tulokset!$G$76,'39'!$K$77=Tulokset!$I$76),6,3),MAX(0,6-(ABS('39'!$I$77-Tulokset!$G$76)+ABS('39'!$K$77-Tulokset!$I$76))))))</f>
        <v/>
      </c>
      <c r="CA42" s="333" t="str">
        <f>IF(OR(Tulokset!$G$77="",Tulokset!$I$77="",'39'!$I$78="",'39'!$K$78=""),"",IF(SIGN('39'!$I$78-'39'!$K$78)&lt;&gt;SIGN(Tulokset!$G$77-Tulokset!$I$77),0,IF(Tulokset!$G$77=Tulokset!$I$77,IF(AND('39'!$I$78=Tulokset!$G$77,'39'!$K$78=Tulokset!$I$77),6,3),MAX(0,6-(ABS('39'!$I$78-Tulokset!$G$77)+ABS('39'!$K$78-Tulokset!$I$77))))))</f>
        <v/>
      </c>
      <c r="CB42" s="333"/>
      <c r="CC42" s="333"/>
      <c r="CD42" s="333" t="str">
        <f ca="1">IF(OR(Tulokset!$M$6="",INDIRECT("'"&amp;$A42&amp;"'!$P$8")=""),"",IF(TRIM(INDIRECT("'"&amp;$A42&amp;"'!$P$8"))=TRIM(Tulokset!$M$6),2,0))</f>
        <v/>
      </c>
      <c r="CE42" s="333" t="str">
        <f ca="1">IF(OR(Tulokset!$M$7="",INDIRECT("'"&amp;$A42&amp;"'!$P$9")=""),"",IF(TRIM(INDIRECT("'"&amp;$A42&amp;"'!$P$9"))=TRIM(Tulokset!$M$7),2,0))</f>
        <v/>
      </c>
      <c r="CF42" s="333" t="str">
        <f ca="1">IF(OR(Tulokset!$M$8="",INDIRECT("'"&amp;$A42&amp;"'!$P$10")=""),"",IF(TRIM(INDIRECT("'"&amp;$A42&amp;"'!$P$10"))=TRIM(Tulokset!$M$8),2,0))</f>
        <v/>
      </c>
      <c r="CG42" s="333" t="str">
        <f ca="1">IF(OR(Tulokset!$M$9="",INDIRECT("'"&amp;$A42&amp;"'!$P$11")=""),"",IF(TRIM(INDIRECT("'"&amp;$A42&amp;"'!$P$11"))=TRIM(Tulokset!$M$9),2,0))</f>
        <v/>
      </c>
      <c r="CH42" s="333" t="str">
        <f ca="1">IF(OR(Tulokset!$N$6="",INDIRECT("'"&amp;$A42&amp;"'!$Q$8")=""),"",IF(TRIM(INDIRECT("'"&amp;$A42&amp;"'!$Q$8"))=TRIM(Tulokset!$N$6),2,0))</f>
        <v/>
      </c>
      <c r="CI42" s="333" t="str">
        <f ca="1">IF(OR(Tulokset!$N$7="",INDIRECT("'"&amp;$A42&amp;"'!$Q$9")=""),"",IF(TRIM(INDIRECT("'"&amp;$A42&amp;"'!$Q$9"))=TRIM(Tulokset!$N$7),2,0))</f>
        <v/>
      </c>
      <c r="CJ42" s="333" t="str">
        <f ca="1">IF(OR(Tulokset!$N$8="",INDIRECT("'"&amp;$A42&amp;"'!$Q$10")=""),"",IF(TRIM(INDIRECT("'"&amp;$A42&amp;"'!$Q$10"))=TRIM(Tulokset!$N$8),2,0))</f>
        <v/>
      </c>
      <c r="CK42" s="333" t="str">
        <f ca="1">IF(OR(Tulokset!$N$9="",INDIRECT("'"&amp;$A42&amp;"'!$Q$11")=""),"",IF(TRIM(INDIRECT("'"&amp;$A42&amp;"'!$Q$11"))=TRIM(Tulokset!$N$9),2,0))</f>
        <v/>
      </c>
      <c r="CL42" s="333" t="str">
        <f ca="1">IF(OR(Tulokset!$O$6="",INDIRECT("'"&amp;$A42&amp;"'!$R$8")=""),"",IF(TRIM(INDIRECT("'"&amp;$A42&amp;"'!$R$8"))=TRIM(Tulokset!$O$6),2,0))</f>
        <v/>
      </c>
      <c r="CM42" s="333" t="str">
        <f ca="1">IF(OR(Tulokset!$O$7="",INDIRECT("'"&amp;$A42&amp;"'!$R$9")=""),"",IF(TRIM(INDIRECT("'"&amp;$A42&amp;"'!$R$9"))=TRIM(Tulokset!$O$7),2,0))</f>
        <v/>
      </c>
      <c r="CN42" s="333" t="str">
        <f ca="1">IF(OR(Tulokset!$O$8="",INDIRECT("'"&amp;$A42&amp;"'!$R$10")=""),"",IF(TRIM(INDIRECT("'"&amp;$A42&amp;"'!$R$10"))=TRIM(Tulokset!$O$8),2,0))</f>
        <v/>
      </c>
      <c r="CO42" s="333" t="str">
        <f ca="1">IF(OR(Tulokset!$O$9="",INDIRECT("'"&amp;$A42&amp;"'!$R$11")=""),"",IF(TRIM(INDIRECT("'"&amp;$A42&amp;"'!$R$11"))=TRIM(Tulokset!$O$9),2,0))</f>
        <v/>
      </c>
      <c r="CP42" s="333" t="str">
        <f ca="1">IF(OR(Tulokset!$P$6="",INDIRECT("'"&amp;$A42&amp;"'!$S$8")=""),"",IF(TRIM(INDIRECT("'"&amp;$A42&amp;"'!$S$8"))=TRIM(Tulokset!$P$6),2,0))</f>
        <v/>
      </c>
      <c r="CQ42" s="333" t="str">
        <f ca="1">IF(OR(Tulokset!$P$7="",INDIRECT("'"&amp;$A42&amp;"'!$S$9")=""),"",IF(TRIM(INDIRECT("'"&amp;$A42&amp;"'!$S$9"))=TRIM(Tulokset!$P$7),2,0))</f>
        <v/>
      </c>
      <c r="CR42" s="333" t="str">
        <f ca="1">IF(OR(Tulokset!$P$8="",INDIRECT("'"&amp;$A42&amp;"'!$S$10")=""),"",IF(TRIM(INDIRECT("'"&amp;$A42&amp;"'!$S$10"))=TRIM(Tulokset!$P$8),2,0))</f>
        <v/>
      </c>
      <c r="CS42" s="333" t="str">
        <f ca="1">IF(OR(Tulokset!$P$9="",INDIRECT("'"&amp;$A42&amp;"'!$S$11")=""),"",IF(TRIM(INDIRECT("'"&amp;$A42&amp;"'!$S$11"))=TRIM(Tulokset!$P$9),2,0))</f>
        <v/>
      </c>
      <c r="CT42" s="333" t="str">
        <f ca="1">IF(OR(Tulokset!$Q$6="",INDIRECT("'"&amp;$A42&amp;"'!$T$8")=""),"",IF(TRIM(INDIRECT("'"&amp;$A42&amp;"'!$T$8"))=TRIM(Tulokset!$Q$6),2,0))</f>
        <v/>
      </c>
      <c r="CU42" s="333" t="str">
        <f ca="1">IF(OR(Tulokset!$Q$7="",INDIRECT("'"&amp;$A42&amp;"'!$T$9")=""),"",IF(TRIM(INDIRECT("'"&amp;$A42&amp;"'!$T$9"))=TRIM(Tulokset!$Q$7),2,0))</f>
        <v/>
      </c>
      <c r="CV42" s="333" t="str">
        <f ca="1">IF(OR(Tulokset!$Q$8="",INDIRECT("'"&amp;$A42&amp;"'!$T$10")=""),"",IF(TRIM(INDIRECT("'"&amp;$A42&amp;"'!$T$10"))=TRIM(Tulokset!$Q$8),2,0))</f>
        <v/>
      </c>
      <c r="CW42" s="333" t="str">
        <f ca="1">IF(OR(Tulokset!$Q$9="",INDIRECT("'"&amp;$A42&amp;"'!$T$11")=""),"",IF(TRIM(INDIRECT("'"&amp;$A42&amp;"'!$T$11"))=TRIM(Tulokset!$Q$9),2,0))</f>
        <v/>
      </c>
      <c r="CX42" s="333" t="str">
        <f ca="1">IF(OR(Tulokset!$R$6="",INDIRECT("'"&amp;$A42&amp;"'!$U$8")=""),"",IF(TRIM(INDIRECT("'"&amp;$A42&amp;"'!$U$8"))=TRIM(Tulokset!$R$6),2,0))</f>
        <v/>
      </c>
      <c r="CY42" s="333" t="str">
        <f ca="1">IF(OR(Tulokset!$R$7="",INDIRECT("'"&amp;$A42&amp;"'!$U$9")=""),"",IF(TRIM(INDIRECT("'"&amp;$A42&amp;"'!$U$9"))=TRIM(Tulokset!$R$7),2,0))</f>
        <v/>
      </c>
      <c r="CZ42" s="333" t="str">
        <f ca="1">IF(OR(Tulokset!$R$8="",INDIRECT("'"&amp;$A42&amp;"'!$U$10")=""),"",IF(TRIM(INDIRECT("'"&amp;$A42&amp;"'!$U$10"))=TRIM(Tulokset!$R$8),2,0))</f>
        <v/>
      </c>
      <c r="DA42" s="333" t="str">
        <f ca="1">IF(OR(Tulokset!$R$9="",INDIRECT("'"&amp;$A42&amp;"'!$U$11")=""),"",IF(TRIM(INDIRECT("'"&amp;$A42&amp;"'!$U$11"))=TRIM(Tulokset!$R$9),2,0))</f>
        <v/>
      </c>
      <c r="DB42" s="333" t="str">
        <f ca="1">IF(OR(Tulokset!$M$12="",INDIRECT("'"&amp;$A42&amp;"'!$P$14")=""),"",IF(TRIM(INDIRECT("'"&amp;$A42&amp;"'!$P$14"))=TRIM(Tulokset!$M$12),2,0))</f>
        <v/>
      </c>
      <c r="DC42" s="333" t="str">
        <f ca="1">IF(OR(Tulokset!$M$13="",INDIRECT("'"&amp;$A42&amp;"'!$P$15")=""),"",IF(TRIM(INDIRECT("'"&amp;$A42&amp;"'!$P$15"))=TRIM(Tulokset!$M$13),2,0))</f>
        <v/>
      </c>
      <c r="DD42" s="333" t="str">
        <f ca="1">IF(OR(Tulokset!$M$14="",INDIRECT("'"&amp;$A42&amp;"'!$P$16")=""),"",IF(TRIM(INDIRECT("'"&amp;$A42&amp;"'!$P$16"))=TRIM(Tulokset!$M$14),2,0))</f>
        <v/>
      </c>
      <c r="DE42" s="333" t="str">
        <f ca="1">IF(OR(Tulokset!$M$15="",INDIRECT("'"&amp;$A42&amp;"'!$P$17")=""),"",IF(TRIM(INDIRECT("'"&amp;$A42&amp;"'!$P$17"))=TRIM(Tulokset!$M$15),2,0))</f>
        <v/>
      </c>
      <c r="DF42" s="333" t="str">
        <f ca="1">IF(OR(Tulokset!$N$12="",INDIRECT("'"&amp;$A42&amp;"'!$Q$14")=""),"",IF(TRIM(INDIRECT("'"&amp;$A42&amp;"'!$Q$14"))=TRIM(Tulokset!$N$12),2,0))</f>
        <v/>
      </c>
      <c r="DG42" s="333" t="str">
        <f ca="1">IF(OR(Tulokset!$N$13="",INDIRECT("'"&amp;$A42&amp;"'!$Q$15")=""),"",IF(TRIM(INDIRECT("'"&amp;$A42&amp;"'!$Q$15"))=TRIM(Tulokset!$N$13),2,0))</f>
        <v/>
      </c>
      <c r="DH42" s="333" t="str">
        <f ca="1">IF(OR(Tulokset!$N$14="",INDIRECT("'"&amp;$A42&amp;"'!$Q$16")=""),"",IF(TRIM(INDIRECT("'"&amp;$A42&amp;"'!$Q$16"))=TRIM(Tulokset!$N$14),2,0))</f>
        <v/>
      </c>
      <c r="DI42" s="333" t="str">
        <f ca="1">IF(OR(Tulokset!$N$15="",INDIRECT("'"&amp;$A42&amp;"'!$Q$17")=""),"",IF(TRIM(INDIRECT("'"&amp;$A42&amp;"'!$Q$17"))=TRIM(Tulokset!$N$15),2,0))</f>
        <v/>
      </c>
      <c r="DJ42" s="333" t="str">
        <f ca="1">IF(OR(Tulokset!$O$12="",INDIRECT("'"&amp;$A42&amp;"'!$R$14")=""),"",IF(TRIM(INDIRECT("'"&amp;$A42&amp;"'!$R$14"))=TRIM(Tulokset!$O$12),2,0))</f>
        <v/>
      </c>
      <c r="DK42" s="333" t="str">
        <f ca="1">IF(OR(Tulokset!$O$13="",INDIRECT("'"&amp;$A42&amp;"'!$R$15")=""),"",IF(TRIM(INDIRECT("'"&amp;$A42&amp;"'!$R$15"))=TRIM(Tulokset!$O$13),2,0))</f>
        <v/>
      </c>
      <c r="DL42" s="333" t="str">
        <f ca="1">IF(OR(Tulokset!$O$14="",INDIRECT("'"&amp;$A42&amp;"'!$R$16")=""),"",IF(TRIM(INDIRECT("'"&amp;$A42&amp;"'!$R$16"))=TRIM(Tulokset!$O$14),2,0))</f>
        <v/>
      </c>
      <c r="DM42" s="333" t="str">
        <f ca="1">IF(OR(Tulokset!$O$15="",INDIRECT("'"&amp;$A42&amp;"'!$R$17")=""),"",IF(TRIM(INDIRECT("'"&amp;$A42&amp;"'!$R$17"))=TRIM(Tulokset!$O$15),2,0))</f>
        <v/>
      </c>
      <c r="DN42" s="333" t="str">
        <f ca="1">IF(OR(Tulokset!$P$12="",INDIRECT("'"&amp;$A42&amp;"'!$S$14")=""),"",IF(TRIM(INDIRECT("'"&amp;$A42&amp;"'!$S$14"))=TRIM(Tulokset!$P$12),2,0))</f>
        <v/>
      </c>
      <c r="DO42" s="333" t="str">
        <f ca="1">IF(OR(Tulokset!$P$13="",INDIRECT("'"&amp;$A42&amp;"'!$S$15")=""),"",IF(TRIM(INDIRECT("'"&amp;$A42&amp;"'!$S$15"))=TRIM(Tulokset!$P$13),2,0))</f>
        <v/>
      </c>
      <c r="DP42" s="333" t="str">
        <f ca="1">IF(OR(Tulokset!$P$14="",INDIRECT("'"&amp;$A42&amp;"'!$S$16")=""),"",IF(TRIM(INDIRECT("'"&amp;$A42&amp;"'!$S$16"))=TRIM(Tulokset!$P$14),2,0))</f>
        <v/>
      </c>
      <c r="DQ42" s="333" t="str">
        <f ca="1">IF(OR(Tulokset!$P$15="",INDIRECT("'"&amp;$A42&amp;"'!$S$17")=""),"",IF(TRIM(INDIRECT("'"&amp;$A42&amp;"'!$S$17"))=TRIM(Tulokset!$P$15),2,0))</f>
        <v/>
      </c>
      <c r="DR42" s="333" t="str">
        <f ca="1">IF(OR(Tulokset!$Q$12="",INDIRECT("'"&amp;$A42&amp;"'!$T$14")=""),"",IF(TRIM(INDIRECT("'"&amp;$A42&amp;"'!$T$14"))=TRIM(Tulokset!$Q$12),2,0))</f>
        <v/>
      </c>
      <c r="DS42" s="333" t="str">
        <f ca="1">IF(OR(Tulokset!$Q$13="",INDIRECT("'"&amp;$A42&amp;"'!$T$15")=""),"",IF(TRIM(INDIRECT("'"&amp;$A42&amp;"'!$T$15"))=TRIM(Tulokset!$Q$13),2,0))</f>
        <v/>
      </c>
      <c r="DT42" s="333" t="str">
        <f ca="1">IF(OR(Tulokset!$Q$14="",INDIRECT("'"&amp;$A42&amp;"'!$T$16")=""),"",IF(TRIM(INDIRECT("'"&amp;$A42&amp;"'!$T$16"))=TRIM(Tulokset!$Q$14),2,0))</f>
        <v/>
      </c>
      <c r="DU42" s="333" t="str">
        <f ca="1">IF(OR(Tulokset!$Q$15="",INDIRECT("'"&amp;$A42&amp;"'!$T$17")=""),"",IF(TRIM(INDIRECT("'"&amp;$A42&amp;"'!$T$17"))=TRIM(Tulokset!$Q$15),2,0))</f>
        <v/>
      </c>
      <c r="DV42" s="333" t="str">
        <f ca="1">IF(OR(Tulokset!$R$12="",INDIRECT("'"&amp;$A42&amp;"'!$U$14")=""),"",IF(TRIM(INDIRECT("'"&amp;$A42&amp;"'!$U$14"))=TRIM(Tulokset!$R$12),2,0))</f>
        <v/>
      </c>
      <c r="DW42" s="333" t="str">
        <f ca="1">IF(OR(Tulokset!$R$13="",INDIRECT("'"&amp;$A42&amp;"'!$U$15")=""),"",IF(TRIM(INDIRECT("'"&amp;$A42&amp;"'!$U$15"))=TRIM(Tulokset!$R$13),2,0))</f>
        <v/>
      </c>
      <c r="DX42" s="333" t="str">
        <f ca="1">IF(OR(Tulokset!$R$14="",INDIRECT("'"&amp;$A42&amp;"'!$U$16")=""),"",IF(TRIM(INDIRECT("'"&amp;$A42&amp;"'!$U$16"))=TRIM(Tulokset!$R$14),2,0))</f>
        <v/>
      </c>
      <c r="DY42" s="333" t="str">
        <f ca="1">IF(OR(Tulokset!$R$15="",INDIRECT("'"&amp;$A42&amp;"'!$U$17")=""),"",IF(TRIM(INDIRECT("'"&amp;$A42&amp;"'!$U$17"))=TRIM(Tulokset!$R$15),2,0))</f>
        <v/>
      </c>
      <c r="DZ42" s="333"/>
      <c r="EA42" s="333" t="str">
        <f ca="1">IF(OR(INDIRECT("'"&amp;$A42&amp;"'!$E$79")="",COUNTA(Tulokset!$M$20:$M$21)=0),"",IF(COUNTIF(Tulokset!$M$20:$M$21,INDIRECT("'"&amp;$A42&amp;"'!$E$79"))&gt;0,2,0))</f>
        <v/>
      </c>
      <c r="EB42" s="333" t="str">
        <f ca="1">IF(OR(INDIRECT("'"&amp;$A42&amp;"'!$G$79")="",COUNTA(Tulokset!$M$20:$M$21)=0),"",IF(COUNTIF(Tulokset!$M$20:$M$21,INDIRECT("'"&amp;$A42&amp;"'!$G$79"))&gt;0,2,0))</f>
        <v/>
      </c>
      <c r="EC42" s="333" t="str">
        <f ca="1">IF(OR(INDIRECT("'"&amp;$A42&amp;"'!$E$80")="",COUNTA(Tulokset!$M$23:$M$24)=0),"",IF(COUNTIF(Tulokset!$M$23:$M$24,INDIRECT("'"&amp;$A42&amp;"'!$E$80"))&gt;0,2,0))</f>
        <v/>
      </c>
      <c r="ED42" s="333" t="str">
        <f ca="1">IF(OR(INDIRECT("'"&amp;$A42&amp;"'!$G$80")="",COUNTA(Tulokset!$M$23:$M$24)=0),"",IF(COUNTIF(Tulokset!$M$23:$M$24,INDIRECT("'"&amp;$A42&amp;"'!$G$80"))&gt;0,2,0))</f>
        <v/>
      </c>
    </row>
    <row r="43" spans="1:134">
      <c r="A43" s="333">
        <v>40</v>
      </c>
      <c r="B43" s="333" t="str">
        <f t="shared" ca="1" si="0"/>
        <v/>
      </c>
      <c r="C43" s="334">
        <f t="shared" si="1"/>
        <v>0</v>
      </c>
      <c r="D43" s="334">
        <f t="shared" ca="1" si="2"/>
        <v>0</v>
      </c>
      <c r="E43" s="334">
        <f t="shared" ca="1" si="3"/>
        <v>0</v>
      </c>
      <c r="F43" s="334" t="str">
        <f t="shared" ca="1" si="4"/>
        <v/>
      </c>
      <c r="G43" s="334">
        <f t="shared" si="5"/>
        <v>0</v>
      </c>
      <c r="H43" s="333" t="str">
        <f>IF(OR(Tulokset!$G$6="",Tulokset!$I$6="",'40'!$I$7="",'40'!$K$7=""),"",IF(SIGN('40'!$I$7-'40'!$K$7)&lt;&gt;SIGN(Tulokset!$G$6-Tulokset!$I$6),0,IF(Tulokset!$G$6=Tulokset!$I$6,IF(AND('40'!$I$7=Tulokset!$G$6,'40'!$K$7=Tulokset!$I$6),6,3),MAX(0,6-(ABS('40'!$I$7-Tulokset!$G$6)+ABS('40'!$K$7-Tulokset!$I$6))))))</f>
        <v/>
      </c>
      <c r="I43" s="333" t="str">
        <f>IF(OR(Tulokset!$G$7="",Tulokset!$I$7="",'40'!$I$8="",'40'!$K$8=""),"",IF(SIGN('40'!$I$8-'40'!$K$8)&lt;&gt;SIGN(Tulokset!$G$7-Tulokset!$I$7),0,IF(Tulokset!$G$7=Tulokset!$I$7,IF(AND('40'!$I$8=Tulokset!$G$7,'40'!$K$8=Tulokset!$I$7),6,3),MAX(0,6-(ABS('40'!$I$8-Tulokset!$G$7)+ABS('40'!$K$8-Tulokset!$I$7))))))</f>
        <v/>
      </c>
      <c r="J43" s="333" t="str">
        <f>IF(OR(Tulokset!$G$8="",Tulokset!$I$8="",'40'!$I$9="",'40'!$K$9=""),"",IF(SIGN('40'!$I$9-'40'!$K$9)&lt;&gt;SIGN(Tulokset!$G$8-Tulokset!$I$8),0,IF(Tulokset!$G$8=Tulokset!$I$8,IF(AND('40'!$I$9=Tulokset!$G$8,'40'!$K$9=Tulokset!$I$8),6,3),MAX(0,6-(ABS('40'!$I$9-Tulokset!$G$8)+ABS('40'!$K$9-Tulokset!$I$8))))))</f>
        <v/>
      </c>
      <c r="K43" s="333" t="str">
        <f>IF(OR(Tulokset!$G$9="",Tulokset!$I$9="",'40'!$I$10="",'40'!$K$10=""),"",IF(SIGN('40'!$I$10-'40'!$K$10)&lt;&gt;SIGN(Tulokset!$G$9-Tulokset!$I$9),0,IF(Tulokset!$G$9=Tulokset!$I$9,IF(AND('40'!$I$10=Tulokset!$G$9,'40'!$K$10=Tulokset!$I$9),6,3),MAX(0,6-(ABS('40'!$I$10-Tulokset!$G$9)+ABS('40'!$K$10-Tulokset!$I$9))))))</f>
        <v/>
      </c>
      <c r="L43" s="333" t="str">
        <f>IF(OR(Tulokset!$G$10="",Tulokset!$I$10="",'40'!$I$11="",'40'!$K$11=""),"",IF(SIGN('40'!$I$11-'40'!$K$11)&lt;&gt;SIGN(Tulokset!$G$10-Tulokset!$I$10),0,IF(Tulokset!$G$10=Tulokset!$I$10,IF(AND('40'!$I$11=Tulokset!$G$10,'40'!$K$11=Tulokset!$I$10),6,3),MAX(0,6-(ABS('40'!$I$11-Tulokset!$G$10)+ABS('40'!$K$11-Tulokset!$I$10))))))</f>
        <v/>
      </c>
      <c r="M43" s="333" t="str">
        <f>IF(OR(Tulokset!$G$11="",Tulokset!$I$11="",'40'!$I$12="",'40'!$K$12=""),"",IF(SIGN('40'!$I$12-'40'!$K$12)&lt;&gt;SIGN(Tulokset!$G$11-Tulokset!$I$11),0,IF(Tulokset!$G$11=Tulokset!$I$11,IF(AND('40'!$I$12=Tulokset!$G$11,'40'!$K$12=Tulokset!$I$11),6,3),MAX(0,6-(ABS('40'!$I$12-Tulokset!$G$11)+ABS('40'!$K$12-Tulokset!$I$11))))))</f>
        <v/>
      </c>
      <c r="N43" s="333" t="str">
        <f>IF(OR(Tulokset!$G$12="",Tulokset!$I$12="",'40'!$I$13="",'40'!$K$13=""),"",IF(SIGN('40'!$I$13-'40'!$K$13)&lt;&gt;SIGN(Tulokset!$G$12-Tulokset!$I$12),0,IF(Tulokset!$G$12=Tulokset!$I$12,IF(AND('40'!$I$13=Tulokset!$G$12,'40'!$K$13=Tulokset!$I$12),6,3),MAX(0,6-(ABS('40'!$I$13-Tulokset!$G$12)+ABS('40'!$K$13-Tulokset!$I$12))))))</f>
        <v/>
      </c>
      <c r="O43" s="333" t="str">
        <f>IF(OR(Tulokset!$G$13="",Tulokset!$I$13="",'40'!$I$14="",'40'!$K$14=""),"",IF(SIGN('40'!$I$14-'40'!$K$14)&lt;&gt;SIGN(Tulokset!$G$13-Tulokset!$I$13),0,IF(Tulokset!$G$13=Tulokset!$I$13,IF(AND('40'!$I$14=Tulokset!$G$13,'40'!$K$14=Tulokset!$I$13),6,3),MAX(0,6-(ABS('40'!$I$14-Tulokset!$G$13)+ABS('40'!$K$14-Tulokset!$I$13))))))</f>
        <v/>
      </c>
      <c r="P43" s="333" t="str">
        <f>IF(OR(Tulokset!$G$14="",Tulokset!$I$14="",'40'!$I$15="",'40'!$K$15=""),"",IF(SIGN('40'!$I$15-'40'!$K$15)&lt;&gt;SIGN(Tulokset!$G$14-Tulokset!$I$14),0,IF(Tulokset!$G$14=Tulokset!$I$14,IF(AND('40'!$I$15=Tulokset!$G$14,'40'!$K$15=Tulokset!$I$14),6,3),MAX(0,6-(ABS('40'!$I$15-Tulokset!$G$14)+ABS('40'!$K$15-Tulokset!$I$14))))))</f>
        <v/>
      </c>
      <c r="Q43" s="333" t="str">
        <f>IF(OR(Tulokset!$G$15="",Tulokset!$I$15="",'40'!$I$16="",'40'!$K$16=""),"",IF(SIGN('40'!$I$16-'40'!$K$16)&lt;&gt;SIGN(Tulokset!$G$15-Tulokset!$I$15),0,IF(Tulokset!$G$15=Tulokset!$I$15,IF(AND('40'!$I$16=Tulokset!$G$15,'40'!$K$16=Tulokset!$I$15),6,3),MAX(0,6-(ABS('40'!$I$16-Tulokset!$G$15)+ABS('40'!$K$16-Tulokset!$I$15))))))</f>
        <v/>
      </c>
      <c r="R43" s="333" t="str">
        <f>IF(OR(Tulokset!$G$16="",Tulokset!$I$16="",'40'!$I$17="",'40'!$K$17=""),"",IF(SIGN('40'!$I$17-'40'!$K$17)&lt;&gt;SIGN(Tulokset!$G$16-Tulokset!$I$16),0,IF(Tulokset!$G$16=Tulokset!$I$16,IF(AND('40'!$I$17=Tulokset!$G$16,'40'!$K$17=Tulokset!$I$16),6,3),MAX(0,6-(ABS('40'!$I$17-Tulokset!$G$16)+ABS('40'!$K$17-Tulokset!$I$16))))))</f>
        <v/>
      </c>
      <c r="S43" s="333" t="str">
        <f>IF(OR(Tulokset!$G$17="",Tulokset!$I$17="",'40'!$I$18="",'40'!$K$18=""),"",IF(SIGN('40'!$I$18-'40'!$K$18)&lt;&gt;SIGN(Tulokset!$G$17-Tulokset!$I$17),0,IF(Tulokset!$G$17=Tulokset!$I$17,IF(AND('40'!$I$18=Tulokset!$G$17,'40'!$K$18=Tulokset!$I$17),6,3),MAX(0,6-(ABS('40'!$I$18-Tulokset!$G$17)+ABS('40'!$K$18-Tulokset!$I$17))))))</f>
        <v/>
      </c>
      <c r="T43" s="333" t="str">
        <f>IF(OR(Tulokset!$G$18="",Tulokset!$I$18="",'40'!$I$19="",'40'!$K$19=""),"",IF(SIGN('40'!$I$19-'40'!$K$19)&lt;&gt;SIGN(Tulokset!$G$18-Tulokset!$I$18),0,IF(Tulokset!$G$18=Tulokset!$I$18,IF(AND('40'!$I$19=Tulokset!$G$18,'40'!$K$19=Tulokset!$I$18),6,3),MAX(0,6-(ABS('40'!$I$19-Tulokset!$G$18)+ABS('40'!$K$19-Tulokset!$I$18))))))</f>
        <v/>
      </c>
      <c r="U43" s="333" t="str">
        <f>IF(OR(Tulokset!$G$19="",Tulokset!$I$19="",'40'!$I$20="",'40'!$K$20=""),"",IF(SIGN('40'!$I$20-'40'!$K$20)&lt;&gt;SIGN(Tulokset!$G$19-Tulokset!$I$19),0,IF(Tulokset!$G$19=Tulokset!$I$19,IF(AND('40'!$I$20=Tulokset!$G$19,'40'!$K$20=Tulokset!$I$19),6,3),MAX(0,6-(ABS('40'!$I$20-Tulokset!$G$19)+ABS('40'!$K$20-Tulokset!$I$19))))))</f>
        <v/>
      </c>
      <c r="V43" s="333" t="str">
        <f>IF(OR(Tulokset!$G$20="",Tulokset!$I$20="",'40'!$I$21="",'40'!$K$21=""),"",IF(SIGN('40'!$I$21-'40'!$K$21)&lt;&gt;SIGN(Tulokset!$G$20-Tulokset!$I$20),0,IF(Tulokset!$G$20=Tulokset!$I$20,IF(AND('40'!$I$21=Tulokset!$G$20,'40'!$K$21=Tulokset!$I$20),6,3),MAX(0,6-(ABS('40'!$I$21-Tulokset!$G$20)+ABS('40'!$K$21-Tulokset!$I$20))))))</f>
        <v/>
      </c>
      <c r="W43" s="333" t="str">
        <f>IF(OR(Tulokset!$G$21="",Tulokset!$I$21="",'40'!$I$22="",'40'!$K$22=""),"",IF(SIGN('40'!$I$22-'40'!$K$22)&lt;&gt;SIGN(Tulokset!$G$21-Tulokset!$I$21),0,IF(Tulokset!$G$21=Tulokset!$I$21,IF(AND('40'!$I$22=Tulokset!$G$21,'40'!$K$22=Tulokset!$I$21),6,3),MAX(0,6-(ABS('40'!$I$22-Tulokset!$G$21)+ABS('40'!$K$22-Tulokset!$I$21))))))</f>
        <v/>
      </c>
      <c r="X43" s="333" t="str">
        <f>IF(OR(Tulokset!$G$22="",Tulokset!$I$22="",'40'!$I$23="",'40'!$K$23=""),"",IF(SIGN('40'!$I$23-'40'!$K$23)&lt;&gt;SIGN(Tulokset!$G$22-Tulokset!$I$22),0,IF(Tulokset!$G$22=Tulokset!$I$22,IF(AND('40'!$I$23=Tulokset!$G$22,'40'!$K$23=Tulokset!$I$22),6,3),MAX(0,6-(ABS('40'!$I$23-Tulokset!$G$22)+ABS('40'!$K$23-Tulokset!$I$22))))))</f>
        <v/>
      </c>
      <c r="Y43" s="333" t="str">
        <f>IF(OR(Tulokset!$G$23="",Tulokset!$I$23="",'40'!$I$24="",'40'!$K$24=""),"",IF(SIGN('40'!$I$24-'40'!$K$24)&lt;&gt;SIGN(Tulokset!$G$23-Tulokset!$I$23),0,IF(Tulokset!$G$23=Tulokset!$I$23,IF(AND('40'!$I$24=Tulokset!$G$23,'40'!$K$24=Tulokset!$I$23),6,3),MAX(0,6-(ABS('40'!$I$24-Tulokset!$G$23)+ABS('40'!$K$24-Tulokset!$I$23))))))</f>
        <v/>
      </c>
      <c r="Z43" s="333" t="str">
        <f>IF(OR(Tulokset!$G$24="",Tulokset!$I$24="",'40'!$I$25="",'40'!$K$25=""),"",IF(SIGN('40'!$I$25-'40'!$K$25)&lt;&gt;SIGN(Tulokset!$G$24-Tulokset!$I$24),0,IF(Tulokset!$G$24=Tulokset!$I$24,IF(AND('40'!$I$25=Tulokset!$G$24,'40'!$K$25=Tulokset!$I$24),6,3),MAX(0,6-(ABS('40'!$I$25-Tulokset!$G$24)+ABS('40'!$K$25-Tulokset!$I$24))))))</f>
        <v/>
      </c>
      <c r="AA43" s="333" t="str">
        <f>IF(OR(Tulokset!$G$25="",Tulokset!$I$25="",'40'!$I$26="",'40'!$K$26=""),"",IF(SIGN('40'!$I$26-'40'!$K$26)&lt;&gt;SIGN(Tulokset!$G$25-Tulokset!$I$25),0,IF(Tulokset!$G$25=Tulokset!$I$25,IF(AND('40'!$I$26=Tulokset!$G$25,'40'!$K$26=Tulokset!$I$25),6,3),MAX(0,6-(ABS('40'!$I$26-Tulokset!$G$25)+ABS('40'!$K$26-Tulokset!$I$25))))))</f>
        <v/>
      </c>
      <c r="AB43" s="333" t="str">
        <f>IF(OR(Tulokset!$G$26="",Tulokset!$I$26="",'40'!$I$27="",'40'!$K$27=""),"",IF(SIGN('40'!$I$27-'40'!$K$27)&lt;&gt;SIGN(Tulokset!$G$26-Tulokset!$I$26),0,IF(Tulokset!$G$26=Tulokset!$I$26,IF(AND('40'!$I$27=Tulokset!$G$26,'40'!$K$27=Tulokset!$I$26),6,3),MAX(0,6-(ABS('40'!$I$27-Tulokset!$G$26)+ABS('40'!$K$27-Tulokset!$I$26))))))</f>
        <v/>
      </c>
      <c r="AC43" s="333" t="str">
        <f>IF(OR(Tulokset!$G$27="",Tulokset!$I$27="",'40'!$I$28="",'40'!$K$28=""),"",IF(SIGN('40'!$I$28-'40'!$K$28)&lt;&gt;SIGN(Tulokset!$G$27-Tulokset!$I$27),0,IF(Tulokset!$G$27=Tulokset!$I$27,IF(AND('40'!$I$28=Tulokset!$G$27,'40'!$K$28=Tulokset!$I$27),6,3),MAX(0,6-(ABS('40'!$I$28-Tulokset!$G$27)+ABS('40'!$K$28-Tulokset!$I$27))))))</f>
        <v/>
      </c>
      <c r="AD43" s="333" t="str">
        <f>IF(OR(Tulokset!$G$28="",Tulokset!$I$28="",'40'!$I$29="",'40'!$K$29=""),"",IF(SIGN('40'!$I$29-'40'!$K$29)&lt;&gt;SIGN(Tulokset!$G$28-Tulokset!$I$28),0,IF(Tulokset!$G$28=Tulokset!$I$28,IF(AND('40'!$I$29=Tulokset!$G$28,'40'!$K$29=Tulokset!$I$28),6,3),MAX(0,6-(ABS('40'!$I$29-Tulokset!$G$28)+ABS('40'!$K$29-Tulokset!$I$28))))))</f>
        <v/>
      </c>
      <c r="AE43" s="333" t="str">
        <f>IF(OR(Tulokset!$G$29="",Tulokset!$I$29="",'40'!$I$30="",'40'!$K$30=""),"",IF(SIGN('40'!$I$30-'40'!$K$30)&lt;&gt;SIGN(Tulokset!$G$29-Tulokset!$I$29),0,IF(Tulokset!$G$29=Tulokset!$I$29,IF(AND('40'!$I$30=Tulokset!$G$29,'40'!$K$30=Tulokset!$I$29),6,3),MAX(0,6-(ABS('40'!$I$30-Tulokset!$G$29)+ABS('40'!$K$30-Tulokset!$I$29))))))</f>
        <v/>
      </c>
      <c r="AF43" s="333" t="str">
        <f>IF(OR(Tulokset!$G$30="",Tulokset!$I$30="",'40'!$I$31="",'40'!$K$31=""),"",IF(SIGN('40'!$I$31-'40'!$K$31)&lt;&gt;SIGN(Tulokset!$G$30-Tulokset!$I$30),0,IF(Tulokset!$G$30=Tulokset!$I$30,IF(AND('40'!$I$31=Tulokset!$G$30,'40'!$K$31=Tulokset!$I$30),6,3),MAX(0,6-(ABS('40'!$I$31-Tulokset!$G$30)+ABS('40'!$K$31-Tulokset!$I$30))))))</f>
        <v/>
      </c>
      <c r="AG43" s="333" t="str">
        <f>IF(OR(Tulokset!$G$31="",Tulokset!$I$31="",'40'!$I$32="",'40'!$K$32=""),"",IF(SIGN('40'!$I$32-'40'!$K$32)&lt;&gt;SIGN(Tulokset!$G$31-Tulokset!$I$31),0,IF(Tulokset!$G$31=Tulokset!$I$31,IF(AND('40'!$I$32=Tulokset!$G$31,'40'!$K$32=Tulokset!$I$31),6,3),MAX(0,6-(ABS('40'!$I$32-Tulokset!$G$31)+ABS('40'!$K$32-Tulokset!$I$31))))))</f>
        <v/>
      </c>
      <c r="AH43" s="333" t="str">
        <f>IF(OR(Tulokset!$G$32="",Tulokset!$I$32="",'40'!$I$33="",'40'!$K$33=""),"",IF(SIGN('40'!$I$33-'40'!$K$33)&lt;&gt;SIGN(Tulokset!$G$32-Tulokset!$I$32),0,IF(Tulokset!$G$32=Tulokset!$I$32,IF(AND('40'!$I$33=Tulokset!$G$32,'40'!$K$33=Tulokset!$I$32),6,3),MAX(0,6-(ABS('40'!$I$33-Tulokset!$G$32)+ABS('40'!$K$33-Tulokset!$I$32))))))</f>
        <v/>
      </c>
      <c r="AI43" s="333" t="str">
        <f>IF(OR(Tulokset!$G$33="",Tulokset!$I$33="",'40'!$I$34="",'40'!$K$34=""),"",IF(SIGN('40'!$I$34-'40'!$K$34)&lt;&gt;SIGN(Tulokset!$G$33-Tulokset!$I$33),0,IF(Tulokset!$G$33=Tulokset!$I$33,IF(AND('40'!$I$34=Tulokset!$G$33,'40'!$K$34=Tulokset!$I$33),6,3),MAX(0,6-(ABS('40'!$I$34-Tulokset!$G$33)+ABS('40'!$K$34-Tulokset!$I$33))))))</f>
        <v/>
      </c>
      <c r="AJ43" s="333" t="str">
        <f>IF(OR(Tulokset!$G$34="",Tulokset!$I$34="",'40'!$I$35="",'40'!$K$35=""),"",IF(SIGN('40'!$I$35-'40'!$K$35)&lt;&gt;SIGN(Tulokset!$G$34-Tulokset!$I$34),0,IF(Tulokset!$G$34=Tulokset!$I$34,IF(AND('40'!$I$35=Tulokset!$G$34,'40'!$K$35=Tulokset!$I$34),6,3),MAX(0,6-(ABS('40'!$I$35-Tulokset!$G$34)+ABS('40'!$K$35-Tulokset!$I$34))))))</f>
        <v/>
      </c>
      <c r="AK43" s="333" t="str">
        <f>IF(OR(Tulokset!$G$35="",Tulokset!$I$35="",'40'!$I$36="",'40'!$K$36=""),"",IF(SIGN('40'!$I$36-'40'!$K$36)&lt;&gt;SIGN(Tulokset!$G$35-Tulokset!$I$35),0,IF(Tulokset!$G$35=Tulokset!$I$35,IF(AND('40'!$I$36=Tulokset!$G$35,'40'!$K$36=Tulokset!$I$35),6,3),MAX(0,6-(ABS('40'!$I$36-Tulokset!$G$35)+ABS('40'!$K$36-Tulokset!$I$35))))))</f>
        <v/>
      </c>
      <c r="AL43" s="333" t="str">
        <f>IF(OR(Tulokset!$G$36="",Tulokset!$I$36="",'40'!$I$37="",'40'!$K$37=""),"",IF(SIGN('40'!$I$37-'40'!$K$37)&lt;&gt;SIGN(Tulokset!$G$36-Tulokset!$I$36),0,IF(Tulokset!$G$36=Tulokset!$I$36,IF(AND('40'!$I$37=Tulokset!$G$36,'40'!$K$37=Tulokset!$I$36),6,3),MAX(0,6-(ABS('40'!$I$37-Tulokset!$G$36)+ABS('40'!$K$37-Tulokset!$I$36))))))</f>
        <v/>
      </c>
      <c r="AM43" s="333" t="str">
        <f>IF(OR(Tulokset!$G$37="",Tulokset!$I$37="",'40'!$I$38="",'40'!$K$38=""),"",IF(SIGN('40'!$I$38-'40'!$K$38)&lt;&gt;SIGN(Tulokset!$G$37-Tulokset!$I$37),0,IF(Tulokset!$G$37=Tulokset!$I$37,IF(AND('40'!$I$38=Tulokset!$G$37,'40'!$K$38=Tulokset!$I$37),6,3),MAX(0,6-(ABS('40'!$I$38-Tulokset!$G$37)+ABS('40'!$K$38-Tulokset!$I$37))))))</f>
        <v/>
      </c>
      <c r="AN43" s="333" t="str">
        <f>IF(OR(Tulokset!$G$38="",Tulokset!$I$38="",'40'!$I$39="",'40'!$K$39=""),"",IF(SIGN('40'!$I$39-'40'!$K$39)&lt;&gt;SIGN(Tulokset!$G$38-Tulokset!$I$38),0,IF(Tulokset!$G$38=Tulokset!$I$38,IF(AND('40'!$I$39=Tulokset!$G$38,'40'!$K$39=Tulokset!$I$38),6,3),MAX(0,6-(ABS('40'!$I$39-Tulokset!$G$38)+ABS('40'!$K$39-Tulokset!$I$38))))))</f>
        <v/>
      </c>
      <c r="AO43" s="333" t="str">
        <f>IF(OR(Tulokset!$G$39="",Tulokset!$I$39="",'40'!$I$40="",'40'!$K$40=""),"",IF(SIGN('40'!$I$40-'40'!$K$40)&lt;&gt;SIGN(Tulokset!$G$39-Tulokset!$I$39),0,IF(Tulokset!$G$39=Tulokset!$I$39,IF(AND('40'!$I$40=Tulokset!$G$39,'40'!$K$40=Tulokset!$I$39),6,3),MAX(0,6-(ABS('40'!$I$40-Tulokset!$G$39)+ABS('40'!$K$40-Tulokset!$I$39))))))</f>
        <v/>
      </c>
      <c r="AP43" s="333" t="str">
        <f>IF(OR(Tulokset!$G$40="",Tulokset!$I$40="",'40'!$I$41="",'40'!$K$41=""),"",IF(SIGN('40'!$I$41-'40'!$K$41)&lt;&gt;SIGN(Tulokset!$G$40-Tulokset!$I$40),0,IF(Tulokset!$G$40=Tulokset!$I$40,IF(AND('40'!$I$41=Tulokset!$G$40,'40'!$K$41=Tulokset!$I$40),6,3),MAX(0,6-(ABS('40'!$I$41-Tulokset!$G$40)+ABS('40'!$K$41-Tulokset!$I$40))))))</f>
        <v/>
      </c>
      <c r="AQ43" s="333" t="str">
        <f>IF(OR(Tulokset!$G$41="",Tulokset!$I$41="",'40'!$I$42="",'40'!$K$42=""),"",IF(SIGN('40'!$I$42-'40'!$K$42)&lt;&gt;SIGN(Tulokset!$G$41-Tulokset!$I$41),0,IF(Tulokset!$G$41=Tulokset!$I$41,IF(AND('40'!$I$42=Tulokset!$G$41,'40'!$K$42=Tulokset!$I$41),6,3),MAX(0,6-(ABS('40'!$I$42-Tulokset!$G$41)+ABS('40'!$K$42-Tulokset!$I$41))))))</f>
        <v/>
      </c>
      <c r="AR43" s="333" t="str">
        <f>IF(OR(Tulokset!$G$42="",Tulokset!$I$42="",'40'!$I$43="",'40'!$K$43=""),"",IF(SIGN('40'!$I$43-'40'!$K$43)&lt;&gt;SIGN(Tulokset!$G$42-Tulokset!$I$42),0,IF(Tulokset!$G$42=Tulokset!$I$42,IF(AND('40'!$I$43=Tulokset!$G$42,'40'!$K$43=Tulokset!$I$42),6,3),MAX(0,6-(ABS('40'!$I$43-Tulokset!$G$42)+ABS('40'!$K$43-Tulokset!$I$42))))))</f>
        <v/>
      </c>
      <c r="AS43" s="333" t="str">
        <f>IF(OR(Tulokset!$G$43="",Tulokset!$I$43="",'40'!$I$44="",'40'!$K$44=""),"",IF(SIGN('40'!$I$44-'40'!$K$44)&lt;&gt;SIGN(Tulokset!$G$43-Tulokset!$I$43),0,IF(Tulokset!$G$43=Tulokset!$I$43,IF(AND('40'!$I$44=Tulokset!$G$43,'40'!$K$44=Tulokset!$I$43),6,3),MAX(0,6-(ABS('40'!$I$44-Tulokset!$G$43)+ABS('40'!$K$44-Tulokset!$I$43))))))</f>
        <v/>
      </c>
      <c r="AT43" s="333" t="str">
        <f>IF(OR(Tulokset!$G$44="",Tulokset!$I$44="",'40'!$I$45="",'40'!$K$45=""),"",IF(SIGN('40'!$I$45-'40'!$K$45)&lt;&gt;SIGN(Tulokset!$G$44-Tulokset!$I$44),0,IF(Tulokset!$G$44=Tulokset!$I$44,IF(AND('40'!$I$45=Tulokset!$G$44,'40'!$K$45=Tulokset!$I$44),6,3),MAX(0,6-(ABS('40'!$I$45-Tulokset!$G$44)+ABS('40'!$K$45-Tulokset!$I$44))))))</f>
        <v/>
      </c>
      <c r="AU43" s="333" t="str">
        <f>IF(OR(Tulokset!$G$45="",Tulokset!$I$45="",'40'!$I$46="",'40'!$K$46=""),"",IF(SIGN('40'!$I$46-'40'!$K$46)&lt;&gt;SIGN(Tulokset!$G$45-Tulokset!$I$45),0,IF(Tulokset!$G$45=Tulokset!$I$45,IF(AND('40'!$I$46=Tulokset!$G$45,'40'!$K$46=Tulokset!$I$45),6,3),MAX(0,6-(ABS('40'!$I$46-Tulokset!$G$45)+ABS('40'!$K$46-Tulokset!$I$45))))))</f>
        <v/>
      </c>
      <c r="AV43" s="333" t="str">
        <f>IF(OR(Tulokset!$G$46="",Tulokset!$I$46="",'40'!$I$47="",'40'!$K$47=""),"",IF(SIGN('40'!$I$47-'40'!$K$47)&lt;&gt;SIGN(Tulokset!$G$46-Tulokset!$I$46),0,IF(Tulokset!$G$46=Tulokset!$I$46,IF(AND('40'!$I$47=Tulokset!$G$46,'40'!$K$47=Tulokset!$I$46),6,3),MAX(0,6-(ABS('40'!$I$47-Tulokset!$G$46)+ABS('40'!$K$47-Tulokset!$I$46))))))</f>
        <v/>
      </c>
      <c r="AW43" s="333" t="str">
        <f>IF(OR(Tulokset!$G$47="",Tulokset!$I$47="",'40'!$I$48="",'40'!$K$48=""),"",IF(SIGN('40'!$I$48-'40'!$K$48)&lt;&gt;SIGN(Tulokset!$G$47-Tulokset!$I$47),0,IF(Tulokset!$G$47=Tulokset!$I$47,IF(AND('40'!$I$48=Tulokset!$G$47,'40'!$K$48=Tulokset!$I$47),6,3),MAX(0,6-(ABS('40'!$I$48-Tulokset!$G$47)+ABS('40'!$K$48-Tulokset!$I$47))))))</f>
        <v/>
      </c>
      <c r="AX43" s="333" t="str">
        <f>IF(OR(Tulokset!$G$48="",Tulokset!$I$48="",'40'!$I$49="",'40'!$K$49=""),"",IF(SIGN('40'!$I$49-'40'!$K$49)&lt;&gt;SIGN(Tulokset!$G$48-Tulokset!$I$48),0,IF(Tulokset!$G$48=Tulokset!$I$48,IF(AND('40'!$I$49=Tulokset!$G$48,'40'!$K$49=Tulokset!$I$48),6,3),MAX(0,6-(ABS('40'!$I$49-Tulokset!$G$48)+ABS('40'!$K$49-Tulokset!$I$48))))))</f>
        <v/>
      </c>
      <c r="AY43" s="333" t="str">
        <f>IF(OR(Tulokset!$G$49="",Tulokset!$I$49="",'40'!$I$50="",'40'!$K$50=""),"",IF(SIGN('40'!$I$50-'40'!$K$50)&lt;&gt;SIGN(Tulokset!$G$49-Tulokset!$I$49),0,IF(Tulokset!$G$49=Tulokset!$I$49,IF(AND('40'!$I$50=Tulokset!$G$49,'40'!$K$50=Tulokset!$I$49),6,3),MAX(0,6-(ABS('40'!$I$50-Tulokset!$G$49)+ABS('40'!$K$50-Tulokset!$I$49))))))</f>
        <v/>
      </c>
      <c r="AZ43" s="333" t="str">
        <f>IF(OR(Tulokset!$G$50="",Tulokset!$I$50="",'40'!$I$51="",'40'!$K$51=""),"",IF(SIGN('40'!$I$51-'40'!$K$51)&lt;&gt;SIGN(Tulokset!$G$50-Tulokset!$I$50),0,IF(Tulokset!$G$50=Tulokset!$I$50,IF(AND('40'!$I$51=Tulokset!$G$50,'40'!$K$51=Tulokset!$I$50),6,3),MAX(0,6-(ABS('40'!$I$51-Tulokset!$G$50)+ABS('40'!$K$51-Tulokset!$I$50))))))</f>
        <v/>
      </c>
      <c r="BA43" s="333" t="str">
        <f>IF(OR(Tulokset!$G$51="",Tulokset!$I$51="",'40'!$I$52="",'40'!$K$52=""),"",IF(SIGN('40'!$I$52-'40'!$K$52)&lt;&gt;SIGN(Tulokset!$G$51-Tulokset!$I$51),0,IF(Tulokset!$G$51=Tulokset!$I$51,IF(AND('40'!$I$52=Tulokset!$G$51,'40'!$K$52=Tulokset!$I$51),6,3),MAX(0,6-(ABS('40'!$I$52-Tulokset!$G$51)+ABS('40'!$K$52-Tulokset!$I$51))))))</f>
        <v/>
      </c>
      <c r="BB43" s="333" t="str">
        <f>IF(OR(Tulokset!$G$52="",Tulokset!$I$52="",'40'!$I$53="",'40'!$K$53=""),"",IF(SIGN('40'!$I$53-'40'!$K$53)&lt;&gt;SIGN(Tulokset!$G$52-Tulokset!$I$52),0,IF(Tulokset!$G$52=Tulokset!$I$52,IF(AND('40'!$I$53=Tulokset!$G$52,'40'!$K$53=Tulokset!$I$52),6,3),MAX(0,6-(ABS('40'!$I$53-Tulokset!$G$52)+ABS('40'!$K$53-Tulokset!$I$52))))))</f>
        <v/>
      </c>
      <c r="BC43" s="333" t="str">
        <f>IF(OR(Tulokset!$G$53="",Tulokset!$I$53="",'40'!$I$54="",'40'!$K$54=""),"",IF(SIGN('40'!$I$54-'40'!$K$54)&lt;&gt;SIGN(Tulokset!$G$53-Tulokset!$I$53),0,IF(Tulokset!$G$53=Tulokset!$I$53,IF(AND('40'!$I$54=Tulokset!$G$53,'40'!$K$54=Tulokset!$I$53),6,3),MAX(0,6-(ABS('40'!$I$54-Tulokset!$G$53)+ABS('40'!$K$54-Tulokset!$I$53))))))</f>
        <v/>
      </c>
      <c r="BD43" s="333" t="str">
        <f>IF(OR(Tulokset!$G$54="",Tulokset!$I$54="",'40'!$I$55="",'40'!$K$55=""),"",IF(SIGN('40'!$I$55-'40'!$K$55)&lt;&gt;SIGN(Tulokset!$G$54-Tulokset!$I$54),0,IF(Tulokset!$G$54=Tulokset!$I$54,IF(AND('40'!$I$55=Tulokset!$G$54,'40'!$K$55=Tulokset!$I$54),6,3),MAX(0,6-(ABS('40'!$I$55-Tulokset!$G$54)+ABS('40'!$K$55-Tulokset!$I$54))))))</f>
        <v/>
      </c>
      <c r="BE43" s="333" t="str">
        <f>IF(OR(Tulokset!$G$55="",Tulokset!$I$55="",'40'!$I$56="",'40'!$K$56=""),"",IF(SIGN('40'!$I$56-'40'!$K$56)&lt;&gt;SIGN(Tulokset!$G$55-Tulokset!$I$55),0,IF(Tulokset!$G$55=Tulokset!$I$55,IF(AND('40'!$I$56=Tulokset!$G$55,'40'!$K$56=Tulokset!$I$55),6,3),MAX(0,6-(ABS('40'!$I$56-Tulokset!$G$55)+ABS('40'!$K$56-Tulokset!$I$55))))))</f>
        <v/>
      </c>
      <c r="BF43" s="333" t="str">
        <f>IF(OR(Tulokset!$G$56="",Tulokset!$I$56="",'40'!$I$57="",'40'!$K$57=""),"",IF(SIGN('40'!$I$57-'40'!$K$57)&lt;&gt;SIGN(Tulokset!$G$56-Tulokset!$I$56),0,IF(Tulokset!$G$56=Tulokset!$I$56,IF(AND('40'!$I$57=Tulokset!$G$56,'40'!$K$57=Tulokset!$I$56),6,3),MAX(0,6-(ABS('40'!$I$57-Tulokset!$G$56)+ABS('40'!$K$57-Tulokset!$I$56))))))</f>
        <v/>
      </c>
      <c r="BG43" s="333" t="str">
        <f>IF(OR(Tulokset!$G$57="",Tulokset!$I$57="",'40'!$I$58="",'40'!$K$58=""),"",IF(SIGN('40'!$I$58-'40'!$K$58)&lt;&gt;SIGN(Tulokset!$G$57-Tulokset!$I$57),0,IF(Tulokset!$G$57=Tulokset!$I$57,IF(AND('40'!$I$58=Tulokset!$G$57,'40'!$K$58=Tulokset!$I$57),6,3),MAX(0,6-(ABS('40'!$I$58-Tulokset!$G$57)+ABS('40'!$K$58-Tulokset!$I$57))))))</f>
        <v/>
      </c>
      <c r="BH43" s="333" t="str">
        <f>IF(OR(Tulokset!$G$58="",Tulokset!$I$58="",'40'!$I$59="",'40'!$K$59=""),"",IF(SIGN('40'!$I$59-'40'!$K$59)&lt;&gt;SIGN(Tulokset!$G$58-Tulokset!$I$58),0,IF(Tulokset!$G$58=Tulokset!$I$58,IF(AND('40'!$I$59=Tulokset!$G$58,'40'!$K$59=Tulokset!$I$58),6,3),MAX(0,6-(ABS('40'!$I$59-Tulokset!$G$58)+ABS('40'!$K$59-Tulokset!$I$58))))))</f>
        <v/>
      </c>
      <c r="BI43" s="333" t="str">
        <f>IF(OR(Tulokset!$G$59="",Tulokset!$I$59="",'40'!$I$60="",'40'!$K$60=""),"",IF(SIGN('40'!$I$60-'40'!$K$60)&lt;&gt;SIGN(Tulokset!$G$59-Tulokset!$I$59),0,IF(Tulokset!$G$59=Tulokset!$I$59,IF(AND('40'!$I$60=Tulokset!$G$59,'40'!$K$60=Tulokset!$I$59),6,3),MAX(0,6-(ABS('40'!$I$60-Tulokset!$G$59)+ABS('40'!$K$60-Tulokset!$I$59))))))</f>
        <v/>
      </c>
      <c r="BJ43" s="333" t="str">
        <f>IF(OR(Tulokset!$G$60="",Tulokset!$I$60="",'40'!$I$61="",'40'!$K$61=""),"",IF(SIGN('40'!$I$61-'40'!$K$61)&lt;&gt;SIGN(Tulokset!$G$60-Tulokset!$I$60),0,IF(Tulokset!$G$60=Tulokset!$I$60,IF(AND('40'!$I$61=Tulokset!$G$60,'40'!$K$61=Tulokset!$I$60),6,3),MAX(0,6-(ABS('40'!$I$61-Tulokset!$G$60)+ABS('40'!$K$61-Tulokset!$I$60))))))</f>
        <v/>
      </c>
      <c r="BK43" s="333" t="str">
        <f>IF(OR(Tulokset!$G$61="",Tulokset!$I$61="",'40'!$I$62="",'40'!$K$62=""),"",IF(SIGN('40'!$I$62-'40'!$K$62)&lt;&gt;SIGN(Tulokset!$G$61-Tulokset!$I$61),0,IF(Tulokset!$G$61=Tulokset!$I$61,IF(AND('40'!$I$62=Tulokset!$G$61,'40'!$K$62=Tulokset!$I$61),6,3),MAX(0,6-(ABS('40'!$I$62-Tulokset!$G$61)+ABS('40'!$K$62-Tulokset!$I$61))))))</f>
        <v/>
      </c>
      <c r="BL43" s="333" t="str">
        <f>IF(OR(Tulokset!$G$62="",Tulokset!$I$62="",'40'!$I$63="",'40'!$K$63=""),"",IF(SIGN('40'!$I$63-'40'!$K$63)&lt;&gt;SIGN(Tulokset!$G$62-Tulokset!$I$62),0,IF(Tulokset!$G$62=Tulokset!$I$62,IF(AND('40'!$I$63=Tulokset!$G$62,'40'!$K$63=Tulokset!$I$62),6,3),MAX(0,6-(ABS('40'!$I$63-Tulokset!$G$62)+ABS('40'!$K$63-Tulokset!$I$62))))))</f>
        <v/>
      </c>
      <c r="BM43" s="333" t="str">
        <f>IF(OR(Tulokset!$G$63="",Tulokset!$I$63="",'40'!$I$64="",'40'!$K$64=""),"",IF(SIGN('40'!$I$64-'40'!$K$64)&lt;&gt;SIGN(Tulokset!$G$63-Tulokset!$I$63),0,IF(Tulokset!$G$63=Tulokset!$I$63,IF(AND('40'!$I$64=Tulokset!$G$63,'40'!$K$64=Tulokset!$I$63),6,3),MAX(0,6-(ABS('40'!$I$64-Tulokset!$G$63)+ABS('40'!$K$64-Tulokset!$I$63))))))</f>
        <v/>
      </c>
      <c r="BN43" s="333" t="str">
        <f>IF(OR(Tulokset!$G$64="",Tulokset!$I$64="",'40'!$I$65="",'40'!$K$65=""),"",IF(SIGN('40'!$I$65-'40'!$K$65)&lt;&gt;SIGN(Tulokset!$G$64-Tulokset!$I$64),0,IF(Tulokset!$G$64=Tulokset!$I$64,IF(AND('40'!$I$65=Tulokset!$G$64,'40'!$K$65=Tulokset!$I$64),6,3),MAX(0,6-(ABS('40'!$I$65-Tulokset!$G$64)+ABS('40'!$K$65-Tulokset!$I$64))))))</f>
        <v/>
      </c>
      <c r="BO43" s="333" t="str">
        <f>IF(OR(Tulokset!$G$65="",Tulokset!$I$65="",'40'!$I$66="",'40'!$K$66=""),"",IF(SIGN('40'!$I$66-'40'!$K$66)&lt;&gt;SIGN(Tulokset!$G$65-Tulokset!$I$65),0,IF(Tulokset!$G$65=Tulokset!$I$65,IF(AND('40'!$I$66=Tulokset!$G$65,'40'!$K$66=Tulokset!$I$65),6,3),MAX(0,6-(ABS('40'!$I$66-Tulokset!$G$65)+ABS('40'!$K$66-Tulokset!$I$65))))))</f>
        <v/>
      </c>
      <c r="BP43" s="333" t="str">
        <f>IF(OR(Tulokset!$G$66="",Tulokset!$I$66="",'40'!$I$67="",'40'!$K$67=""),"",IF(SIGN('40'!$I$67-'40'!$K$67)&lt;&gt;SIGN(Tulokset!$G$66-Tulokset!$I$66),0,IF(Tulokset!$G$66=Tulokset!$I$66,IF(AND('40'!$I$67=Tulokset!$G$66,'40'!$K$67=Tulokset!$I$66),6,3),MAX(0,6-(ABS('40'!$I$67-Tulokset!$G$66)+ABS('40'!$K$67-Tulokset!$I$66))))))</f>
        <v/>
      </c>
      <c r="BQ43" s="333" t="str">
        <f>IF(OR(Tulokset!$G$67="",Tulokset!$I$67="",'40'!$I$68="",'40'!$K$68=""),"",IF(SIGN('40'!$I$68-'40'!$K$68)&lt;&gt;SIGN(Tulokset!$G$67-Tulokset!$I$67),0,IF(Tulokset!$G$67=Tulokset!$I$67,IF(AND('40'!$I$68=Tulokset!$G$67,'40'!$K$68=Tulokset!$I$67),6,3),MAX(0,6-(ABS('40'!$I$68-Tulokset!$G$67)+ABS('40'!$K$68-Tulokset!$I$67))))))</f>
        <v/>
      </c>
      <c r="BR43" s="333" t="str">
        <f>IF(OR(Tulokset!$G$68="",Tulokset!$I$68="",'40'!$I$69="",'40'!$K$69=""),"",IF(SIGN('40'!$I$69-'40'!$K$69)&lt;&gt;SIGN(Tulokset!$G$68-Tulokset!$I$68),0,IF(Tulokset!$G$68=Tulokset!$I$68,IF(AND('40'!$I$69=Tulokset!$G$68,'40'!$K$69=Tulokset!$I$68),6,3),MAX(0,6-(ABS('40'!$I$69-Tulokset!$G$68)+ABS('40'!$K$69-Tulokset!$I$68))))))</f>
        <v/>
      </c>
      <c r="BS43" s="333" t="str">
        <f>IF(OR(Tulokset!$G$69="",Tulokset!$I$69="",'40'!$I$70="",'40'!$K$70=""),"",IF(SIGN('40'!$I$70-'40'!$K$70)&lt;&gt;SIGN(Tulokset!$G$69-Tulokset!$I$69),0,IF(Tulokset!$G$69=Tulokset!$I$69,IF(AND('40'!$I$70=Tulokset!$G$69,'40'!$K$70=Tulokset!$I$69),6,3),MAX(0,6-(ABS('40'!$I$70-Tulokset!$G$69)+ABS('40'!$K$70-Tulokset!$I$69))))))</f>
        <v/>
      </c>
      <c r="BT43" s="333" t="str">
        <f>IF(OR(Tulokset!$G$70="",Tulokset!$I$70="",'40'!$I$71="",'40'!$K$71=""),"",IF(SIGN('40'!$I$71-'40'!$K$71)&lt;&gt;SIGN(Tulokset!$G$70-Tulokset!$I$70),0,IF(Tulokset!$G$70=Tulokset!$I$70,IF(AND('40'!$I$71=Tulokset!$G$70,'40'!$K$71=Tulokset!$I$70),6,3),MAX(0,6-(ABS('40'!$I$71-Tulokset!$G$70)+ABS('40'!$K$71-Tulokset!$I$70))))))</f>
        <v/>
      </c>
      <c r="BU43" s="333" t="str">
        <f>IF(OR(Tulokset!$G$71="",Tulokset!$I$71="",'40'!$I$72="",'40'!$K$72=""),"",IF(SIGN('40'!$I$72-'40'!$K$72)&lt;&gt;SIGN(Tulokset!$G$71-Tulokset!$I$71),0,IF(Tulokset!$G$71=Tulokset!$I$71,IF(AND('40'!$I$72=Tulokset!$G$71,'40'!$K$72=Tulokset!$I$71),6,3),MAX(0,6-(ABS('40'!$I$72-Tulokset!$G$71)+ABS('40'!$K$72-Tulokset!$I$71))))))</f>
        <v/>
      </c>
      <c r="BV43" s="333" t="str">
        <f>IF(OR(Tulokset!$G$72="",Tulokset!$I$72="",'40'!$I$73="",'40'!$K$73=""),"",IF(SIGN('40'!$I$73-'40'!$K$73)&lt;&gt;SIGN(Tulokset!$G$72-Tulokset!$I$72),0,IF(Tulokset!$G$72=Tulokset!$I$72,IF(AND('40'!$I$73=Tulokset!$G$72,'40'!$K$73=Tulokset!$I$72),6,3),MAX(0,6-(ABS('40'!$I$73-Tulokset!$G$72)+ABS('40'!$K$73-Tulokset!$I$72))))))</f>
        <v/>
      </c>
      <c r="BW43" s="333" t="str">
        <f>IF(OR(Tulokset!$G$73="",Tulokset!$I$73="",'40'!$I$74="",'40'!$K$74=""),"",IF(SIGN('40'!$I$74-'40'!$K$74)&lt;&gt;SIGN(Tulokset!$G$73-Tulokset!$I$73),0,IF(Tulokset!$G$73=Tulokset!$I$73,IF(AND('40'!$I$74=Tulokset!$G$73,'40'!$K$74=Tulokset!$I$73),6,3),MAX(0,6-(ABS('40'!$I$74-Tulokset!$G$73)+ABS('40'!$K$74-Tulokset!$I$73))))))</f>
        <v/>
      </c>
      <c r="BX43" s="333" t="str">
        <f>IF(OR(Tulokset!$G$74="",Tulokset!$I$74="",'40'!$I$75="",'40'!$K$75=""),"",IF(SIGN('40'!$I$75-'40'!$K$75)&lt;&gt;SIGN(Tulokset!$G$74-Tulokset!$I$74),0,IF(Tulokset!$G$74=Tulokset!$I$74,IF(AND('40'!$I$75=Tulokset!$G$74,'40'!$K$75=Tulokset!$I$74),6,3),MAX(0,6-(ABS('40'!$I$75-Tulokset!$G$74)+ABS('40'!$K$75-Tulokset!$I$74))))))</f>
        <v/>
      </c>
      <c r="BY43" s="333" t="str">
        <f>IF(OR(Tulokset!$G$75="",Tulokset!$I$75="",'40'!$I$76="",'40'!$K$76=""),"",IF(SIGN('40'!$I$76-'40'!$K$76)&lt;&gt;SIGN(Tulokset!$G$75-Tulokset!$I$75),0,IF(Tulokset!$G$75=Tulokset!$I$75,IF(AND('40'!$I$76=Tulokset!$G$75,'40'!$K$76=Tulokset!$I$75),6,3),MAX(0,6-(ABS('40'!$I$76-Tulokset!$G$75)+ABS('40'!$K$76-Tulokset!$I$75))))))</f>
        <v/>
      </c>
      <c r="BZ43" s="333" t="str">
        <f>IF(OR(Tulokset!$G$76="",Tulokset!$I$76="",'40'!$I$77="",'40'!$K$77=""),"",IF(SIGN('40'!$I$77-'40'!$K$77)&lt;&gt;SIGN(Tulokset!$G$76-Tulokset!$I$76),0,IF(Tulokset!$G$76=Tulokset!$I$76,IF(AND('40'!$I$77=Tulokset!$G$76,'40'!$K$77=Tulokset!$I$76),6,3),MAX(0,6-(ABS('40'!$I$77-Tulokset!$G$76)+ABS('40'!$K$77-Tulokset!$I$76))))))</f>
        <v/>
      </c>
      <c r="CA43" s="333" t="str">
        <f>IF(OR(Tulokset!$G$77="",Tulokset!$I$77="",'40'!$I$78="",'40'!$K$78=""),"",IF(SIGN('40'!$I$78-'40'!$K$78)&lt;&gt;SIGN(Tulokset!$G$77-Tulokset!$I$77),0,IF(Tulokset!$G$77=Tulokset!$I$77,IF(AND('40'!$I$78=Tulokset!$G$77,'40'!$K$78=Tulokset!$I$77),6,3),MAX(0,6-(ABS('40'!$I$78-Tulokset!$G$77)+ABS('40'!$K$78-Tulokset!$I$77))))))</f>
        <v/>
      </c>
      <c r="CB43" s="333"/>
      <c r="CC43" s="333"/>
      <c r="CD43" s="333" t="str">
        <f ca="1">IF(OR(Tulokset!$M$6="",INDIRECT("'"&amp;$A43&amp;"'!$P$8")=""),"",IF(TRIM(INDIRECT("'"&amp;$A43&amp;"'!$P$8"))=TRIM(Tulokset!$M$6),2,0))</f>
        <v/>
      </c>
      <c r="CE43" s="333" t="str">
        <f ca="1">IF(OR(Tulokset!$M$7="",INDIRECT("'"&amp;$A43&amp;"'!$P$9")=""),"",IF(TRIM(INDIRECT("'"&amp;$A43&amp;"'!$P$9"))=TRIM(Tulokset!$M$7),2,0))</f>
        <v/>
      </c>
      <c r="CF43" s="333" t="str">
        <f ca="1">IF(OR(Tulokset!$M$8="",INDIRECT("'"&amp;$A43&amp;"'!$P$10")=""),"",IF(TRIM(INDIRECT("'"&amp;$A43&amp;"'!$P$10"))=TRIM(Tulokset!$M$8),2,0))</f>
        <v/>
      </c>
      <c r="CG43" s="333" t="str">
        <f ca="1">IF(OR(Tulokset!$M$9="",INDIRECT("'"&amp;$A43&amp;"'!$P$11")=""),"",IF(TRIM(INDIRECT("'"&amp;$A43&amp;"'!$P$11"))=TRIM(Tulokset!$M$9),2,0))</f>
        <v/>
      </c>
      <c r="CH43" s="333" t="str">
        <f ca="1">IF(OR(Tulokset!$N$6="",INDIRECT("'"&amp;$A43&amp;"'!$Q$8")=""),"",IF(TRIM(INDIRECT("'"&amp;$A43&amp;"'!$Q$8"))=TRIM(Tulokset!$N$6),2,0))</f>
        <v/>
      </c>
      <c r="CI43" s="333" t="str">
        <f ca="1">IF(OR(Tulokset!$N$7="",INDIRECT("'"&amp;$A43&amp;"'!$Q$9")=""),"",IF(TRIM(INDIRECT("'"&amp;$A43&amp;"'!$Q$9"))=TRIM(Tulokset!$N$7),2,0))</f>
        <v/>
      </c>
      <c r="CJ43" s="333" t="str">
        <f ca="1">IF(OR(Tulokset!$N$8="",INDIRECT("'"&amp;$A43&amp;"'!$Q$10")=""),"",IF(TRIM(INDIRECT("'"&amp;$A43&amp;"'!$Q$10"))=TRIM(Tulokset!$N$8),2,0))</f>
        <v/>
      </c>
      <c r="CK43" s="333" t="str">
        <f ca="1">IF(OR(Tulokset!$N$9="",INDIRECT("'"&amp;$A43&amp;"'!$Q$11")=""),"",IF(TRIM(INDIRECT("'"&amp;$A43&amp;"'!$Q$11"))=TRIM(Tulokset!$N$9),2,0))</f>
        <v/>
      </c>
      <c r="CL43" s="333" t="str">
        <f ca="1">IF(OR(Tulokset!$O$6="",INDIRECT("'"&amp;$A43&amp;"'!$R$8")=""),"",IF(TRIM(INDIRECT("'"&amp;$A43&amp;"'!$R$8"))=TRIM(Tulokset!$O$6),2,0))</f>
        <v/>
      </c>
      <c r="CM43" s="333" t="str">
        <f ca="1">IF(OR(Tulokset!$O$7="",INDIRECT("'"&amp;$A43&amp;"'!$R$9")=""),"",IF(TRIM(INDIRECT("'"&amp;$A43&amp;"'!$R$9"))=TRIM(Tulokset!$O$7),2,0))</f>
        <v/>
      </c>
      <c r="CN43" s="333" t="str">
        <f ca="1">IF(OR(Tulokset!$O$8="",INDIRECT("'"&amp;$A43&amp;"'!$R$10")=""),"",IF(TRIM(INDIRECT("'"&amp;$A43&amp;"'!$R$10"))=TRIM(Tulokset!$O$8),2,0))</f>
        <v/>
      </c>
      <c r="CO43" s="333" t="str">
        <f ca="1">IF(OR(Tulokset!$O$9="",INDIRECT("'"&amp;$A43&amp;"'!$R$11")=""),"",IF(TRIM(INDIRECT("'"&amp;$A43&amp;"'!$R$11"))=TRIM(Tulokset!$O$9),2,0))</f>
        <v/>
      </c>
      <c r="CP43" s="333" t="str">
        <f ca="1">IF(OR(Tulokset!$P$6="",INDIRECT("'"&amp;$A43&amp;"'!$S$8")=""),"",IF(TRIM(INDIRECT("'"&amp;$A43&amp;"'!$S$8"))=TRIM(Tulokset!$P$6),2,0))</f>
        <v/>
      </c>
      <c r="CQ43" s="333" t="str">
        <f ca="1">IF(OR(Tulokset!$P$7="",INDIRECT("'"&amp;$A43&amp;"'!$S$9")=""),"",IF(TRIM(INDIRECT("'"&amp;$A43&amp;"'!$S$9"))=TRIM(Tulokset!$P$7),2,0))</f>
        <v/>
      </c>
      <c r="CR43" s="333" t="str">
        <f ca="1">IF(OR(Tulokset!$P$8="",INDIRECT("'"&amp;$A43&amp;"'!$S$10")=""),"",IF(TRIM(INDIRECT("'"&amp;$A43&amp;"'!$S$10"))=TRIM(Tulokset!$P$8),2,0))</f>
        <v/>
      </c>
      <c r="CS43" s="333" t="str">
        <f ca="1">IF(OR(Tulokset!$P$9="",INDIRECT("'"&amp;$A43&amp;"'!$S$11")=""),"",IF(TRIM(INDIRECT("'"&amp;$A43&amp;"'!$S$11"))=TRIM(Tulokset!$P$9),2,0))</f>
        <v/>
      </c>
      <c r="CT43" s="333" t="str">
        <f ca="1">IF(OR(Tulokset!$Q$6="",INDIRECT("'"&amp;$A43&amp;"'!$T$8")=""),"",IF(TRIM(INDIRECT("'"&amp;$A43&amp;"'!$T$8"))=TRIM(Tulokset!$Q$6),2,0))</f>
        <v/>
      </c>
      <c r="CU43" s="333" t="str">
        <f ca="1">IF(OR(Tulokset!$Q$7="",INDIRECT("'"&amp;$A43&amp;"'!$T$9")=""),"",IF(TRIM(INDIRECT("'"&amp;$A43&amp;"'!$T$9"))=TRIM(Tulokset!$Q$7),2,0))</f>
        <v/>
      </c>
      <c r="CV43" s="333" t="str">
        <f ca="1">IF(OR(Tulokset!$Q$8="",INDIRECT("'"&amp;$A43&amp;"'!$T$10")=""),"",IF(TRIM(INDIRECT("'"&amp;$A43&amp;"'!$T$10"))=TRIM(Tulokset!$Q$8),2,0))</f>
        <v/>
      </c>
      <c r="CW43" s="333" t="str">
        <f ca="1">IF(OR(Tulokset!$Q$9="",INDIRECT("'"&amp;$A43&amp;"'!$T$11")=""),"",IF(TRIM(INDIRECT("'"&amp;$A43&amp;"'!$T$11"))=TRIM(Tulokset!$Q$9),2,0))</f>
        <v/>
      </c>
      <c r="CX43" s="333" t="str">
        <f ca="1">IF(OR(Tulokset!$R$6="",INDIRECT("'"&amp;$A43&amp;"'!$U$8")=""),"",IF(TRIM(INDIRECT("'"&amp;$A43&amp;"'!$U$8"))=TRIM(Tulokset!$R$6),2,0))</f>
        <v/>
      </c>
      <c r="CY43" s="333" t="str">
        <f ca="1">IF(OR(Tulokset!$R$7="",INDIRECT("'"&amp;$A43&amp;"'!$U$9")=""),"",IF(TRIM(INDIRECT("'"&amp;$A43&amp;"'!$U$9"))=TRIM(Tulokset!$R$7),2,0))</f>
        <v/>
      </c>
      <c r="CZ43" s="333" t="str">
        <f ca="1">IF(OR(Tulokset!$R$8="",INDIRECT("'"&amp;$A43&amp;"'!$U$10")=""),"",IF(TRIM(INDIRECT("'"&amp;$A43&amp;"'!$U$10"))=TRIM(Tulokset!$R$8),2,0))</f>
        <v/>
      </c>
      <c r="DA43" s="333" t="str">
        <f ca="1">IF(OR(Tulokset!$R$9="",INDIRECT("'"&amp;$A43&amp;"'!$U$11")=""),"",IF(TRIM(INDIRECT("'"&amp;$A43&amp;"'!$U$11"))=TRIM(Tulokset!$R$9),2,0))</f>
        <v/>
      </c>
      <c r="DB43" s="333" t="str">
        <f ca="1">IF(OR(Tulokset!$M$12="",INDIRECT("'"&amp;$A43&amp;"'!$P$14")=""),"",IF(TRIM(INDIRECT("'"&amp;$A43&amp;"'!$P$14"))=TRIM(Tulokset!$M$12),2,0))</f>
        <v/>
      </c>
      <c r="DC43" s="333" t="str">
        <f ca="1">IF(OR(Tulokset!$M$13="",INDIRECT("'"&amp;$A43&amp;"'!$P$15")=""),"",IF(TRIM(INDIRECT("'"&amp;$A43&amp;"'!$P$15"))=TRIM(Tulokset!$M$13),2,0))</f>
        <v/>
      </c>
      <c r="DD43" s="333" t="str">
        <f ca="1">IF(OR(Tulokset!$M$14="",INDIRECT("'"&amp;$A43&amp;"'!$P$16")=""),"",IF(TRIM(INDIRECT("'"&amp;$A43&amp;"'!$P$16"))=TRIM(Tulokset!$M$14),2,0))</f>
        <v/>
      </c>
      <c r="DE43" s="333" t="str">
        <f ca="1">IF(OR(Tulokset!$M$15="",INDIRECT("'"&amp;$A43&amp;"'!$P$17")=""),"",IF(TRIM(INDIRECT("'"&amp;$A43&amp;"'!$P$17"))=TRIM(Tulokset!$M$15),2,0))</f>
        <v/>
      </c>
      <c r="DF43" s="333" t="str">
        <f ca="1">IF(OR(Tulokset!$N$12="",INDIRECT("'"&amp;$A43&amp;"'!$Q$14")=""),"",IF(TRIM(INDIRECT("'"&amp;$A43&amp;"'!$Q$14"))=TRIM(Tulokset!$N$12),2,0))</f>
        <v/>
      </c>
      <c r="DG43" s="333" t="str">
        <f ca="1">IF(OR(Tulokset!$N$13="",INDIRECT("'"&amp;$A43&amp;"'!$Q$15")=""),"",IF(TRIM(INDIRECT("'"&amp;$A43&amp;"'!$Q$15"))=TRIM(Tulokset!$N$13),2,0))</f>
        <v/>
      </c>
      <c r="DH43" s="333" t="str">
        <f ca="1">IF(OR(Tulokset!$N$14="",INDIRECT("'"&amp;$A43&amp;"'!$Q$16")=""),"",IF(TRIM(INDIRECT("'"&amp;$A43&amp;"'!$Q$16"))=TRIM(Tulokset!$N$14),2,0))</f>
        <v/>
      </c>
      <c r="DI43" s="333" t="str">
        <f ca="1">IF(OR(Tulokset!$N$15="",INDIRECT("'"&amp;$A43&amp;"'!$Q$17")=""),"",IF(TRIM(INDIRECT("'"&amp;$A43&amp;"'!$Q$17"))=TRIM(Tulokset!$N$15),2,0))</f>
        <v/>
      </c>
      <c r="DJ43" s="333" t="str">
        <f ca="1">IF(OR(Tulokset!$O$12="",INDIRECT("'"&amp;$A43&amp;"'!$R$14")=""),"",IF(TRIM(INDIRECT("'"&amp;$A43&amp;"'!$R$14"))=TRIM(Tulokset!$O$12),2,0))</f>
        <v/>
      </c>
      <c r="DK43" s="333" t="str">
        <f ca="1">IF(OR(Tulokset!$O$13="",INDIRECT("'"&amp;$A43&amp;"'!$R$15")=""),"",IF(TRIM(INDIRECT("'"&amp;$A43&amp;"'!$R$15"))=TRIM(Tulokset!$O$13),2,0))</f>
        <v/>
      </c>
      <c r="DL43" s="333" t="str">
        <f ca="1">IF(OR(Tulokset!$O$14="",INDIRECT("'"&amp;$A43&amp;"'!$R$16")=""),"",IF(TRIM(INDIRECT("'"&amp;$A43&amp;"'!$R$16"))=TRIM(Tulokset!$O$14),2,0))</f>
        <v/>
      </c>
      <c r="DM43" s="333" t="str">
        <f ca="1">IF(OR(Tulokset!$O$15="",INDIRECT("'"&amp;$A43&amp;"'!$R$17")=""),"",IF(TRIM(INDIRECT("'"&amp;$A43&amp;"'!$R$17"))=TRIM(Tulokset!$O$15),2,0))</f>
        <v/>
      </c>
      <c r="DN43" s="333" t="str">
        <f ca="1">IF(OR(Tulokset!$P$12="",INDIRECT("'"&amp;$A43&amp;"'!$S$14")=""),"",IF(TRIM(INDIRECT("'"&amp;$A43&amp;"'!$S$14"))=TRIM(Tulokset!$P$12),2,0))</f>
        <v/>
      </c>
      <c r="DO43" s="333" t="str">
        <f ca="1">IF(OR(Tulokset!$P$13="",INDIRECT("'"&amp;$A43&amp;"'!$S$15")=""),"",IF(TRIM(INDIRECT("'"&amp;$A43&amp;"'!$S$15"))=TRIM(Tulokset!$P$13),2,0))</f>
        <v/>
      </c>
      <c r="DP43" s="333" t="str">
        <f ca="1">IF(OR(Tulokset!$P$14="",INDIRECT("'"&amp;$A43&amp;"'!$S$16")=""),"",IF(TRIM(INDIRECT("'"&amp;$A43&amp;"'!$S$16"))=TRIM(Tulokset!$P$14),2,0))</f>
        <v/>
      </c>
      <c r="DQ43" s="333" t="str">
        <f ca="1">IF(OR(Tulokset!$P$15="",INDIRECT("'"&amp;$A43&amp;"'!$S$17")=""),"",IF(TRIM(INDIRECT("'"&amp;$A43&amp;"'!$S$17"))=TRIM(Tulokset!$P$15),2,0))</f>
        <v/>
      </c>
      <c r="DR43" s="333" t="str">
        <f ca="1">IF(OR(Tulokset!$Q$12="",INDIRECT("'"&amp;$A43&amp;"'!$T$14")=""),"",IF(TRIM(INDIRECT("'"&amp;$A43&amp;"'!$T$14"))=TRIM(Tulokset!$Q$12),2,0))</f>
        <v/>
      </c>
      <c r="DS43" s="333" t="str">
        <f ca="1">IF(OR(Tulokset!$Q$13="",INDIRECT("'"&amp;$A43&amp;"'!$T$15")=""),"",IF(TRIM(INDIRECT("'"&amp;$A43&amp;"'!$T$15"))=TRIM(Tulokset!$Q$13),2,0))</f>
        <v/>
      </c>
      <c r="DT43" s="333" t="str">
        <f ca="1">IF(OR(Tulokset!$Q$14="",INDIRECT("'"&amp;$A43&amp;"'!$T$16")=""),"",IF(TRIM(INDIRECT("'"&amp;$A43&amp;"'!$T$16"))=TRIM(Tulokset!$Q$14),2,0))</f>
        <v/>
      </c>
      <c r="DU43" s="333" t="str">
        <f ca="1">IF(OR(Tulokset!$Q$15="",INDIRECT("'"&amp;$A43&amp;"'!$T$17")=""),"",IF(TRIM(INDIRECT("'"&amp;$A43&amp;"'!$T$17"))=TRIM(Tulokset!$Q$15),2,0))</f>
        <v/>
      </c>
      <c r="DV43" s="333" t="str">
        <f ca="1">IF(OR(Tulokset!$R$12="",INDIRECT("'"&amp;$A43&amp;"'!$U$14")=""),"",IF(TRIM(INDIRECT("'"&amp;$A43&amp;"'!$U$14"))=TRIM(Tulokset!$R$12),2,0))</f>
        <v/>
      </c>
      <c r="DW43" s="333" t="str">
        <f ca="1">IF(OR(Tulokset!$R$13="",INDIRECT("'"&amp;$A43&amp;"'!$U$15")=""),"",IF(TRIM(INDIRECT("'"&amp;$A43&amp;"'!$U$15"))=TRIM(Tulokset!$R$13),2,0))</f>
        <v/>
      </c>
      <c r="DX43" s="333" t="str">
        <f ca="1">IF(OR(Tulokset!$R$14="",INDIRECT("'"&amp;$A43&amp;"'!$U$16")=""),"",IF(TRIM(INDIRECT("'"&amp;$A43&amp;"'!$U$16"))=TRIM(Tulokset!$R$14),2,0))</f>
        <v/>
      </c>
      <c r="DY43" s="333" t="str">
        <f ca="1">IF(OR(Tulokset!$R$15="",INDIRECT("'"&amp;$A43&amp;"'!$U$17")=""),"",IF(TRIM(INDIRECT("'"&amp;$A43&amp;"'!$U$17"))=TRIM(Tulokset!$R$15),2,0))</f>
        <v/>
      </c>
      <c r="DZ43" s="333"/>
      <c r="EA43" s="333" t="str">
        <f ca="1">IF(OR(INDIRECT("'"&amp;$A43&amp;"'!$E$79")="",COUNTA(Tulokset!$M$20:$M$21)=0),"",IF(COUNTIF(Tulokset!$M$20:$M$21,INDIRECT("'"&amp;$A43&amp;"'!$E$79"))&gt;0,2,0))</f>
        <v/>
      </c>
      <c r="EB43" s="333" t="str">
        <f ca="1">IF(OR(INDIRECT("'"&amp;$A43&amp;"'!$G$79")="",COUNTA(Tulokset!$M$20:$M$21)=0),"",IF(COUNTIF(Tulokset!$M$20:$M$21,INDIRECT("'"&amp;$A43&amp;"'!$G$79"))&gt;0,2,0))</f>
        <v/>
      </c>
      <c r="EC43" s="333" t="str">
        <f ca="1">IF(OR(INDIRECT("'"&amp;$A43&amp;"'!$E$80")="",COUNTA(Tulokset!$M$23:$M$24)=0),"",IF(COUNTIF(Tulokset!$M$23:$M$24,INDIRECT("'"&amp;$A43&amp;"'!$E$80"))&gt;0,2,0))</f>
        <v/>
      </c>
      <c r="ED43" s="333" t="str">
        <f ca="1">IF(OR(INDIRECT("'"&amp;$A43&amp;"'!$G$80")="",COUNTA(Tulokset!$M$23:$M$24)=0),"",IF(COUNTIF(Tulokset!$M$23:$M$24,INDIRECT("'"&amp;$A43&amp;"'!$G$80"))&gt;0,2,0))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327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59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56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43</v>
      </c>
      <c r="Q10" s="19" t="s">
        <v>47</v>
      </c>
      <c r="R10" s="19" t="s">
        <v>68</v>
      </c>
      <c r="S10" s="19" t="s">
        <v>52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0</v>
      </c>
      <c r="J15" s="23" t="s">
        <v>27</v>
      </c>
      <c r="K15" s="25">
        <v>0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93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1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92</v>
      </c>
      <c r="F80" s="5" t="s">
        <v>27</v>
      </c>
      <c r="G80" s="11" t="s">
        <v>128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338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3</v>
      </c>
      <c r="L9" s="26"/>
      <c r="M9" s="27"/>
      <c r="N9" s="15"/>
      <c r="O9" s="17">
        <v>2</v>
      </c>
      <c r="P9" s="19" t="s">
        <v>44</v>
      </c>
      <c r="Q9" s="19" t="s">
        <v>47</v>
      </c>
      <c r="R9" s="19" t="s">
        <v>68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3</v>
      </c>
      <c r="L10" s="26"/>
      <c r="M10" s="27"/>
      <c r="N10" s="15"/>
      <c r="O10" s="17">
        <v>3</v>
      </c>
      <c r="P10" s="19" t="s">
        <v>43</v>
      </c>
      <c r="Q10" s="19" t="s">
        <v>48</v>
      </c>
      <c r="R10" s="19" t="s">
        <v>56</v>
      </c>
      <c r="S10" s="19" t="s">
        <v>59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1</v>
      </c>
      <c r="L14" s="26"/>
      <c r="M14" s="27"/>
      <c r="N14" s="15"/>
      <c r="O14" s="16">
        <v>1</v>
      </c>
      <c r="P14" s="18" t="s">
        <v>100</v>
      </c>
      <c r="Q14" s="18" t="s">
        <v>89</v>
      </c>
      <c r="R14" s="18" t="s">
        <v>105</v>
      </c>
      <c r="S14" s="18" t="s">
        <v>113</v>
      </c>
      <c r="T14" s="18" t="s">
        <v>128</v>
      </c>
      <c r="U14" s="18" t="s">
        <v>125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92</v>
      </c>
      <c r="R15" s="19" t="s">
        <v>109</v>
      </c>
      <c r="S15" s="19" t="s">
        <v>117</v>
      </c>
      <c r="T15" s="19" t="s">
        <v>132</v>
      </c>
      <c r="U15" s="19" t="s">
        <v>124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0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0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0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3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2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3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2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2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1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0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2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1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2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113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339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326</v>
      </c>
      <c r="H2" s="488" t="s">
        <v>340</v>
      </c>
      <c r="I2" s="489"/>
      <c r="J2" s="489"/>
      <c r="K2" s="489"/>
      <c r="L2" s="489"/>
      <c r="M2" s="48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328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329</v>
      </c>
      <c r="G6" s="43"/>
      <c r="H6" s="43"/>
      <c r="I6" s="43"/>
      <c r="J6" s="50" t="s">
        <v>330</v>
      </c>
      <c r="K6" s="50"/>
      <c r="L6" s="50" t="s">
        <v>331</v>
      </c>
      <c r="M6" s="50" t="s">
        <v>332</v>
      </c>
      <c r="N6" s="50"/>
      <c r="O6" s="51" t="s">
        <v>333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0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1</v>
      </c>
      <c r="L8" s="58"/>
      <c r="M8" s="59"/>
      <c r="N8" s="60"/>
      <c r="O8" s="63">
        <v>1</v>
      </c>
      <c r="P8" s="64" t="s">
        <v>40</v>
      </c>
      <c r="Q8" s="64" t="s">
        <v>71</v>
      </c>
      <c r="R8" s="64" t="s">
        <v>67</v>
      </c>
      <c r="S8" s="64" t="s">
        <v>51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0</v>
      </c>
      <c r="L9" s="58"/>
      <c r="M9" s="59"/>
      <c r="N9" s="60"/>
      <c r="O9" s="65">
        <v>2</v>
      </c>
      <c r="P9" s="66" t="s">
        <v>44</v>
      </c>
      <c r="Q9" s="66" t="s">
        <v>47</v>
      </c>
      <c r="R9" s="66" t="s">
        <v>68</v>
      </c>
      <c r="S9" s="66" t="s">
        <v>59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2</v>
      </c>
      <c r="J10" s="54" t="s">
        <v>27</v>
      </c>
      <c r="K10" s="58">
        <v>1</v>
      </c>
      <c r="L10" s="58"/>
      <c r="M10" s="59"/>
      <c r="N10" s="60"/>
      <c r="O10" s="65">
        <v>3</v>
      </c>
      <c r="P10" s="66" t="s">
        <v>43</v>
      </c>
      <c r="Q10" s="66" t="s">
        <v>48</v>
      </c>
      <c r="R10" s="66" t="s">
        <v>56</v>
      </c>
      <c r="S10" s="66" t="s">
        <v>52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3</v>
      </c>
      <c r="L11" s="58"/>
      <c r="M11" s="59"/>
      <c r="N11" s="60"/>
      <c r="O11" s="65">
        <v>4</v>
      </c>
      <c r="P11" s="66" t="s">
        <v>41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2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 thickBo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3</v>
      </c>
      <c r="J13" s="54" t="s">
        <v>27</v>
      </c>
      <c r="K13" s="58">
        <v>0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124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0</v>
      </c>
      <c r="L15" s="58"/>
      <c r="M15" s="59"/>
      <c r="N15" s="60"/>
      <c r="O15" s="65">
        <v>2</v>
      </c>
      <c r="P15" s="66" t="s">
        <v>101</v>
      </c>
      <c r="Q15" s="66" t="s">
        <v>89</v>
      </c>
      <c r="R15" s="66" t="s">
        <v>109</v>
      </c>
      <c r="S15" s="66" t="s">
        <v>117</v>
      </c>
      <c r="T15" s="66" t="s">
        <v>132</v>
      </c>
      <c r="U15" s="66" t="s">
        <v>125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3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97</v>
      </c>
      <c r="Q16" s="66" t="s">
        <v>88</v>
      </c>
      <c r="R16" s="66" t="s">
        <v>106</v>
      </c>
      <c r="S16" s="66" t="s">
        <v>114</v>
      </c>
      <c r="T16" s="66" t="s">
        <v>129</v>
      </c>
      <c r="U16" s="66" t="s">
        <v>121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2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96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0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2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334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1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0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0</v>
      </c>
      <c r="J24" s="54" t="s">
        <v>27</v>
      </c>
      <c r="K24" s="58">
        <v>3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1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2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1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1</v>
      </c>
      <c r="J30" s="54" t="s">
        <v>27</v>
      </c>
      <c r="K30" s="58">
        <v>2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1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0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1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3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2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0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0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2</v>
      </c>
      <c r="J39" s="54" t="s">
        <v>27</v>
      </c>
      <c r="K39" s="58">
        <v>0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1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1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0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2</v>
      </c>
      <c r="J43" s="54" t="s">
        <v>27</v>
      </c>
      <c r="K43" s="58">
        <v>0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1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2</v>
      </c>
      <c r="J47" s="54" t="s">
        <v>27</v>
      </c>
      <c r="K47" s="58">
        <v>1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3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0</v>
      </c>
      <c r="J50" s="54" t="s">
        <v>27</v>
      </c>
      <c r="K50" s="58">
        <v>2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1</v>
      </c>
      <c r="J51" s="54" t="s">
        <v>27</v>
      </c>
      <c r="K51" s="58">
        <v>0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2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0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0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0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1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1</v>
      </c>
      <c r="J60" s="54" t="s">
        <v>27</v>
      </c>
      <c r="K60" s="58">
        <v>2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0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2</v>
      </c>
      <c r="J63" s="54" t="s">
        <v>27</v>
      </c>
      <c r="K63" s="58">
        <v>1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1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1</v>
      </c>
      <c r="J66" s="54" t="s">
        <v>27</v>
      </c>
      <c r="K66" s="58">
        <v>0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2</v>
      </c>
      <c r="J69" s="54" t="s">
        <v>27</v>
      </c>
      <c r="K69" s="58">
        <v>1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3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0</v>
      </c>
      <c r="J71" s="54" t="s">
        <v>27</v>
      </c>
      <c r="K71" s="58">
        <v>2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0</v>
      </c>
      <c r="J73" s="54" t="s">
        <v>27</v>
      </c>
      <c r="K73" s="58">
        <v>3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2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0</v>
      </c>
      <c r="J75" s="54" t="s">
        <v>27</v>
      </c>
      <c r="K75" s="58">
        <v>2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0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1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335</v>
      </c>
      <c r="E79" s="70" t="s">
        <v>105</v>
      </c>
      <c r="F79" s="44" t="s">
        <v>27</v>
      </c>
      <c r="G79" s="70" t="s">
        <v>92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336</v>
      </c>
      <c r="E80" s="72" t="s">
        <v>128</v>
      </c>
      <c r="F80" s="44" t="s">
        <v>27</v>
      </c>
      <c r="G80" s="72" t="s">
        <v>124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337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344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4" t="s">
        <v>345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346</v>
      </c>
      <c r="Q8" s="18" t="s">
        <v>71</v>
      </c>
      <c r="R8" s="18" t="s">
        <v>67</v>
      </c>
      <c r="S8" s="18" t="s">
        <v>347</v>
      </c>
      <c r="T8" s="18" t="s">
        <v>77</v>
      </c>
      <c r="U8" s="4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0</v>
      </c>
      <c r="L9" s="26"/>
      <c r="M9" s="27"/>
      <c r="N9" s="15"/>
      <c r="O9" s="17">
        <v>2</v>
      </c>
      <c r="P9" s="19" t="s">
        <v>342</v>
      </c>
      <c r="Q9" s="19" t="s">
        <v>47</v>
      </c>
      <c r="R9" s="19" t="s">
        <v>68</v>
      </c>
      <c r="S9" s="19" t="s">
        <v>59</v>
      </c>
      <c r="T9" s="19" t="s">
        <v>74</v>
      </c>
      <c r="U9" s="19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348</v>
      </c>
      <c r="Q10" s="19" t="s">
        <v>349</v>
      </c>
      <c r="R10" s="19" t="s">
        <v>56</v>
      </c>
      <c r="S10" s="19" t="s">
        <v>52</v>
      </c>
      <c r="T10" s="19" t="s">
        <v>75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3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343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2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5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129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5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3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71</v>
      </c>
      <c r="R22" s="22" t="s">
        <v>67</v>
      </c>
      <c r="S22" s="22" t="s">
        <v>51</v>
      </c>
      <c r="T22" s="22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1</v>
      </c>
      <c r="L23" s="26"/>
      <c r="M23" s="27"/>
      <c r="N23" s="15"/>
      <c r="O23" s="1"/>
      <c r="P23" s="21" t="s">
        <v>44</v>
      </c>
      <c r="Q23" s="21" t="s">
        <v>47</v>
      </c>
      <c r="R23" s="21" t="s">
        <v>68</v>
      </c>
      <c r="S23" s="21" t="s">
        <v>59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56</v>
      </c>
      <c r="S24" s="21" t="s">
        <v>52</v>
      </c>
      <c r="T24" s="21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1" t="s">
        <v>55</v>
      </c>
      <c r="S25" s="21" t="s">
        <v>58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3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3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3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1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3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3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3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3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2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350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3</v>
      </c>
      <c r="L8" s="26"/>
      <c r="M8" s="27"/>
      <c r="N8" s="15"/>
      <c r="O8" s="16">
        <v>1</v>
      </c>
      <c r="P8" s="18" t="s">
        <v>44</v>
      </c>
      <c r="Q8" s="18" t="s">
        <v>48</v>
      </c>
      <c r="R8" s="18" t="s">
        <v>67</v>
      </c>
      <c r="S8" s="18" t="s">
        <v>59</v>
      </c>
      <c r="T8" s="18" t="s">
        <v>77</v>
      </c>
      <c r="U8" s="18" t="s">
        <v>82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2</v>
      </c>
      <c r="L9" s="26"/>
      <c r="M9" s="27"/>
      <c r="N9" s="15"/>
      <c r="O9" s="17">
        <v>2</v>
      </c>
      <c r="P9" s="19" t="s">
        <v>40</v>
      </c>
      <c r="Q9" s="19" t="s">
        <v>71</v>
      </c>
      <c r="R9" s="19" t="s">
        <v>68</v>
      </c>
      <c r="S9" s="19" t="s">
        <v>51</v>
      </c>
      <c r="T9" s="19" t="s">
        <v>75</v>
      </c>
      <c r="U9" s="19" t="s">
        <v>81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52</v>
      </c>
      <c r="T10" s="19" t="s">
        <v>74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 thickBo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93</v>
      </c>
      <c r="R16" s="19" t="s">
        <v>109</v>
      </c>
      <c r="S16" s="19" t="s">
        <v>114</v>
      </c>
      <c r="T16" s="19" t="s">
        <v>131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3</v>
      </c>
      <c r="L17" s="26"/>
      <c r="M17" s="27"/>
      <c r="N17" s="15"/>
      <c r="O17" s="17">
        <v>4</v>
      </c>
      <c r="P17" s="19" t="s">
        <v>97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2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0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1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1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2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1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2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5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2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5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3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1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4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0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1</v>
      </c>
      <c r="J51" s="23" t="s">
        <v>27</v>
      </c>
      <c r="K51" s="25">
        <v>1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2</v>
      </c>
      <c r="J63" s="23" t="s">
        <v>27</v>
      </c>
      <c r="K63" s="25">
        <v>2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3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2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4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326</v>
      </c>
      <c r="H2" s="488" t="s">
        <v>351</v>
      </c>
      <c r="I2" s="489"/>
      <c r="J2" s="489"/>
      <c r="K2" s="489"/>
      <c r="L2" s="489"/>
      <c r="M2" s="48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328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329</v>
      </c>
      <c r="G6" s="43"/>
      <c r="H6" s="43"/>
      <c r="I6" s="43"/>
      <c r="J6" s="50" t="s">
        <v>330</v>
      </c>
      <c r="K6" s="50"/>
      <c r="L6" s="50" t="s">
        <v>331</v>
      </c>
      <c r="M6" s="50" t="s">
        <v>332</v>
      </c>
      <c r="N6" s="50"/>
      <c r="O6" s="51" t="s">
        <v>333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1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2</v>
      </c>
      <c r="L8" s="58"/>
      <c r="M8" s="59"/>
      <c r="N8" s="60"/>
      <c r="O8" s="63">
        <v>1</v>
      </c>
      <c r="P8" s="64" t="s">
        <v>40</v>
      </c>
      <c r="Q8" s="64" t="s">
        <v>47</v>
      </c>
      <c r="R8" s="64" t="s">
        <v>67</v>
      </c>
      <c r="S8" s="64" t="s">
        <v>52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1</v>
      </c>
      <c r="L9" s="58"/>
      <c r="M9" s="59"/>
      <c r="N9" s="60"/>
      <c r="O9" s="65">
        <v>2</v>
      </c>
      <c r="P9" s="66" t="s">
        <v>41</v>
      </c>
      <c r="Q9" s="66" t="s">
        <v>71</v>
      </c>
      <c r="R9" s="66" t="s">
        <v>68</v>
      </c>
      <c r="S9" s="66" t="s">
        <v>51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1</v>
      </c>
      <c r="J10" s="54" t="s">
        <v>27</v>
      </c>
      <c r="K10" s="58">
        <v>0</v>
      </c>
      <c r="L10" s="58"/>
      <c r="M10" s="59"/>
      <c r="N10" s="60"/>
      <c r="O10" s="65">
        <v>3</v>
      </c>
      <c r="P10" s="66" t="s">
        <v>44</v>
      </c>
      <c r="Q10" s="66" t="s">
        <v>48</v>
      </c>
      <c r="R10" s="66" t="s">
        <v>56</v>
      </c>
      <c r="S10" s="66" t="s">
        <v>59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2</v>
      </c>
      <c r="L11" s="58"/>
      <c r="M11" s="59"/>
      <c r="N11" s="60"/>
      <c r="O11" s="65">
        <v>4</v>
      </c>
      <c r="P11" s="66" t="s">
        <v>43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1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2</v>
      </c>
      <c r="J13" s="54" t="s">
        <v>27</v>
      </c>
      <c r="K13" s="58">
        <v>1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121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2</v>
      </c>
      <c r="L15" s="58"/>
      <c r="M15" s="59"/>
      <c r="N15" s="60"/>
      <c r="O15" s="65">
        <v>2</v>
      </c>
      <c r="P15" s="66" t="s">
        <v>96</v>
      </c>
      <c r="Q15" s="66" t="s">
        <v>89</v>
      </c>
      <c r="R15" s="66" t="s">
        <v>106</v>
      </c>
      <c r="S15" s="66" t="s">
        <v>114</v>
      </c>
      <c r="T15" s="66" t="s">
        <v>132</v>
      </c>
      <c r="U15" s="66" t="s">
        <v>124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4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101</v>
      </c>
      <c r="Q16" s="66" t="s">
        <v>88</v>
      </c>
      <c r="R16" s="66" t="s">
        <v>109</v>
      </c>
      <c r="S16" s="66" t="s">
        <v>117</v>
      </c>
      <c r="T16" s="66" t="s">
        <v>129</v>
      </c>
      <c r="U16" s="66" t="s">
        <v>125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3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97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2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3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334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2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1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2</v>
      </c>
      <c r="J24" s="54" t="s">
        <v>27</v>
      </c>
      <c r="K24" s="58">
        <v>2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0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1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0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0</v>
      </c>
      <c r="J30" s="54" t="s">
        <v>27</v>
      </c>
      <c r="K30" s="58">
        <v>3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2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1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0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2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0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1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1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3</v>
      </c>
      <c r="J39" s="54" t="s">
        <v>27</v>
      </c>
      <c r="K39" s="58">
        <v>1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3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0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1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3</v>
      </c>
      <c r="J43" s="54" t="s">
        <v>27</v>
      </c>
      <c r="K43" s="58">
        <v>1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0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1</v>
      </c>
      <c r="J47" s="54" t="s">
        <v>27</v>
      </c>
      <c r="K47" s="58">
        <v>2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2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1</v>
      </c>
      <c r="J50" s="54" t="s">
        <v>27</v>
      </c>
      <c r="K50" s="58">
        <v>3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2</v>
      </c>
      <c r="J51" s="54" t="s">
        <v>27</v>
      </c>
      <c r="K51" s="58">
        <v>1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1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1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1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2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0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2</v>
      </c>
      <c r="J60" s="54" t="s">
        <v>27</v>
      </c>
      <c r="K60" s="58">
        <v>1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1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1</v>
      </c>
      <c r="J63" s="54" t="s">
        <v>27</v>
      </c>
      <c r="K63" s="58">
        <v>2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2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2</v>
      </c>
      <c r="J66" s="54" t="s">
        <v>27</v>
      </c>
      <c r="K66" s="58">
        <v>1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1</v>
      </c>
      <c r="J69" s="54" t="s">
        <v>27</v>
      </c>
      <c r="K69" s="58">
        <v>2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2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1</v>
      </c>
      <c r="J71" s="54" t="s">
        <v>27</v>
      </c>
      <c r="K71" s="58">
        <v>1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1</v>
      </c>
      <c r="J73" s="54" t="s">
        <v>27</v>
      </c>
      <c r="K73" s="58">
        <v>2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1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2</v>
      </c>
      <c r="J75" s="54" t="s">
        <v>27</v>
      </c>
      <c r="K75" s="58">
        <v>1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1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2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335</v>
      </c>
      <c r="E79" s="70" t="s">
        <v>67</v>
      </c>
      <c r="F79" s="44" t="s">
        <v>27</v>
      </c>
      <c r="G79" s="70" t="s">
        <v>105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336</v>
      </c>
      <c r="E80" s="72" t="s">
        <v>77</v>
      </c>
      <c r="F80" s="44" t="s">
        <v>27</v>
      </c>
      <c r="G80" s="72" t="s">
        <v>92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337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352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1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0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68</v>
      </c>
      <c r="S9" s="19" t="s">
        <v>59</v>
      </c>
      <c r="T9" s="19" t="s">
        <v>74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0</v>
      </c>
      <c r="J10" s="23" t="s">
        <v>27</v>
      </c>
      <c r="K10" s="25">
        <v>2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51</v>
      </c>
      <c r="T10" s="19" t="s">
        <v>75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2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114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88</v>
      </c>
      <c r="R16" s="19" t="s">
        <v>109</v>
      </c>
      <c r="S16" s="19" t="s">
        <v>117</v>
      </c>
      <c r="T16" s="19" t="s">
        <v>129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97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1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0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1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1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2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0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1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1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67</v>
      </c>
      <c r="F79" s="5" t="s">
        <v>27</v>
      </c>
      <c r="G79" s="10" t="s">
        <v>105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353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42" t="s">
        <v>44</v>
      </c>
      <c r="Q8" s="42" t="s">
        <v>47</v>
      </c>
      <c r="R8" s="42" t="s">
        <v>67</v>
      </c>
      <c r="S8" s="42" t="s">
        <v>51</v>
      </c>
      <c r="T8" s="42" t="s">
        <v>77</v>
      </c>
      <c r="U8" s="42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1</v>
      </c>
      <c r="L9" s="26"/>
      <c r="M9" s="27"/>
      <c r="N9" s="15"/>
      <c r="O9" s="17">
        <v>2</v>
      </c>
      <c r="P9" s="42" t="s">
        <v>40</v>
      </c>
      <c r="Q9" s="42" t="s">
        <v>71</v>
      </c>
      <c r="R9" s="42" t="s">
        <v>68</v>
      </c>
      <c r="S9" s="42" t="s">
        <v>59</v>
      </c>
      <c r="T9" s="42" t="s">
        <v>75</v>
      </c>
      <c r="U9" s="42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42" t="s">
        <v>43</v>
      </c>
      <c r="Q10" s="42" t="s">
        <v>48</v>
      </c>
      <c r="R10" s="42" t="s">
        <v>56</v>
      </c>
      <c r="S10" s="42" t="s">
        <v>52</v>
      </c>
      <c r="T10" s="42" t="s">
        <v>74</v>
      </c>
      <c r="U10" s="42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42" t="s">
        <v>41</v>
      </c>
      <c r="Q11" s="42" t="s">
        <v>70</v>
      </c>
      <c r="R11" s="42" t="s">
        <v>55</v>
      </c>
      <c r="S11" s="42" t="s">
        <v>58</v>
      </c>
      <c r="T11" s="42" t="s">
        <v>78</v>
      </c>
      <c r="U11" s="42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0</v>
      </c>
      <c r="L14" s="26"/>
      <c r="M14" s="27"/>
      <c r="N14" s="15"/>
      <c r="O14" s="16">
        <v>1</v>
      </c>
      <c r="P14" s="42" t="s">
        <v>100</v>
      </c>
      <c r="Q14" s="42" t="s">
        <v>92</v>
      </c>
      <c r="R14" s="42" t="s">
        <v>105</v>
      </c>
      <c r="S14" s="42" t="s">
        <v>113</v>
      </c>
      <c r="T14" s="42" t="s">
        <v>128</v>
      </c>
      <c r="U14" s="42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42" t="s">
        <v>101</v>
      </c>
      <c r="Q15" s="42" t="s">
        <v>89</v>
      </c>
      <c r="R15" s="42" t="s">
        <v>109</v>
      </c>
      <c r="S15" s="42" t="s">
        <v>117</v>
      </c>
      <c r="T15" s="42" t="s">
        <v>132</v>
      </c>
      <c r="U15" s="42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42" t="s">
        <v>96</v>
      </c>
      <c r="Q16" s="42" t="s">
        <v>88</v>
      </c>
      <c r="R16" s="42" t="s">
        <v>106</v>
      </c>
      <c r="S16" s="42" t="s">
        <v>114</v>
      </c>
      <c r="T16" s="42" t="s">
        <v>129</v>
      </c>
      <c r="U16" s="42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42" t="s">
        <v>97</v>
      </c>
      <c r="Q17" s="42" t="s">
        <v>93</v>
      </c>
      <c r="R17" s="42" t="s">
        <v>108</v>
      </c>
      <c r="S17" s="42" t="s">
        <v>118</v>
      </c>
      <c r="T17" s="42" t="s">
        <v>131</v>
      </c>
      <c r="U17" s="42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1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2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3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0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2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3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42" t="s">
        <v>113</v>
      </c>
      <c r="F79" s="5" t="s">
        <v>27</v>
      </c>
      <c r="G79" s="42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42" t="s">
        <v>92</v>
      </c>
      <c r="F80" s="5" t="s">
        <v>27</v>
      </c>
      <c r="G80" s="42" t="s">
        <v>81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354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2</v>
      </c>
      <c r="L8" s="26"/>
      <c r="M8" s="27"/>
      <c r="N8" s="15"/>
      <c r="O8" s="40">
        <v>1</v>
      </c>
      <c r="P8" s="18" t="s">
        <v>40</v>
      </c>
      <c r="Q8" s="18" t="s">
        <v>47</v>
      </c>
      <c r="R8" s="19" t="s">
        <v>67</v>
      </c>
      <c r="S8" s="18" t="s">
        <v>51</v>
      </c>
      <c r="T8" s="19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0</v>
      </c>
      <c r="L9" s="26"/>
      <c r="M9" s="27"/>
      <c r="N9" s="15"/>
      <c r="O9" s="41">
        <v>2</v>
      </c>
      <c r="P9" s="19" t="s">
        <v>44</v>
      </c>
      <c r="Q9" s="19" t="s">
        <v>71</v>
      </c>
      <c r="R9" s="19" t="s">
        <v>56</v>
      </c>
      <c r="S9" s="19" t="s">
        <v>52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0</v>
      </c>
      <c r="L10" s="26"/>
      <c r="M10" s="27"/>
      <c r="N10" s="15"/>
      <c r="O10" s="41">
        <v>3</v>
      </c>
      <c r="P10" s="19" t="s">
        <v>41</v>
      </c>
      <c r="Q10" s="19" t="s">
        <v>48</v>
      </c>
      <c r="R10" s="19" t="s">
        <v>68</v>
      </c>
      <c r="S10" s="19" t="s">
        <v>58</v>
      </c>
      <c r="T10" s="18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41">
        <v>4</v>
      </c>
      <c r="P11" s="19" t="s">
        <v>43</v>
      </c>
      <c r="Q11" s="19" t="s">
        <v>70</v>
      </c>
      <c r="R11" s="18" t="s">
        <v>55</v>
      </c>
      <c r="S11" s="19" t="s">
        <v>59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2</v>
      </c>
      <c r="L14" s="26"/>
      <c r="M14" s="27"/>
      <c r="N14" s="15"/>
      <c r="O14" s="40">
        <v>1</v>
      </c>
      <c r="P14" s="19" t="s">
        <v>100</v>
      </c>
      <c r="Q14" s="19" t="s">
        <v>92</v>
      </c>
      <c r="R14" s="18" t="s">
        <v>105</v>
      </c>
      <c r="S14" s="18" t="s">
        <v>113</v>
      </c>
      <c r="T14" s="18" t="s">
        <v>128</v>
      </c>
      <c r="U14" s="19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2</v>
      </c>
      <c r="L15" s="26"/>
      <c r="M15" s="27"/>
      <c r="N15" s="15"/>
      <c r="O15" s="41">
        <v>2</v>
      </c>
      <c r="P15" s="19" t="s">
        <v>97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122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41">
        <v>3</v>
      </c>
      <c r="P16" s="19" t="s">
        <v>101</v>
      </c>
      <c r="Q16" s="18" t="s">
        <v>88</v>
      </c>
      <c r="R16" s="19" t="s">
        <v>108</v>
      </c>
      <c r="S16" s="19" t="s">
        <v>114</v>
      </c>
      <c r="T16" s="19" t="s">
        <v>131</v>
      </c>
      <c r="U16" s="18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41">
        <v>4</v>
      </c>
      <c r="P17" s="18" t="s">
        <v>96</v>
      </c>
      <c r="Q17" s="19" t="s">
        <v>93</v>
      </c>
      <c r="R17" s="19" t="s">
        <v>106</v>
      </c>
      <c r="S17" s="19" t="s">
        <v>118</v>
      </c>
      <c r="T17" s="19" t="s">
        <v>129</v>
      </c>
      <c r="U17" s="19" t="s">
        <v>125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1</v>
      </c>
      <c r="L18" s="26"/>
      <c r="M18" s="27"/>
      <c r="N18" s="15"/>
      <c r="O18" s="1"/>
      <c r="P18" s="1"/>
      <c r="Q18" s="1"/>
      <c r="R18" s="1"/>
      <c r="S18" s="1"/>
      <c r="T18" s="1"/>
      <c r="U18" s="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3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1" t="s">
        <v>67</v>
      </c>
      <c r="S22" s="22" t="s">
        <v>51</v>
      </c>
      <c r="T22" s="21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44</v>
      </c>
      <c r="Q23" s="21" t="s">
        <v>71</v>
      </c>
      <c r="R23" s="21" t="s">
        <v>56</v>
      </c>
      <c r="S23" s="21" t="s">
        <v>58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68</v>
      </c>
      <c r="S24" s="21" t="s">
        <v>52</v>
      </c>
      <c r="T24" s="22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2" t="s">
        <v>55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1" t="s">
        <v>100</v>
      </c>
      <c r="Q28" s="21" t="s">
        <v>92</v>
      </c>
      <c r="R28" s="22" t="s">
        <v>105</v>
      </c>
      <c r="S28" s="22" t="s">
        <v>113</v>
      </c>
      <c r="T28" s="22" t="s">
        <v>128</v>
      </c>
      <c r="U28" s="21" t="s">
        <v>124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109</v>
      </c>
      <c r="S29" s="21" t="s">
        <v>117</v>
      </c>
      <c r="T29" s="21" t="s">
        <v>132</v>
      </c>
      <c r="U29" s="21" t="s">
        <v>125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101</v>
      </c>
      <c r="Q30" s="22" t="s">
        <v>88</v>
      </c>
      <c r="R30" s="21" t="s">
        <v>106</v>
      </c>
      <c r="S30" s="21" t="s">
        <v>114</v>
      </c>
      <c r="T30" s="21" t="s">
        <v>131</v>
      </c>
      <c r="U30" s="21" t="s">
        <v>122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2" t="s">
        <v>96</v>
      </c>
      <c r="Q31" s="21" t="s">
        <v>93</v>
      </c>
      <c r="R31" s="21" t="s">
        <v>108</v>
      </c>
      <c r="S31" s="21" t="s">
        <v>118</v>
      </c>
      <c r="T31" s="21" t="s">
        <v>129</v>
      </c>
      <c r="U31" s="22" t="s">
        <v>121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3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3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1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3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1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2</v>
      </c>
      <c r="J60" s="23" t="s">
        <v>27</v>
      </c>
      <c r="K60" s="25">
        <v>1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1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1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1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67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U87"/>
  <sheetViews>
    <sheetView workbookViewId="0">
      <selection activeCell="H2" sqref="H2:M2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355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124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125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115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123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131" t="s">
        <v>31</v>
      </c>
      <c r="P7" s="132" t="s">
        <v>32</v>
      </c>
      <c r="Q7" s="132" t="s">
        <v>33</v>
      </c>
      <c r="R7" s="132" t="s">
        <v>34</v>
      </c>
      <c r="S7" s="132" t="s">
        <v>35</v>
      </c>
      <c r="T7" s="132" t="s">
        <v>36</v>
      </c>
      <c r="U7" s="132" t="s">
        <v>37</v>
      </c>
    </row>
    <row r="8" spans="2:21" ht="15.75" customHeight="1">
      <c r="B8" s="123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11">
        <v>1</v>
      </c>
      <c r="P8" s="113" t="s">
        <v>40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123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0</v>
      </c>
      <c r="L9" s="120"/>
      <c r="M9" s="121"/>
      <c r="N9" s="110"/>
      <c r="O9" s="112">
        <v>2</v>
      </c>
      <c r="P9" s="114" t="s">
        <v>44</v>
      </c>
      <c r="Q9" s="114" t="s">
        <v>71</v>
      </c>
      <c r="R9" s="114" t="s">
        <v>68</v>
      </c>
      <c r="S9" s="114" t="s">
        <v>52</v>
      </c>
      <c r="T9" s="114" t="s">
        <v>75</v>
      </c>
      <c r="U9" s="114" t="s">
        <v>82</v>
      </c>
    </row>
    <row r="10" spans="2:21" ht="60.75" customHeight="1">
      <c r="B10" s="123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1</v>
      </c>
      <c r="J10" s="119" t="s">
        <v>27</v>
      </c>
      <c r="K10" s="25">
        <v>0</v>
      </c>
      <c r="L10" s="120"/>
      <c r="M10" s="121"/>
      <c r="N10" s="110"/>
      <c r="O10" s="112">
        <v>3</v>
      </c>
      <c r="P10" s="114" t="s">
        <v>43</v>
      </c>
      <c r="Q10" s="130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123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12">
        <v>4</v>
      </c>
      <c r="P11" s="114" t="s">
        <v>41</v>
      </c>
      <c r="Q11" s="114" t="s">
        <v>70</v>
      </c>
      <c r="R11" s="114" t="s">
        <v>55</v>
      </c>
      <c r="S11" s="114" t="s">
        <v>59</v>
      </c>
      <c r="T11" s="114" t="s">
        <v>78</v>
      </c>
      <c r="U11" s="114" t="s">
        <v>85</v>
      </c>
    </row>
    <row r="12" spans="2:21" ht="16.5" customHeight="1" thickBot="1">
      <c r="B12" s="123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123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131" t="s">
        <v>31</v>
      </c>
      <c r="P13" s="132" t="s">
        <v>60</v>
      </c>
      <c r="Q13" s="132" t="s">
        <v>61</v>
      </c>
      <c r="R13" s="132" t="s">
        <v>62</v>
      </c>
      <c r="S13" s="132" t="s">
        <v>63</v>
      </c>
      <c r="T13" s="132" t="s">
        <v>64</v>
      </c>
      <c r="U13" s="132" t="s">
        <v>65</v>
      </c>
    </row>
    <row r="14" spans="2:21" ht="15.75" customHeight="1">
      <c r="B14" s="123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11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123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12">
        <v>2</v>
      </c>
      <c r="P15" s="114" t="s">
        <v>101</v>
      </c>
      <c r="Q15" s="114" t="s">
        <v>89</v>
      </c>
      <c r="R15" s="114" t="s">
        <v>106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123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12">
        <v>3</v>
      </c>
      <c r="P16" s="114" t="s">
        <v>97</v>
      </c>
      <c r="Q16" s="114" t="s">
        <v>88</v>
      </c>
      <c r="R16" s="114" t="s">
        <v>109</v>
      </c>
      <c r="S16" s="114" t="s">
        <v>114</v>
      </c>
      <c r="T16" s="114" t="s">
        <v>129</v>
      </c>
      <c r="U16" s="114" t="s">
        <v>122</v>
      </c>
    </row>
    <row r="17" spans="2:21" ht="15.75" customHeight="1">
      <c r="B17" s="123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3</v>
      </c>
      <c r="J17" s="119" t="s">
        <v>27</v>
      </c>
      <c r="K17" s="25">
        <v>1</v>
      </c>
      <c r="L17" s="120"/>
      <c r="M17" s="121"/>
      <c r="N17" s="110"/>
      <c r="O17" s="112">
        <v>4</v>
      </c>
      <c r="P17" s="114" t="s">
        <v>96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121</v>
      </c>
    </row>
    <row r="18" spans="2:21" ht="15.75" customHeight="1">
      <c r="B18" s="123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0</v>
      </c>
      <c r="L18" s="120"/>
      <c r="M18" s="121"/>
      <c r="N18" s="110"/>
      <c r="O18" s="96"/>
      <c r="P18" s="116"/>
      <c r="Q18" s="116"/>
      <c r="R18" s="116"/>
      <c r="S18" s="116"/>
      <c r="T18" s="116"/>
      <c r="U18" s="116"/>
    </row>
    <row r="19" spans="2:21" ht="15.75" customHeight="1">
      <c r="B19" s="123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123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2</v>
      </c>
      <c r="J20" s="119" t="s">
        <v>27</v>
      </c>
      <c r="K20" s="25">
        <v>0</v>
      </c>
      <c r="L20" s="120"/>
      <c r="M20" s="121"/>
      <c r="N20" s="110"/>
      <c r="O20" s="108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123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0</v>
      </c>
      <c r="J21" s="119" t="s">
        <v>27</v>
      </c>
      <c r="K21" s="25">
        <v>1</v>
      </c>
      <c r="L21" s="120"/>
      <c r="M21" s="121"/>
      <c r="N21" s="110"/>
      <c r="O21" s="96"/>
      <c r="P21" s="131" t="s">
        <v>32</v>
      </c>
      <c r="Q21" s="132" t="s">
        <v>33</v>
      </c>
      <c r="R21" s="132" t="s">
        <v>34</v>
      </c>
      <c r="S21" s="132" t="s">
        <v>35</v>
      </c>
      <c r="T21" s="132" t="s">
        <v>36</v>
      </c>
      <c r="U21" s="132" t="s">
        <v>37</v>
      </c>
    </row>
    <row r="22" spans="2:21" ht="15.75" customHeight="1">
      <c r="B22" s="123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1</v>
      </c>
      <c r="L22" s="120"/>
      <c r="M22" s="121"/>
      <c r="N22" s="110"/>
      <c r="O22" s="96"/>
      <c r="P22" s="117" t="s">
        <v>40</v>
      </c>
      <c r="Q22" s="117" t="s">
        <v>47</v>
      </c>
      <c r="R22" s="117" t="s">
        <v>55</v>
      </c>
      <c r="S22" s="117" t="s">
        <v>51</v>
      </c>
      <c r="T22" s="117" t="s">
        <v>74</v>
      </c>
      <c r="U22" s="117" t="s">
        <v>81</v>
      </c>
    </row>
    <row r="23" spans="2:21" ht="15.75" customHeight="1">
      <c r="B23" s="123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116" t="s">
        <v>41</v>
      </c>
      <c r="Q23" s="116" t="s">
        <v>48</v>
      </c>
      <c r="R23" s="116" t="s">
        <v>56</v>
      </c>
      <c r="S23" s="116" t="s">
        <v>52</v>
      </c>
      <c r="T23" s="116" t="s">
        <v>75</v>
      </c>
      <c r="U23" s="116" t="s">
        <v>82</v>
      </c>
    </row>
    <row r="24" spans="2:21" ht="15.75" customHeight="1">
      <c r="B24" s="123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2</v>
      </c>
      <c r="J24" s="119" t="s">
        <v>27</v>
      </c>
      <c r="K24" s="25">
        <v>3</v>
      </c>
      <c r="L24" s="120"/>
      <c r="M24" s="121"/>
      <c r="N24" s="110"/>
      <c r="O24" s="96"/>
      <c r="P24" s="116" t="s">
        <v>43</v>
      </c>
      <c r="Q24" s="116" t="s">
        <v>70</v>
      </c>
      <c r="R24" s="116" t="s">
        <v>67</v>
      </c>
      <c r="S24" s="116" t="s">
        <v>58</v>
      </c>
      <c r="T24" s="116" t="s">
        <v>77</v>
      </c>
      <c r="U24" s="116" t="s">
        <v>84</v>
      </c>
    </row>
    <row r="25" spans="2:21" ht="15.75" customHeight="1">
      <c r="B25" s="123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3</v>
      </c>
      <c r="J25" s="119" t="s">
        <v>27</v>
      </c>
      <c r="K25" s="25">
        <v>0</v>
      </c>
      <c r="L25" s="120"/>
      <c r="M25" s="121"/>
      <c r="N25" s="110"/>
      <c r="O25" s="96"/>
      <c r="P25" s="116" t="s">
        <v>44</v>
      </c>
      <c r="Q25" s="116" t="s">
        <v>71</v>
      </c>
      <c r="R25" s="116" t="s">
        <v>68</v>
      </c>
      <c r="S25" s="116" t="s">
        <v>59</v>
      </c>
      <c r="T25" s="116" t="s">
        <v>78</v>
      </c>
      <c r="U25" s="116" t="s">
        <v>85</v>
      </c>
    </row>
    <row r="26" spans="2:21" ht="16.5" customHeight="1" thickBot="1">
      <c r="B26" s="123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123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0</v>
      </c>
      <c r="J27" s="119" t="s">
        <v>27</v>
      </c>
      <c r="K27" s="25">
        <v>1</v>
      </c>
      <c r="L27" s="120"/>
      <c r="M27" s="121"/>
      <c r="N27" s="110"/>
      <c r="O27" s="96"/>
      <c r="P27" s="131" t="s">
        <v>60</v>
      </c>
      <c r="Q27" s="132" t="s">
        <v>61</v>
      </c>
      <c r="R27" s="132" t="s">
        <v>62</v>
      </c>
      <c r="S27" s="132" t="s">
        <v>63</v>
      </c>
      <c r="T27" s="132" t="s">
        <v>64</v>
      </c>
      <c r="U27" s="132" t="s">
        <v>65</v>
      </c>
    </row>
    <row r="28" spans="2:21" ht="15.75" customHeight="1">
      <c r="B28" s="123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117" t="s">
        <v>96</v>
      </c>
      <c r="Q28" s="117" t="s">
        <v>88</v>
      </c>
      <c r="R28" s="117" t="s">
        <v>105</v>
      </c>
      <c r="S28" s="117" t="s">
        <v>113</v>
      </c>
      <c r="T28" s="117" t="s">
        <v>128</v>
      </c>
      <c r="U28" s="117" t="s">
        <v>121</v>
      </c>
    </row>
    <row r="29" spans="2:21" ht="15.75" customHeight="1">
      <c r="B29" s="123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0</v>
      </c>
      <c r="L29" s="120"/>
      <c r="M29" s="121"/>
      <c r="N29" s="110"/>
      <c r="O29" s="96"/>
      <c r="P29" s="116" t="s">
        <v>97</v>
      </c>
      <c r="Q29" s="116" t="s">
        <v>89</v>
      </c>
      <c r="R29" s="116" t="s">
        <v>106</v>
      </c>
      <c r="S29" s="116" t="s">
        <v>114</v>
      </c>
      <c r="T29" s="116" t="s">
        <v>129</v>
      </c>
      <c r="U29" s="116" t="s">
        <v>122</v>
      </c>
    </row>
    <row r="30" spans="2:21" ht="15.75" customHeight="1">
      <c r="B30" s="123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2</v>
      </c>
      <c r="L30" s="120"/>
      <c r="M30" s="121"/>
      <c r="N30" s="110"/>
      <c r="O30" s="96"/>
      <c r="P30" s="116" t="s">
        <v>100</v>
      </c>
      <c r="Q30" s="116" t="s">
        <v>92</v>
      </c>
      <c r="R30" s="116" t="s">
        <v>108</v>
      </c>
      <c r="S30" s="116" t="s">
        <v>117</v>
      </c>
      <c r="T30" s="116" t="s">
        <v>131</v>
      </c>
      <c r="U30" s="116" t="s">
        <v>124</v>
      </c>
    </row>
    <row r="31" spans="2:21" ht="15.75" customHeight="1">
      <c r="B31" s="123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116" t="s">
        <v>101</v>
      </c>
      <c r="Q31" s="116" t="s">
        <v>93</v>
      </c>
      <c r="R31" s="116" t="s">
        <v>109</v>
      </c>
      <c r="S31" s="116" t="s">
        <v>118</v>
      </c>
      <c r="T31" s="116" t="s">
        <v>132</v>
      </c>
      <c r="U31" s="116" t="s">
        <v>125</v>
      </c>
    </row>
    <row r="32" spans="2:21" ht="15.75" customHeight="1">
      <c r="B32" s="123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123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123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123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1</v>
      </c>
      <c r="L35" s="120"/>
      <c r="M35" s="121"/>
      <c r="N35" s="110"/>
    </row>
    <row r="36" spans="2:14" ht="15.75" customHeight="1">
      <c r="B36" s="123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123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0</v>
      </c>
      <c r="J37" s="119" t="s">
        <v>27</v>
      </c>
      <c r="K37" s="25">
        <v>2</v>
      </c>
      <c r="L37" s="120"/>
      <c r="M37" s="121"/>
      <c r="N37" s="110"/>
    </row>
    <row r="38" spans="2:14" ht="15.75" customHeight="1">
      <c r="B38" s="123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123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123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123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3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123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123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123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123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3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123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123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123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123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123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123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123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123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123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123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123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123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1</v>
      </c>
      <c r="L57" s="120"/>
      <c r="M57" s="121"/>
    </row>
    <row r="58" spans="2:13" ht="15.75" customHeight="1">
      <c r="B58" s="123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123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123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1</v>
      </c>
      <c r="L60" s="120"/>
      <c r="M60" s="121"/>
    </row>
    <row r="61" spans="2:13" ht="15.75" customHeight="1">
      <c r="B61" s="123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123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123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123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3</v>
      </c>
      <c r="L64" s="120"/>
      <c r="M64" s="121"/>
    </row>
    <row r="65" spans="2:14" ht="15.75" customHeight="1">
      <c r="B65" s="123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123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123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123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123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2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123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123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123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123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123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123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123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123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123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113</v>
      </c>
      <c r="F80" s="118" t="s">
        <v>27</v>
      </c>
      <c r="G80" s="106" t="s">
        <v>92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107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98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98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U87"/>
  <sheetViews>
    <sheetView workbookViewId="0"/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326</v>
      </c>
      <c r="H2" s="491" t="s">
        <v>356</v>
      </c>
      <c r="I2" s="487"/>
      <c r="J2" s="487"/>
      <c r="K2" s="487"/>
      <c r="L2" s="487"/>
      <c r="M2" s="487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328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329</v>
      </c>
      <c r="G6" s="139"/>
      <c r="H6" s="139"/>
      <c r="I6" s="139"/>
      <c r="J6" s="138" t="s">
        <v>330</v>
      </c>
      <c r="K6" s="138"/>
      <c r="L6" s="138" t="s">
        <v>331</v>
      </c>
      <c r="M6" s="138" t="s">
        <v>332</v>
      </c>
      <c r="N6" s="138"/>
      <c r="O6" s="152" t="s">
        <v>333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71</v>
      </c>
      <c r="R8" s="150" t="s">
        <v>67</v>
      </c>
      <c r="S8" s="150" t="s">
        <v>59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2</v>
      </c>
      <c r="J9" s="156" t="s">
        <v>27</v>
      </c>
      <c r="K9" s="158">
        <v>1</v>
      </c>
      <c r="L9" s="159"/>
      <c r="M9" s="160"/>
      <c r="N9" s="147"/>
      <c r="O9" s="149">
        <v>2</v>
      </c>
      <c r="P9" s="151" t="s">
        <v>44</v>
      </c>
      <c r="Q9" s="151" t="s">
        <v>47</v>
      </c>
      <c r="R9" s="151" t="s">
        <v>68</v>
      </c>
      <c r="S9" s="151" t="s">
        <v>51</v>
      </c>
      <c r="T9" s="151" t="s">
        <v>75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1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43</v>
      </c>
      <c r="Q10" s="151" t="s">
        <v>48</v>
      </c>
      <c r="R10" s="151" t="s">
        <v>56</v>
      </c>
      <c r="S10" s="151" t="s">
        <v>52</v>
      </c>
      <c r="T10" s="151" t="s">
        <v>74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41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2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3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2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128</v>
      </c>
      <c r="U14" s="150" t="s">
        <v>124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1</v>
      </c>
      <c r="J15" s="156" t="s">
        <v>27</v>
      </c>
      <c r="K15" s="158">
        <v>1</v>
      </c>
      <c r="L15" s="159"/>
      <c r="M15" s="160"/>
      <c r="N15" s="147"/>
      <c r="O15" s="149">
        <v>2</v>
      </c>
      <c r="P15" s="151" t="s">
        <v>96</v>
      </c>
      <c r="Q15" s="151" t="s">
        <v>89</v>
      </c>
      <c r="R15" s="151" t="s">
        <v>109</v>
      </c>
      <c r="S15" s="151" t="s">
        <v>117</v>
      </c>
      <c r="T15" s="151" t="s">
        <v>132</v>
      </c>
      <c r="U15" s="151" t="s">
        <v>125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4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101</v>
      </c>
      <c r="Q16" s="151" t="s">
        <v>93</v>
      </c>
      <c r="R16" s="151" t="s">
        <v>106</v>
      </c>
      <c r="S16" s="151" t="s">
        <v>114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2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88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2</v>
      </c>
      <c r="J18" s="156" t="s">
        <v>27</v>
      </c>
      <c r="K18" s="158">
        <v>0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2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3</v>
      </c>
      <c r="J20" s="156" t="s">
        <v>27</v>
      </c>
      <c r="K20" s="158">
        <v>0</v>
      </c>
      <c r="L20" s="159"/>
      <c r="M20" s="160"/>
      <c r="N20" s="147"/>
      <c r="O20" s="145" t="s">
        <v>334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1</v>
      </c>
      <c r="J21" s="156" t="s">
        <v>27</v>
      </c>
      <c r="K21" s="158">
        <v>0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0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2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2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2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2</v>
      </c>
      <c r="J28" s="156" t="s">
        <v>27</v>
      </c>
      <c r="K28" s="158">
        <v>1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2</v>
      </c>
      <c r="J29" s="156" t="s">
        <v>27</v>
      </c>
      <c r="K29" s="158">
        <v>0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2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2</v>
      </c>
      <c r="J32" s="156" t="s">
        <v>27</v>
      </c>
      <c r="K32" s="158">
        <v>0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1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3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1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1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1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2</v>
      </c>
      <c r="J39" s="156" t="s">
        <v>27</v>
      </c>
      <c r="K39" s="158">
        <v>0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2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2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2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2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2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1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1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1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3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2</v>
      </c>
      <c r="J49" s="156" t="s">
        <v>27</v>
      </c>
      <c r="K49" s="158">
        <v>0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1</v>
      </c>
      <c r="J50" s="156" t="s">
        <v>27</v>
      </c>
      <c r="K50" s="158">
        <v>1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2</v>
      </c>
      <c r="J51" s="156" t="s">
        <v>27</v>
      </c>
      <c r="K51" s="158">
        <v>0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2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2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2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2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2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2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0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1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1</v>
      </c>
      <c r="J62" s="156" t="s">
        <v>27</v>
      </c>
      <c r="K62" s="158">
        <v>2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1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0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1</v>
      </c>
      <c r="J65" s="156" t="s">
        <v>27</v>
      </c>
      <c r="K65" s="158">
        <v>1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1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1</v>
      </c>
      <c r="J67" s="156" t="s">
        <v>27</v>
      </c>
      <c r="K67" s="158">
        <v>2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2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1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1</v>
      </c>
      <c r="J71" s="156" t="s">
        <v>27</v>
      </c>
      <c r="K71" s="158">
        <v>1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0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0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1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3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1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1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335</v>
      </c>
      <c r="E79" s="142" t="s">
        <v>67</v>
      </c>
      <c r="F79" s="155" t="s">
        <v>27</v>
      </c>
      <c r="G79" s="142" t="s">
        <v>105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336</v>
      </c>
      <c r="E80" s="143" t="s">
        <v>113</v>
      </c>
      <c r="F80" s="155" t="s">
        <v>27</v>
      </c>
      <c r="G80" s="143" t="s">
        <v>77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337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U87"/>
  <sheetViews>
    <sheetView workbookViewId="0">
      <selection activeCell="P9" sqref="P9"/>
    </sheetView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326</v>
      </c>
      <c r="H2" s="492" t="s">
        <v>357</v>
      </c>
      <c r="I2" s="487"/>
      <c r="J2" s="487"/>
      <c r="K2" s="487"/>
      <c r="L2" s="487"/>
      <c r="M2" s="487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328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329</v>
      </c>
      <c r="G6" s="139"/>
      <c r="H6" s="139"/>
      <c r="I6" s="139"/>
      <c r="J6" s="138" t="s">
        <v>330</v>
      </c>
      <c r="K6" s="138"/>
      <c r="L6" s="138" t="s">
        <v>331</v>
      </c>
      <c r="M6" s="138" t="s">
        <v>332</v>
      </c>
      <c r="N6" s="138"/>
      <c r="O6" s="152" t="s">
        <v>333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48</v>
      </c>
      <c r="R8" s="150" t="s">
        <v>67</v>
      </c>
      <c r="S8" s="150" t="s">
        <v>51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1</v>
      </c>
      <c r="J9" s="156" t="s">
        <v>27</v>
      </c>
      <c r="K9" s="158">
        <v>0</v>
      </c>
      <c r="L9" s="159"/>
      <c r="M9" s="160"/>
      <c r="N9" s="147"/>
      <c r="O9" s="149">
        <v>2</v>
      </c>
      <c r="P9" s="151" t="s">
        <v>43</v>
      </c>
      <c r="Q9" s="151" t="s">
        <v>47</v>
      </c>
      <c r="R9" s="151" t="s">
        <v>68</v>
      </c>
      <c r="S9" s="151" t="s">
        <v>59</v>
      </c>
      <c r="T9" s="151" t="s">
        <v>74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2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41</v>
      </c>
      <c r="Q10" s="151" t="s">
        <v>71</v>
      </c>
      <c r="R10" s="151" t="s">
        <v>56</v>
      </c>
      <c r="S10" s="151" t="s">
        <v>52</v>
      </c>
      <c r="T10" s="151" t="s">
        <v>75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44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3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4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1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132</v>
      </c>
      <c r="U14" s="150" t="s">
        <v>125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3</v>
      </c>
      <c r="J15" s="156" t="s">
        <v>27</v>
      </c>
      <c r="K15" s="158">
        <v>0</v>
      </c>
      <c r="L15" s="159"/>
      <c r="M15" s="160"/>
      <c r="N15" s="147"/>
      <c r="O15" s="149">
        <v>2</v>
      </c>
      <c r="P15" s="151" t="s">
        <v>101</v>
      </c>
      <c r="Q15" s="151" t="s">
        <v>89</v>
      </c>
      <c r="R15" s="151" t="s">
        <v>106</v>
      </c>
      <c r="S15" s="151" t="s">
        <v>114</v>
      </c>
      <c r="T15" s="151" t="s">
        <v>128</v>
      </c>
      <c r="U15" s="151" t="s">
        <v>124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5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96</v>
      </c>
      <c r="Q16" s="151" t="s">
        <v>88</v>
      </c>
      <c r="R16" s="151" t="s">
        <v>109</v>
      </c>
      <c r="S16" s="151" t="s">
        <v>117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3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93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1</v>
      </c>
      <c r="J18" s="156" t="s">
        <v>27</v>
      </c>
      <c r="K18" s="158">
        <v>1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4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6</v>
      </c>
      <c r="J20" s="156" t="s">
        <v>27</v>
      </c>
      <c r="K20" s="158">
        <v>0</v>
      </c>
      <c r="L20" s="159"/>
      <c r="M20" s="160"/>
      <c r="N20" s="147"/>
      <c r="O20" s="145" t="s">
        <v>334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2</v>
      </c>
      <c r="J21" s="156" t="s">
        <v>27</v>
      </c>
      <c r="K21" s="158">
        <v>1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1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3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3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3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1</v>
      </c>
      <c r="J28" s="156" t="s">
        <v>27</v>
      </c>
      <c r="K28" s="158">
        <v>2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3</v>
      </c>
      <c r="J29" s="156" t="s">
        <v>27</v>
      </c>
      <c r="K29" s="158">
        <v>1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4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1</v>
      </c>
      <c r="J32" s="156" t="s">
        <v>27</v>
      </c>
      <c r="K32" s="158">
        <v>2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3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4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2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3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0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3</v>
      </c>
      <c r="J39" s="156" t="s">
        <v>27</v>
      </c>
      <c r="K39" s="158">
        <v>1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3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3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3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5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3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0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0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3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4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3</v>
      </c>
      <c r="J49" s="156" t="s">
        <v>27</v>
      </c>
      <c r="K49" s="158">
        <v>1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0</v>
      </c>
      <c r="J50" s="156" t="s">
        <v>27</v>
      </c>
      <c r="K50" s="158">
        <v>3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1</v>
      </c>
      <c r="J51" s="156" t="s">
        <v>27</v>
      </c>
      <c r="K51" s="158">
        <v>2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3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3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3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4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3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1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2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4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0</v>
      </c>
      <c r="J62" s="156" t="s">
        <v>27</v>
      </c>
      <c r="K62" s="158">
        <v>3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2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1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2</v>
      </c>
      <c r="J65" s="156" t="s">
        <v>27</v>
      </c>
      <c r="K65" s="158">
        <v>2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2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0</v>
      </c>
      <c r="J67" s="156" t="s">
        <v>27</v>
      </c>
      <c r="K67" s="158">
        <v>3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3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3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0</v>
      </c>
      <c r="J71" s="156" t="s">
        <v>27</v>
      </c>
      <c r="K71" s="158">
        <v>2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2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1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2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4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3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3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335</v>
      </c>
      <c r="E79" s="142" t="s">
        <v>77</v>
      </c>
      <c r="F79" s="155" t="s">
        <v>27</v>
      </c>
      <c r="G79" s="142" t="s">
        <v>113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336</v>
      </c>
      <c r="E80" s="143" t="s">
        <v>92</v>
      </c>
      <c r="F80" s="155" t="s">
        <v>27</v>
      </c>
      <c r="G80" s="143" t="s">
        <v>89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337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A87"/>
  <sheetViews>
    <sheetView topLeftCell="A52" workbookViewId="0">
      <selection activeCell="I7" sqref="I7:K78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53" ht="20.100000000000001" customHeight="1">
      <c r="G2" s="172" t="s">
        <v>326</v>
      </c>
      <c r="H2" s="493" t="s">
        <v>358</v>
      </c>
      <c r="I2" s="487"/>
      <c r="J2" s="487"/>
      <c r="K2" s="487"/>
      <c r="L2" s="487"/>
      <c r="M2" s="487"/>
      <c r="N2" s="174"/>
    </row>
    <row r="4" spans="2:53" ht="18" customHeight="1">
      <c r="B4" s="176" t="s">
        <v>328</v>
      </c>
      <c r="G4" s="172"/>
      <c r="H4" s="172"/>
      <c r="I4" s="172"/>
      <c r="J4" s="172"/>
    </row>
    <row r="5" spans="2:53" ht="15.75" customHeight="1">
      <c r="C5" s="177"/>
      <c r="G5" s="172"/>
      <c r="H5" s="172"/>
      <c r="I5" s="172"/>
      <c r="J5" s="172"/>
    </row>
    <row r="6" spans="2:53" ht="18.75" customHeight="1" thickBot="1">
      <c r="C6" s="178" t="s">
        <v>24</v>
      </c>
      <c r="D6" s="179" t="s">
        <v>25</v>
      </c>
      <c r="E6" s="180"/>
      <c r="F6" s="179" t="s">
        <v>329</v>
      </c>
      <c r="G6" s="180"/>
      <c r="H6" s="180"/>
      <c r="I6" s="180"/>
      <c r="J6" s="179" t="s">
        <v>330</v>
      </c>
      <c r="K6" s="179"/>
      <c r="L6" s="179" t="s">
        <v>331</v>
      </c>
      <c r="M6" s="179" t="s">
        <v>332</v>
      </c>
      <c r="N6" s="179"/>
      <c r="O6" s="181" t="s">
        <v>333</v>
      </c>
    </row>
    <row r="7" spans="2:53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3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53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2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51</v>
      </c>
      <c r="T8" s="195" t="s">
        <v>77</v>
      </c>
      <c r="U8" s="195" t="s">
        <v>82</v>
      </c>
      <c r="AU8" s="174" t="s">
        <v>359</v>
      </c>
      <c r="BA8" s="174" t="s">
        <v>360</v>
      </c>
    </row>
    <row r="9" spans="2:53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2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81</v>
      </c>
    </row>
    <row r="10" spans="2:53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3</v>
      </c>
      <c r="J10" s="184" t="s">
        <v>27</v>
      </c>
      <c r="K10" s="188">
        <v>0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74</v>
      </c>
      <c r="U10" s="197" t="s">
        <v>84</v>
      </c>
    </row>
    <row r="11" spans="2:53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1</v>
      </c>
      <c r="J11" s="184" t="s">
        <v>27</v>
      </c>
      <c r="K11" s="188">
        <v>2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53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3</v>
      </c>
      <c r="L12" s="189"/>
      <c r="M12" s="190"/>
      <c r="N12" s="191"/>
    </row>
    <row r="13" spans="2:53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53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3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53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53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3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1</v>
      </c>
      <c r="J17" s="184" t="s">
        <v>27</v>
      </c>
      <c r="K17" s="188">
        <v>2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1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334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2</v>
      </c>
      <c r="J22" s="184" t="s">
        <v>27</v>
      </c>
      <c r="K22" s="188">
        <v>1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3</v>
      </c>
      <c r="J23" s="184" t="s">
        <v>27</v>
      </c>
      <c r="K23" s="188">
        <v>0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3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3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2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3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3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22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0</v>
      </c>
      <c r="L33" s="189"/>
      <c r="M33" s="190"/>
      <c r="N33" s="191"/>
      <c r="P33" s="191"/>
      <c r="R33" s="191"/>
      <c r="T33" s="191"/>
      <c r="V33" s="191"/>
    </row>
    <row r="34" spans="2:22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3</v>
      </c>
      <c r="J34" s="184" t="s">
        <v>27</v>
      </c>
      <c r="K34" s="188">
        <v>0</v>
      </c>
      <c r="L34" s="189"/>
      <c r="M34" s="190"/>
      <c r="N34" s="191"/>
      <c r="P34" s="191"/>
      <c r="Q34" s="191"/>
      <c r="R34" s="191"/>
      <c r="S34" s="191"/>
      <c r="T34" s="191"/>
      <c r="U34" s="191"/>
      <c r="V34" s="191"/>
    </row>
    <row r="35" spans="2:22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  <c r="P35" s="191"/>
      <c r="Q35" s="191"/>
      <c r="R35" s="191"/>
      <c r="S35" s="191"/>
      <c r="T35" s="191"/>
      <c r="U35" s="191"/>
      <c r="V35" s="191"/>
    </row>
    <row r="36" spans="2:22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  <c r="P36" s="191"/>
      <c r="Q36" s="191"/>
      <c r="R36" s="191"/>
      <c r="S36" s="191"/>
      <c r="T36" s="191"/>
      <c r="U36" s="191"/>
      <c r="V36" s="191"/>
    </row>
    <row r="37" spans="2:22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1</v>
      </c>
      <c r="L37" s="189"/>
      <c r="M37" s="190"/>
      <c r="N37" s="191"/>
      <c r="P37" s="191"/>
      <c r="Q37" s="191"/>
      <c r="R37" s="191"/>
      <c r="S37" s="191"/>
      <c r="T37" s="191"/>
      <c r="U37" s="191"/>
      <c r="V37" s="191"/>
    </row>
    <row r="38" spans="2:22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3</v>
      </c>
      <c r="J38" s="184" t="s">
        <v>27</v>
      </c>
      <c r="K38" s="188">
        <v>0</v>
      </c>
      <c r="L38" s="189"/>
      <c r="M38" s="190"/>
      <c r="N38" s="191"/>
      <c r="P38" s="191"/>
      <c r="R38" s="191"/>
      <c r="T38" s="191"/>
      <c r="V38" s="191"/>
    </row>
    <row r="39" spans="2:22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0</v>
      </c>
      <c r="L39" s="189"/>
      <c r="M39" s="190"/>
      <c r="N39" s="191"/>
      <c r="P39" s="191"/>
      <c r="Q39" s="191"/>
      <c r="R39" s="191"/>
      <c r="S39" s="191"/>
      <c r="T39" s="191"/>
      <c r="U39" s="191"/>
      <c r="V39" s="191"/>
    </row>
    <row r="40" spans="2:22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3</v>
      </c>
      <c r="J40" s="184" t="s">
        <v>27</v>
      </c>
      <c r="K40" s="188">
        <v>0</v>
      </c>
      <c r="L40" s="189"/>
      <c r="M40" s="190"/>
      <c r="N40" s="191"/>
      <c r="P40" s="191"/>
      <c r="Q40" s="191"/>
      <c r="R40" s="191"/>
      <c r="S40" s="191"/>
      <c r="T40" s="191"/>
      <c r="U40" s="191"/>
      <c r="V40" s="191"/>
    </row>
    <row r="41" spans="2:22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1</v>
      </c>
      <c r="L41" s="189"/>
      <c r="M41" s="190"/>
      <c r="N41" s="191"/>
      <c r="P41" s="191"/>
      <c r="Q41" s="191"/>
      <c r="R41" s="191"/>
      <c r="S41" s="191"/>
      <c r="T41" s="191"/>
      <c r="U41" s="191"/>
    </row>
    <row r="42" spans="2:22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0</v>
      </c>
      <c r="J42" s="184" t="s">
        <v>27</v>
      </c>
      <c r="K42" s="188">
        <v>3</v>
      </c>
      <c r="L42" s="189"/>
      <c r="M42" s="190"/>
      <c r="N42" s="191"/>
      <c r="P42" s="191"/>
      <c r="Q42" s="191"/>
      <c r="R42" s="191"/>
      <c r="S42" s="191"/>
      <c r="T42" s="191"/>
      <c r="U42" s="191"/>
    </row>
    <row r="43" spans="2:22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22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0</v>
      </c>
      <c r="L44" s="189"/>
      <c r="M44" s="190"/>
    </row>
    <row r="45" spans="2:22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0</v>
      </c>
      <c r="L45" s="189"/>
      <c r="M45" s="190"/>
    </row>
    <row r="46" spans="2:22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0</v>
      </c>
      <c r="J46" s="184" t="s">
        <v>27</v>
      </c>
      <c r="K46" s="188">
        <v>3</v>
      </c>
      <c r="L46" s="189"/>
      <c r="M46" s="190"/>
    </row>
    <row r="47" spans="2:22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1</v>
      </c>
      <c r="L47" s="189"/>
      <c r="M47" s="190"/>
    </row>
    <row r="48" spans="2:22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3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2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3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1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0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1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2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3</v>
      </c>
      <c r="J63" s="184" t="s">
        <v>27</v>
      </c>
      <c r="K63" s="188">
        <v>0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3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2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2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3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2</v>
      </c>
      <c r="J78" s="184" t="s">
        <v>27</v>
      </c>
      <c r="K78" s="188">
        <v>1</v>
      </c>
      <c r="L78" s="189"/>
      <c r="M78" s="190"/>
    </row>
    <row r="79" spans="2:14">
      <c r="D79" s="172" t="s">
        <v>335</v>
      </c>
      <c r="E79" s="201" t="s">
        <v>105</v>
      </c>
      <c r="F79" s="202" t="s">
        <v>27</v>
      </c>
      <c r="G79" s="201" t="s">
        <v>67</v>
      </c>
      <c r="L79" s="203"/>
      <c r="M79" s="203"/>
      <c r="N79" s="191"/>
    </row>
    <row r="80" spans="2:14" ht="15" customHeight="1">
      <c r="C80" s="204"/>
      <c r="D80" s="172" t="s">
        <v>336</v>
      </c>
      <c r="E80" s="205" t="s">
        <v>92</v>
      </c>
      <c r="F80" s="202" t="s">
        <v>27</v>
      </c>
      <c r="G80" s="205" t="s">
        <v>113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337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361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68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44</v>
      </c>
      <c r="Q9" s="114" t="s">
        <v>47</v>
      </c>
      <c r="R9" s="114" t="s">
        <v>67</v>
      </c>
      <c r="S9" s="114" t="s">
        <v>51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43</v>
      </c>
      <c r="Q10" s="114" t="s">
        <v>48</v>
      </c>
      <c r="R10" s="114" t="s">
        <v>56</v>
      </c>
      <c r="S10" s="114" t="s">
        <v>52</v>
      </c>
      <c r="T10" s="114" t="s">
        <v>78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58</v>
      </c>
      <c r="T11" s="114" t="s">
        <v>74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2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3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109</v>
      </c>
      <c r="S15" s="114" t="s">
        <v>117</v>
      </c>
      <c r="T15" s="114" t="s">
        <v>131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106</v>
      </c>
      <c r="S16" s="114" t="s">
        <v>114</v>
      </c>
      <c r="T16" s="114" t="s">
        <v>128</v>
      </c>
      <c r="U16" s="114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3</v>
      </c>
      <c r="J22" s="119" t="s">
        <v>27</v>
      </c>
      <c r="K22" s="25">
        <v>2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1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3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3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2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3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1</v>
      </c>
      <c r="J53" s="119" t="s">
        <v>27</v>
      </c>
      <c r="K53" s="25">
        <v>2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3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0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2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2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2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1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0</v>
      </c>
      <c r="J78" s="119" t="s">
        <v>27</v>
      </c>
      <c r="K78" s="25">
        <v>2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113</v>
      </c>
      <c r="F79" s="118" t="s">
        <v>27</v>
      </c>
      <c r="G79" s="105" t="s">
        <v>92</v>
      </c>
      <c r="H79" s="96"/>
      <c r="I79" s="96"/>
      <c r="J79" s="96"/>
      <c r="K79" s="96"/>
      <c r="L79" s="109">
        <v>1</v>
      </c>
      <c r="M79" s="109">
        <v>2</v>
      </c>
      <c r="N79" s="110"/>
    </row>
    <row r="80" spans="2:14" ht="15.75" customHeight="1">
      <c r="B80" s="96"/>
      <c r="C80" s="128"/>
      <c r="D80" s="97" t="s">
        <v>336</v>
      </c>
      <c r="E80" s="106" t="s">
        <v>124</v>
      </c>
      <c r="F80" s="118" t="s">
        <v>27</v>
      </c>
      <c r="G80" s="106" t="s">
        <v>105</v>
      </c>
      <c r="H80" s="96"/>
      <c r="I80" s="96"/>
      <c r="J80" s="96"/>
      <c r="K80" s="96"/>
      <c r="L80" s="104">
        <v>2</v>
      </c>
      <c r="M80" s="104">
        <v>1</v>
      </c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362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0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43</v>
      </c>
      <c r="Q9" s="22" t="s">
        <v>47</v>
      </c>
      <c r="R9" s="21" t="s">
        <v>68</v>
      </c>
      <c r="S9" s="21" t="s">
        <v>59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21" t="s">
        <v>44</v>
      </c>
      <c r="Q10" s="21" t="s">
        <v>48</v>
      </c>
      <c r="R10" s="21" t="s">
        <v>56</v>
      </c>
      <c r="S10" s="21" t="s">
        <v>52</v>
      </c>
      <c r="T10" s="22" t="s">
        <v>74</v>
      </c>
      <c r="U10" s="21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117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1" t="s">
        <v>93</v>
      </c>
      <c r="R16" s="21" t="s">
        <v>109</v>
      </c>
      <c r="S16" s="21" t="s">
        <v>114</v>
      </c>
      <c r="T16" s="21" t="s">
        <v>131</v>
      </c>
      <c r="U16" s="21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21" t="s">
        <v>97</v>
      </c>
      <c r="Q17" s="22" t="s">
        <v>88</v>
      </c>
      <c r="R17" s="21" t="s">
        <v>108</v>
      </c>
      <c r="S17" s="21" t="s">
        <v>118</v>
      </c>
      <c r="T17" s="21" t="s">
        <v>129</v>
      </c>
      <c r="U17" s="22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3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5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3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3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3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4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5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1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3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2</v>
      </c>
      <c r="J64" s="119" t="s">
        <v>27</v>
      </c>
      <c r="K64" s="25">
        <v>0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0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1</v>
      </c>
      <c r="J71" s="119" t="s">
        <v>27</v>
      </c>
      <c r="K71" s="25">
        <v>0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3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3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6" t="s">
        <v>67</v>
      </c>
      <c r="F79" s="118" t="s">
        <v>27</v>
      </c>
      <c r="G79" s="106" t="s">
        <v>92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5" t="s">
        <v>113</v>
      </c>
      <c r="F80" s="118" t="s">
        <v>27</v>
      </c>
      <c r="G80" s="105" t="s">
        <v>105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363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3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0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44</v>
      </c>
      <c r="Q9" s="114" t="s">
        <v>48</v>
      </c>
      <c r="R9" s="114" t="s">
        <v>56</v>
      </c>
      <c r="S9" s="114" t="s">
        <v>58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41</v>
      </c>
      <c r="Q10" s="114" t="s">
        <v>47</v>
      </c>
      <c r="R10" s="114" t="s">
        <v>68</v>
      </c>
      <c r="S10" s="114" t="s">
        <v>51</v>
      </c>
      <c r="T10" s="114" t="s">
        <v>78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43</v>
      </c>
      <c r="Q11" s="114" t="s">
        <v>70</v>
      </c>
      <c r="R11" s="114" t="s">
        <v>55</v>
      </c>
      <c r="S11" s="114" t="s">
        <v>52</v>
      </c>
      <c r="T11" s="114" t="s">
        <v>74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88</v>
      </c>
      <c r="R15" s="114" t="s">
        <v>109</v>
      </c>
      <c r="S15" s="114" t="s">
        <v>117</v>
      </c>
      <c r="T15" s="114" t="s">
        <v>129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2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96</v>
      </c>
      <c r="Q16" s="114" t="s">
        <v>89</v>
      </c>
      <c r="R16" s="114" t="s">
        <v>108</v>
      </c>
      <c r="S16" s="114" t="s">
        <v>118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106</v>
      </c>
      <c r="S17" s="114" t="s">
        <v>114</v>
      </c>
      <c r="T17" s="114" t="s">
        <v>132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0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3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3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4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1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3</v>
      </c>
      <c r="J34" s="119" t="s">
        <v>27</v>
      </c>
      <c r="K34" s="25">
        <v>0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2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0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1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0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0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0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5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0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1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3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2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2</v>
      </c>
      <c r="J59" s="119" t="s">
        <v>27</v>
      </c>
      <c r="K59" s="25">
        <v>3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2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0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0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0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4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0</v>
      </c>
      <c r="J77" s="119" t="s">
        <v>27</v>
      </c>
      <c r="K77" s="25">
        <v>4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124</v>
      </c>
      <c r="F80" s="118" t="s">
        <v>27</v>
      </c>
      <c r="G80" s="106" t="s">
        <v>128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U87"/>
  <sheetViews>
    <sheetView workbookViewId="0">
      <selection activeCell="T17" sqref="T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364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2</v>
      </c>
      <c r="J8" s="119" t="s">
        <v>27</v>
      </c>
      <c r="K8" s="25">
        <v>0</v>
      </c>
      <c r="L8" s="120"/>
      <c r="M8" s="121"/>
      <c r="N8" s="110"/>
      <c r="O8" s="16">
        <v>1</v>
      </c>
      <c r="P8" s="113" t="s">
        <v>43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82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40</v>
      </c>
      <c r="Q9" s="114" t="s">
        <v>71</v>
      </c>
      <c r="R9" s="114" t="s">
        <v>68</v>
      </c>
      <c r="S9" s="114" t="s">
        <v>59</v>
      </c>
      <c r="T9" s="114" t="s">
        <v>75</v>
      </c>
      <c r="U9" s="114" t="s">
        <v>81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4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106</v>
      </c>
      <c r="S15" s="114" t="s">
        <v>114</v>
      </c>
      <c r="T15" s="114" t="s">
        <v>128</v>
      </c>
      <c r="U15" s="114" t="s">
        <v>121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5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109</v>
      </c>
      <c r="S16" s="114" t="s">
        <v>117</v>
      </c>
      <c r="T16" s="114" t="s">
        <v>129</v>
      </c>
      <c r="U16" s="114" t="s">
        <v>125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2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6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1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2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1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2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5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1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5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1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4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2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3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0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0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2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1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0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0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0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2</v>
      </c>
      <c r="J78" s="119" t="s">
        <v>27</v>
      </c>
      <c r="K78" s="25">
        <v>0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105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326</v>
      </c>
      <c r="H2" s="494" t="s">
        <v>365</v>
      </c>
      <c r="I2" s="489"/>
      <c r="J2" s="489"/>
      <c r="K2" s="489"/>
      <c r="L2" s="489"/>
      <c r="M2" s="489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328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329</v>
      </c>
      <c r="G6" s="219"/>
      <c r="H6" s="219"/>
      <c r="I6" s="219"/>
      <c r="J6" s="226" t="s">
        <v>330</v>
      </c>
      <c r="K6" s="226"/>
      <c r="L6" s="226" t="s">
        <v>331</v>
      </c>
      <c r="M6" s="226" t="s">
        <v>332</v>
      </c>
      <c r="N6" s="226"/>
      <c r="O6" s="227" t="s">
        <v>333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0</v>
      </c>
      <c r="L8" s="234"/>
      <c r="M8" s="235"/>
      <c r="N8" s="236"/>
      <c r="O8" s="239">
        <v>1</v>
      </c>
      <c r="P8" s="243" t="s">
        <v>40</v>
      </c>
      <c r="Q8" s="243" t="s">
        <v>47</v>
      </c>
      <c r="R8" s="243" t="s">
        <v>67</v>
      </c>
      <c r="S8" s="243" t="s">
        <v>51</v>
      </c>
      <c r="T8" s="243" t="s">
        <v>77</v>
      </c>
      <c r="U8" s="243" t="s">
        <v>82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1</v>
      </c>
      <c r="L9" s="234"/>
      <c r="M9" s="235"/>
      <c r="N9" s="236"/>
      <c r="O9" s="240">
        <v>2</v>
      </c>
      <c r="P9" s="241" t="s">
        <v>43</v>
      </c>
      <c r="Q9" s="241" t="s">
        <v>71</v>
      </c>
      <c r="R9" s="241" t="s">
        <v>68</v>
      </c>
      <c r="S9" s="241" t="s">
        <v>59</v>
      </c>
      <c r="T9" s="241" t="s">
        <v>74</v>
      </c>
      <c r="U9" s="241" t="s">
        <v>81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2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41" t="s">
        <v>44</v>
      </c>
      <c r="Q10" s="241" t="s">
        <v>48</v>
      </c>
      <c r="R10" s="241" t="s">
        <v>56</v>
      </c>
      <c r="S10" s="241" t="s">
        <v>58</v>
      </c>
      <c r="T10" s="241" t="s">
        <v>75</v>
      </c>
      <c r="U10" s="24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41" t="s">
        <v>41</v>
      </c>
      <c r="Q11" s="241" t="s">
        <v>70</v>
      </c>
      <c r="R11" s="241" t="s">
        <v>55</v>
      </c>
      <c r="S11" s="241" t="s">
        <v>52</v>
      </c>
      <c r="T11" s="241" t="s">
        <v>78</v>
      </c>
      <c r="U11" s="24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2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2</v>
      </c>
      <c r="L14" s="234"/>
      <c r="M14" s="235"/>
      <c r="N14" s="236"/>
      <c r="O14" s="239">
        <v>1</v>
      </c>
      <c r="P14" s="243" t="s">
        <v>100</v>
      </c>
      <c r="Q14" s="243" t="s">
        <v>92</v>
      </c>
      <c r="R14" s="243" t="s">
        <v>105</v>
      </c>
      <c r="S14" s="243" t="s">
        <v>113</v>
      </c>
      <c r="T14" s="243" t="s">
        <v>128</v>
      </c>
      <c r="U14" s="243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41" t="s">
        <v>101</v>
      </c>
      <c r="Q15" s="241" t="s">
        <v>89</v>
      </c>
      <c r="R15" s="241" t="s">
        <v>106</v>
      </c>
      <c r="S15" s="241" t="s">
        <v>117</v>
      </c>
      <c r="T15" s="241" t="s">
        <v>129</v>
      </c>
      <c r="U15" s="241" t="s">
        <v>125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4</v>
      </c>
      <c r="J16" s="230" t="s">
        <v>27</v>
      </c>
      <c r="K16" s="234">
        <v>1</v>
      </c>
      <c r="L16" s="234"/>
      <c r="M16" s="235"/>
      <c r="N16" s="236"/>
      <c r="O16" s="240">
        <v>3</v>
      </c>
      <c r="P16" s="241" t="s">
        <v>96</v>
      </c>
      <c r="Q16" s="241" t="s">
        <v>93</v>
      </c>
      <c r="R16" s="241" t="s">
        <v>109</v>
      </c>
      <c r="S16" s="241" t="s">
        <v>114</v>
      </c>
      <c r="T16" s="241" t="s">
        <v>132</v>
      </c>
      <c r="U16" s="241" t="s">
        <v>121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3</v>
      </c>
      <c r="L17" s="234"/>
      <c r="M17" s="235"/>
      <c r="N17" s="236"/>
      <c r="O17" s="240">
        <v>4</v>
      </c>
      <c r="P17" s="241" t="s">
        <v>97</v>
      </c>
      <c r="Q17" s="241" t="s">
        <v>88</v>
      </c>
      <c r="R17" s="241" t="s">
        <v>108</v>
      </c>
      <c r="S17" s="241" t="s">
        <v>118</v>
      </c>
      <c r="T17" s="241" t="s">
        <v>131</v>
      </c>
      <c r="U17" s="24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0</v>
      </c>
      <c r="J19" s="230" t="s">
        <v>27</v>
      </c>
      <c r="K19" s="234">
        <v>0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4</v>
      </c>
      <c r="J20" s="230" t="s">
        <v>27</v>
      </c>
      <c r="K20" s="234">
        <v>0</v>
      </c>
      <c r="L20" s="234"/>
      <c r="M20" s="235"/>
      <c r="N20" s="236"/>
      <c r="O20" s="242" t="s">
        <v>334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1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1</v>
      </c>
      <c r="J22" s="230" t="s">
        <v>27</v>
      </c>
      <c r="K22" s="234">
        <v>0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3</v>
      </c>
      <c r="J23" s="230" t="s">
        <v>27</v>
      </c>
      <c r="K23" s="234">
        <v>1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3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0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1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2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1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3</v>
      </c>
      <c r="J29" s="230" t="s">
        <v>27</v>
      </c>
      <c r="K29" s="234">
        <v>1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1</v>
      </c>
      <c r="J30" s="230" t="s">
        <v>27</v>
      </c>
      <c r="K30" s="234">
        <v>1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1</v>
      </c>
      <c r="J31" s="230" t="s">
        <v>27</v>
      </c>
      <c r="K31" s="234">
        <v>0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0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1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1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3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2</v>
      </c>
      <c r="J36" s="230" t="s">
        <v>27</v>
      </c>
      <c r="K36" s="234">
        <v>2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2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2</v>
      </c>
      <c r="J38" s="230" t="s">
        <v>27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3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1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3</v>
      </c>
      <c r="J41" s="230" t="s">
        <v>27</v>
      </c>
      <c r="K41" s="234">
        <v>2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4</v>
      </c>
      <c r="J44" s="230" t="s">
        <v>27</v>
      </c>
      <c r="K44" s="234">
        <v>1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3</v>
      </c>
      <c r="J45" s="230" t="s">
        <v>27</v>
      </c>
      <c r="K45" s="234">
        <v>1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2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2</v>
      </c>
      <c r="J47" s="230" t="s">
        <v>27</v>
      </c>
      <c r="K47" s="234">
        <v>2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4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0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2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3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0</v>
      </c>
      <c r="J54" s="230" t="s">
        <v>27</v>
      </c>
      <c r="K54" s="234">
        <v>1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1</v>
      </c>
      <c r="J55" s="230" t="s">
        <v>27</v>
      </c>
      <c r="K55" s="234">
        <v>3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0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0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1</v>
      </c>
      <c r="J61" s="230" t="s">
        <v>27</v>
      </c>
      <c r="K61" s="234">
        <v>1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0</v>
      </c>
      <c r="J62" s="230" t="s">
        <v>27</v>
      </c>
      <c r="K62" s="234">
        <v>3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2</v>
      </c>
      <c r="J63" s="230" t="s">
        <v>27</v>
      </c>
      <c r="K63" s="234">
        <v>2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1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2</v>
      </c>
      <c r="J67" s="230" t="s">
        <v>27</v>
      </c>
      <c r="K67" s="234">
        <v>4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3</v>
      </c>
      <c r="J68" s="230" t="s">
        <v>27</v>
      </c>
      <c r="K68" s="234">
        <v>1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2</v>
      </c>
      <c r="J69" s="230" t="s">
        <v>27</v>
      </c>
      <c r="K69" s="234">
        <v>1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3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0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4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6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2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0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4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2</v>
      </c>
      <c r="J78" s="230" t="s">
        <v>27</v>
      </c>
      <c r="K78" s="234">
        <v>1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335</v>
      </c>
      <c r="E79" s="244" t="s">
        <v>105</v>
      </c>
      <c r="F79" s="245" t="s">
        <v>27</v>
      </c>
      <c r="G79" s="244" t="s">
        <v>92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336</v>
      </c>
      <c r="E80" s="247" t="s">
        <v>82</v>
      </c>
      <c r="F80" s="245" t="s">
        <v>27</v>
      </c>
      <c r="G80" s="247" t="s">
        <v>124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337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366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44</v>
      </c>
      <c r="Q9" s="21" t="s">
        <v>48</v>
      </c>
      <c r="R9" s="21" t="s">
        <v>68</v>
      </c>
      <c r="S9" s="21" t="s">
        <v>52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21" t="s">
        <v>43</v>
      </c>
      <c r="Q10" s="22" t="s">
        <v>47</v>
      </c>
      <c r="R10" s="21" t="s">
        <v>56</v>
      </c>
      <c r="S10" s="21" t="s">
        <v>59</v>
      </c>
      <c r="T10" s="22" t="s">
        <v>74</v>
      </c>
      <c r="U10" s="21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1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0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114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2" t="s">
        <v>88</v>
      </c>
      <c r="R16" s="21" t="s">
        <v>109</v>
      </c>
      <c r="S16" s="21" t="s">
        <v>117</v>
      </c>
      <c r="T16" s="21" t="s">
        <v>129</v>
      </c>
      <c r="U16" s="22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21" t="s">
        <v>97</v>
      </c>
      <c r="Q17" s="21" t="s">
        <v>93</v>
      </c>
      <c r="R17" s="21" t="s">
        <v>108</v>
      </c>
      <c r="S17" s="21" t="s">
        <v>118</v>
      </c>
      <c r="T17" s="21" t="s">
        <v>131</v>
      </c>
      <c r="U17" s="21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2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1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1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1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1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1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2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2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1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1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1</v>
      </c>
      <c r="J74" s="119" t="s">
        <v>27</v>
      </c>
      <c r="K74" s="25">
        <v>2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113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105</v>
      </c>
      <c r="F80" s="118" t="s">
        <v>27</v>
      </c>
      <c r="G80" s="106" t="s">
        <v>124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367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43</v>
      </c>
      <c r="Q9" s="114" t="s">
        <v>47</v>
      </c>
      <c r="R9" s="114" t="s">
        <v>68</v>
      </c>
      <c r="S9" s="114" t="s">
        <v>59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1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2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2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89</v>
      </c>
      <c r="R15" s="114" t="s">
        <v>109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368</v>
      </c>
      <c r="Q16" s="114" t="s">
        <v>88</v>
      </c>
      <c r="R16" s="114" t="s">
        <v>106</v>
      </c>
      <c r="S16" s="114" t="s">
        <v>114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1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92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U100"/>
  <sheetViews>
    <sheetView workbookViewId="0">
      <selection activeCell="P14" sqref="P14:U17"/>
    </sheetView>
  </sheetViews>
  <sheetFormatPr defaultRowHeight="15"/>
  <sheetData>
    <row r="1" spans="1:21" ht="15.75" customHeight="1">
      <c r="A1" s="253"/>
      <c r="B1" s="256"/>
      <c r="C1" s="257"/>
      <c r="D1" s="253"/>
      <c r="E1" s="253"/>
      <c r="F1" s="255"/>
      <c r="G1" s="253"/>
      <c r="H1" s="253"/>
      <c r="I1" s="253"/>
      <c r="J1" s="253"/>
      <c r="K1" s="255"/>
      <c r="L1" s="255"/>
      <c r="M1" s="255"/>
      <c r="N1" s="255"/>
      <c r="O1" s="253"/>
      <c r="P1" s="253"/>
      <c r="Q1" s="253"/>
      <c r="R1" s="253"/>
      <c r="S1" s="253"/>
      <c r="T1" s="253"/>
      <c r="U1" s="253"/>
    </row>
    <row r="2" spans="1:21" ht="15.75" customHeight="1">
      <c r="A2" s="253"/>
      <c r="B2" s="256"/>
      <c r="C2" s="257"/>
      <c r="D2" s="253"/>
      <c r="E2" s="253"/>
      <c r="F2" s="255"/>
      <c r="G2" s="256" t="s">
        <v>326</v>
      </c>
      <c r="H2" s="495" t="s">
        <v>369</v>
      </c>
      <c r="I2" s="489"/>
      <c r="J2" s="489"/>
      <c r="K2" s="489"/>
      <c r="L2" s="489"/>
      <c r="M2" s="489"/>
      <c r="N2" s="253"/>
      <c r="O2" s="253"/>
      <c r="P2" s="253"/>
      <c r="Q2" s="253"/>
      <c r="R2" s="253"/>
      <c r="S2" s="253"/>
      <c r="T2" s="253"/>
      <c r="U2" s="253"/>
    </row>
    <row r="3" spans="1:21" ht="15.75" customHeight="1">
      <c r="A3" s="253"/>
      <c r="B3" s="256"/>
      <c r="C3" s="257"/>
      <c r="D3" s="253"/>
      <c r="E3" s="253"/>
      <c r="F3" s="255"/>
      <c r="G3" s="253"/>
      <c r="H3" s="253"/>
      <c r="I3" s="253"/>
      <c r="J3" s="253"/>
      <c r="K3" s="255"/>
      <c r="L3" s="255"/>
      <c r="M3" s="255"/>
      <c r="N3" s="255"/>
      <c r="O3" s="253"/>
      <c r="P3" s="253"/>
      <c r="Q3" s="253"/>
      <c r="R3" s="253"/>
      <c r="S3" s="253"/>
      <c r="T3" s="253"/>
      <c r="U3" s="253"/>
    </row>
    <row r="4" spans="1:21" ht="18" customHeight="1">
      <c r="A4" s="253"/>
      <c r="B4" s="258" t="s">
        <v>328</v>
      </c>
      <c r="C4" s="257"/>
      <c r="D4" s="253"/>
      <c r="E4" s="253"/>
      <c r="F4" s="255"/>
      <c r="G4" s="256"/>
      <c r="H4" s="256"/>
      <c r="I4" s="256"/>
      <c r="J4" s="256"/>
      <c r="K4" s="255"/>
      <c r="L4" s="255"/>
      <c r="M4" s="255"/>
      <c r="N4" s="255"/>
      <c r="O4" s="253"/>
      <c r="P4" s="253"/>
      <c r="Q4" s="253"/>
      <c r="R4" s="253"/>
      <c r="S4" s="253"/>
      <c r="T4" s="253"/>
      <c r="U4" s="253"/>
    </row>
    <row r="5" spans="1:21" ht="15.75" customHeight="1">
      <c r="A5" s="253"/>
      <c r="B5" s="256"/>
      <c r="C5" s="259"/>
      <c r="D5" s="253"/>
      <c r="E5" s="253"/>
      <c r="F5" s="255"/>
      <c r="G5" s="256"/>
      <c r="H5" s="256"/>
      <c r="I5" s="256"/>
      <c r="J5" s="256"/>
      <c r="K5" s="255"/>
      <c r="L5" s="255"/>
      <c r="M5" s="255"/>
      <c r="N5" s="255"/>
      <c r="O5" s="253"/>
      <c r="P5" s="253"/>
      <c r="Q5" s="253"/>
      <c r="R5" s="253"/>
      <c r="S5" s="253"/>
      <c r="T5" s="253"/>
      <c r="U5" s="253"/>
    </row>
    <row r="6" spans="1:21" ht="18.75" customHeight="1" thickBot="1">
      <c r="A6" s="253"/>
      <c r="B6" s="256"/>
      <c r="C6" s="260" t="s">
        <v>24</v>
      </c>
      <c r="D6" s="261" t="s">
        <v>25</v>
      </c>
      <c r="E6" s="254"/>
      <c r="F6" s="261" t="s">
        <v>329</v>
      </c>
      <c r="G6" s="254"/>
      <c r="H6" s="254"/>
      <c r="I6" s="254"/>
      <c r="J6" s="261" t="s">
        <v>330</v>
      </c>
      <c r="K6" s="261"/>
      <c r="L6" s="261" t="s">
        <v>331</v>
      </c>
      <c r="M6" s="261" t="s">
        <v>332</v>
      </c>
      <c r="N6" s="261"/>
      <c r="O6" s="262" t="s">
        <v>333</v>
      </c>
      <c r="P6" s="253"/>
      <c r="Q6" s="253"/>
      <c r="R6" s="253"/>
      <c r="S6" s="253"/>
      <c r="T6" s="253"/>
      <c r="U6" s="253"/>
    </row>
    <row r="7" spans="1:21" ht="16.5" customHeight="1" thickBot="1">
      <c r="A7" s="253"/>
      <c r="B7" s="263">
        <v>1</v>
      </c>
      <c r="C7" s="264" t="s">
        <v>38</v>
      </c>
      <c r="D7" s="265" t="s">
        <v>39</v>
      </c>
      <c r="E7" s="266" t="s">
        <v>40</v>
      </c>
      <c r="F7" s="265" t="s">
        <v>27</v>
      </c>
      <c r="G7" s="267" t="s">
        <v>41</v>
      </c>
      <c r="H7" s="268"/>
      <c r="I7" s="269">
        <v>2</v>
      </c>
      <c r="J7" s="265" t="s">
        <v>27</v>
      </c>
      <c r="K7" s="269">
        <v>1</v>
      </c>
      <c r="L7" s="269"/>
      <c r="M7" s="270"/>
      <c r="N7" s="271"/>
      <c r="O7" s="272" t="s">
        <v>31</v>
      </c>
      <c r="P7" s="273" t="s">
        <v>32</v>
      </c>
      <c r="Q7" s="273" t="s">
        <v>33</v>
      </c>
      <c r="R7" s="273" t="s">
        <v>34</v>
      </c>
      <c r="S7" s="273" t="s">
        <v>35</v>
      </c>
      <c r="T7" s="273" t="s">
        <v>36</v>
      </c>
      <c r="U7" s="273" t="s">
        <v>37</v>
      </c>
    </row>
    <row r="8" spans="1:21" ht="15.75" customHeight="1">
      <c r="A8" s="253"/>
      <c r="B8" s="263">
        <v>2</v>
      </c>
      <c r="C8" s="264" t="s">
        <v>42</v>
      </c>
      <c r="D8" s="265" t="s">
        <v>39</v>
      </c>
      <c r="E8" s="266" t="s">
        <v>43</v>
      </c>
      <c r="F8" s="265" t="s">
        <v>27</v>
      </c>
      <c r="G8" s="267" t="s">
        <v>44</v>
      </c>
      <c r="H8" s="268"/>
      <c r="I8" s="269">
        <v>1</v>
      </c>
      <c r="J8" s="265" t="s">
        <v>27</v>
      </c>
      <c r="K8" s="269">
        <v>1</v>
      </c>
      <c r="L8" s="269"/>
      <c r="M8" s="270"/>
      <c r="N8" s="271"/>
      <c r="O8" s="274">
        <v>1</v>
      </c>
      <c r="P8" s="288" t="s">
        <v>40</v>
      </c>
      <c r="Q8" s="288" t="s">
        <v>71</v>
      </c>
      <c r="R8" s="288" t="s">
        <v>67</v>
      </c>
      <c r="S8" s="288" t="s">
        <v>51</v>
      </c>
      <c r="T8" s="288" t="s">
        <v>77</v>
      </c>
      <c r="U8" s="288" t="s">
        <v>81</v>
      </c>
    </row>
    <row r="9" spans="1:21" ht="15.75" customHeight="1">
      <c r="A9" s="253"/>
      <c r="B9" s="263">
        <v>3</v>
      </c>
      <c r="C9" s="264" t="s">
        <v>45</v>
      </c>
      <c r="D9" s="265" t="s">
        <v>46</v>
      </c>
      <c r="E9" s="266" t="s">
        <v>47</v>
      </c>
      <c r="F9" s="265" t="s">
        <v>27</v>
      </c>
      <c r="G9" s="267" t="s">
        <v>48</v>
      </c>
      <c r="H9" s="268"/>
      <c r="I9" s="269">
        <v>1</v>
      </c>
      <c r="J9" s="265" t="s">
        <v>27</v>
      </c>
      <c r="K9" s="269">
        <v>0</v>
      </c>
      <c r="L9" s="269"/>
      <c r="M9" s="270"/>
      <c r="N9" s="271"/>
      <c r="O9" s="275">
        <v>2</v>
      </c>
      <c r="P9" s="289" t="s">
        <v>44</v>
      </c>
      <c r="Q9" s="289" t="s">
        <v>47</v>
      </c>
      <c r="R9" s="289" t="s">
        <v>68</v>
      </c>
      <c r="S9" s="289" t="s">
        <v>59</v>
      </c>
      <c r="T9" s="289" t="s">
        <v>75</v>
      </c>
      <c r="U9" s="289" t="s">
        <v>82</v>
      </c>
    </row>
    <row r="10" spans="1:21" ht="15.75" customHeight="1">
      <c r="A10" s="253"/>
      <c r="B10" s="263">
        <v>4</v>
      </c>
      <c r="C10" s="264" t="s">
        <v>49</v>
      </c>
      <c r="D10" s="265" t="s">
        <v>50</v>
      </c>
      <c r="E10" s="266" t="s">
        <v>51</v>
      </c>
      <c r="F10" s="265" t="s">
        <v>27</v>
      </c>
      <c r="G10" s="267" t="s">
        <v>52</v>
      </c>
      <c r="H10" s="268"/>
      <c r="I10" s="269">
        <v>2</v>
      </c>
      <c r="J10" s="265" t="s">
        <v>27</v>
      </c>
      <c r="K10" s="269">
        <v>0</v>
      </c>
      <c r="L10" s="269"/>
      <c r="M10" s="270"/>
      <c r="N10" s="271"/>
      <c r="O10" s="275">
        <v>3</v>
      </c>
      <c r="P10" s="289" t="s">
        <v>43</v>
      </c>
      <c r="Q10" s="289" t="s">
        <v>70</v>
      </c>
      <c r="R10" s="289" t="s">
        <v>56</v>
      </c>
      <c r="S10" s="289" t="s">
        <v>52</v>
      </c>
      <c r="T10" s="289" t="s">
        <v>78</v>
      </c>
      <c r="U10" s="289" t="s">
        <v>84</v>
      </c>
    </row>
    <row r="11" spans="1:21" ht="15.75" customHeight="1">
      <c r="A11" s="253"/>
      <c r="B11" s="263">
        <v>5</v>
      </c>
      <c r="C11" s="264" t="s">
        <v>53</v>
      </c>
      <c r="D11" s="265" t="s">
        <v>54</v>
      </c>
      <c r="E11" s="266" t="s">
        <v>55</v>
      </c>
      <c r="F11" s="265" t="s">
        <v>27</v>
      </c>
      <c r="G11" s="267" t="s">
        <v>56</v>
      </c>
      <c r="H11" s="268"/>
      <c r="I11" s="269">
        <v>0</v>
      </c>
      <c r="J11" s="265" t="s">
        <v>27</v>
      </c>
      <c r="K11" s="269">
        <v>2</v>
      </c>
      <c r="L11" s="269"/>
      <c r="M11" s="270"/>
      <c r="N11" s="271"/>
      <c r="O11" s="275">
        <v>4</v>
      </c>
      <c r="P11" s="289" t="s">
        <v>41</v>
      </c>
      <c r="Q11" s="289" t="s">
        <v>48</v>
      </c>
      <c r="R11" s="289" t="s">
        <v>55</v>
      </c>
      <c r="S11" s="289" t="s">
        <v>58</v>
      </c>
      <c r="T11" s="289" t="s">
        <v>74</v>
      </c>
      <c r="U11" s="289" t="s">
        <v>85</v>
      </c>
    </row>
    <row r="12" spans="1:21" ht="16.5" customHeight="1" thickBot="1">
      <c r="A12" s="253"/>
      <c r="B12" s="263">
        <v>6</v>
      </c>
      <c r="C12" s="264" t="s">
        <v>57</v>
      </c>
      <c r="D12" s="265" t="s">
        <v>50</v>
      </c>
      <c r="E12" s="266" t="s">
        <v>58</v>
      </c>
      <c r="F12" s="265" t="s">
        <v>27</v>
      </c>
      <c r="G12" s="267" t="s">
        <v>59</v>
      </c>
      <c r="H12" s="268"/>
      <c r="I12" s="269">
        <v>1</v>
      </c>
      <c r="J12" s="265" t="s">
        <v>27</v>
      </c>
      <c r="K12" s="269">
        <v>2</v>
      </c>
      <c r="L12" s="269"/>
      <c r="M12" s="270"/>
      <c r="N12" s="271"/>
      <c r="O12" s="253"/>
      <c r="P12" s="253"/>
      <c r="Q12" s="253"/>
      <c r="R12" s="253"/>
      <c r="S12" s="253"/>
      <c r="T12" s="253"/>
      <c r="U12" s="253"/>
    </row>
    <row r="13" spans="1:21" ht="16.5" customHeight="1" thickBot="1">
      <c r="A13" s="253"/>
      <c r="B13" s="263">
        <v>7</v>
      </c>
      <c r="C13" s="264" t="s">
        <v>66</v>
      </c>
      <c r="D13" s="265" t="s">
        <v>54</v>
      </c>
      <c r="E13" s="266" t="s">
        <v>67</v>
      </c>
      <c r="F13" s="265" t="s">
        <v>27</v>
      </c>
      <c r="G13" s="267" t="s">
        <v>68</v>
      </c>
      <c r="H13" s="268"/>
      <c r="I13" s="269">
        <v>2</v>
      </c>
      <c r="J13" s="265" t="s">
        <v>27</v>
      </c>
      <c r="K13" s="269">
        <v>1</v>
      </c>
      <c r="L13" s="269"/>
      <c r="M13" s="270"/>
      <c r="N13" s="271"/>
      <c r="O13" s="272" t="s">
        <v>31</v>
      </c>
      <c r="P13" s="273" t="s">
        <v>60</v>
      </c>
      <c r="Q13" s="273" t="s">
        <v>61</v>
      </c>
      <c r="R13" s="273" t="s">
        <v>62</v>
      </c>
      <c r="S13" s="273" t="s">
        <v>63</v>
      </c>
      <c r="T13" s="273" t="s">
        <v>64</v>
      </c>
      <c r="U13" s="273" t="s">
        <v>65</v>
      </c>
    </row>
    <row r="14" spans="1:21" ht="15.75" customHeight="1">
      <c r="A14" s="253"/>
      <c r="B14" s="263">
        <v>8</v>
      </c>
      <c r="C14" s="264" t="s">
        <v>69</v>
      </c>
      <c r="D14" s="265" t="s">
        <v>46</v>
      </c>
      <c r="E14" s="266" t="s">
        <v>70</v>
      </c>
      <c r="F14" s="265" t="s">
        <v>27</v>
      </c>
      <c r="G14" s="267" t="s">
        <v>71</v>
      </c>
      <c r="H14" s="268"/>
      <c r="I14" s="269">
        <v>1</v>
      </c>
      <c r="J14" s="265" t="s">
        <v>27</v>
      </c>
      <c r="K14" s="269">
        <v>1</v>
      </c>
      <c r="L14" s="269"/>
      <c r="M14" s="270"/>
      <c r="N14" s="271"/>
      <c r="O14" s="274">
        <v>1</v>
      </c>
      <c r="P14" s="288" t="s">
        <v>100</v>
      </c>
      <c r="Q14" s="288" t="s">
        <v>92</v>
      </c>
      <c r="R14" s="288" t="s">
        <v>105</v>
      </c>
      <c r="S14" s="288" t="s">
        <v>113</v>
      </c>
      <c r="T14" s="288" t="s">
        <v>128</v>
      </c>
      <c r="U14" s="288" t="s">
        <v>124</v>
      </c>
    </row>
    <row r="15" spans="1:21" ht="15.75" customHeight="1">
      <c r="A15" s="253"/>
      <c r="B15" s="263">
        <v>9</v>
      </c>
      <c r="C15" s="264" t="s">
        <v>72</v>
      </c>
      <c r="D15" s="265" t="s">
        <v>73</v>
      </c>
      <c r="E15" s="266" t="s">
        <v>74</v>
      </c>
      <c r="F15" s="265" t="s">
        <v>27</v>
      </c>
      <c r="G15" s="267" t="s">
        <v>75</v>
      </c>
      <c r="H15" s="268"/>
      <c r="I15" s="269">
        <v>0</v>
      </c>
      <c r="J15" s="265" t="s">
        <v>27</v>
      </c>
      <c r="K15" s="269">
        <v>2</v>
      </c>
      <c r="L15" s="269"/>
      <c r="M15" s="270"/>
      <c r="N15" s="271"/>
      <c r="O15" s="275">
        <v>2</v>
      </c>
      <c r="P15" s="289" t="s">
        <v>101</v>
      </c>
      <c r="Q15" s="289" t="s">
        <v>89</v>
      </c>
      <c r="R15" s="289" t="s">
        <v>109</v>
      </c>
      <c r="S15" s="289" t="s">
        <v>117</v>
      </c>
      <c r="T15" s="289" t="s">
        <v>132</v>
      </c>
      <c r="U15" s="289" t="s">
        <v>125</v>
      </c>
    </row>
    <row r="16" spans="1:21" ht="15.75" customHeight="1">
      <c r="A16" s="253"/>
      <c r="B16" s="263">
        <v>10</v>
      </c>
      <c r="C16" s="264" t="s">
        <v>76</v>
      </c>
      <c r="D16" s="265" t="s">
        <v>73</v>
      </c>
      <c r="E16" s="266" t="s">
        <v>77</v>
      </c>
      <c r="F16" s="265" t="s">
        <v>27</v>
      </c>
      <c r="G16" s="267" t="s">
        <v>78</v>
      </c>
      <c r="H16" s="268"/>
      <c r="I16" s="269">
        <v>3</v>
      </c>
      <c r="J16" s="265" t="s">
        <v>27</v>
      </c>
      <c r="K16" s="269">
        <v>0</v>
      </c>
      <c r="L16" s="269"/>
      <c r="M16" s="270"/>
      <c r="N16" s="271"/>
      <c r="O16" s="275">
        <v>3</v>
      </c>
      <c r="P16" s="289" t="s">
        <v>97</v>
      </c>
      <c r="Q16" s="289" t="s">
        <v>88</v>
      </c>
      <c r="R16" s="289" t="s">
        <v>106</v>
      </c>
      <c r="S16" s="289" t="s">
        <v>114</v>
      </c>
      <c r="T16" s="289" t="s">
        <v>131</v>
      </c>
      <c r="U16" s="289" t="s">
        <v>121</v>
      </c>
    </row>
    <row r="17" spans="1:21" ht="15.75" customHeight="1">
      <c r="A17" s="253"/>
      <c r="B17" s="263">
        <v>11</v>
      </c>
      <c r="C17" s="264" t="s">
        <v>79</v>
      </c>
      <c r="D17" s="265" t="s">
        <v>80</v>
      </c>
      <c r="E17" s="266" t="s">
        <v>81</v>
      </c>
      <c r="F17" s="265" t="s">
        <v>27</v>
      </c>
      <c r="G17" s="267" t="s">
        <v>82</v>
      </c>
      <c r="H17" s="268"/>
      <c r="I17" s="269">
        <v>2</v>
      </c>
      <c r="J17" s="265" t="s">
        <v>27</v>
      </c>
      <c r="K17" s="269">
        <v>1</v>
      </c>
      <c r="L17" s="269"/>
      <c r="M17" s="270"/>
      <c r="N17" s="271"/>
      <c r="O17" s="275">
        <v>4</v>
      </c>
      <c r="P17" s="289" t="s">
        <v>96</v>
      </c>
      <c r="Q17" s="289" t="s">
        <v>93</v>
      </c>
      <c r="R17" s="289" t="s">
        <v>108</v>
      </c>
      <c r="S17" s="289" t="s">
        <v>118</v>
      </c>
      <c r="T17" s="289" t="s">
        <v>129</v>
      </c>
      <c r="U17" s="289" t="s">
        <v>122</v>
      </c>
    </row>
    <row r="18" spans="1:21" ht="15.75" customHeight="1">
      <c r="A18" s="253"/>
      <c r="B18" s="263">
        <v>12</v>
      </c>
      <c r="C18" s="264" t="s">
        <v>83</v>
      </c>
      <c r="D18" s="265" t="s">
        <v>80</v>
      </c>
      <c r="E18" s="266" t="s">
        <v>84</v>
      </c>
      <c r="F18" s="265" t="s">
        <v>27</v>
      </c>
      <c r="G18" s="267" t="s">
        <v>85</v>
      </c>
      <c r="H18" s="268"/>
      <c r="I18" s="269">
        <v>1</v>
      </c>
      <c r="J18" s="265" t="s">
        <v>27</v>
      </c>
      <c r="K18" s="269">
        <v>1</v>
      </c>
      <c r="L18" s="269"/>
      <c r="M18" s="270"/>
      <c r="N18" s="271"/>
      <c r="O18" s="253"/>
      <c r="P18" s="276"/>
      <c r="Q18" s="276"/>
      <c r="R18" s="276"/>
      <c r="S18" s="276"/>
      <c r="T18" s="276"/>
      <c r="U18" s="276"/>
    </row>
    <row r="19" spans="1:21" ht="15.75" customHeight="1">
      <c r="A19" s="253"/>
      <c r="B19" s="263">
        <v>13</v>
      </c>
      <c r="C19" s="264" t="s">
        <v>86</v>
      </c>
      <c r="D19" s="265" t="s">
        <v>87</v>
      </c>
      <c r="E19" s="266" t="s">
        <v>88</v>
      </c>
      <c r="F19" s="265" t="s">
        <v>27</v>
      </c>
      <c r="G19" s="267" t="s">
        <v>89</v>
      </c>
      <c r="H19" s="268"/>
      <c r="I19" s="269">
        <v>1</v>
      </c>
      <c r="J19" s="265" t="s">
        <v>27</v>
      </c>
      <c r="K19" s="269">
        <v>2</v>
      </c>
      <c r="L19" s="269"/>
      <c r="M19" s="270"/>
      <c r="N19" s="271"/>
      <c r="O19" s="253"/>
      <c r="P19" s="253"/>
      <c r="Q19" s="253"/>
      <c r="R19" s="253"/>
      <c r="S19" s="253"/>
      <c r="T19" s="253"/>
      <c r="U19" s="253"/>
    </row>
    <row r="20" spans="1:21" ht="16.5" customHeight="1" thickBot="1">
      <c r="A20" s="253"/>
      <c r="B20" s="263">
        <v>14</v>
      </c>
      <c r="C20" s="264" t="s">
        <v>91</v>
      </c>
      <c r="D20" s="265" t="s">
        <v>87</v>
      </c>
      <c r="E20" s="266" t="s">
        <v>92</v>
      </c>
      <c r="F20" s="265" t="s">
        <v>27</v>
      </c>
      <c r="G20" s="267" t="s">
        <v>93</v>
      </c>
      <c r="H20" s="268"/>
      <c r="I20" s="269">
        <v>4</v>
      </c>
      <c r="J20" s="265" t="s">
        <v>27</v>
      </c>
      <c r="K20" s="269">
        <v>0</v>
      </c>
      <c r="L20" s="269"/>
      <c r="M20" s="270"/>
      <c r="N20" s="271"/>
      <c r="O20" s="277" t="s">
        <v>334</v>
      </c>
      <c r="P20" s="253"/>
      <c r="Q20" s="253"/>
      <c r="R20" s="253"/>
      <c r="S20" s="253"/>
      <c r="T20" s="253"/>
      <c r="U20" s="253"/>
    </row>
    <row r="21" spans="1:21" ht="16.5" customHeight="1" thickBot="1">
      <c r="A21" s="253"/>
      <c r="B21" s="263">
        <v>15</v>
      </c>
      <c r="C21" s="264" t="s">
        <v>94</v>
      </c>
      <c r="D21" s="265" t="s">
        <v>95</v>
      </c>
      <c r="E21" s="266" t="s">
        <v>96</v>
      </c>
      <c r="F21" s="265" t="s">
        <v>27</v>
      </c>
      <c r="G21" s="267" t="s">
        <v>97</v>
      </c>
      <c r="H21" s="268"/>
      <c r="I21" s="269">
        <v>0</v>
      </c>
      <c r="J21" s="265" t="s">
        <v>27</v>
      </c>
      <c r="K21" s="269">
        <v>1</v>
      </c>
      <c r="L21" s="269"/>
      <c r="M21" s="270"/>
      <c r="N21" s="271"/>
      <c r="O21" s="253"/>
      <c r="P21" s="272" t="s">
        <v>32</v>
      </c>
      <c r="Q21" s="273" t="s">
        <v>33</v>
      </c>
      <c r="R21" s="273" t="s">
        <v>34</v>
      </c>
      <c r="S21" s="273" t="s">
        <v>35</v>
      </c>
      <c r="T21" s="273" t="s">
        <v>36</v>
      </c>
      <c r="U21" s="273" t="s">
        <v>37</v>
      </c>
    </row>
    <row r="22" spans="1:21" ht="15.75" customHeight="1">
      <c r="A22" s="253"/>
      <c r="B22" s="263">
        <v>16</v>
      </c>
      <c r="C22" s="264" t="s">
        <v>99</v>
      </c>
      <c r="D22" s="265" t="s">
        <v>95</v>
      </c>
      <c r="E22" s="266" t="s">
        <v>100</v>
      </c>
      <c r="F22" s="265" t="s">
        <v>27</v>
      </c>
      <c r="G22" s="267" t="s">
        <v>101</v>
      </c>
      <c r="H22" s="268"/>
      <c r="I22" s="269">
        <v>2</v>
      </c>
      <c r="J22" s="265" t="s">
        <v>27</v>
      </c>
      <c r="K22" s="269">
        <v>1</v>
      </c>
      <c r="L22" s="269"/>
      <c r="M22" s="270"/>
      <c r="N22" s="271"/>
      <c r="O22" s="253"/>
      <c r="P22" s="278" t="s">
        <v>40</v>
      </c>
      <c r="Q22" s="278" t="s">
        <v>47</v>
      </c>
      <c r="R22" s="278" t="s">
        <v>55</v>
      </c>
      <c r="S22" s="278" t="s">
        <v>51</v>
      </c>
      <c r="T22" s="278" t="s">
        <v>74</v>
      </c>
      <c r="U22" s="278" t="s">
        <v>81</v>
      </c>
    </row>
    <row r="23" spans="1:21" ht="15.75" customHeight="1">
      <c r="A23" s="253"/>
      <c r="B23" s="263">
        <v>17</v>
      </c>
      <c r="C23" s="264" t="s">
        <v>103</v>
      </c>
      <c r="D23" s="265" t="s">
        <v>104</v>
      </c>
      <c r="E23" s="266" t="s">
        <v>105</v>
      </c>
      <c r="F23" s="265" t="s">
        <v>27</v>
      </c>
      <c r="G23" s="267" t="s">
        <v>106</v>
      </c>
      <c r="H23" s="268"/>
      <c r="I23" s="269">
        <v>3</v>
      </c>
      <c r="J23" s="265" t="s">
        <v>27</v>
      </c>
      <c r="K23" s="269">
        <v>0</v>
      </c>
      <c r="L23" s="269"/>
      <c r="M23" s="270"/>
      <c r="N23" s="271"/>
      <c r="O23" s="253"/>
      <c r="P23" s="276" t="s">
        <v>41</v>
      </c>
      <c r="Q23" s="276" t="s">
        <v>48</v>
      </c>
      <c r="R23" s="276" t="s">
        <v>56</v>
      </c>
      <c r="S23" s="276" t="s">
        <v>52</v>
      </c>
      <c r="T23" s="276" t="s">
        <v>75</v>
      </c>
      <c r="U23" s="276" t="s">
        <v>82</v>
      </c>
    </row>
    <row r="24" spans="1:21" ht="15.75" customHeight="1">
      <c r="A24" s="253"/>
      <c r="B24" s="263">
        <v>18</v>
      </c>
      <c r="C24" s="264" t="s">
        <v>107</v>
      </c>
      <c r="D24" s="265" t="s">
        <v>104</v>
      </c>
      <c r="E24" s="266" t="s">
        <v>108</v>
      </c>
      <c r="F24" s="265" t="s">
        <v>27</v>
      </c>
      <c r="G24" s="267" t="s">
        <v>109</v>
      </c>
      <c r="H24" s="268"/>
      <c r="I24" s="269">
        <v>1</v>
      </c>
      <c r="J24" s="265" t="s">
        <v>27</v>
      </c>
      <c r="K24" s="269">
        <v>2</v>
      </c>
      <c r="L24" s="269"/>
      <c r="M24" s="270"/>
      <c r="N24" s="271"/>
      <c r="O24" s="253"/>
      <c r="P24" s="276" t="s">
        <v>43</v>
      </c>
      <c r="Q24" s="276" t="s">
        <v>70</v>
      </c>
      <c r="R24" s="276" t="s">
        <v>67</v>
      </c>
      <c r="S24" s="276" t="s">
        <v>58</v>
      </c>
      <c r="T24" s="276" t="s">
        <v>77</v>
      </c>
      <c r="U24" s="276" t="s">
        <v>84</v>
      </c>
    </row>
    <row r="25" spans="1:21" ht="15.75" customHeight="1">
      <c r="A25" s="253"/>
      <c r="B25" s="263">
        <v>19</v>
      </c>
      <c r="C25" s="264" t="s">
        <v>111</v>
      </c>
      <c r="D25" s="265" t="s">
        <v>112</v>
      </c>
      <c r="E25" s="266" t="s">
        <v>113</v>
      </c>
      <c r="F25" s="265" t="s">
        <v>27</v>
      </c>
      <c r="G25" s="267" t="s">
        <v>114</v>
      </c>
      <c r="H25" s="268"/>
      <c r="I25" s="269">
        <v>2</v>
      </c>
      <c r="J25" s="265" t="s">
        <v>27</v>
      </c>
      <c r="K25" s="269">
        <v>0</v>
      </c>
      <c r="L25" s="269"/>
      <c r="M25" s="270"/>
      <c r="N25" s="271"/>
      <c r="O25" s="253"/>
      <c r="P25" s="276" t="s">
        <v>44</v>
      </c>
      <c r="Q25" s="276" t="s">
        <v>71</v>
      </c>
      <c r="R25" s="276" t="s">
        <v>68</v>
      </c>
      <c r="S25" s="276" t="s">
        <v>59</v>
      </c>
      <c r="T25" s="276" t="s">
        <v>78</v>
      </c>
      <c r="U25" s="276" t="s">
        <v>85</v>
      </c>
    </row>
    <row r="26" spans="1:21" ht="16.5" customHeight="1" thickBot="1">
      <c r="A26" s="253"/>
      <c r="B26" s="263">
        <v>20</v>
      </c>
      <c r="C26" s="264" t="s">
        <v>116</v>
      </c>
      <c r="D26" s="265" t="s">
        <v>112</v>
      </c>
      <c r="E26" s="266" t="s">
        <v>117</v>
      </c>
      <c r="F26" s="265" t="s">
        <v>27</v>
      </c>
      <c r="G26" s="267" t="s">
        <v>118</v>
      </c>
      <c r="H26" s="268"/>
      <c r="I26" s="269">
        <v>1</v>
      </c>
      <c r="J26" s="265" t="s">
        <v>27</v>
      </c>
      <c r="K26" s="269">
        <v>0</v>
      </c>
      <c r="L26" s="269"/>
      <c r="M26" s="270"/>
      <c r="N26" s="271"/>
      <c r="O26" s="253"/>
      <c r="P26" s="253"/>
      <c r="Q26" s="253"/>
      <c r="R26" s="253"/>
      <c r="S26" s="253"/>
      <c r="T26" s="253"/>
      <c r="U26" s="253"/>
    </row>
    <row r="27" spans="1:21" ht="16.5" customHeight="1" thickBot="1">
      <c r="A27" s="253"/>
      <c r="B27" s="263">
        <v>21</v>
      </c>
      <c r="C27" s="264" t="s">
        <v>119</v>
      </c>
      <c r="D27" s="265" t="s">
        <v>120</v>
      </c>
      <c r="E27" s="266" t="s">
        <v>121</v>
      </c>
      <c r="F27" s="265" t="s">
        <v>27</v>
      </c>
      <c r="G27" s="267" t="s">
        <v>122</v>
      </c>
      <c r="H27" s="268"/>
      <c r="I27" s="269">
        <v>2</v>
      </c>
      <c r="J27" s="265" t="s">
        <v>27</v>
      </c>
      <c r="K27" s="269">
        <v>2</v>
      </c>
      <c r="L27" s="269"/>
      <c r="M27" s="270"/>
      <c r="N27" s="271"/>
      <c r="O27" s="253"/>
      <c r="P27" s="272" t="s">
        <v>60</v>
      </c>
      <c r="Q27" s="273" t="s">
        <v>61</v>
      </c>
      <c r="R27" s="273" t="s">
        <v>62</v>
      </c>
      <c r="S27" s="273" t="s">
        <v>63</v>
      </c>
      <c r="T27" s="273" t="s">
        <v>64</v>
      </c>
      <c r="U27" s="273" t="s">
        <v>65</v>
      </c>
    </row>
    <row r="28" spans="1:21" ht="15.75" customHeight="1">
      <c r="A28" s="253"/>
      <c r="B28" s="263">
        <v>22</v>
      </c>
      <c r="C28" s="264" t="s">
        <v>123</v>
      </c>
      <c r="D28" s="265" t="s">
        <v>120</v>
      </c>
      <c r="E28" s="266" t="s">
        <v>124</v>
      </c>
      <c r="F28" s="265" t="s">
        <v>27</v>
      </c>
      <c r="G28" s="267" t="s">
        <v>125</v>
      </c>
      <c r="H28" s="268"/>
      <c r="I28" s="269">
        <v>3</v>
      </c>
      <c r="J28" s="265" t="s">
        <v>27</v>
      </c>
      <c r="K28" s="269">
        <v>1</v>
      </c>
      <c r="L28" s="269"/>
      <c r="M28" s="270"/>
      <c r="N28" s="271"/>
      <c r="O28" s="253"/>
      <c r="P28" s="278" t="s">
        <v>96</v>
      </c>
      <c r="Q28" s="278" t="s">
        <v>88</v>
      </c>
      <c r="R28" s="278" t="s">
        <v>105</v>
      </c>
      <c r="S28" s="278" t="s">
        <v>113</v>
      </c>
      <c r="T28" s="278" t="s">
        <v>128</v>
      </c>
      <c r="U28" s="278" t="s">
        <v>121</v>
      </c>
    </row>
    <row r="29" spans="1:21" ht="15.75" customHeight="1">
      <c r="A29" s="253"/>
      <c r="B29" s="263">
        <v>23</v>
      </c>
      <c r="C29" s="264" t="s">
        <v>126</v>
      </c>
      <c r="D29" s="265" t="s">
        <v>127</v>
      </c>
      <c r="E29" s="266" t="s">
        <v>128</v>
      </c>
      <c r="F29" s="265" t="s">
        <v>27</v>
      </c>
      <c r="G29" s="267" t="s">
        <v>129</v>
      </c>
      <c r="H29" s="268"/>
      <c r="I29" s="269">
        <v>3</v>
      </c>
      <c r="J29" s="265" t="s">
        <v>27</v>
      </c>
      <c r="K29" s="269">
        <v>0</v>
      </c>
      <c r="L29" s="269"/>
      <c r="M29" s="270"/>
      <c r="N29" s="271"/>
      <c r="O29" s="253"/>
      <c r="P29" s="276" t="s">
        <v>97</v>
      </c>
      <c r="Q29" s="276" t="s">
        <v>89</v>
      </c>
      <c r="R29" s="276" t="s">
        <v>106</v>
      </c>
      <c r="S29" s="276" t="s">
        <v>114</v>
      </c>
      <c r="T29" s="276" t="s">
        <v>129</v>
      </c>
      <c r="U29" s="276" t="s">
        <v>122</v>
      </c>
    </row>
    <row r="30" spans="1:21" ht="15.75" customHeight="1">
      <c r="A30" s="253"/>
      <c r="B30" s="263">
        <v>24</v>
      </c>
      <c r="C30" s="264" t="s">
        <v>130</v>
      </c>
      <c r="D30" s="265" t="s">
        <v>127</v>
      </c>
      <c r="E30" s="266" t="s">
        <v>131</v>
      </c>
      <c r="F30" s="265" t="s">
        <v>27</v>
      </c>
      <c r="G30" s="267" t="s">
        <v>132</v>
      </c>
      <c r="H30" s="268"/>
      <c r="I30" s="269">
        <v>0</v>
      </c>
      <c r="J30" s="265" t="s">
        <v>27</v>
      </c>
      <c r="K30" s="269">
        <v>1</v>
      </c>
      <c r="L30" s="269"/>
      <c r="M30" s="270"/>
      <c r="N30" s="271"/>
      <c r="O30" s="253"/>
      <c r="P30" s="276" t="s">
        <v>100</v>
      </c>
      <c r="Q30" s="276" t="s">
        <v>92</v>
      </c>
      <c r="R30" s="276" t="s">
        <v>108</v>
      </c>
      <c r="S30" s="276" t="s">
        <v>117</v>
      </c>
      <c r="T30" s="276" t="s">
        <v>131</v>
      </c>
      <c r="U30" s="276" t="s">
        <v>124</v>
      </c>
    </row>
    <row r="31" spans="1:21" ht="15.75" customHeight="1">
      <c r="A31" s="253"/>
      <c r="B31" s="263">
        <v>25</v>
      </c>
      <c r="C31" s="264" t="s">
        <v>133</v>
      </c>
      <c r="D31" s="265" t="s">
        <v>39</v>
      </c>
      <c r="E31" s="266" t="s">
        <v>44</v>
      </c>
      <c r="F31" s="265" t="s">
        <v>27</v>
      </c>
      <c r="G31" s="267" t="s">
        <v>41</v>
      </c>
      <c r="H31" s="268"/>
      <c r="I31" s="269">
        <v>2</v>
      </c>
      <c r="J31" s="265" t="s">
        <v>27</v>
      </c>
      <c r="K31" s="269">
        <v>1</v>
      </c>
      <c r="L31" s="269"/>
      <c r="M31" s="270"/>
      <c r="N31" s="271"/>
      <c r="O31" s="253"/>
      <c r="P31" s="276" t="s">
        <v>101</v>
      </c>
      <c r="Q31" s="276" t="s">
        <v>93</v>
      </c>
      <c r="R31" s="276" t="s">
        <v>109</v>
      </c>
      <c r="S31" s="276" t="s">
        <v>118</v>
      </c>
      <c r="T31" s="276" t="s">
        <v>132</v>
      </c>
      <c r="U31" s="276" t="s">
        <v>125</v>
      </c>
    </row>
    <row r="32" spans="1:21" ht="15.75" customHeight="1">
      <c r="A32" s="253"/>
      <c r="B32" s="263">
        <v>26</v>
      </c>
      <c r="C32" s="264" t="s">
        <v>134</v>
      </c>
      <c r="D32" s="265" t="s">
        <v>46</v>
      </c>
      <c r="E32" s="266" t="s">
        <v>71</v>
      </c>
      <c r="F32" s="265" t="s">
        <v>27</v>
      </c>
      <c r="G32" s="267" t="s">
        <v>48</v>
      </c>
      <c r="H32" s="268"/>
      <c r="I32" s="269">
        <v>1</v>
      </c>
      <c r="J32" s="265" t="s">
        <v>27</v>
      </c>
      <c r="K32" s="269">
        <v>0</v>
      </c>
      <c r="L32" s="269"/>
      <c r="M32" s="270"/>
      <c r="N32" s="271"/>
      <c r="O32" s="253"/>
      <c r="P32" s="253"/>
      <c r="Q32" s="253"/>
      <c r="R32" s="253"/>
      <c r="S32" s="253"/>
      <c r="T32" s="253"/>
      <c r="U32" s="253"/>
    </row>
    <row r="33" spans="1:21" ht="15.75" customHeight="1">
      <c r="A33" s="253"/>
      <c r="B33" s="263">
        <v>27</v>
      </c>
      <c r="C33" s="264" t="s">
        <v>135</v>
      </c>
      <c r="D33" s="265" t="s">
        <v>46</v>
      </c>
      <c r="E33" s="266" t="s">
        <v>47</v>
      </c>
      <c r="F33" s="265" t="s">
        <v>27</v>
      </c>
      <c r="G33" s="267" t="s">
        <v>70</v>
      </c>
      <c r="H33" s="268"/>
      <c r="I33" s="269">
        <v>1</v>
      </c>
      <c r="J33" s="265" t="s">
        <v>27</v>
      </c>
      <c r="K33" s="269">
        <v>1</v>
      </c>
      <c r="L33" s="269"/>
      <c r="M33" s="270"/>
      <c r="N33" s="271"/>
      <c r="O33" s="253"/>
      <c r="P33" s="253"/>
      <c r="Q33" s="253"/>
      <c r="R33" s="253"/>
      <c r="S33" s="253"/>
      <c r="T33" s="253"/>
      <c r="U33" s="253"/>
    </row>
    <row r="34" spans="1:21" ht="15.75" customHeight="1">
      <c r="A34" s="253"/>
      <c r="B34" s="263">
        <v>28</v>
      </c>
      <c r="C34" s="264" t="s">
        <v>136</v>
      </c>
      <c r="D34" s="265" t="s">
        <v>39</v>
      </c>
      <c r="E34" s="266" t="s">
        <v>40</v>
      </c>
      <c r="F34" s="265" t="s">
        <v>27</v>
      </c>
      <c r="G34" s="267" t="s">
        <v>43</v>
      </c>
      <c r="H34" s="268"/>
      <c r="I34" s="269">
        <v>2</v>
      </c>
      <c r="J34" s="265" t="s">
        <v>27</v>
      </c>
      <c r="K34" s="269">
        <v>1</v>
      </c>
      <c r="L34" s="269"/>
      <c r="M34" s="270"/>
      <c r="N34" s="271"/>
      <c r="O34" s="253"/>
      <c r="P34" s="253"/>
      <c r="Q34" s="253"/>
      <c r="R34" s="253"/>
      <c r="S34" s="253"/>
      <c r="T34" s="253"/>
      <c r="U34" s="253"/>
    </row>
    <row r="35" spans="1:21" ht="15.75" customHeight="1">
      <c r="A35" s="253"/>
      <c r="B35" s="263">
        <v>29</v>
      </c>
      <c r="C35" s="264" t="s">
        <v>137</v>
      </c>
      <c r="D35" s="265" t="s">
        <v>54</v>
      </c>
      <c r="E35" s="266" t="s">
        <v>67</v>
      </c>
      <c r="F35" s="265" t="s">
        <v>27</v>
      </c>
      <c r="G35" s="267" t="s">
        <v>55</v>
      </c>
      <c r="H35" s="268"/>
      <c r="I35" s="269">
        <v>3</v>
      </c>
      <c r="J35" s="265" t="s">
        <v>27</v>
      </c>
      <c r="K35" s="269">
        <v>0</v>
      </c>
      <c r="L35" s="269"/>
      <c r="M35" s="270"/>
      <c r="N35" s="271"/>
      <c r="O35" s="253"/>
      <c r="P35" s="253"/>
      <c r="Q35" s="253"/>
      <c r="R35" s="253"/>
      <c r="S35" s="253"/>
      <c r="T35" s="253"/>
      <c r="U35" s="253"/>
    </row>
    <row r="36" spans="1:21" ht="15.75" customHeight="1">
      <c r="A36" s="253"/>
      <c r="B36" s="263">
        <v>30</v>
      </c>
      <c r="C36" s="264" t="s">
        <v>138</v>
      </c>
      <c r="D36" s="265" t="s">
        <v>54</v>
      </c>
      <c r="E36" s="266" t="s">
        <v>56</v>
      </c>
      <c r="F36" s="265" t="s">
        <v>27</v>
      </c>
      <c r="G36" s="267" t="s">
        <v>68</v>
      </c>
      <c r="H36" s="268"/>
      <c r="I36" s="269">
        <v>0</v>
      </c>
      <c r="J36" s="265" t="s">
        <v>27</v>
      </c>
      <c r="K36" s="269">
        <v>2</v>
      </c>
      <c r="L36" s="269"/>
      <c r="M36" s="270"/>
      <c r="N36" s="271"/>
      <c r="O36" s="253"/>
      <c r="P36" s="253"/>
      <c r="Q36" s="253"/>
      <c r="R36" s="253"/>
      <c r="S36" s="253"/>
      <c r="T36" s="253"/>
      <c r="U36" s="253"/>
    </row>
    <row r="37" spans="1:21" ht="15.75" customHeight="1">
      <c r="A37" s="253"/>
      <c r="B37" s="263">
        <v>31</v>
      </c>
      <c r="C37" s="264" t="s">
        <v>139</v>
      </c>
      <c r="D37" s="265" t="s">
        <v>50</v>
      </c>
      <c r="E37" s="266" t="s">
        <v>59</v>
      </c>
      <c r="F37" s="265" t="s">
        <v>27</v>
      </c>
      <c r="G37" s="267" t="s">
        <v>52</v>
      </c>
      <c r="H37" s="268"/>
      <c r="I37" s="269">
        <v>1</v>
      </c>
      <c r="J37" s="265" t="s">
        <v>27</v>
      </c>
      <c r="K37" s="269">
        <v>1</v>
      </c>
      <c r="L37" s="269"/>
      <c r="M37" s="270"/>
      <c r="N37" s="271"/>
      <c r="O37" s="253"/>
      <c r="P37" s="253"/>
      <c r="Q37" s="253"/>
      <c r="R37" s="253"/>
      <c r="S37" s="253"/>
      <c r="T37" s="253"/>
      <c r="U37" s="253"/>
    </row>
    <row r="38" spans="1:21" ht="15.75" customHeight="1">
      <c r="A38" s="253"/>
      <c r="B38" s="263">
        <v>32</v>
      </c>
      <c r="C38" s="264" t="s">
        <v>140</v>
      </c>
      <c r="D38" s="265" t="s">
        <v>50</v>
      </c>
      <c r="E38" s="266" t="s">
        <v>51</v>
      </c>
      <c r="F38" s="265" t="s">
        <v>27</v>
      </c>
      <c r="G38" s="267" t="s">
        <v>58</v>
      </c>
      <c r="H38" s="268"/>
      <c r="I38" s="269">
        <v>2</v>
      </c>
      <c r="J38" s="265" t="s">
        <v>27</v>
      </c>
      <c r="K38" s="269">
        <v>1</v>
      </c>
      <c r="L38" s="269"/>
      <c r="M38" s="270"/>
      <c r="N38" s="271"/>
      <c r="O38" s="253"/>
      <c r="P38" s="253"/>
      <c r="Q38" s="253"/>
      <c r="R38" s="253"/>
      <c r="S38" s="253"/>
      <c r="T38" s="253"/>
      <c r="U38" s="253"/>
    </row>
    <row r="39" spans="1:21" ht="15.75" customHeight="1">
      <c r="A39" s="253"/>
      <c r="B39" s="263">
        <v>33</v>
      </c>
      <c r="C39" s="264" t="s">
        <v>141</v>
      </c>
      <c r="D39" s="265" t="s">
        <v>73</v>
      </c>
      <c r="E39" s="266" t="s">
        <v>77</v>
      </c>
      <c r="F39" s="265" t="s">
        <v>27</v>
      </c>
      <c r="G39" s="267" t="s">
        <v>74</v>
      </c>
      <c r="H39" s="268"/>
      <c r="I39" s="269">
        <v>3</v>
      </c>
      <c r="J39" s="265" t="s">
        <v>27</v>
      </c>
      <c r="K39" s="269">
        <v>0</v>
      </c>
      <c r="L39" s="269"/>
      <c r="M39" s="270"/>
      <c r="N39" s="271"/>
      <c r="O39" s="253"/>
      <c r="P39" s="253"/>
      <c r="Q39" s="253"/>
      <c r="R39" s="253"/>
      <c r="S39" s="253"/>
      <c r="T39" s="253"/>
      <c r="U39" s="253"/>
    </row>
    <row r="40" spans="1:21" ht="15.75" customHeight="1">
      <c r="A40" s="253"/>
      <c r="B40" s="263">
        <v>34</v>
      </c>
      <c r="C40" s="264" t="s">
        <v>142</v>
      </c>
      <c r="D40" s="265" t="s">
        <v>73</v>
      </c>
      <c r="E40" s="266" t="s">
        <v>75</v>
      </c>
      <c r="F40" s="265" t="s">
        <v>27</v>
      </c>
      <c r="G40" s="267" t="s">
        <v>78</v>
      </c>
      <c r="H40" s="268"/>
      <c r="I40" s="269">
        <v>2</v>
      </c>
      <c r="J40" s="265" t="s">
        <v>27</v>
      </c>
      <c r="K40" s="269">
        <v>0</v>
      </c>
      <c r="L40" s="269"/>
      <c r="M40" s="270"/>
      <c r="N40" s="271"/>
      <c r="O40" s="253"/>
      <c r="P40" s="253"/>
      <c r="Q40" s="253"/>
      <c r="R40" s="253"/>
      <c r="S40" s="253"/>
      <c r="T40" s="253"/>
      <c r="U40" s="253"/>
    </row>
    <row r="41" spans="1:21" ht="15.75" customHeight="1">
      <c r="A41" s="253"/>
      <c r="B41" s="263">
        <v>35</v>
      </c>
      <c r="C41" s="264" t="s">
        <v>143</v>
      </c>
      <c r="D41" s="265" t="s">
        <v>80</v>
      </c>
      <c r="E41" s="266" t="s">
        <v>81</v>
      </c>
      <c r="F41" s="265" t="s">
        <v>27</v>
      </c>
      <c r="G41" s="267" t="s">
        <v>84</v>
      </c>
      <c r="H41" s="268"/>
      <c r="I41" s="269">
        <v>2</v>
      </c>
      <c r="J41" s="265" t="s">
        <v>27</v>
      </c>
      <c r="K41" s="269">
        <v>1</v>
      </c>
      <c r="L41" s="269"/>
      <c r="M41" s="270"/>
      <c r="N41" s="271"/>
      <c r="O41" s="253"/>
      <c r="P41" s="253"/>
      <c r="Q41" s="253"/>
      <c r="R41" s="253"/>
      <c r="S41" s="253"/>
      <c r="T41" s="253"/>
      <c r="U41" s="253"/>
    </row>
    <row r="42" spans="1:21" ht="15.75" customHeight="1">
      <c r="A42" s="253"/>
      <c r="B42" s="263">
        <v>36</v>
      </c>
      <c r="C42" s="264" t="s">
        <v>144</v>
      </c>
      <c r="D42" s="265" t="s">
        <v>80</v>
      </c>
      <c r="E42" s="266" t="s">
        <v>85</v>
      </c>
      <c r="F42" s="265" t="s">
        <v>27</v>
      </c>
      <c r="G42" s="267" t="s">
        <v>82</v>
      </c>
      <c r="H42" s="268"/>
      <c r="I42" s="269">
        <v>0</v>
      </c>
      <c r="J42" s="265" t="s">
        <v>27</v>
      </c>
      <c r="K42" s="269">
        <v>1</v>
      </c>
      <c r="L42" s="269"/>
      <c r="M42" s="270"/>
      <c r="N42" s="271"/>
      <c r="O42" s="253"/>
      <c r="P42" s="253"/>
      <c r="Q42" s="253"/>
      <c r="R42" s="253"/>
      <c r="S42" s="253"/>
      <c r="T42" s="253"/>
      <c r="U42" s="253"/>
    </row>
    <row r="43" spans="1:21" ht="15.75" customHeight="1">
      <c r="A43" s="253"/>
      <c r="B43" s="263">
        <v>37</v>
      </c>
      <c r="C43" s="264" t="s">
        <v>145</v>
      </c>
      <c r="D43" s="265" t="s">
        <v>87</v>
      </c>
      <c r="E43" s="266" t="s">
        <v>89</v>
      </c>
      <c r="F43" s="265" t="s">
        <v>27</v>
      </c>
      <c r="G43" s="267" t="s">
        <v>93</v>
      </c>
      <c r="H43" s="268"/>
      <c r="I43" s="269">
        <v>2</v>
      </c>
      <c r="J43" s="265" t="s">
        <v>27</v>
      </c>
      <c r="K43" s="269">
        <v>0</v>
      </c>
      <c r="L43" s="269"/>
      <c r="M43" s="270"/>
      <c r="N43" s="255"/>
      <c r="O43" s="253"/>
      <c r="P43" s="253"/>
      <c r="Q43" s="253"/>
      <c r="R43" s="253"/>
      <c r="S43" s="253"/>
      <c r="T43" s="253"/>
      <c r="U43" s="253"/>
    </row>
    <row r="44" spans="1:21" ht="15.75" customHeight="1">
      <c r="A44" s="253"/>
      <c r="B44" s="263">
        <v>38</v>
      </c>
      <c r="C44" s="264" t="s">
        <v>146</v>
      </c>
      <c r="D44" s="265" t="s">
        <v>87</v>
      </c>
      <c r="E44" s="266" t="s">
        <v>92</v>
      </c>
      <c r="F44" s="265" t="s">
        <v>27</v>
      </c>
      <c r="G44" s="267" t="s">
        <v>88</v>
      </c>
      <c r="H44" s="268"/>
      <c r="I44" s="269">
        <v>3</v>
      </c>
      <c r="J44" s="265" t="s">
        <v>27</v>
      </c>
      <c r="K44" s="269">
        <v>1</v>
      </c>
      <c r="L44" s="269"/>
      <c r="M44" s="270"/>
      <c r="N44" s="255"/>
      <c r="O44" s="253"/>
      <c r="P44" s="253"/>
      <c r="Q44" s="253"/>
      <c r="R44" s="253"/>
      <c r="S44" s="253"/>
      <c r="T44" s="253"/>
      <c r="U44" s="253"/>
    </row>
    <row r="45" spans="1:21" ht="15.75" customHeight="1">
      <c r="A45" s="253"/>
      <c r="B45" s="263">
        <v>39</v>
      </c>
      <c r="C45" s="264" t="s">
        <v>147</v>
      </c>
      <c r="D45" s="265" t="s">
        <v>95</v>
      </c>
      <c r="E45" s="266" t="s">
        <v>100</v>
      </c>
      <c r="F45" s="265" t="s">
        <v>27</v>
      </c>
      <c r="G45" s="267" t="s">
        <v>96</v>
      </c>
      <c r="H45" s="268"/>
      <c r="I45" s="269">
        <v>2</v>
      </c>
      <c r="J45" s="265" t="s">
        <v>27</v>
      </c>
      <c r="K45" s="269">
        <v>0</v>
      </c>
      <c r="L45" s="269"/>
      <c r="M45" s="270"/>
      <c r="N45" s="255"/>
      <c r="O45" s="253"/>
      <c r="P45" s="253"/>
      <c r="Q45" s="253"/>
      <c r="R45" s="253"/>
      <c r="S45" s="253"/>
      <c r="T45" s="253"/>
      <c r="U45" s="253"/>
    </row>
    <row r="46" spans="1:21" ht="15.75" customHeight="1">
      <c r="A46" s="253"/>
      <c r="B46" s="263">
        <v>40</v>
      </c>
      <c r="C46" s="264" t="s">
        <v>148</v>
      </c>
      <c r="D46" s="265" t="s">
        <v>95</v>
      </c>
      <c r="E46" s="266" t="s">
        <v>97</v>
      </c>
      <c r="F46" s="265" t="s">
        <v>27</v>
      </c>
      <c r="G46" s="267" t="s">
        <v>101</v>
      </c>
      <c r="H46" s="268"/>
      <c r="I46" s="269">
        <v>0</v>
      </c>
      <c r="J46" s="265" t="s">
        <v>27</v>
      </c>
      <c r="K46" s="269">
        <v>1</v>
      </c>
      <c r="L46" s="269"/>
      <c r="M46" s="270"/>
      <c r="N46" s="255"/>
      <c r="O46" s="253"/>
      <c r="P46" s="253"/>
      <c r="Q46" s="253"/>
      <c r="R46" s="253"/>
      <c r="S46" s="253"/>
      <c r="T46" s="253"/>
      <c r="U46" s="253"/>
    </row>
    <row r="47" spans="1:21" ht="15.75" customHeight="1">
      <c r="A47" s="253"/>
      <c r="B47" s="263">
        <v>41</v>
      </c>
      <c r="C47" s="264" t="s">
        <v>149</v>
      </c>
      <c r="D47" s="265" t="s">
        <v>104</v>
      </c>
      <c r="E47" s="266" t="s">
        <v>109</v>
      </c>
      <c r="F47" s="265" t="s">
        <v>27</v>
      </c>
      <c r="G47" s="267" t="s">
        <v>106</v>
      </c>
      <c r="H47" s="268"/>
      <c r="I47" s="269">
        <v>1</v>
      </c>
      <c r="J47" s="265" t="s">
        <v>27</v>
      </c>
      <c r="K47" s="269">
        <v>1</v>
      </c>
      <c r="L47" s="269"/>
      <c r="M47" s="270"/>
      <c r="N47" s="255"/>
      <c r="O47" s="253"/>
      <c r="P47" s="253"/>
      <c r="Q47" s="253"/>
      <c r="R47" s="253"/>
      <c r="S47" s="253"/>
      <c r="T47" s="253"/>
      <c r="U47" s="253"/>
    </row>
    <row r="48" spans="1:21" ht="15.75" customHeight="1">
      <c r="A48" s="253"/>
      <c r="B48" s="263">
        <v>42</v>
      </c>
      <c r="C48" s="264" t="s">
        <v>150</v>
      </c>
      <c r="D48" s="265" t="s">
        <v>104</v>
      </c>
      <c r="E48" s="266" t="s">
        <v>105</v>
      </c>
      <c r="F48" s="265" t="s">
        <v>27</v>
      </c>
      <c r="G48" s="267" t="s">
        <v>108</v>
      </c>
      <c r="H48" s="268"/>
      <c r="I48" s="269">
        <v>3</v>
      </c>
      <c r="J48" s="265" t="s">
        <v>27</v>
      </c>
      <c r="K48" s="269">
        <v>0</v>
      </c>
      <c r="L48" s="269"/>
      <c r="M48" s="270"/>
      <c r="N48" s="255"/>
      <c r="O48" s="253"/>
      <c r="P48" s="253"/>
      <c r="Q48" s="253"/>
      <c r="R48" s="253"/>
      <c r="S48" s="253"/>
      <c r="T48" s="253"/>
      <c r="U48" s="253"/>
    </row>
    <row r="49" spans="1:21" ht="15.75" customHeight="1">
      <c r="A49" s="253"/>
      <c r="B49" s="263">
        <v>43</v>
      </c>
      <c r="C49" s="264" t="s">
        <v>151</v>
      </c>
      <c r="D49" s="265" t="s">
        <v>112</v>
      </c>
      <c r="E49" s="266" t="s">
        <v>113</v>
      </c>
      <c r="F49" s="265" t="s">
        <v>27</v>
      </c>
      <c r="G49" s="267" t="s">
        <v>117</v>
      </c>
      <c r="H49" s="268"/>
      <c r="I49" s="269">
        <v>2</v>
      </c>
      <c r="J49" s="265" t="s">
        <v>27</v>
      </c>
      <c r="K49" s="269">
        <v>1</v>
      </c>
      <c r="L49" s="269"/>
      <c r="M49" s="270"/>
      <c r="N49" s="255"/>
      <c r="O49" s="253"/>
      <c r="P49" s="253"/>
      <c r="Q49" s="253"/>
      <c r="R49" s="253"/>
      <c r="S49" s="253"/>
      <c r="T49" s="253"/>
      <c r="U49" s="253"/>
    </row>
    <row r="50" spans="1:21" ht="15.75" customHeight="1">
      <c r="A50" s="253"/>
      <c r="B50" s="263">
        <v>44</v>
      </c>
      <c r="C50" s="264" t="s">
        <v>152</v>
      </c>
      <c r="D50" s="265" t="s">
        <v>112</v>
      </c>
      <c r="E50" s="266" t="s">
        <v>118</v>
      </c>
      <c r="F50" s="265" t="s">
        <v>27</v>
      </c>
      <c r="G50" s="267" t="s">
        <v>114</v>
      </c>
      <c r="H50" s="268"/>
      <c r="I50" s="269">
        <v>0</v>
      </c>
      <c r="J50" s="265" t="s">
        <v>27</v>
      </c>
      <c r="K50" s="269">
        <v>1</v>
      </c>
      <c r="L50" s="269"/>
      <c r="M50" s="270"/>
      <c r="N50" s="255"/>
      <c r="O50" s="253"/>
      <c r="P50" s="253"/>
      <c r="Q50" s="253"/>
      <c r="R50" s="253"/>
      <c r="S50" s="253"/>
      <c r="T50" s="253"/>
      <c r="U50" s="253"/>
    </row>
    <row r="51" spans="1:21" ht="15.75" customHeight="1">
      <c r="A51" s="253"/>
      <c r="B51" s="263">
        <v>45</v>
      </c>
      <c r="C51" s="264" t="s">
        <v>153</v>
      </c>
      <c r="D51" s="265" t="s">
        <v>120</v>
      </c>
      <c r="E51" s="266" t="s">
        <v>124</v>
      </c>
      <c r="F51" s="265" t="s">
        <v>27</v>
      </c>
      <c r="G51" s="267" t="s">
        <v>121</v>
      </c>
      <c r="H51" s="268"/>
      <c r="I51" s="269">
        <v>3</v>
      </c>
      <c r="J51" s="265" t="s">
        <v>27</v>
      </c>
      <c r="K51" s="269">
        <v>1</v>
      </c>
      <c r="L51" s="269"/>
      <c r="M51" s="270"/>
      <c r="N51" s="255"/>
      <c r="O51" s="253"/>
      <c r="P51" s="253"/>
      <c r="Q51" s="253"/>
      <c r="R51" s="253"/>
      <c r="S51" s="253"/>
      <c r="T51" s="253"/>
      <c r="U51" s="253"/>
    </row>
    <row r="52" spans="1:21" ht="15.75" customHeight="1">
      <c r="A52" s="253"/>
      <c r="B52" s="263">
        <v>46</v>
      </c>
      <c r="C52" s="264" t="s">
        <v>154</v>
      </c>
      <c r="D52" s="265" t="s">
        <v>120</v>
      </c>
      <c r="E52" s="266" t="s">
        <v>122</v>
      </c>
      <c r="F52" s="265" t="s">
        <v>27</v>
      </c>
      <c r="G52" s="267" t="s">
        <v>125</v>
      </c>
      <c r="H52" s="268"/>
      <c r="I52" s="269">
        <v>0</v>
      </c>
      <c r="J52" s="265" t="s">
        <v>27</v>
      </c>
      <c r="K52" s="269">
        <v>1</v>
      </c>
      <c r="L52" s="269"/>
      <c r="M52" s="270"/>
      <c r="N52" s="255"/>
      <c r="O52" s="253"/>
      <c r="P52" s="253"/>
      <c r="Q52" s="253"/>
      <c r="R52" s="253"/>
      <c r="S52" s="253"/>
      <c r="T52" s="253"/>
      <c r="U52" s="253"/>
    </row>
    <row r="53" spans="1:21" ht="15.75" customHeight="1">
      <c r="A53" s="253"/>
      <c r="B53" s="263">
        <v>47</v>
      </c>
      <c r="C53" s="264" t="s">
        <v>155</v>
      </c>
      <c r="D53" s="265" t="s">
        <v>127</v>
      </c>
      <c r="E53" s="266" t="s">
        <v>128</v>
      </c>
      <c r="F53" s="265" t="s">
        <v>27</v>
      </c>
      <c r="G53" s="267" t="s">
        <v>131</v>
      </c>
      <c r="H53" s="268"/>
      <c r="I53" s="269">
        <v>3</v>
      </c>
      <c r="J53" s="265" t="s">
        <v>27</v>
      </c>
      <c r="K53" s="269">
        <v>0</v>
      </c>
      <c r="L53" s="269"/>
      <c r="M53" s="270"/>
      <c r="N53" s="255"/>
      <c r="O53" s="253"/>
      <c r="P53" s="253"/>
      <c r="Q53" s="253"/>
      <c r="R53" s="253"/>
      <c r="S53" s="253"/>
      <c r="T53" s="253"/>
      <c r="U53" s="253"/>
    </row>
    <row r="54" spans="1:21" ht="15.75" customHeight="1">
      <c r="A54" s="253"/>
      <c r="B54" s="263">
        <v>48</v>
      </c>
      <c r="C54" s="264" t="s">
        <v>156</v>
      </c>
      <c r="D54" s="265" t="s">
        <v>127</v>
      </c>
      <c r="E54" s="266" t="s">
        <v>132</v>
      </c>
      <c r="F54" s="265" t="s">
        <v>27</v>
      </c>
      <c r="G54" s="267" t="s">
        <v>129</v>
      </c>
      <c r="H54" s="268"/>
      <c r="I54" s="269">
        <v>1</v>
      </c>
      <c r="J54" s="265" t="s">
        <v>27</v>
      </c>
      <c r="K54" s="269">
        <v>0</v>
      </c>
      <c r="L54" s="269"/>
      <c r="M54" s="270"/>
      <c r="N54" s="255"/>
      <c r="O54" s="253"/>
      <c r="P54" s="253"/>
      <c r="Q54" s="253"/>
      <c r="R54" s="253"/>
      <c r="S54" s="253"/>
      <c r="T54" s="253"/>
      <c r="U54" s="253"/>
    </row>
    <row r="55" spans="1:21" ht="15.75" customHeight="1">
      <c r="A55" s="253"/>
      <c r="B55" s="263">
        <v>49</v>
      </c>
      <c r="C55" s="264" t="s">
        <v>157</v>
      </c>
      <c r="D55" s="265" t="s">
        <v>54</v>
      </c>
      <c r="E55" s="266" t="s">
        <v>56</v>
      </c>
      <c r="F55" s="265" t="s">
        <v>27</v>
      </c>
      <c r="G55" s="267" t="s">
        <v>67</v>
      </c>
      <c r="H55" s="268"/>
      <c r="I55" s="269">
        <v>0</v>
      </c>
      <c r="J55" s="265" t="s">
        <v>27</v>
      </c>
      <c r="K55" s="269">
        <v>2</v>
      </c>
      <c r="L55" s="269"/>
      <c r="M55" s="270"/>
      <c r="N55" s="255"/>
      <c r="O55" s="253"/>
      <c r="P55" s="253"/>
      <c r="Q55" s="253"/>
      <c r="R55" s="253"/>
      <c r="S55" s="253"/>
      <c r="T55" s="253"/>
      <c r="U55" s="253"/>
    </row>
    <row r="56" spans="1:21" ht="15.75" customHeight="1">
      <c r="A56" s="253"/>
      <c r="B56" s="263">
        <v>50</v>
      </c>
      <c r="C56" s="264" t="s">
        <v>157</v>
      </c>
      <c r="D56" s="265" t="s">
        <v>54</v>
      </c>
      <c r="E56" s="266" t="s">
        <v>68</v>
      </c>
      <c r="F56" s="265" t="s">
        <v>27</v>
      </c>
      <c r="G56" s="267" t="s">
        <v>55</v>
      </c>
      <c r="H56" s="268"/>
      <c r="I56" s="269">
        <v>2</v>
      </c>
      <c r="J56" s="265" t="s">
        <v>27</v>
      </c>
      <c r="K56" s="269">
        <v>0</v>
      </c>
      <c r="L56" s="269"/>
      <c r="M56" s="270"/>
      <c r="N56" s="255"/>
      <c r="O56" s="253"/>
      <c r="P56" s="253"/>
      <c r="Q56" s="253"/>
      <c r="R56" s="253"/>
      <c r="S56" s="253"/>
      <c r="T56" s="253"/>
      <c r="U56" s="253"/>
    </row>
    <row r="57" spans="1:21" ht="15.75" customHeight="1">
      <c r="A57" s="253"/>
      <c r="B57" s="263">
        <v>51</v>
      </c>
      <c r="C57" s="264" t="s">
        <v>158</v>
      </c>
      <c r="D57" s="265" t="s">
        <v>46</v>
      </c>
      <c r="E57" s="266" t="s">
        <v>71</v>
      </c>
      <c r="F57" s="265" t="s">
        <v>27</v>
      </c>
      <c r="G57" s="267" t="s">
        <v>47</v>
      </c>
      <c r="H57" s="268"/>
      <c r="I57" s="269">
        <v>2</v>
      </c>
      <c r="J57" s="265" t="s">
        <v>27</v>
      </c>
      <c r="K57" s="269">
        <v>1</v>
      </c>
      <c r="L57" s="269"/>
      <c r="M57" s="270"/>
      <c r="N57" s="255"/>
      <c r="O57" s="253"/>
      <c r="P57" s="253"/>
      <c r="Q57" s="253"/>
      <c r="R57" s="253"/>
      <c r="S57" s="253"/>
      <c r="T57" s="253"/>
      <c r="U57" s="253"/>
    </row>
    <row r="58" spans="1:21" ht="15.75" customHeight="1">
      <c r="A58" s="253"/>
      <c r="B58" s="263">
        <v>52</v>
      </c>
      <c r="C58" s="264" t="s">
        <v>158</v>
      </c>
      <c r="D58" s="265" t="s">
        <v>46</v>
      </c>
      <c r="E58" s="266" t="s">
        <v>48</v>
      </c>
      <c r="F58" s="265" t="s">
        <v>27</v>
      </c>
      <c r="G58" s="267" t="s">
        <v>70</v>
      </c>
      <c r="H58" s="268"/>
      <c r="I58" s="269">
        <v>1</v>
      </c>
      <c r="J58" s="265" t="s">
        <v>27</v>
      </c>
      <c r="K58" s="269">
        <v>1</v>
      </c>
      <c r="L58" s="269"/>
      <c r="M58" s="270"/>
      <c r="N58" s="255"/>
      <c r="O58" s="253"/>
      <c r="P58" s="253"/>
      <c r="Q58" s="253"/>
      <c r="R58" s="253"/>
      <c r="S58" s="253"/>
      <c r="T58" s="253"/>
      <c r="U58" s="253"/>
    </row>
    <row r="59" spans="1:21" ht="15.75" customHeight="1">
      <c r="A59" s="253"/>
      <c r="B59" s="263">
        <v>53</v>
      </c>
      <c r="C59" s="264" t="s">
        <v>159</v>
      </c>
      <c r="D59" s="265" t="s">
        <v>39</v>
      </c>
      <c r="E59" s="266" t="s">
        <v>44</v>
      </c>
      <c r="F59" s="265" t="s">
        <v>27</v>
      </c>
      <c r="G59" s="267" t="s">
        <v>40</v>
      </c>
      <c r="H59" s="268"/>
      <c r="I59" s="269">
        <v>1</v>
      </c>
      <c r="J59" s="265" t="s">
        <v>27</v>
      </c>
      <c r="K59" s="269">
        <v>1</v>
      </c>
      <c r="L59" s="269"/>
      <c r="M59" s="270"/>
      <c r="N59" s="255"/>
      <c r="O59" s="253"/>
      <c r="P59" s="253"/>
      <c r="Q59" s="253"/>
      <c r="R59" s="253"/>
      <c r="S59" s="253"/>
      <c r="T59" s="253"/>
      <c r="U59" s="253"/>
    </row>
    <row r="60" spans="1:21" ht="15.75" customHeight="1">
      <c r="A60" s="253"/>
      <c r="B60" s="263">
        <v>54</v>
      </c>
      <c r="C60" s="264" t="s">
        <v>159</v>
      </c>
      <c r="D60" s="265" t="s">
        <v>39</v>
      </c>
      <c r="E60" s="266" t="s">
        <v>41</v>
      </c>
      <c r="F60" s="265" t="s">
        <v>27</v>
      </c>
      <c r="G60" s="267" t="s">
        <v>43</v>
      </c>
      <c r="H60" s="268"/>
      <c r="I60" s="269">
        <v>1</v>
      </c>
      <c r="J60" s="265" t="s">
        <v>27</v>
      </c>
      <c r="K60" s="269">
        <v>1</v>
      </c>
      <c r="L60" s="269"/>
      <c r="M60" s="270"/>
      <c r="N60" s="255"/>
      <c r="O60" s="253"/>
      <c r="P60" s="253"/>
      <c r="Q60" s="253"/>
      <c r="R60" s="253"/>
      <c r="S60" s="253"/>
      <c r="T60" s="253"/>
      <c r="U60" s="253"/>
    </row>
    <row r="61" spans="1:21" ht="15.75" customHeight="1">
      <c r="A61" s="253"/>
      <c r="B61" s="263">
        <v>55</v>
      </c>
      <c r="C61" s="264" t="s">
        <v>160</v>
      </c>
      <c r="D61" s="265" t="s">
        <v>73</v>
      </c>
      <c r="E61" s="266" t="s">
        <v>78</v>
      </c>
      <c r="F61" s="265" t="s">
        <v>27</v>
      </c>
      <c r="G61" s="267" t="s">
        <v>74</v>
      </c>
      <c r="H61" s="268"/>
      <c r="I61" s="269">
        <v>1</v>
      </c>
      <c r="J61" s="265" t="s">
        <v>27</v>
      </c>
      <c r="K61" s="269">
        <v>1</v>
      </c>
      <c r="L61" s="269"/>
      <c r="M61" s="270"/>
      <c r="N61" s="255"/>
      <c r="O61" s="253"/>
      <c r="P61" s="253"/>
      <c r="Q61" s="253"/>
      <c r="R61" s="253"/>
      <c r="S61" s="253"/>
      <c r="T61" s="253"/>
      <c r="U61" s="253"/>
    </row>
    <row r="62" spans="1:21" ht="15.75" customHeight="1">
      <c r="A62" s="253"/>
      <c r="B62" s="263">
        <v>56</v>
      </c>
      <c r="C62" s="264" t="s">
        <v>160</v>
      </c>
      <c r="D62" s="265" t="s">
        <v>73</v>
      </c>
      <c r="E62" s="266" t="s">
        <v>75</v>
      </c>
      <c r="F62" s="265" t="s">
        <v>27</v>
      </c>
      <c r="G62" s="267" t="s">
        <v>77</v>
      </c>
      <c r="H62" s="268"/>
      <c r="I62" s="269">
        <v>1</v>
      </c>
      <c r="J62" s="265" t="s">
        <v>27</v>
      </c>
      <c r="K62" s="269">
        <v>2</v>
      </c>
      <c r="L62" s="269"/>
      <c r="M62" s="270"/>
      <c r="N62" s="255"/>
      <c r="O62" s="253"/>
      <c r="P62" s="253"/>
      <c r="Q62" s="253"/>
      <c r="R62" s="253"/>
      <c r="S62" s="253"/>
      <c r="T62" s="253"/>
      <c r="U62" s="253"/>
    </row>
    <row r="63" spans="1:21" ht="15.75" customHeight="1">
      <c r="A63" s="253"/>
      <c r="B63" s="263">
        <v>57</v>
      </c>
      <c r="C63" s="264" t="s">
        <v>161</v>
      </c>
      <c r="D63" s="265" t="s">
        <v>80</v>
      </c>
      <c r="E63" s="266" t="s">
        <v>82</v>
      </c>
      <c r="F63" s="265" t="s">
        <v>27</v>
      </c>
      <c r="G63" s="267" t="s">
        <v>84</v>
      </c>
      <c r="H63" s="268"/>
      <c r="I63" s="269">
        <v>1</v>
      </c>
      <c r="J63" s="265" t="s">
        <v>27</v>
      </c>
      <c r="K63" s="269">
        <v>0</v>
      </c>
      <c r="L63" s="269"/>
      <c r="M63" s="270"/>
      <c r="N63" s="255"/>
      <c r="O63" s="253"/>
      <c r="P63" s="253"/>
      <c r="Q63" s="253"/>
      <c r="R63" s="253"/>
      <c r="S63" s="253"/>
      <c r="T63" s="253"/>
      <c r="U63" s="253"/>
    </row>
    <row r="64" spans="1:21" ht="15.75" customHeight="1">
      <c r="A64" s="253"/>
      <c r="B64" s="263">
        <v>58</v>
      </c>
      <c r="C64" s="264" t="s">
        <v>161</v>
      </c>
      <c r="D64" s="265" t="s">
        <v>80</v>
      </c>
      <c r="E64" s="266" t="s">
        <v>85</v>
      </c>
      <c r="F64" s="265" t="s">
        <v>27</v>
      </c>
      <c r="G64" s="267" t="s">
        <v>81</v>
      </c>
      <c r="H64" s="268"/>
      <c r="I64" s="269">
        <v>0</v>
      </c>
      <c r="J64" s="265" t="s">
        <v>27</v>
      </c>
      <c r="K64" s="269">
        <v>1</v>
      </c>
      <c r="L64" s="269"/>
      <c r="M64" s="270"/>
      <c r="N64" s="255"/>
      <c r="O64" s="253"/>
      <c r="P64" s="253"/>
      <c r="Q64" s="253"/>
      <c r="R64" s="253"/>
      <c r="S64" s="253"/>
      <c r="T64" s="253"/>
      <c r="U64" s="253"/>
    </row>
    <row r="65" spans="1:21" ht="15.75" customHeight="1">
      <c r="A65" s="253"/>
      <c r="B65" s="263">
        <v>59</v>
      </c>
      <c r="C65" s="264" t="s">
        <v>162</v>
      </c>
      <c r="D65" s="265" t="s">
        <v>50</v>
      </c>
      <c r="E65" s="266" t="s">
        <v>59</v>
      </c>
      <c r="F65" s="265" t="s">
        <v>27</v>
      </c>
      <c r="G65" s="267" t="s">
        <v>51</v>
      </c>
      <c r="H65" s="268"/>
      <c r="I65" s="269">
        <v>1</v>
      </c>
      <c r="J65" s="265" t="s">
        <v>27</v>
      </c>
      <c r="K65" s="269">
        <v>1</v>
      </c>
      <c r="L65" s="269"/>
      <c r="M65" s="270"/>
      <c r="N65" s="255"/>
      <c r="O65" s="253"/>
      <c r="P65" s="253"/>
      <c r="Q65" s="253"/>
      <c r="R65" s="253"/>
      <c r="S65" s="253"/>
      <c r="T65" s="253"/>
      <c r="U65" s="253"/>
    </row>
    <row r="66" spans="1:21" ht="15.75" customHeight="1">
      <c r="A66" s="253"/>
      <c r="B66" s="263">
        <v>60</v>
      </c>
      <c r="C66" s="264" t="s">
        <v>162</v>
      </c>
      <c r="D66" s="265" t="s">
        <v>50</v>
      </c>
      <c r="E66" s="266" t="s">
        <v>52</v>
      </c>
      <c r="F66" s="265" t="s">
        <v>27</v>
      </c>
      <c r="G66" s="267" t="s">
        <v>58</v>
      </c>
      <c r="H66" s="268"/>
      <c r="I66" s="269">
        <v>1</v>
      </c>
      <c r="J66" s="265" t="s">
        <v>27</v>
      </c>
      <c r="K66" s="269">
        <v>1</v>
      </c>
      <c r="L66" s="269"/>
      <c r="M66" s="270"/>
      <c r="N66" s="255"/>
      <c r="O66" s="253"/>
      <c r="P66" s="253"/>
      <c r="Q66" s="253"/>
      <c r="R66" s="253"/>
      <c r="S66" s="253"/>
      <c r="T66" s="253"/>
      <c r="U66" s="253"/>
    </row>
    <row r="67" spans="1:21" ht="15.75" customHeight="1">
      <c r="A67" s="253"/>
      <c r="B67" s="263">
        <v>61</v>
      </c>
      <c r="C67" s="264" t="s">
        <v>163</v>
      </c>
      <c r="D67" s="265" t="s">
        <v>104</v>
      </c>
      <c r="E67" s="266" t="s">
        <v>109</v>
      </c>
      <c r="F67" s="265" t="s">
        <v>27</v>
      </c>
      <c r="G67" s="267" t="s">
        <v>105</v>
      </c>
      <c r="H67" s="268"/>
      <c r="I67" s="269">
        <v>1</v>
      </c>
      <c r="J67" s="265" t="s">
        <v>27</v>
      </c>
      <c r="K67" s="269">
        <v>3</v>
      </c>
      <c r="L67" s="269"/>
      <c r="M67" s="270"/>
      <c r="N67" s="255"/>
      <c r="O67" s="253"/>
      <c r="P67" s="253"/>
      <c r="Q67" s="253"/>
      <c r="R67" s="253"/>
      <c r="S67" s="253"/>
      <c r="T67" s="253"/>
      <c r="U67" s="253"/>
    </row>
    <row r="68" spans="1:21" ht="15.75" customHeight="1">
      <c r="A68" s="253"/>
      <c r="B68" s="263">
        <v>62</v>
      </c>
      <c r="C68" s="264" t="s">
        <v>163</v>
      </c>
      <c r="D68" s="265" t="s">
        <v>104</v>
      </c>
      <c r="E68" s="266" t="s">
        <v>106</v>
      </c>
      <c r="F68" s="265" t="s">
        <v>27</v>
      </c>
      <c r="G68" s="267" t="s">
        <v>108</v>
      </c>
      <c r="H68" s="268"/>
      <c r="I68" s="269">
        <v>1</v>
      </c>
      <c r="J68" s="265" t="s">
        <v>27</v>
      </c>
      <c r="K68" s="269">
        <v>0</v>
      </c>
      <c r="L68" s="269"/>
      <c r="M68" s="270"/>
      <c r="N68" s="255"/>
      <c r="O68" s="253"/>
      <c r="P68" s="253"/>
      <c r="Q68" s="253"/>
      <c r="R68" s="253"/>
      <c r="S68" s="253"/>
      <c r="T68" s="253"/>
      <c r="U68" s="253"/>
    </row>
    <row r="69" spans="1:21" ht="15.75" customHeight="1">
      <c r="A69" s="253"/>
      <c r="B69" s="263">
        <v>63</v>
      </c>
      <c r="C69" s="264" t="s">
        <v>164</v>
      </c>
      <c r="D69" s="265" t="s">
        <v>95</v>
      </c>
      <c r="E69" s="266" t="s">
        <v>101</v>
      </c>
      <c r="F69" s="265" t="s">
        <v>27</v>
      </c>
      <c r="G69" s="267" t="s">
        <v>96</v>
      </c>
      <c r="H69" s="268"/>
      <c r="I69" s="269">
        <v>1</v>
      </c>
      <c r="J69" s="265" t="s">
        <v>27</v>
      </c>
      <c r="K69" s="269">
        <v>0</v>
      </c>
      <c r="L69" s="269"/>
      <c r="M69" s="270"/>
      <c r="N69" s="255"/>
      <c r="O69" s="253"/>
      <c r="P69" s="253"/>
      <c r="Q69" s="253"/>
      <c r="R69" s="253"/>
      <c r="S69" s="253"/>
      <c r="T69" s="253"/>
      <c r="U69" s="253"/>
    </row>
    <row r="70" spans="1:21" ht="15.75" customHeight="1">
      <c r="A70" s="253"/>
      <c r="B70" s="263">
        <v>64</v>
      </c>
      <c r="C70" s="264" t="s">
        <v>164</v>
      </c>
      <c r="D70" s="265" t="s">
        <v>95</v>
      </c>
      <c r="E70" s="266" t="s">
        <v>97</v>
      </c>
      <c r="F70" s="265" t="s">
        <v>27</v>
      </c>
      <c r="G70" s="267" t="s">
        <v>100</v>
      </c>
      <c r="H70" s="268"/>
      <c r="I70" s="269">
        <v>0</v>
      </c>
      <c r="J70" s="265" t="s">
        <v>27</v>
      </c>
      <c r="K70" s="269">
        <v>1</v>
      </c>
      <c r="L70" s="269"/>
      <c r="M70" s="270"/>
      <c r="N70" s="255"/>
      <c r="O70" s="253"/>
      <c r="P70" s="253"/>
      <c r="Q70" s="253"/>
      <c r="R70" s="253"/>
      <c r="S70" s="253"/>
      <c r="T70" s="253"/>
      <c r="U70" s="253"/>
    </row>
    <row r="71" spans="1:21" ht="15.75" customHeight="1">
      <c r="A71" s="253"/>
      <c r="B71" s="263">
        <v>65</v>
      </c>
      <c r="C71" s="264" t="s">
        <v>165</v>
      </c>
      <c r="D71" s="265" t="s">
        <v>87</v>
      </c>
      <c r="E71" s="266" t="s">
        <v>93</v>
      </c>
      <c r="F71" s="265" t="s">
        <v>27</v>
      </c>
      <c r="G71" s="267" t="s">
        <v>88</v>
      </c>
      <c r="H71" s="268"/>
      <c r="I71" s="269">
        <v>1</v>
      </c>
      <c r="J71" s="265" t="s">
        <v>27</v>
      </c>
      <c r="K71" s="269">
        <v>2</v>
      </c>
      <c r="L71" s="269"/>
      <c r="M71" s="270"/>
      <c r="N71" s="255"/>
      <c r="O71" s="253"/>
      <c r="P71" s="253"/>
      <c r="Q71" s="253"/>
      <c r="R71" s="253"/>
      <c r="S71" s="253"/>
      <c r="T71" s="253"/>
      <c r="U71" s="253"/>
    </row>
    <row r="72" spans="1:21" ht="15.75" customHeight="1">
      <c r="A72" s="253"/>
      <c r="B72" s="263">
        <v>66</v>
      </c>
      <c r="C72" s="264" t="s">
        <v>165</v>
      </c>
      <c r="D72" s="265" t="s">
        <v>87</v>
      </c>
      <c r="E72" s="266" t="s">
        <v>89</v>
      </c>
      <c r="F72" s="265" t="s">
        <v>27</v>
      </c>
      <c r="G72" s="267" t="s">
        <v>92</v>
      </c>
      <c r="H72" s="268"/>
      <c r="I72" s="269">
        <v>0</v>
      </c>
      <c r="J72" s="265" t="s">
        <v>27</v>
      </c>
      <c r="K72" s="269">
        <v>2</v>
      </c>
      <c r="L72" s="269"/>
      <c r="M72" s="270"/>
      <c r="N72" s="255"/>
      <c r="O72" s="253"/>
      <c r="P72" s="253"/>
      <c r="Q72" s="253"/>
      <c r="R72" s="253"/>
      <c r="S72" s="253"/>
      <c r="T72" s="253"/>
      <c r="U72" s="253"/>
    </row>
    <row r="73" spans="1:21" ht="15.75" customHeight="1">
      <c r="A73" s="253"/>
      <c r="B73" s="263">
        <v>67</v>
      </c>
      <c r="C73" s="264" t="s">
        <v>166</v>
      </c>
      <c r="D73" s="265" t="s">
        <v>120</v>
      </c>
      <c r="E73" s="266" t="s">
        <v>122</v>
      </c>
      <c r="F73" s="265" t="s">
        <v>27</v>
      </c>
      <c r="G73" s="267" t="s">
        <v>124</v>
      </c>
      <c r="H73" s="268"/>
      <c r="I73" s="269">
        <v>0</v>
      </c>
      <c r="J73" s="265" t="s">
        <v>27</v>
      </c>
      <c r="K73" s="269">
        <v>2</v>
      </c>
      <c r="L73" s="269"/>
      <c r="M73" s="270"/>
      <c r="N73" s="255"/>
      <c r="O73" s="253"/>
      <c r="P73" s="253"/>
      <c r="Q73" s="253"/>
      <c r="R73" s="253"/>
      <c r="S73" s="253"/>
      <c r="T73" s="253"/>
      <c r="U73" s="253"/>
    </row>
    <row r="74" spans="1:21" ht="15.75" customHeight="1">
      <c r="A74" s="253"/>
      <c r="B74" s="263">
        <v>68</v>
      </c>
      <c r="C74" s="264" t="s">
        <v>166</v>
      </c>
      <c r="D74" s="265" t="s">
        <v>120</v>
      </c>
      <c r="E74" s="266" t="s">
        <v>125</v>
      </c>
      <c r="F74" s="265" t="s">
        <v>27</v>
      </c>
      <c r="G74" s="267" t="s">
        <v>121</v>
      </c>
      <c r="H74" s="268"/>
      <c r="I74" s="269">
        <v>1</v>
      </c>
      <c r="J74" s="265" t="s">
        <v>27</v>
      </c>
      <c r="K74" s="269">
        <v>1</v>
      </c>
      <c r="L74" s="269"/>
      <c r="M74" s="270"/>
      <c r="N74" s="255"/>
      <c r="O74" s="253"/>
      <c r="P74" s="253"/>
      <c r="Q74" s="253"/>
      <c r="R74" s="253"/>
      <c r="S74" s="253"/>
      <c r="T74" s="253"/>
      <c r="U74" s="253"/>
    </row>
    <row r="75" spans="1:21" ht="15.75" customHeight="1">
      <c r="A75" s="253"/>
      <c r="B75" s="263">
        <v>69</v>
      </c>
      <c r="C75" s="264" t="s">
        <v>167</v>
      </c>
      <c r="D75" s="265" t="s">
        <v>112</v>
      </c>
      <c r="E75" s="266" t="s">
        <v>114</v>
      </c>
      <c r="F75" s="265" t="s">
        <v>27</v>
      </c>
      <c r="G75" s="267" t="s">
        <v>117</v>
      </c>
      <c r="H75" s="268"/>
      <c r="I75" s="269">
        <v>1</v>
      </c>
      <c r="J75" s="265" t="s">
        <v>27</v>
      </c>
      <c r="K75" s="269">
        <v>2</v>
      </c>
      <c r="L75" s="269"/>
      <c r="M75" s="270"/>
      <c r="N75" s="255"/>
      <c r="O75" s="253"/>
      <c r="P75" s="253"/>
      <c r="Q75" s="253"/>
      <c r="R75" s="253"/>
      <c r="S75" s="253"/>
      <c r="T75" s="253"/>
      <c r="U75" s="253"/>
    </row>
    <row r="76" spans="1:21" ht="15.75" customHeight="1">
      <c r="A76" s="253"/>
      <c r="B76" s="263">
        <v>70</v>
      </c>
      <c r="C76" s="264" t="s">
        <v>167</v>
      </c>
      <c r="D76" s="265" t="s">
        <v>112</v>
      </c>
      <c r="E76" s="266" t="s">
        <v>118</v>
      </c>
      <c r="F76" s="265" t="s">
        <v>27</v>
      </c>
      <c r="G76" s="267" t="s">
        <v>113</v>
      </c>
      <c r="H76" s="268"/>
      <c r="I76" s="269">
        <v>0</v>
      </c>
      <c r="J76" s="265" t="s">
        <v>27</v>
      </c>
      <c r="K76" s="269">
        <v>2</v>
      </c>
      <c r="L76" s="269"/>
      <c r="M76" s="270"/>
      <c r="N76" s="255"/>
      <c r="O76" s="253"/>
      <c r="P76" s="253"/>
      <c r="Q76" s="253"/>
      <c r="R76" s="253"/>
      <c r="S76" s="253"/>
      <c r="T76" s="253"/>
      <c r="U76" s="253"/>
    </row>
    <row r="77" spans="1:21" ht="15.75" customHeight="1">
      <c r="A77" s="253"/>
      <c r="B77" s="263">
        <v>71</v>
      </c>
      <c r="C77" s="264" t="s">
        <v>168</v>
      </c>
      <c r="D77" s="265" t="s">
        <v>127</v>
      </c>
      <c r="E77" s="266" t="s">
        <v>132</v>
      </c>
      <c r="F77" s="265" t="s">
        <v>27</v>
      </c>
      <c r="G77" s="267" t="s">
        <v>128</v>
      </c>
      <c r="H77" s="268"/>
      <c r="I77" s="269">
        <v>0</v>
      </c>
      <c r="J77" s="265" t="s">
        <v>27</v>
      </c>
      <c r="K77" s="269">
        <v>1</v>
      </c>
      <c r="L77" s="269"/>
      <c r="M77" s="270"/>
      <c r="N77" s="255"/>
      <c r="O77" s="253"/>
      <c r="P77" s="253"/>
      <c r="Q77" s="253"/>
      <c r="R77" s="253"/>
      <c r="S77" s="253"/>
      <c r="T77" s="253"/>
      <c r="U77" s="253"/>
    </row>
    <row r="78" spans="1:21" ht="15.75" customHeight="1">
      <c r="A78" s="253"/>
      <c r="B78" s="263">
        <v>72</v>
      </c>
      <c r="C78" s="264" t="s">
        <v>168</v>
      </c>
      <c r="D78" s="265" t="s">
        <v>127</v>
      </c>
      <c r="E78" s="266" t="s">
        <v>129</v>
      </c>
      <c r="F78" s="265" t="s">
        <v>27</v>
      </c>
      <c r="G78" s="267" t="s">
        <v>131</v>
      </c>
      <c r="H78" s="268"/>
      <c r="I78" s="269">
        <v>1</v>
      </c>
      <c r="J78" s="265" t="s">
        <v>27</v>
      </c>
      <c r="K78" s="269">
        <v>1</v>
      </c>
      <c r="L78" s="269"/>
      <c r="M78" s="270"/>
      <c r="N78" s="255"/>
      <c r="O78" s="253"/>
      <c r="P78" s="253"/>
      <c r="Q78" s="253"/>
      <c r="R78" s="253"/>
      <c r="S78" s="253"/>
      <c r="T78" s="253"/>
      <c r="U78" s="253"/>
    </row>
    <row r="79" spans="1:21" ht="15.75" customHeight="1">
      <c r="A79" s="253"/>
      <c r="B79" s="256"/>
      <c r="C79" s="257"/>
      <c r="D79" s="256" t="s">
        <v>335</v>
      </c>
      <c r="E79" s="279" t="s">
        <v>105</v>
      </c>
      <c r="F79" s="280" t="s">
        <v>27</v>
      </c>
      <c r="G79" s="279" t="s">
        <v>92</v>
      </c>
      <c r="H79" s="253"/>
      <c r="I79" s="253"/>
      <c r="J79" s="253"/>
      <c r="K79" s="255"/>
      <c r="L79" s="281"/>
      <c r="M79" s="281"/>
      <c r="N79" s="271"/>
      <c r="O79" s="253"/>
      <c r="P79" s="253"/>
      <c r="Q79" s="253"/>
      <c r="R79" s="253"/>
      <c r="S79" s="253"/>
      <c r="T79" s="253"/>
      <c r="U79" s="253"/>
    </row>
    <row r="80" spans="1:21" ht="15.75" customHeight="1">
      <c r="A80" s="253"/>
      <c r="B80" s="256"/>
      <c r="C80" s="257"/>
      <c r="D80" s="256" t="s">
        <v>336</v>
      </c>
      <c r="E80" s="282" t="s">
        <v>128</v>
      </c>
      <c r="F80" s="280" t="s">
        <v>27</v>
      </c>
      <c r="G80" s="282" t="s">
        <v>113</v>
      </c>
      <c r="H80" s="253"/>
      <c r="I80" s="253"/>
      <c r="J80" s="253"/>
      <c r="K80" s="255"/>
      <c r="L80" s="283"/>
      <c r="M80" s="283"/>
      <c r="N80" s="271"/>
      <c r="O80" s="253"/>
      <c r="P80" s="253"/>
      <c r="Q80" s="253"/>
      <c r="R80" s="253"/>
      <c r="S80" s="253"/>
      <c r="T80" s="253"/>
      <c r="U80" s="253"/>
    </row>
    <row r="81" spans="1:21" ht="15.75" customHeight="1">
      <c r="A81" s="253"/>
      <c r="B81" s="256"/>
      <c r="C81" s="257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71"/>
      <c r="O81" s="253"/>
      <c r="P81" s="253"/>
      <c r="Q81" s="253"/>
      <c r="R81" s="253"/>
      <c r="S81" s="253"/>
      <c r="T81" s="253"/>
      <c r="U81" s="253"/>
    </row>
    <row r="82" spans="1:21" ht="15.75" customHeight="1">
      <c r="A82" s="253"/>
      <c r="B82" s="256"/>
      <c r="C82" s="257"/>
      <c r="D82" s="253"/>
      <c r="E82" s="253"/>
      <c r="F82" s="253"/>
      <c r="G82" s="253"/>
      <c r="H82" s="253"/>
      <c r="I82" s="253"/>
      <c r="J82" s="253"/>
      <c r="K82" s="253"/>
      <c r="L82" s="284" t="s">
        <v>337</v>
      </c>
      <c r="M82" s="285"/>
      <c r="N82" s="271"/>
      <c r="O82" s="253"/>
      <c r="P82" s="253"/>
      <c r="Q82" s="253"/>
      <c r="R82" s="253"/>
      <c r="S82" s="253"/>
      <c r="T82" s="253"/>
      <c r="U82" s="253"/>
    </row>
    <row r="83" spans="1:21" ht="15.75" customHeight="1">
      <c r="A83" s="253"/>
      <c r="B83" s="256"/>
      <c r="C83" s="257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71"/>
      <c r="O83" s="253"/>
      <c r="P83" s="253"/>
      <c r="Q83" s="253"/>
      <c r="R83" s="253"/>
      <c r="S83" s="253"/>
      <c r="T83" s="253"/>
      <c r="U83" s="253"/>
    </row>
    <row r="84" spans="1:21" ht="15.75" customHeight="1">
      <c r="A84" s="256"/>
      <c r="B84" s="256"/>
      <c r="C84" s="257"/>
      <c r="D84" s="253"/>
      <c r="E84" s="253"/>
      <c r="F84" s="253"/>
      <c r="G84" s="255"/>
      <c r="H84" s="253"/>
      <c r="I84" s="253"/>
      <c r="J84" s="253"/>
      <c r="K84" s="253"/>
      <c r="L84" s="255"/>
      <c r="M84" s="255"/>
      <c r="N84" s="255"/>
      <c r="O84" s="253"/>
      <c r="P84" s="253"/>
      <c r="Q84" s="253"/>
      <c r="R84" s="253"/>
      <c r="S84" s="253"/>
      <c r="T84" s="253"/>
      <c r="U84" s="253"/>
    </row>
    <row r="85" spans="1:21" ht="15.75" customHeight="1">
      <c r="A85" s="256"/>
      <c r="B85" s="256"/>
      <c r="C85" s="257"/>
      <c r="D85" s="253"/>
      <c r="E85" s="253"/>
      <c r="F85" s="253"/>
      <c r="G85" s="255"/>
      <c r="H85" s="253"/>
      <c r="I85" s="253"/>
      <c r="J85" s="253"/>
      <c r="K85" s="253"/>
      <c r="L85" s="255"/>
      <c r="M85" s="255"/>
      <c r="N85" s="255"/>
      <c r="O85" s="253"/>
      <c r="P85" s="253"/>
      <c r="Q85" s="253"/>
      <c r="R85" s="253"/>
      <c r="S85" s="253"/>
      <c r="T85" s="253"/>
      <c r="U85" s="253"/>
    </row>
    <row r="86" spans="1:21" ht="15.75" customHeight="1">
      <c r="A86" s="256"/>
      <c r="B86" s="286"/>
      <c r="C86" s="287"/>
      <c r="D86" s="253"/>
      <c r="E86" s="253"/>
      <c r="F86" s="253"/>
      <c r="G86" s="255"/>
      <c r="H86" s="253"/>
      <c r="I86" s="253"/>
      <c r="J86" s="253"/>
      <c r="K86" s="253"/>
      <c r="L86" s="255"/>
      <c r="M86" s="255"/>
      <c r="N86" s="255"/>
      <c r="O86" s="253"/>
      <c r="P86" s="253"/>
      <c r="Q86" s="253"/>
      <c r="R86" s="253"/>
      <c r="S86" s="253"/>
      <c r="T86" s="253"/>
      <c r="U86" s="253"/>
    </row>
    <row r="87" spans="1:21" ht="15.75" customHeight="1">
      <c r="A87" s="256"/>
      <c r="B87" s="286"/>
      <c r="C87" s="287"/>
      <c r="D87" s="253"/>
      <c r="E87" s="253"/>
      <c r="F87" s="253"/>
      <c r="G87" s="255"/>
      <c r="H87" s="253"/>
      <c r="I87" s="253"/>
      <c r="J87" s="253"/>
      <c r="K87" s="253"/>
      <c r="L87" s="255"/>
      <c r="M87" s="255"/>
      <c r="N87" s="255"/>
      <c r="O87" s="253"/>
      <c r="P87" s="253"/>
      <c r="Q87" s="253"/>
      <c r="R87" s="253"/>
      <c r="S87" s="253"/>
      <c r="T87" s="253"/>
      <c r="U87" s="253"/>
    </row>
    <row r="88" spans="1:21" ht="15.75" customHeight="1">
      <c r="A88" s="253"/>
      <c r="B88" s="256"/>
      <c r="C88" s="257"/>
      <c r="D88" s="253"/>
      <c r="E88" s="253"/>
      <c r="F88" s="255"/>
      <c r="G88" s="253"/>
      <c r="H88" s="253"/>
      <c r="I88" s="253"/>
      <c r="J88" s="253"/>
      <c r="K88" s="255"/>
      <c r="L88" s="255"/>
      <c r="M88" s="255"/>
      <c r="N88" s="255"/>
      <c r="O88" s="253"/>
      <c r="P88" s="253"/>
      <c r="Q88" s="253"/>
      <c r="R88" s="253"/>
      <c r="S88" s="253"/>
      <c r="T88" s="253"/>
      <c r="U88" s="253"/>
    </row>
    <row r="89" spans="1:21" ht="15.75" customHeight="1">
      <c r="A89" s="253"/>
      <c r="B89" s="256"/>
      <c r="C89" s="257"/>
      <c r="D89" s="253"/>
      <c r="E89" s="253"/>
      <c r="F89" s="255"/>
      <c r="G89" s="253"/>
      <c r="H89" s="253"/>
      <c r="I89" s="253"/>
      <c r="J89" s="253"/>
      <c r="K89" s="255"/>
      <c r="L89" s="255"/>
      <c r="M89" s="255"/>
      <c r="N89" s="255"/>
      <c r="O89" s="253"/>
      <c r="P89" s="253"/>
      <c r="Q89" s="253"/>
      <c r="R89" s="253"/>
      <c r="S89" s="253"/>
      <c r="T89" s="253"/>
      <c r="U89" s="253"/>
    </row>
    <row r="90" spans="1:21" ht="15.75" customHeight="1">
      <c r="A90" s="253"/>
      <c r="B90" s="256"/>
      <c r="C90" s="257"/>
      <c r="D90" s="253"/>
      <c r="E90" s="253"/>
      <c r="F90" s="255"/>
      <c r="G90" s="253"/>
      <c r="H90" s="253"/>
      <c r="I90" s="253"/>
      <c r="J90" s="253"/>
      <c r="K90" s="255"/>
      <c r="L90" s="255"/>
      <c r="M90" s="255"/>
      <c r="N90" s="255"/>
      <c r="O90" s="253"/>
      <c r="P90" s="253"/>
      <c r="Q90" s="253"/>
      <c r="R90" s="253"/>
      <c r="S90" s="253"/>
      <c r="T90" s="253"/>
      <c r="U90" s="253"/>
    </row>
    <row r="91" spans="1:21" ht="15.75" customHeight="1">
      <c r="A91" s="253"/>
      <c r="B91" s="256"/>
      <c r="C91" s="257"/>
      <c r="D91" s="253"/>
      <c r="E91" s="253"/>
      <c r="F91" s="255"/>
      <c r="G91" s="253"/>
      <c r="H91" s="253"/>
      <c r="I91" s="253"/>
      <c r="J91" s="253"/>
      <c r="K91" s="255"/>
      <c r="L91" s="255"/>
      <c r="M91" s="255"/>
      <c r="N91" s="255"/>
      <c r="O91" s="253"/>
      <c r="P91" s="253"/>
      <c r="Q91" s="253"/>
      <c r="R91" s="253"/>
      <c r="S91" s="253"/>
      <c r="T91" s="253"/>
      <c r="U91" s="253"/>
    </row>
    <row r="92" spans="1:21" ht="15.75" customHeight="1">
      <c r="A92" s="253"/>
      <c r="B92" s="256"/>
      <c r="C92" s="257"/>
      <c r="D92" s="253"/>
      <c r="E92" s="253"/>
      <c r="F92" s="255"/>
      <c r="G92" s="253"/>
      <c r="H92" s="253"/>
      <c r="I92" s="253"/>
      <c r="J92" s="253"/>
      <c r="K92" s="255"/>
      <c r="L92" s="255"/>
      <c r="M92" s="255"/>
      <c r="N92" s="255"/>
      <c r="O92" s="253"/>
      <c r="P92" s="253"/>
      <c r="Q92" s="253"/>
      <c r="R92" s="253"/>
      <c r="S92" s="253"/>
      <c r="T92" s="253"/>
      <c r="U92" s="253"/>
    </row>
    <row r="93" spans="1:21" ht="15.75" customHeight="1">
      <c r="A93" s="253"/>
      <c r="B93" s="256"/>
      <c r="C93" s="257"/>
      <c r="D93" s="253"/>
      <c r="E93" s="253"/>
      <c r="F93" s="255"/>
      <c r="G93" s="253"/>
      <c r="H93" s="253"/>
      <c r="I93" s="253"/>
      <c r="J93" s="253"/>
      <c r="K93" s="255"/>
      <c r="L93" s="255"/>
      <c r="M93" s="255"/>
      <c r="N93" s="255"/>
      <c r="O93" s="253"/>
      <c r="P93" s="253"/>
      <c r="Q93" s="253"/>
      <c r="R93" s="253"/>
      <c r="S93" s="253"/>
      <c r="T93" s="253"/>
      <c r="U93" s="253"/>
    </row>
    <row r="94" spans="1:21" ht="15.75" customHeight="1">
      <c r="A94" s="253"/>
      <c r="B94" s="256"/>
      <c r="C94" s="257"/>
      <c r="D94" s="253"/>
      <c r="E94" s="253"/>
      <c r="F94" s="255"/>
      <c r="G94" s="253"/>
      <c r="H94" s="253"/>
      <c r="I94" s="253"/>
      <c r="J94" s="253"/>
      <c r="K94" s="255"/>
      <c r="L94" s="255"/>
      <c r="M94" s="255"/>
      <c r="N94" s="255"/>
      <c r="O94" s="253"/>
      <c r="P94" s="253"/>
      <c r="Q94" s="253"/>
      <c r="R94" s="253"/>
      <c r="S94" s="253"/>
      <c r="T94" s="253"/>
      <c r="U94" s="253"/>
    </row>
    <row r="95" spans="1:21" ht="15.75" customHeight="1">
      <c r="A95" s="253"/>
      <c r="B95" s="256"/>
      <c r="C95" s="257"/>
      <c r="D95" s="253"/>
      <c r="E95" s="253"/>
      <c r="F95" s="255"/>
      <c r="G95" s="253"/>
      <c r="H95" s="253"/>
      <c r="I95" s="253"/>
      <c r="J95" s="253"/>
      <c r="K95" s="255"/>
      <c r="L95" s="255"/>
      <c r="M95" s="255"/>
      <c r="N95" s="255"/>
      <c r="O95" s="253"/>
      <c r="P95" s="253"/>
      <c r="Q95" s="253"/>
      <c r="R95" s="253"/>
      <c r="S95" s="253"/>
      <c r="T95" s="253"/>
      <c r="U95" s="253"/>
    </row>
    <row r="96" spans="1:21" ht="15.75" customHeight="1">
      <c r="A96" s="253"/>
      <c r="B96" s="256"/>
      <c r="C96" s="257"/>
      <c r="D96" s="253"/>
      <c r="E96" s="253"/>
      <c r="F96" s="255"/>
      <c r="G96" s="253"/>
      <c r="H96" s="253"/>
      <c r="I96" s="253"/>
      <c r="J96" s="253"/>
      <c r="K96" s="255"/>
      <c r="L96" s="255"/>
      <c r="M96" s="255"/>
      <c r="N96" s="255"/>
      <c r="O96" s="253"/>
      <c r="P96" s="253"/>
      <c r="Q96" s="253"/>
      <c r="R96" s="253"/>
      <c r="S96" s="253"/>
      <c r="T96" s="253"/>
      <c r="U96" s="253"/>
    </row>
    <row r="97" spans="1:21" ht="15.75" customHeight="1">
      <c r="A97" s="253"/>
      <c r="B97" s="256"/>
      <c r="C97" s="257"/>
      <c r="D97" s="253"/>
      <c r="E97" s="253"/>
      <c r="F97" s="255"/>
      <c r="G97" s="253"/>
      <c r="H97" s="253"/>
      <c r="I97" s="253"/>
      <c r="J97" s="253"/>
      <c r="K97" s="255"/>
      <c r="L97" s="255"/>
      <c r="M97" s="255"/>
      <c r="N97" s="255"/>
      <c r="O97" s="253"/>
      <c r="P97" s="253"/>
      <c r="Q97" s="253"/>
      <c r="R97" s="253"/>
      <c r="S97" s="253"/>
      <c r="T97" s="253"/>
      <c r="U97" s="253"/>
    </row>
    <row r="98" spans="1:21" ht="15.75" customHeight="1">
      <c r="A98" s="253"/>
      <c r="B98" s="256"/>
      <c r="C98" s="257"/>
      <c r="D98" s="253"/>
      <c r="E98" s="253"/>
      <c r="F98" s="255"/>
      <c r="G98" s="253"/>
      <c r="H98" s="253"/>
      <c r="I98" s="253"/>
      <c r="J98" s="253"/>
      <c r="K98" s="255"/>
      <c r="L98" s="255"/>
      <c r="M98" s="255"/>
      <c r="N98" s="255"/>
      <c r="O98" s="253"/>
      <c r="P98" s="253"/>
      <c r="Q98" s="253"/>
      <c r="R98" s="253"/>
      <c r="S98" s="253"/>
      <c r="T98" s="253"/>
      <c r="U98" s="253"/>
    </row>
    <row r="99" spans="1:21" ht="15.75" customHeight="1">
      <c r="A99" s="253"/>
      <c r="B99" s="256"/>
      <c r="C99" s="257"/>
      <c r="D99" s="253"/>
      <c r="E99" s="253"/>
      <c r="F99" s="255"/>
      <c r="G99" s="253"/>
      <c r="H99" s="253"/>
      <c r="I99" s="253"/>
      <c r="J99" s="253"/>
      <c r="K99" s="255"/>
      <c r="L99" s="255"/>
      <c r="M99" s="255"/>
      <c r="N99" s="255"/>
      <c r="O99" s="253"/>
      <c r="P99" s="253"/>
      <c r="Q99" s="253"/>
      <c r="R99" s="253"/>
      <c r="S99" s="253"/>
      <c r="T99" s="253"/>
      <c r="U99" s="253"/>
    </row>
    <row r="100" spans="1:21" ht="15.75" customHeight="1">
      <c r="A100" s="253"/>
      <c r="B100" s="256"/>
      <c r="C100" s="257"/>
      <c r="D100" s="253"/>
      <c r="E100" s="253"/>
      <c r="F100" s="255"/>
      <c r="G100" s="253"/>
      <c r="H100" s="253"/>
      <c r="I100" s="253"/>
      <c r="J100" s="253"/>
      <c r="K100" s="255"/>
      <c r="L100" s="255"/>
      <c r="M100" s="255"/>
      <c r="N100" s="255"/>
      <c r="O100" s="253"/>
      <c r="P100" s="253"/>
      <c r="Q100" s="253"/>
      <c r="R100" s="253"/>
      <c r="S100" s="253"/>
      <c r="T100" s="253"/>
      <c r="U100" s="253"/>
    </row>
  </sheetData>
  <mergeCells count="1">
    <mergeCell ref="H2:M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326</v>
      </c>
      <c r="H2" s="494" t="s">
        <v>370</v>
      </c>
      <c r="I2" s="489"/>
      <c r="J2" s="489"/>
      <c r="K2" s="489"/>
      <c r="L2" s="489"/>
      <c r="M2" s="489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328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329</v>
      </c>
      <c r="G6" s="219"/>
      <c r="H6" s="219"/>
      <c r="I6" s="219"/>
      <c r="J6" s="226" t="s">
        <v>330</v>
      </c>
      <c r="K6" s="226"/>
      <c r="L6" s="226" t="s">
        <v>331</v>
      </c>
      <c r="M6" s="226" t="s">
        <v>332</v>
      </c>
      <c r="N6" s="226"/>
      <c r="O6" s="227" t="s">
        <v>333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1</v>
      </c>
      <c r="L8" s="234"/>
      <c r="M8" s="235"/>
      <c r="N8" s="236"/>
      <c r="O8" s="239">
        <v>1</v>
      </c>
      <c r="P8" s="290" t="s">
        <v>40</v>
      </c>
      <c r="Q8" s="290" t="s">
        <v>47</v>
      </c>
      <c r="R8" s="290" t="s">
        <v>67</v>
      </c>
      <c r="S8" s="290" t="s">
        <v>51</v>
      </c>
      <c r="T8" s="290" t="s">
        <v>77</v>
      </c>
      <c r="U8" s="290" t="s">
        <v>81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0</v>
      </c>
      <c r="L9" s="234"/>
      <c r="M9" s="235"/>
      <c r="N9" s="236"/>
      <c r="O9" s="240">
        <v>2</v>
      </c>
      <c r="P9" s="291" t="s">
        <v>43</v>
      </c>
      <c r="Q9" s="291" t="s">
        <v>71</v>
      </c>
      <c r="R9" s="291" t="s">
        <v>68</v>
      </c>
      <c r="S9" s="291" t="s">
        <v>59</v>
      </c>
      <c r="T9" s="291" t="s">
        <v>75</v>
      </c>
      <c r="U9" s="291" t="s">
        <v>82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1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91" t="s">
        <v>41</v>
      </c>
      <c r="Q10" s="291" t="s">
        <v>48</v>
      </c>
      <c r="R10" s="291" t="s">
        <v>56</v>
      </c>
      <c r="S10" s="291" t="s">
        <v>58</v>
      </c>
      <c r="T10" s="291" t="s">
        <v>74</v>
      </c>
      <c r="U10" s="29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91" t="s">
        <v>44</v>
      </c>
      <c r="Q11" s="291" t="s">
        <v>70</v>
      </c>
      <c r="R11" s="291" t="s">
        <v>55</v>
      </c>
      <c r="S11" s="291" t="s">
        <v>52</v>
      </c>
      <c r="T11" s="291" t="s">
        <v>78</v>
      </c>
      <c r="U11" s="29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1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1</v>
      </c>
      <c r="L14" s="234"/>
      <c r="M14" s="235"/>
      <c r="N14" s="236"/>
      <c r="O14" s="239">
        <v>1</v>
      </c>
      <c r="P14" s="290" t="s">
        <v>100</v>
      </c>
      <c r="Q14" s="290" t="s">
        <v>92</v>
      </c>
      <c r="R14" s="290" t="s">
        <v>105</v>
      </c>
      <c r="S14" s="290" t="s">
        <v>113</v>
      </c>
      <c r="T14" s="290" t="s">
        <v>128</v>
      </c>
      <c r="U14" s="290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91" t="s">
        <v>101</v>
      </c>
      <c r="Q15" s="291" t="s">
        <v>89</v>
      </c>
      <c r="R15" s="291" t="s">
        <v>109</v>
      </c>
      <c r="S15" s="291" t="s">
        <v>114</v>
      </c>
      <c r="T15" s="291" t="s">
        <v>132</v>
      </c>
      <c r="U15" s="291" t="s">
        <v>121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3</v>
      </c>
      <c r="J16" s="230" t="s">
        <v>27</v>
      </c>
      <c r="K16" s="234">
        <v>0</v>
      </c>
      <c r="L16" s="234"/>
      <c r="M16" s="235"/>
      <c r="N16" s="236"/>
      <c r="O16" s="240">
        <v>3</v>
      </c>
      <c r="P16" s="291" t="s">
        <v>96</v>
      </c>
      <c r="Q16" s="291" t="s">
        <v>88</v>
      </c>
      <c r="R16" s="291" t="s">
        <v>106</v>
      </c>
      <c r="S16" s="291" t="s">
        <v>117</v>
      </c>
      <c r="T16" s="291" t="s">
        <v>129</v>
      </c>
      <c r="U16" s="291" t="s">
        <v>125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1</v>
      </c>
      <c r="L17" s="234"/>
      <c r="M17" s="235"/>
      <c r="N17" s="236"/>
      <c r="O17" s="240">
        <v>4</v>
      </c>
      <c r="P17" s="291" t="s">
        <v>97</v>
      </c>
      <c r="Q17" s="291" t="s">
        <v>93</v>
      </c>
      <c r="R17" s="291" t="s">
        <v>108</v>
      </c>
      <c r="S17" s="291" t="s">
        <v>118</v>
      </c>
      <c r="T17" s="291" t="s">
        <v>131</v>
      </c>
      <c r="U17" s="29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1</v>
      </c>
      <c r="J19" s="230" t="s">
        <v>27</v>
      </c>
      <c r="K19" s="234">
        <v>1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3</v>
      </c>
      <c r="J20" s="230" t="s">
        <v>27</v>
      </c>
      <c r="K20" s="234">
        <v>0</v>
      </c>
      <c r="L20" s="234"/>
      <c r="M20" s="235"/>
      <c r="N20" s="236"/>
      <c r="O20" s="242" t="s">
        <v>334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2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2</v>
      </c>
      <c r="J22" s="230" t="s">
        <v>27</v>
      </c>
      <c r="K22" s="234">
        <v>1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2</v>
      </c>
      <c r="J23" s="230" t="s">
        <v>27</v>
      </c>
      <c r="K23" s="234">
        <v>0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2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1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2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1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0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2</v>
      </c>
      <c r="J29" s="230" t="s">
        <v>27</v>
      </c>
      <c r="K29" s="234">
        <v>0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0</v>
      </c>
      <c r="J30" s="230" t="s">
        <v>27</v>
      </c>
      <c r="K30" s="234">
        <v>2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0</v>
      </c>
      <c r="J31" s="230" t="s">
        <v>27</v>
      </c>
      <c r="K31" s="234">
        <v>1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1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0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0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4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0</v>
      </c>
      <c r="J36" s="230" t="s">
        <v>27</v>
      </c>
      <c r="K36" s="234">
        <v>1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1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1</v>
      </c>
      <c r="J38" s="230" t="s">
        <v>371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2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2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2</v>
      </c>
      <c r="J41" s="230" t="s">
        <v>27</v>
      </c>
      <c r="K41" s="234">
        <v>0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2</v>
      </c>
      <c r="J44" s="230" t="s">
        <v>27</v>
      </c>
      <c r="K44" s="234">
        <v>0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1</v>
      </c>
      <c r="J45" s="230" t="s">
        <v>27</v>
      </c>
      <c r="K45" s="234">
        <v>0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1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1</v>
      </c>
      <c r="J47" s="230" t="s">
        <v>27</v>
      </c>
      <c r="K47" s="234">
        <v>1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3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1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1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2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2</v>
      </c>
      <c r="J54" s="230" t="s">
        <v>27</v>
      </c>
      <c r="K54" s="234">
        <v>0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0</v>
      </c>
      <c r="J55" s="230" t="s">
        <v>27</v>
      </c>
      <c r="K55" s="234">
        <v>2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1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1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0</v>
      </c>
      <c r="J61" s="230" t="s">
        <v>27</v>
      </c>
      <c r="K61" s="234">
        <v>2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1</v>
      </c>
      <c r="J62" s="230" t="s">
        <v>27</v>
      </c>
      <c r="K62" s="234">
        <v>2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1</v>
      </c>
      <c r="J63" s="230" t="s">
        <v>27</v>
      </c>
      <c r="K63" s="234">
        <v>1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0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0</v>
      </c>
      <c r="J67" s="230" t="s">
        <v>27</v>
      </c>
      <c r="K67" s="234">
        <v>2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1</v>
      </c>
      <c r="J68" s="230" t="s">
        <v>27</v>
      </c>
      <c r="K68" s="234">
        <v>0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1</v>
      </c>
      <c r="J69" s="230" t="s">
        <v>27</v>
      </c>
      <c r="K69" s="234">
        <v>0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2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1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2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3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1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1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2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1</v>
      </c>
      <c r="J78" s="230" t="s">
        <v>27</v>
      </c>
      <c r="K78" s="234">
        <v>0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335</v>
      </c>
      <c r="E79" s="244" t="s">
        <v>128</v>
      </c>
      <c r="F79" s="245" t="s">
        <v>27</v>
      </c>
      <c r="G79" s="244" t="s">
        <v>105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336</v>
      </c>
      <c r="E80" s="247" t="s">
        <v>92</v>
      </c>
      <c r="F80" s="245" t="s">
        <v>27</v>
      </c>
      <c r="G80" s="247" t="s">
        <v>68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337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326</v>
      </c>
      <c r="H2" s="496" t="s">
        <v>372</v>
      </c>
      <c r="I2" s="487"/>
      <c r="J2" s="487"/>
      <c r="K2" s="487"/>
      <c r="L2" s="487"/>
      <c r="M2" s="487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328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329</v>
      </c>
      <c r="G6" s="298"/>
      <c r="H6" s="298"/>
      <c r="I6" s="298"/>
      <c r="J6" s="297" t="s">
        <v>330</v>
      </c>
      <c r="K6" s="297"/>
      <c r="L6" s="297" t="s">
        <v>331</v>
      </c>
      <c r="M6" s="297" t="s">
        <v>332</v>
      </c>
      <c r="N6" s="297"/>
      <c r="O6" s="311" t="s">
        <v>333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2</v>
      </c>
      <c r="J8" s="315" t="s">
        <v>27</v>
      </c>
      <c r="K8" s="317">
        <v>1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2</v>
      </c>
      <c r="J9" s="315" t="s">
        <v>27</v>
      </c>
      <c r="K9" s="317">
        <v>0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1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1</v>
      </c>
      <c r="J12" s="315" t="s">
        <v>27</v>
      </c>
      <c r="K12" s="317">
        <v>2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2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1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6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3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0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6</v>
      </c>
      <c r="J20" s="315" t="s">
        <v>27</v>
      </c>
      <c r="K20" s="317">
        <v>0</v>
      </c>
      <c r="L20" s="318"/>
      <c r="M20" s="319"/>
      <c r="N20" s="306"/>
      <c r="O20" s="304" t="s">
        <v>334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1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0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4</v>
      </c>
      <c r="J23" s="315" t="s">
        <v>27</v>
      </c>
      <c r="K23" s="317">
        <v>0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0</v>
      </c>
      <c r="J24" s="315" t="s">
        <v>27</v>
      </c>
      <c r="K24" s="317">
        <v>2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3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1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4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0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1</v>
      </c>
      <c r="J31" s="315" t="s">
        <v>27</v>
      </c>
      <c r="K31" s="317">
        <v>1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1</v>
      </c>
      <c r="J32" s="315" t="s">
        <v>27</v>
      </c>
      <c r="K32" s="317">
        <v>0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2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1</v>
      </c>
      <c r="J34" s="315" t="s">
        <v>27</v>
      </c>
      <c r="K34" s="317">
        <v>2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5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3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1</v>
      </c>
      <c r="J37" s="315" t="s">
        <v>27</v>
      </c>
      <c r="K37" s="317">
        <v>1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4</v>
      </c>
      <c r="J39" s="315" t="s">
        <v>27</v>
      </c>
      <c r="K39" s="317">
        <v>0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2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3</v>
      </c>
      <c r="J41" s="315" t="s">
        <v>27</v>
      </c>
      <c r="K41" s="317">
        <v>1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2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4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5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3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1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1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5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4</v>
      </c>
      <c r="J49" s="315" t="s">
        <v>27</v>
      </c>
      <c r="K49" s="317">
        <v>1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2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4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3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4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4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1</v>
      </c>
      <c r="J57" s="315" t="s">
        <v>27</v>
      </c>
      <c r="K57" s="317">
        <v>1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2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2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4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2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0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1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1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2</v>
      </c>
      <c r="J69" s="315" t="s">
        <v>27</v>
      </c>
      <c r="K69" s="317">
        <v>0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2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1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2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3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3</v>
      </c>
      <c r="J74" s="315" t="s">
        <v>27</v>
      </c>
      <c r="K74" s="317">
        <v>2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4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2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335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336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337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326</v>
      </c>
      <c r="H2" s="496" t="s">
        <v>373</v>
      </c>
      <c r="I2" s="487"/>
      <c r="J2" s="487"/>
      <c r="K2" s="487"/>
      <c r="L2" s="487"/>
      <c r="M2" s="487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328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329</v>
      </c>
      <c r="G6" s="298"/>
      <c r="H6" s="298"/>
      <c r="I6" s="298"/>
      <c r="J6" s="297" t="s">
        <v>330</v>
      </c>
      <c r="K6" s="297"/>
      <c r="L6" s="297" t="s">
        <v>331</v>
      </c>
      <c r="M6" s="297" t="s">
        <v>332</v>
      </c>
      <c r="N6" s="297"/>
      <c r="O6" s="311" t="s">
        <v>333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1</v>
      </c>
      <c r="J8" s="315" t="s">
        <v>27</v>
      </c>
      <c r="K8" s="317">
        <v>2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1</v>
      </c>
      <c r="J9" s="315" t="s">
        <v>27</v>
      </c>
      <c r="K9" s="317">
        <v>2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2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0</v>
      </c>
      <c r="J12" s="315" t="s">
        <v>27</v>
      </c>
      <c r="K12" s="317">
        <v>1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3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2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4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2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1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3</v>
      </c>
      <c r="J20" s="315" t="s">
        <v>27</v>
      </c>
      <c r="K20" s="317">
        <v>0</v>
      </c>
      <c r="L20" s="318"/>
      <c r="M20" s="319"/>
      <c r="N20" s="306"/>
      <c r="O20" s="304" t="s">
        <v>334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2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1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3</v>
      </c>
      <c r="J23" s="315" t="s">
        <v>27</v>
      </c>
      <c r="K23" s="317">
        <v>1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1</v>
      </c>
      <c r="J24" s="315" t="s">
        <v>27</v>
      </c>
      <c r="K24" s="317">
        <v>1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2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0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2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1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2</v>
      </c>
      <c r="J31" s="315" t="s">
        <v>27</v>
      </c>
      <c r="K31" s="317">
        <v>0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2</v>
      </c>
      <c r="J32" s="315" t="s">
        <v>27</v>
      </c>
      <c r="K32" s="317">
        <v>1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1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2</v>
      </c>
      <c r="J34" s="315" t="s">
        <v>27</v>
      </c>
      <c r="K34" s="317">
        <v>1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4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2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2</v>
      </c>
      <c r="J37" s="315" t="s">
        <v>27</v>
      </c>
      <c r="K37" s="317">
        <v>0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2</v>
      </c>
      <c r="J39" s="315" t="s">
        <v>27</v>
      </c>
      <c r="K39" s="317">
        <v>1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1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2</v>
      </c>
      <c r="J41" s="315" t="s">
        <v>27</v>
      </c>
      <c r="K41" s="317">
        <v>0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0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2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3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2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2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2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3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2</v>
      </c>
      <c r="J49" s="315" t="s">
        <v>27</v>
      </c>
      <c r="K49" s="317">
        <v>0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1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2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2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3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2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2</v>
      </c>
      <c r="J57" s="315" t="s">
        <v>27</v>
      </c>
      <c r="K57" s="317">
        <v>0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1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1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3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1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1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0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2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1</v>
      </c>
      <c r="J69" s="315" t="s">
        <v>27</v>
      </c>
      <c r="K69" s="317">
        <v>1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4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0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1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4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1</v>
      </c>
      <c r="J74" s="315" t="s">
        <v>27</v>
      </c>
      <c r="K74" s="317">
        <v>1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3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1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335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336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337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U87"/>
  <sheetViews>
    <sheetView workbookViewId="0">
      <selection activeCell="P8" sqref="P8:U11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16384" width="11.42578125" style="174"/>
  </cols>
  <sheetData>
    <row r="2" spans="2:21" ht="20.100000000000001" customHeight="1">
      <c r="G2" s="172" t="s">
        <v>326</v>
      </c>
      <c r="H2" s="497" t="s">
        <v>374</v>
      </c>
      <c r="I2" s="487"/>
      <c r="J2" s="487"/>
      <c r="K2" s="487"/>
      <c r="L2" s="487"/>
      <c r="M2" s="487"/>
      <c r="N2" s="174"/>
    </row>
    <row r="4" spans="2:21" ht="18" customHeight="1">
      <c r="B4" s="176" t="s">
        <v>328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329</v>
      </c>
      <c r="G6" s="180"/>
      <c r="H6" s="180"/>
      <c r="I6" s="180"/>
      <c r="J6" s="179" t="s">
        <v>330</v>
      </c>
      <c r="K6" s="179"/>
      <c r="L6" s="179" t="s">
        <v>331</v>
      </c>
      <c r="M6" s="179" t="s">
        <v>332</v>
      </c>
      <c r="N6" s="179"/>
      <c r="O6" s="181" t="s">
        <v>333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0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52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1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1</v>
      </c>
      <c r="J10" s="184" t="s">
        <v>27</v>
      </c>
      <c r="K10" s="188">
        <v>2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58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4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51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1</v>
      </c>
      <c r="J12" s="184" t="s">
        <v>27</v>
      </c>
      <c r="K12" s="188">
        <v>1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0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1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1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4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3</v>
      </c>
      <c r="J17" s="184" t="s">
        <v>27</v>
      </c>
      <c r="K17" s="188">
        <v>1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334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1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0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2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2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2</v>
      </c>
      <c r="J26" s="184" t="s">
        <v>27</v>
      </c>
      <c r="K26" s="188">
        <v>1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1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2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1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1</v>
      </c>
      <c r="J32" s="184" t="s">
        <v>27</v>
      </c>
      <c r="K32" s="188">
        <v>1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2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2</v>
      </c>
      <c r="J34" s="184" t="s">
        <v>27</v>
      </c>
      <c r="K34" s="188">
        <v>0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2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1</v>
      </c>
      <c r="J38" s="184" t="s">
        <v>27</v>
      </c>
      <c r="K38" s="188">
        <v>2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2</v>
      </c>
      <c r="J39" s="184" t="s">
        <v>27</v>
      </c>
      <c r="K39" s="188">
        <v>0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0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1</v>
      </c>
      <c r="J41" s="184" t="s">
        <v>27</v>
      </c>
      <c r="K41" s="188">
        <v>1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2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2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2</v>
      </c>
      <c r="J44" s="184" t="s">
        <v>27</v>
      </c>
      <c r="K44" s="188">
        <v>0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1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1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1</v>
      </c>
      <c r="J47" s="184" t="s">
        <v>27</v>
      </c>
      <c r="K47" s="188">
        <v>2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2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0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1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2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2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0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1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0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0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2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0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0</v>
      </c>
      <c r="J67" s="184" t="s">
        <v>27</v>
      </c>
      <c r="K67" s="188">
        <v>1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1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1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0</v>
      </c>
      <c r="J71" s="184" t="s">
        <v>27</v>
      </c>
      <c r="K71" s="188">
        <v>1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2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0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335</v>
      </c>
      <c r="E79" s="205" t="s">
        <v>67</v>
      </c>
      <c r="F79" s="202" t="s">
        <v>27</v>
      </c>
      <c r="G79" s="201" t="s">
        <v>77</v>
      </c>
      <c r="L79" s="203"/>
      <c r="M79" s="203"/>
      <c r="N79" s="191"/>
    </row>
    <row r="80" spans="2:14" ht="15">
      <c r="C80" s="204"/>
      <c r="D80" s="172" t="s">
        <v>336</v>
      </c>
      <c r="E80" s="174" t="s">
        <v>100</v>
      </c>
      <c r="F80" s="202" t="s">
        <v>27</v>
      </c>
      <c r="G80" s="205" t="s">
        <v>124</v>
      </c>
      <c r="L80" s="206"/>
      <c r="M80" s="206"/>
      <c r="N80" s="191"/>
    </row>
    <row r="81" spans="1:14" ht="15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337</v>
      </c>
      <c r="M82" s="208"/>
      <c r="N82" s="191"/>
    </row>
    <row r="83" spans="1:14" ht="15">
      <c r="C83" s="204"/>
      <c r="F83" s="174"/>
      <c r="K83" s="174"/>
      <c r="L83" s="174"/>
      <c r="M83" s="174"/>
      <c r="N83" s="191"/>
    </row>
    <row r="84" spans="1:14" ht="15">
      <c r="A84" s="172"/>
      <c r="C84" s="204"/>
      <c r="F84" s="174"/>
      <c r="G84" s="175"/>
      <c r="K84" s="174"/>
    </row>
    <row r="85" spans="1:14" ht="15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U87"/>
  <sheetViews>
    <sheetView workbookViewId="0"/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498" t="s">
        <v>375</v>
      </c>
      <c r="I2" s="499"/>
      <c r="J2" s="499"/>
      <c r="K2" s="499"/>
      <c r="L2" s="499"/>
      <c r="M2" s="499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66" t="s">
        <v>40</v>
      </c>
      <c r="Q8" s="465" t="s">
        <v>71</v>
      </c>
      <c r="R8" s="465" t="s">
        <v>67</v>
      </c>
      <c r="S8" s="465" t="s">
        <v>59</v>
      </c>
      <c r="T8" s="465" t="s">
        <v>77</v>
      </c>
      <c r="U8" s="466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43</v>
      </c>
      <c r="Q9" s="466" t="s">
        <v>47</v>
      </c>
      <c r="R9" s="465" t="s">
        <v>68</v>
      </c>
      <c r="S9" s="466" t="s">
        <v>51</v>
      </c>
      <c r="T9" s="466" t="s">
        <v>74</v>
      </c>
      <c r="U9" s="465" t="s">
        <v>84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65" t="s">
        <v>44</v>
      </c>
      <c r="Q10" s="465" t="s">
        <v>48</v>
      </c>
      <c r="R10" s="465" t="s">
        <v>56</v>
      </c>
      <c r="S10" s="465" t="s">
        <v>52</v>
      </c>
      <c r="T10" s="465" t="s">
        <v>75</v>
      </c>
      <c r="U10" s="465" t="s">
        <v>82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65" t="s">
        <v>41</v>
      </c>
      <c r="Q11" s="465" t="s">
        <v>70</v>
      </c>
      <c r="R11" s="466" t="s">
        <v>55</v>
      </c>
      <c r="S11" s="465" t="s">
        <v>58</v>
      </c>
      <c r="T11" s="465" t="s">
        <v>78</v>
      </c>
      <c r="U11" s="46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3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0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65" t="s">
        <v>101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6" t="s">
        <v>121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6" t="s">
        <v>96</v>
      </c>
      <c r="Q16" s="466" t="s">
        <v>88</v>
      </c>
      <c r="R16" s="465" t="s">
        <v>106</v>
      </c>
      <c r="S16" s="465" t="s">
        <v>114</v>
      </c>
      <c r="T16" s="465" t="s">
        <v>129</v>
      </c>
      <c r="U16" s="465" t="s">
        <v>125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65" t="s">
        <v>97</v>
      </c>
      <c r="Q17" s="465" t="s">
        <v>93</v>
      </c>
      <c r="R17" s="465" t="s">
        <v>108</v>
      </c>
      <c r="S17" s="465" t="s">
        <v>118</v>
      </c>
      <c r="T17" s="465" t="s">
        <v>131</v>
      </c>
      <c r="U17" s="46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3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3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2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7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3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4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2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1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5</v>
      </c>
      <c r="J44" s="468" t="s">
        <v>27</v>
      </c>
      <c r="K44" s="470">
        <v>1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3</v>
      </c>
      <c r="J45" s="468" t="s">
        <v>27</v>
      </c>
      <c r="K45" s="470">
        <v>1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3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2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6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3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3</v>
      </c>
      <c r="J51" s="468" t="s">
        <v>27</v>
      </c>
      <c r="K51" s="470">
        <v>1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1</v>
      </c>
      <c r="J52" s="468" t="s">
        <v>27</v>
      </c>
      <c r="K52" s="470">
        <v>4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5</v>
      </c>
      <c r="J53" s="468" t="s">
        <v>27</v>
      </c>
      <c r="K53" s="470">
        <v>0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3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4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0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2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3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2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3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0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1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2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1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1</v>
      </c>
      <c r="J73" s="468" t="s">
        <v>27</v>
      </c>
      <c r="K73" s="470">
        <v>4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5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2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67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92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U87"/>
  <sheetViews>
    <sheetView workbookViewId="0">
      <selection sqref="A1:U8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39" t="s">
        <v>326</v>
      </c>
      <c r="H2" s="500" t="s">
        <v>376</v>
      </c>
      <c r="I2" s="500"/>
      <c r="J2" s="500"/>
      <c r="K2" s="500"/>
      <c r="L2" s="500"/>
      <c r="M2" s="500"/>
      <c r="N2" s="336"/>
      <c r="O2" s="335"/>
      <c r="P2" s="335"/>
      <c r="Q2" s="335"/>
      <c r="R2" s="335"/>
      <c r="S2" s="335"/>
      <c r="T2" s="335"/>
      <c r="U2" s="335"/>
    </row>
    <row r="4" spans="2:21" ht="18">
      <c r="B4" s="340" t="s">
        <v>328</v>
      </c>
      <c r="C4" s="335"/>
      <c r="D4" s="335"/>
      <c r="E4" s="335"/>
      <c r="F4" s="335"/>
      <c r="G4" s="339"/>
      <c r="H4" s="339"/>
      <c r="I4" s="339"/>
      <c r="J4" s="339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341"/>
      <c r="D5" s="335"/>
      <c r="E5" s="335"/>
      <c r="F5" s="335"/>
      <c r="G5" s="339"/>
      <c r="H5" s="339"/>
      <c r="I5" s="339"/>
      <c r="J5" s="339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342" t="s">
        <v>24</v>
      </c>
      <c r="D6" s="343" t="s">
        <v>25</v>
      </c>
      <c r="E6" s="337"/>
      <c r="F6" s="343" t="s">
        <v>329</v>
      </c>
      <c r="G6" s="337"/>
      <c r="H6" s="337"/>
      <c r="I6" s="337"/>
      <c r="J6" s="343" t="s">
        <v>330</v>
      </c>
      <c r="K6" s="343"/>
      <c r="L6" s="343" t="s">
        <v>331</v>
      </c>
      <c r="M6" s="343" t="s">
        <v>332</v>
      </c>
      <c r="N6" s="343"/>
      <c r="O6" s="344" t="s">
        <v>333</v>
      </c>
      <c r="P6" s="335"/>
      <c r="Q6" s="335"/>
      <c r="R6" s="335"/>
      <c r="S6" s="335"/>
      <c r="T6" s="335"/>
      <c r="U6" s="335"/>
    </row>
    <row r="7" spans="2:21" ht="16.5" thickBot="1">
      <c r="B7" s="345">
        <v>1</v>
      </c>
      <c r="C7" s="346" t="s">
        <v>38</v>
      </c>
      <c r="D7" s="347" t="s">
        <v>39</v>
      </c>
      <c r="E7" s="348" t="s">
        <v>40</v>
      </c>
      <c r="F7" s="347" t="s">
        <v>27</v>
      </c>
      <c r="G7" s="349" t="s">
        <v>41</v>
      </c>
      <c r="H7" s="350"/>
      <c r="I7" s="351">
        <v>2</v>
      </c>
      <c r="J7" s="347" t="s">
        <v>27</v>
      </c>
      <c r="K7" s="351">
        <v>1</v>
      </c>
      <c r="L7" s="352"/>
      <c r="M7" s="353"/>
      <c r="N7" s="335"/>
      <c r="O7" s="354" t="s">
        <v>31</v>
      </c>
      <c r="P7" s="355" t="s">
        <v>32</v>
      </c>
      <c r="Q7" s="355" t="s">
        <v>33</v>
      </c>
      <c r="R7" s="355" t="s">
        <v>34</v>
      </c>
      <c r="S7" s="355" t="s">
        <v>35</v>
      </c>
      <c r="T7" s="355" t="s">
        <v>36</v>
      </c>
      <c r="U7" s="355" t="s">
        <v>37</v>
      </c>
    </row>
    <row r="8" spans="2:21" ht="15.75">
      <c r="B8" s="345">
        <v>2</v>
      </c>
      <c r="C8" s="346" t="s">
        <v>42</v>
      </c>
      <c r="D8" s="347" t="s">
        <v>39</v>
      </c>
      <c r="E8" s="348" t="s">
        <v>43</v>
      </c>
      <c r="F8" s="347" t="s">
        <v>27</v>
      </c>
      <c r="G8" s="349" t="s">
        <v>44</v>
      </c>
      <c r="H8" s="350"/>
      <c r="I8" s="351">
        <v>1</v>
      </c>
      <c r="J8" s="347" t="s">
        <v>27</v>
      </c>
      <c r="K8" s="351">
        <v>1</v>
      </c>
      <c r="L8" s="352"/>
      <c r="M8" s="353"/>
      <c r="N8" s="335"/>
      <c r="O8" s="356">
        <v>1</v>
      </c>
      <c r="P8" s="357" t="s">
        <v>44</v>
      </c>
      <c r="Q8" s="357" t="s">
        <v>71</v>
      </c>
      <c r="R8" s="357" t="s">
        <v>67</v>
      </c>
      <c r="S8" s="357" t="s">
        <v>51</v>
      </c>
      <c r="T8" s="357" t="s">
        <v>77</v>
      </c>
      <c r="U8" s="357" t="s">
        <v>81</v>
      </c>
    </row>
    <row r="9" spans="2:21" ht="15.75">
      <c r="B9" s="345">
        <v>3</v>
      </c>
      <c r="C9" s="346" t="s">
        <v>45</v>
      </c>
      <c r="D9" s="347" t="s">
        <v>46</v>
      </c>
      <c r="E9" s="348" t="s">
        <v>47</v>
      </c>
      <c r="F9" s="347" t="s">
        <v>27</v>
      </c>
      <c r="G9" s="349" t="s">
        <v>48</v>
      </c>
      <c r="H9" s="350"/>
      <c r="I9" s="351">
        <v>2</v>
      </c>
      <c r="J9" s="347" t="s">
        <v>27</v>
      </c>
      <c r="K9" s="351">
        <v>1</v>
      </c>
      <c r="L9" s="352"/>
      <c r="M9" s="353"/>
      <c r="N9" s="335"/>
      <c r="O9" s="358">
        <v>2</v>
      </c>
      <c r="P9" s="359" t="s">
        <v>40</v>
      </c>
      <c r="Q9" s="359" t="s">
        <v>47</v>
      </c>
      <c r="R9" s="359" t="s">
        <v>68</v>
      </c>
      <c r="S9" s="359" t="s">
        <v>59</v>
      </c>
      <c r="T9" s="359" t="s">
        <v>75</v>
      </c>
      <c r="U9" s="359" t="s">
        <v>82</v>
      </c>
    </row>
    <row r="10" spans="2:21" ht="15.75">
      <c r="B10" s="345">
        <v>4</v>
      </c>
      <c r="C10" s="346" t="s">
        <v>49</v>
      </c>
      <c r="D10" s="347" t="s">
        <v>50</v>
      </c>
      <c r="E10" s="348" t="s">
        <v>51</v>
      </c>
      <c r="F10" s="347" t="s">
        <v>27</v>
      </c>
      <c r="G10" s="349" t="s">
        <v>52</v>
      </c>
      <c r="H10" s="350"/>
      <c r="I10" s="351">
        <v>2</v>
      </c>
      <c r="J10" s="347" t="s">
        <v>27</v>
      </c>
      <c r="K10" s="351">
        <v>0</v>
      </c>
      <c r="L10" s="352"/>
      <c r="M10" s="353"/>
      <c r="N10" s="335"/>
      <c r="O10" s="358">
        <v>3</v>
      </c>
      <c r="P10" s="359" t="s">
        <v>43</v>
      </c>
      <c r="Q10" s="359" t="s">
        <v>48</v>
      </c>
      <c r="R10" s="359" t="s">
        <v>56</v>
      </c>
      <c r="S10" s="359" t="s">
        <v>58</v>
      </c>
      <c r="T10" s="359" t="s">
        <v>74</v>
      </c>
      <c r="U10" s="359" t="s">
        <v>84</v>
      </c>
    </row>
    <row r="11" spans="2:21" ht="15.75">
      <c r="B11" s="345">
        <v>5</v>
      </c>
      <c r="C11" s="346" t="s">
        <v>53</v>
      </c>
      <c r="D11" s="347" t="s">
        <v>54</v>
      </c>
      <c r="E11" s="348" t="s">
        <v>55</v>
      </c>
      <c r="F11" s="347" t="s">
        <v>27</v>
      </c>
      <c r="G11" s="349" t="s">
        <v>56</v>
      </c>
      <c r="H11" s="350"/>
      <c r="I11" s="351">
        <v>0</v>
      </c>
      <c r="J11" s="347" t="s">
        <v>27</v>
      </c>
      <c r="K11" s="351">
        <v>2</v>
      </c>
      <c r="L11" s="352"/>
      <c r="M11" s="353"/>
      <c r="N11" s="335"/>
      <c r="O11" s="358">
        <v>4</v>
      </c>
      <c r="P11" s="359" t="s">
        <v>41</v>
      </c>
      <c r="Q11" s="359" t="s">
        <v>70</v>
      </c>
      <c r="R11" s="359" t="s">
        <v>55</v>
      </c>
      <c r="S11" s="359" t="s">
        <v>52</v>
      </c>
      <c r="T11" s="359" t="s">
        <v>78</v>
      </c>
      <c r="U11" s="359" t="s">
        <v>85</v>
      </c>
    </row>
    <row r="12" spans="2:21" ht="16.5" thickBot="1">
      <c r="B12" s="345">
        <v>6</v>
      </c>
      <c r="C12" s="346" t="s">
        <v>57</v>
      </c>
      <c r="D12" s="347" t="s">
        <v>50</v>
      </c>
      <c r="E12" s="348" t="s">
        <v>58</v>
      </c>
      <c r="F12" s="347" t="s">
        <v>27</v>
      </c>
      <c r="G12" s="349" t="s">
        <v>59</v>
      </c>
      <c r="H12" s="350"/>
      <c r="I12" s="351">
        <v>1</v>
      </c>
      <c r="J12" s="347" t="s">
        <v>27</v>
      </c>
      <c r="K12" s="351">
        <v>1</v>
      </c>
      <c r="L12" s="352"/>
      <c r="M12" s="353"/>
      <c r="N12" s="335"/>
      <c r="O12" s="335"/>
      <c r="P12" s="335"/>
      <c r="Q12" s="335"/>
      <c r="R12" s="335"/>
      <c r="S12" s="335"/>
      <c r="T12" s="335"/>
      <c r="U12" s="335"/>
    </row>
    <row r="13" spans="2:21" ht="16.5" thickBot="1">
      <c r="B13" s="345">
        <v>7</v>
      </c>
      <c r="C13" s="346" t="s">
        <v>66</v>
      </c>
      <c r="D13" s="347" t="s">
        <v>54</v>
      </c>
      <c r="E13" s="348" t="s">
        <v>67</v>
      </c>
      <c r="F13" s="347" t="s">
        <v>27</v>
      </c>
      <c r="G13" s="349" t="s">
        <v>68</v>
      </c>
      <c r="H13" s="350"/>
      <c r="I13" s="351">
        <v>2</v>
      </c>
      <c r="J13" s="347" t="s">
        <v>27</v>
      </c>
      <c r="K13" s="351">
        <v>1</v>
      </c>
      <c r="L13" s="352"/>
      <c r="M13" s="353"/>
      <c r="N13" s="335"/>
      <c r="O13" s="354" t="s">
        <v>31</v>
      </c>
      <c r="P13" s="355" t="s">
        <v>60</v>
      </c>
      <c r="Q13" s="355" t="s">
        <v>61</v>
      </c>
      <c r="R13" s="355" t="s">
        <v>62</v>
      </c>
      <c r="S13" s="355" t="s">
        <v>63</v>
      </c>
      <c r="T13" s="355" t="s">
        <v>64</v>
      </c>
      <c r="U13" s="355" t="s">
        <v>65</v>
      </c>
    </row>
    <row r="14" spans="2:21" ht="15.75">
      <c r="B14" s="345">
        <v>8</v>
      </c>
      <c r="C14" s="346" t="s">
        <v>69</v>
      </c>
      <c r="D14" s="347" t="s">
        <v>46</v>
      </c>
      <c r="E14" s="348" t="s">
        <v>70</v>
      </c>
      <c r="F14" s="347" t="s">
        <v>27</v>
      </c>
      <c r="G14" s="349" t="s">
        <v>71</v>
      </c>
      <c r="H14" s="350"/>
      <c r="I14" s="351">
        <v>0</v>
      </c>
      <c r="J14" s="347" t="s">
        <v>27</v>
      </c>
      <c r="K14" s="351">
        <v>2</v>
      </c>
      <c r="L14" s="352"/>
      <c r="M14" s="353"/>
      <c r="N14" s="335"/>
      <c r="O14" s="356">
        <v>1</v>
      </c>
      <c r="P14" s="357" t="s">
        <v>100</v>
      </c>
      <c r="Q14" s="357" t="s">
        <v>92</v>
      </c>
      <c r="R14" s="357" t="s">
        <v>105</v>
      </c>
      <c r="S14" s="357" t="s">
        <v>113</v>
      </c>
      <c r="T14" s="357" t="s">
        <v>128</v>
      </c>
      <c r="U14" s="357" t="s">
        <v>124</v>
      </c>
    </row>
    <row r="15" spans="2:21" ht="15.75">
      <c r="B15" s="345">
        <v>9</v>
      </c>
      <c r="C15" s="346" t="s">
        <v>72</v>
      </c>
      <c r="D15" s="347" t="s">
        <v>73</v>
      </c>
      <c r="E15" s="348" t="s">
        <v>74</v>
      </c>
      <c r="F15" s="347" t="s">
        <v>27</v>
      </c>
      <c r="G15" s="349" t="s">
        <v>75</v>
      </c>
      <c r="H15" s="350"/>
      <c r="I15" s="351">
        <v>1</v>
      </c>
      <c r="J15" s="347" t="s">
        <v>27</v>
      </c>
      <c r="K15" s="351">
        <v>1</v>
      </c>
      <c r="L15" s="352"/>
      <c r="M15" s="353"/>
      <c r="N15" s="335"/>
      <c r="O15" s="358">
        <v>2</v>
      </c>
      <c r="P15" s="359" t="s">
        <v>96</v>
      </c>
      <c r="Q15" s="359" t="s">
        <v>89</v>
      </c>
      <c r="R15" s="359" t="s">
        <v>106</v>
      </c>
      <c r="S15" s="359" t="s">
        <v>117</v>
      </c>
      <c r="T15" s="359" t="s">
        <v>132</v>
      </c>
      <c r="U15" s="359" t="s">
        <v>125</v>
      </c>
    </row>
    <row r="16" spans="2:21" ht="15.75">
      <c r="B16" s="345">
        <v>10</v>
      </c>
      <c r="C16" s="346" t="s">
        <v>76</v>
      </c>
      <c r="D16" s="347" t="s">
        <v>73</v>
      </c>
      <c r="E16" s="348" t="s">
        <v>77</v>
      </c>
      <c r="F16" s="347" t="s">
        <v>27</v>
      </c>
      <c r="G16" s="349" t="s">
        <v>78</v>
      </c>
      <c r="H16" s="350"/>
      <c r="I16" s="351">
        <v>4</v>
      </c>
      <c r="J16" s="347" t="s">
        <v>27</v>
      </c>
      <c r="K16" s="351">
        <v>0</v>
      </c>
      <c r="L16" s="352"/>
      <c r="M16" s="353"/>
      <c r="N16" s="335"/>
      <c r="O16" s="358">
        <v>3</v>
      </c>
      <c r="P16" s="359" t="s">
        <v>101</v>
      </c>
      <c r="Q16" s="359" t="s">
        <v>93</v>
      </c>
      <c r="R16" s="359" t="s">
        <v>109</v>
      </c>
      <c r="S16" s="359" t="s">
        <v>114</v>
      </c>
      <c r="T16" s="359" t="s">
        <v>129</v>
      </c>
      <c r="U16" s="359" t="s">
        <v>121</v>
      </c>
    </row>
    <row r="17" spans="2:21" ht="15.75">
      <c r="B17" s="345">
        <v>11</v>
      </c>
      <c r="C17" s="346" t="s">
        <v>79</v>
      </c>
      <c r="D17" s="347" t="s">
        <v>80</v>
      </c>
      <c r="E17" s="348" t="s">
        <v>81</v>
      </c>
      <c r="F17" s="347" t="s">
        <v>27</v>
      </c>
      <c r="G17" s="349" t="s">
        <v>82</v>
      </c>
      <c r="H17" s="350"/>
      <c r="I17" s="351">
        <v>1</v>
      </c>
      <c r="J17" s="347" t="s">
        <v>27</v>
      </c>
      <c r="K17" s="351">
        <v>1</v>
      </c>
      <c r="L17" s="352"/>
      <c r="M17" s="353"/>
      <c r="N17" s="335"/>
      <c r="O17" s="358">
        <v>4</v>
      </c>
      <c r="P17" s="359" t="s">
        <v>97</v>
      </c>
      <c r="Q17" s="359" t="s">
        <v>88</v>
      </c>
      <c r="R17" s="359" t="s">
        <v>108</v>
      </c>
      <c r="S17" s="359" t="s">
        <v>118</v>
      </c>
      <c r="T17" s="359" t="s">
        <v>131</v>
      </c>
      <c r="U17" s="359" t="s">
        <v>122</v>
      </c>
    </row>
    <row r="18" spans="2:21" ht="15.75">
      <c r="B18" s="345">
        <v>12</v>
      </c>
      <c r="C18" s="346" t="s">
        <v>83</v>
      </c>
      <c r="D18" s="347" t="s">
        <v>80</v>
      </c>
      <c r="E18" s="348" t="s">
        <v>84</v>
      </c>
      <c r="F18" s="347" t="s">
        <v>27</v>
      </c>
      <c r="G18" s="349" t="s">
        <v>85</v>
      </c>
      <c r="H18" s="350"/>
      <c r="I18" s="351">
        <v>2</v>
      </c>
      <c r="J18" s="347" t="s">
        <v>27</v>
      </c>
      <c r="K18" s="351">
        <v>0</v>
      </c>
      <c r="L18" s="352"/>
      <c r="M18" s="353"/>
      <c r="N18" s="335"/>
      <c r="O18" s="335"/>
      <c r="P18" s="360"/>
      <c r="Q18" s="360"/>
      <c r="R18" s="360"/>
      <c r="S18" s="360"/>
      <c r="T18" s="360"/>
      <c r="U18" s="360"/>
    </row>
    <row r="19" spans="2:21" ht="15.75">
      <c r="B19" s="345">
        <v>13</v>
      </c>
      <c r="C19" s="346" t="s">
        <v>86</v>
      </c>
      <c r="D19" s="347" t="s">
        <v>87</v>
      </c>
      <c r="E19" s="348" t="s">
        <v>88</v>
      </c>
      <c r="F19" s="347" t="s">
        <v>27</v>
      </c>
      <c r="G19" s="349" t="s">
        <v>89</v>
      </c>
      <c r="H19" s="350"/>
      <c r="I19" s="351">
        <v>0</v>
      </c>
      <c r="J19" s="347" t="s">
        <v>27</v>
      </c>
      <c r="K19" s="351">
        <v>2</v>
      </c>
      <c r="L19" s="352"/>
      <c r="M19" s="353"/>
      <c r="N19" s="335"/>
      <c r="O19" s="335"/>
      <c r="P19" s="335"/>
      <c r="Q19" s="335"/>
      <c r="R19" s="335"/>
      <c r="S19" s="335"/>
      <c r="T19" s="335"/>
      <c r="U19" s="335"/>
    </row>
    <row r="20" spans="2:21" ht="16.5" thickBot="1">
      <c r="B20" s="345">
        <v>14</v>
      </c>
      <c r="C20" s="346" t="s">
        <v>91</v>
      </c>
      <c r="D20" s="347" t="s">
        <v>87</v>
      </c>
      <c r="E20" s="348" t="s">
        <v>92</v>
      </c>
      <c r="F20" s="347" t="s">
        <v>27</v>
      </c>
      <c r="G20" s="349" t="s">
        <v>93</v>
      </c>
      <c r="H20" s="350"/>
      <c r="I20" s="351">
        <v>3</v>
      </c>
      <c r="J20" s="347" t="s">
        <v>27</v>
      </c>
      <c r="K20" s="351">
        <v>0</v>
      </c>
      <c r="L20" s="352"/>
      <c r="M20" s="353"/>
      <c r="N20" s="335"/>
      <c r="O20" s="361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345">
        <v>15</v>
      </c>
      <c r="C21" s="346" t="s">
        <v>94</v>
      </c>
      <c r="D21" s="347" t="s">
        <v>95</v>
      </c>
      <c r="E21" s="348" t="s">
        <v>96</v>
      </c>
      <c r="F21" s="347" t="s">
        <v>27</v>
      </c>
      <c r="G21" s="349" t="s">
        <v>97</v>
      </c>
      <c r="H21" s="350"/>
      <c r="I21" s="351">
        <v>2</v>
      </c>
      <c r="J21" s="347" t="s">
        <v>27</v>
      </c>
      <c r="K21" s="351">
        <v>0</v>
      </c>
      <c r="L21" s="352"/>
      <c r="M21" s="353"/>
      <c r="N21" s="335"/>
      <c r="O21" s="335"/>
      <c r="P21" s="354" t="s">
        <v>32</v>
      </c>
      <c r="Q21" s="355" t="s">
        <v>33</v>
      </c>
      <c r="R21" s="355" t="s">
        <v>34</v>
      </c>
      <c r="S21" s="355" t="s">
        <v>35</v>
      </c>
      <c r="T21" s="355" t="s">
        <v>36</v>
      </c>
      <c r="U21" s="355" t="s">
        <v>37</v>
      </c>
    </row>
    <row r="22" spans="2:21" ht="15.75">
      <c r="B22" s="345">
        <v>16</v>
      </c>
      <c r="C22" s="346" t="s">
        <v>99</v>
      </c>
      <c r="D22" s="347" t="s">
        <v>95</v>
      </c>
      <c r="E22" s="348" t="s">
        <v>100</v>
      </c>
      <c r="F22" s="347" t="s">
        <v>27</v>
      </c>
      <c r="G22" s="349" t="s">
        <v>101</v>
      </c>
      <c r="H22" s="350"/>
      <c r="I22" s="351">
        <v>2</v>
      </c>
      <c r="J22" s="347" t="s">
        <v>27</v>
      </c>
      <c r="K22" s="351">
        <v>1</v>
      </c>
      <c r="L22" s="352"/>
      <c r="M22" s="353"/>
      <c r="N22" s="335"/>
      <c r="O22" s="335"/>
      <c r="P22" s="362" t="s">
        <v>40</v>
      </c>
      <c r="Q22" s="362" t="s">
        <v>47</v>
      </c>
      <c r="R22" s="362" t="s">
        <v>55</v>
      </c>
      <c r="S22" s="362" t="s">
        <v>51</v>
      </c>
      <c r="T22" s="362" t="s">
        <v>74</v>
      </c>
      <c r="U22" s="362" t="s">
        <v>81</v>
      </c>
    </row>
    <row r="23" spans="2:21" ht="15.75">
      <c r="B23" s="345">
        <v>17</v>
      </c>
      <c r="C23" s="346" t="s">
        <v>103</v>
      </c>
      <c r="D23" s="347" t="s">
        <v>104</v>
      </c>
      <c r="E23" s="348" t="s">
        <v>105</v>
      </c>
      <c r="F23" s="347" t="s">
        <v>27</v>
      </c>
      <c r="G23" s="349" t="s">
        <v>106</v>
      </c>
      <c r="H23" s="350"/>
      <c r="I23" s="351">
        <v>2</v>
      </c>
      <c r="J23" s="347" t="s">
        <v>27</v>
      </c>
      <c r="K23" s="351">
        <v>0</v>
      </c>
      <c r="L23" s="352"/>
      <c r="M23" s="353"/>
      <c r="N23" s="335"/>
      <c r="O23" s="335"/>
      <c r="P23" s="360" t="s">
        <v>41</v>
      </c>
      <c r="Q23" s="360" t="s">
        <v>48</v>
      </c>
      <c r="R23" s="360" t="s">
        <v>56</v>
      </c>
      <c r="S23" s="360" t="s">
        <v>52</v>
      </c>
      <c r="T23" s="360" t="s">
        <v>75</v>
      </c>
      <c r="U23" s="360" t="s">
        <v>82</v>
      </c>
    </row>
    <row r="24" spans="2:21" ht="15.75">
      <c r="B24" s="345">
        <v>18</v>
      </c>
      <c r="C24" s="346" t="s">
        <v>107</v>
      </c>
      <c r="D24" s="347" t="s">
        <v>104</v>
      </c>
      <c r="E24" s="348" t="s">
        <v>108</v>
      </c>
      <c r="F24" s="347" t="s">
        <v>27</v>
      </c>
      <c r="G24" s="349" t="s">
        <v>109</v>
      </c>
      <c r="H24" s="350"/>
      <c r="I24" s="351">
        <v>1</v>
      </c>
      <c r="J24" s="347" t="s">
        <v>27</v>
      </c>
      <c r="K24" s="351">
        <v>2</v>
      </c>
      <c r="L24" s="352"/>
      <c r="M24" s="353"/>
      <c r="N24" s="335"/>
      <c r="O24" s="335"/>
      <c r="P24" s="360" t="s">
        <v>43</v>
      </c>
      <c r="Q24" s="360" t="s">
        <v>70</v>
      </c>
      <c r="R24" s="360" t="s">
        <v>67</v>
      </c>
      <c r="S24" s="360" t="s">
        <v>58</v>
      </c>
      <c r="T24" s="360" t="s">
        <v>77</v>
      </c>
      <c r="U24" s="360" t="s">
        <v>84</v>
      </c>
    </row>
    <row r="25" spans="2:21" ht="15.75">
      <c r="B25" s="345">
        <v>19</v>
      </c>
      <c r="C25" s="346" t="s">
        <v>111</v>
      </c>
      <c r="D25" s="347" t="s">
        <v>112</v>
      </c>
      <c r="E25" s="348" t="s">
        <v>113</v>
      </c>
      <c r="F25" s="347" t="s">
        <v>27</v>
      </c>
      <c r="G25" s="349" t="s">
        <v>114</v>
      </c>
      <c r="H25" s="350"/>
      <c r="I25" s="351">
        <v>2</v>
      </c>
      <c r="J25" s="347" t="s">
        <v>27</v>
      </c>
      <c r="K25" s="351">
        <v>0</v>
      </c>
      <c r="L25" s="352"/>
      <c r="M25" s="353"/>
      <c r="N25" s="335"/>
      <c r="O25" s="335"/>
      <c r="P25" s="360" t="s">
        <v>44</v>
      </c>
      <c r="Q25" s="360" t="s">
        <v>71</v>
      </c>
      <c r="R25" s="360" t="s">
        <v>68</v>
      </c>
      <c r="S25" s="360" t="s">
        <v>59</v>
      </c>
      <c r="T25" s="360" t="s">
        <v>78</v>
      </c>
      <c r="U25" s="360" t="s">
        <v>85</v>
      </c>
    </row>
    <row r="26" spans="2:21" ht="16.5" thickBot="1">
      <c r="B26" s="345">
        <v>20</v>
      </c>
      <c r="C26" s="346" t="s">
        <v>116</v>
      </c>
      <c r="D26" s="347" t="s">
        <v>112</v>
      </c>
      <c r="E26" s="348" t="s">
        <v>117</v>
      </c>
      <c r="F26" s="347" t="s">
        <v>27</v>
      </c>
      <c r="G26" s="349" t="s">
        <v>118</v>
      </c>
      <c r="H26" s="350"/>
      <c r="I26" s="351">
        <v>2</v>
      </c>
      <c r="J26" s="347" t="s">
        <v>27</v>
      </c>
      <c r="K26" s="351">
        <v>0</v>
      </c>
      <c r="L26" s="352"/>
      <c r="M26" s="353"/>
      <c r="N26" s="335"/>
      <c r="O26" s="335"/>
      <c r="P26" s="335"/>
      <c r="Q26" s="335"/>
      <c r="R26" s="335"/>
      <c r="S26" s="335"/>
      <c r="T26" s="335"/>
      <c r="U26" s="335"/>
    </row>
    <row r="27" spans="2:21" ht="16.5" thickBot="1">
      <c r="B27" s="345">
        <v>21</v>
      </c>
      <c r="C27" s="346" t="s">
        <v>119</v>
      </c>
      <c r="D27" s="347" t="s">
        <v>120</v>
      </c>
      <c r="E27" s="348" t="s">
        <v>121</v>
      </c>
      <c r="F27" s="347" t="s">
        <v>27</v>
      </c>
      <c r="G27" s="349" t="s">
        <v>122</v>
      </c>
      <c r="H27" s="350"/>
      <c r="I27" s="351">
        <v>1</v>
      </c>
      <c r="J27" s="347" t="s">
        <v>27</v>
      </c>
      <c r="K27" s="351">
        <v>0</v>
      </c>
      <c r="L27" s="352"/>
      <c r="M27" s="353"/>
      <c r="N27" s="335"/>
      <c r="O27" s="335"/>
      <c r="P27" s="354" t="s">
        <v>60</v>
      </c>
      <c r="Q27" s="355" t="s">
        <v>61</v>
      </c>
      <c r="R27" s="355" t="s">
        <v>62</v>
      </c>
      <c r="S27" s="355" t="s">
        <v>63</v>
      </c>
      <c r="T27" s="355" t="s">
        <v>64</v>
      </c>
      <c r="U27" s="355" t="s">
        <v>65</v>
      </c>
    </row>
    <row r="28" spans="2:21" ht="15.75">
      <c r="B28" s="345">
        <v>22</v>
      </c>
      <c r="C28" s="346" t="s">
        <v>123</v>
      </c>
      <c r="D28" s="347" t="s">
        <v>120</v>
      </c>
      <c r="E28" s="348" t="s">
        <v>124</v>
      </c>
      <c r="F28" s="347" t="s">
        <v>27</v>
      </c>
      <c r="G28" s="349" t="s">
        <v>125</v>
      </c>
      <c r="H28" s="350"/>
      <c r="I28" s="351">
        <v>2</v>
      </c>
      <c r="J28" s="347" t="s">
        <v>27</v>
      </c>
      <c r="K28" s="351">
        <v>1</v>
      </c>
      <c r="L28" s="352"/>
      <c r="M28" s="353"/>
      <c r="N28" s="335"/>
      <c r="O28" s="335"/>
      <c r="P28" s="362" t="s">
        <v>96</v>
      </c>
      <c r="Q28" s="362" t="s">
        <v>88</v>
      </c>
      <c r="R28" s="362" t="s">
        <v>105</v>
      </c>
      <c r="S28" s="362" t="s">
        <v>113</v>
      </c>
      <c r="T28" s="362" t="s">
        <v>128</v>
      </c>
      <c r="U28" s="362" t="s">
        <v>121</v>
      </c>
    </row>
    <row r="29" spans="2:21" ht="15.75">
      <c r="B29" s="345">
        <v>23</v>
      </c>
      <c r="C29" s="346" t="s">
        <v>126</v>
      </c>
      <c r="D29" s="347" t="s">
        <v>127</v>
      </c>
      <c r="E29" s="348" t="s">
        <v>128</v>
      </c>
      <c r="F29" s="347" t="s">
        <v>27</v>
      </c>
      <c r="G29" s="349" t="s">
        <v>129</v>
      </c>
      <c r="H29" s="350"/>
      <c r="I29" s="351">
        <v>3</v>
      </c>
      <c r="J29" s="347" t="s">
        <v>27</v>
      </c>
      <c r="K29" s="351">
        <v>0</v>
      </c>
      <c r="L29" s="352"/>
      <c r="M29" s="353"/>
      <c r="N29" s="335"/>
      <c r="O29" s="335"/>
      <c r="P29" s="360" t="s">
        <v>97</v>
      </c>
      <c r="Q29" s="360" t="s">
        <v>89</v>
      </c>
      <c r="R29" s="360" t="s">
        <v>106</v>
      </c>
      <c r="S29" s="360" t="s">
        <v>114</v>
      </c>
      <c r="T29" s="360" t="s">
        <v>129</v>
      </c>
      <c r="U29" s="360" t="s">
        <v>122</v>
      </c>
    </row>
    <row r="30" spans="2:21" ht="15.75">
      <c r="B30" s="345">
        <v>24</v>
      </c>
      <c r="C30" s="346" t="s">
        <v>130</v>
      </c>
      <c r="D30" s="347" t="s">
        <v>127</v>
      </c>
      <c r="E30" s="348" t="s">
        <v>131</v>
      </c>
      <c r="F30" s="347" t="s">
        <v>27</v>
      </c>
      <c r="G30" s="349" t="s">
        <v>132</v>
      </c>
      <c r="H30" s="350"/>
      <c r="I30" s="351">
        <v>0</v>
      </c>
      <c r="J30" s="347" t="s">
        <v>27</v>
      </c>
      <c r="K30" s="351">
        <v>2</v>
      </c>
      <c r="L30" s="352"/>
      <c r="M30" s="353"/>
      <c r="N30" s="335"/>
      <c r="O30" s="335"/>
      <c r="P30" s="360" t="s">
        <v>100</v>
      </c>
      <c r="Q30" s="360" t="s">
        <v>92</v>
      </c>
      <c r="R30" s="360" t="s">
        <v>108</v>
      </c>
      <c r="S30" s="360" t="s">
        <v>117</v>
      </c>
      <c r="T30" s="360" t="s">
        <v>131</v>
      </c>
      <c r="U30" s="360" t="s">
        <v>124</v>
      </c>
    </row>
    <row r="31" spans="2:21" ht="15.75">
      <c r="B31" s="345">
        <v>25</v>
      </c>
      <c r="C31" s="346" t="s">
        <v>133</v>
      </c>
      <c r="D31" s="347" t="s">
        <v>39</v>
      </c>
      <c r="E31" s="348" t="s">
        <v>44</v>
      </c>
      <c r="F31" s="347" t="s">
        <v>27</v>
      </c>
      <c r="G31" s="349" t="s">
        <v>41</v>
      </c>
      <c r="H31" s="350"/>
      <c r="I31" s="351">
        <v>2</v>
      </c>
      <c r="J31" s="347" t="s">
        <v>27</v>
      </c>
      <c r="K31" s="351">
        <v>0</v>
      </c>
      <c r="L31" s="352"/>
      <c r="M31" s="353"/>
      <c r="N31" s="335"/>
      <c r="O31" s="335"/>
      <c r="P31" s="360" t="s">
        <v>101</v>
      </c>
      <c r="Q31" s="360" t="s">
        <v>93</v>
      </c>
      <c r="R31" s="360" t="s">
        <v>109</v>
      </c>
      <c r="S31" s="360" t="s">
        <v>118</v>
      </c>
      <c r="T31" s="360" t="s">
        <v>132</v>
      </c>
      <c r="U31" s="360" t="s">
        <v>125</v>
      </c>
    </row>
    <row r="32" spans="2:21" ht="15.75">
      <c r="B32" s="345">
        <v>26</v>
      </c>
      <c r="C32" s="346" t="s">
        <v>134</v>
      </c>
      <c r="D32" s="347" t="s">
        <v>46</v>
      </c>
      <c r="E32" s="348" t="s">
        <v>71</v>
      </c>
      <c r="F32" s="347" t="s">
        <v>27</v>
      </c>
      <c r="G32" s="349" t="s">
        <v>48</v>
      </c>
      <c r="H32" s="350"/>
      <c r="I32" s="351">
        <v>2</v>
      </c>
      <c r="J32" s="347" t="s">
        <v>27</v>
      </c>
      <c r="K32" s="351">
        <v>0</v>
      </c>
      <c r="L32" s="352"/>
      <c r="M32" s="353"/>
      <c r="N32" s="335"/>
      <c r="O32" s="335"/>
      <c r="P32" s="335"/>
      <c r="Q32" s="335"/>
      <c r="R32" s="335"/>
      <c r="S32" s="335"/>
      <c r="T32" s="335"/>
      <c r="U32" s="335"/>
    </row>
    <row r="33" spans="2:13" ht="15.75">
      <c r="B33" s="345">
        <v>27</v>
      </c>
      <c r="C33" s="346" t="s">
        <v>135</v>
      </c>
      <c r="D33" s="347" t="s">
        <v>46</v>
      </c>
      <c r="E33" s="348" t="s">
        <v>47</v>
      </c>
      <c r="F33" s="347" t="s">
        <v>27</v>
      </c>
      <c r="G33" s="349" t="s">
        <v>70</v>
      </c>
      <c r="H33" s="350"/>
      <c r="I33" s="351">
        <v>2</v>
      </c>
      <c r="J33" s="347" t="s">
        <v>27</v>
      </c>
      <c r="K33" s="351">
        <v>0</v>
      </c>
      <c r="L33" s="352"/>
      <c r="M33" s="353"/>
    </row>
    <row r="34" spans="2:13" ht="15.75">
      <c r="B34" s="345">
        <v>28</v>
      </c>
      <c r="C34" s="346" t="s">
        <v>136</v>
      </c>
      <c r="D34" s="347" t="s">
        <v>39</v>
      </c>
      <c r="E34" s="348" t="s">
        <v>40</v>
      </c>
      <c r="F34" s="347" t="s">
        <v>27</v>
      </c>
      <c r="G34" s="349" t="s">
        <v>43</v>
      </c>
      <c r="H34" s="350"/>
      <c r="I34" s="351">
        <v>1</v>
      </c>
      <c r="J34" s="347" t="s">
        <v>27</v>
      </c>
      <c r="K34" s="351">
        <v>1</v>
      </c>
      <c r="L34" s="352"/>
      <c r="M34" s="353"/>
    </row>
    <row r="35" spans="2:13" ht="15.75">
      <c r="B35" s="345">
        <v>29</v>
      </c>
      <c r="C35" s="346" t="s">
        <v>137</v>
      </c>
      <c r="D35" s="347" t="s">
        <v>54</v>
      </c>
      <c r="E35" s="348" t="s">
        <v>67</v>
      </c>
      <c r="F35" s="347" t="s">
        <v>27</v>
      </c>
      <c r="G35" s="349" t="s">
        <v>55</v>
      </c>
      <c r="H35" s="350"/>
      <c r="I35" s="351">
        <v>4</v>
      </c>
      <c r="J35" s="347" t="s">
        <v>27</v>
      </c>
      <c r="K35" s="351">
        <v>0</v>
      </c>
      <c r="L35" s="352"/>
      <c r="M35" s="353"/>
    </row>
    <row r="36" spans="2:13" ht="15.75">
      <c r="B36" s="345">
        <v>30</v>
      </c>
      <c r="C36" s="346" t="s">
        <v>138</v>
      </c>
      <c r="D36" s="347" t="s">
        <v>54</v>
      </c>
      <c r="E36" s="348" t="s">
        <v>56</v>
      </c>
      <c r="F36" s="347" t="s">
        <v>27</v>
      </c>
      <c r="G36" s="349" t="s">
        <v>68</v>
      </c>
      <c r="H36" s="350"/>
      <c r="I36" s="351">
        <v>1</v>
      </c>
      <c r="J36" s="347" t="s">
        <v>27</v>
      </c>
      <c r="K36" s="351">
        <v>2</v>
      </c>
      <c r="L36" s="352"/>
      <c r="M36" s="353"/>
    </row>
    <row r="37" spans="2:13" ht="15.75">
      <c r="B37" s="345">
        <v>31</v>
      </c>
      <c r="C37" s="346" t="s">
        <v>139</v>
      </c>
      <c r="D37" s="347" t="s">
        <v>50</v>
      </c>
      <c r="E37" s="348" t="s">
        <v>59</v>
      </c>
      <c r="F37" s="347" t="s">
        <v>27</v>
      </c>
      <c r="G37" s="349" t="s">
        <v>52</v>
      </c>
      <c r="H37" s="350"/>
      <c r="I37" s="351">
        <v>2</v>
      </c>
      <c r="J37" s="347" t="s">
        <v>27</v>
      </c>
      <c r="K37" s="351">
        <v>1</v>
      </c>
      <c r="L37" s="352"/>
      <c r="M37" s="353"/>
    </row>
    <row r="38" spans="2:13" ht="15.75">
      <c r="B38" s="345">
        <v>32</v>
      </c>
      <c r="C38" s="346" t="s">
        <v>140</v>
      </c>
      <c r="D38" s="347" t="s">
        <v>50</v>
      </c>
      <c r="E38" s="348" t="s">
        <v>51</v>
      </c>
      <c r="F38" s="347" t="s">
        <v>27</v>
      </c>
      <c r="G38" s="349" t="s">
        <v>58</v>
      </c>
      <c r="H38" s="350"/>
      <c r="I38" s="351">
        <v>2</v>
      </c>
      <c r="J38" s="347" t="s">
        <v>27</v>
      </c>
      <c r="K38" s="351">
        <v>1</v>
      </c>
      <c r="L38" s="352"/>
      <c r="M38" s="353"/>
    </row>
    <row r="39" spans="2:13" ht="15.75">
      <c r="B39" s="345">
        <v>33</v>
      </c>
      <c r="C39" s="346" t="s">
        <v>141</v>
      </c>
      <c r="D39" s="347" t="s">
        <v>73</v>
      </c>
      <c r="E39" s="348" t="s">
        <v>77</v>
      </c>
      <c r="F39" s="347" t="s">
        <v>27</v>
      </c>
      <c r="G39" s="349" t="s">
        <v>74</v>
      </c>
      <c r="H39" s="350"/>
      <c r="I39" s="351">
        <v>2</v>
      </c>
      <c r="J39" s="347" t="s">
        <v>27</v>
      </c>
      <c r="K39" s="351">
        <v>0</v>
      </c>
      <c r="L39" s="352"/>
      <c r="M39" s="353"/>
    </row>
    <row r="40" spans="2:13" ht="15.75">
      <c r="B40" s="345">
        <v>34</v>
      </c>
      <c r="C40" s="346" t="s">
        <v>142</v>
      </c>
      <c r="D40" s="347" t="s">
        <v>73</v>
      </c>
      <c r="E40" s="348" t="s">
        <v>75</v>
      </c>
      <c r="F40" s="347" t="s">
        <v>27</v>
      </c>
      <c r="G40" s="349" t="s">
        <v>78</v>
      </c>
      <c r="H40" s="350"/>
      <c r="I40" s="351">
        <v>2</v>
      </c>
      <c r="J40" s="347" t="s">
        <v>27</v>
      </c>
      <c r="K40" s="351">
        <v>0</v>
      </c>
      <c r="L40" s="352"/>
      <c r="M40" s="353"/>
    </row>
    <row r="41" spans="2:13" ht="15.75">
      <c r="B41" s="345">
        <v>35</v>
      </c>
      <c r="C41" s="346" t="s">
        <v>143</v>
      </c>
      <c r="D41" s="347" t="s">
        <v>80</v>
      </c>
      <c r="E41" s="348" t="s">
        <v>81</v>
      </c>
      <c r="F41" s="347" t="s">
        <v>27</v>
      </c>
      <c r="G41" s="349" t="s">
        <v>84</v>
      </c>
      <c r="H41" s="350"/>
      <c r="I41" s="351">
        <v>2</v>
      </c>
      <c r="J41" s="347" t="s">
        <v>27</v>
      </c>
      <c r="K41" s="351">
        <v>1</v>
      </c>
      <c r="L41" s="352"/>
      <c r="M41" s="353"/>
    </row>
    <row r="42" spans="2:13" ht="15.75">
      <c r="B42" s="345">
        <v>36</v>
      </c>
      <c r="C42" s="346" t="s">
        <v>144</v>
      </c>
      <c r="D42" s="347" t="s">
        <v>80</v>
      </c>
      <c r="E42" s="348" t="s">
        <v>85</v>
      </c>
      <c r="F42" s="347" t="s">
        <v>27</v>
      </c>
      <c r="G42" s="349" t="s">
        <v>82</v>
      </c>
      <c r="H42" s="350"/>
      <c r="I42" s="351">
        <v>0</v>
      </c>
      <c r="J42" s="347" t="s">
        <v>27</v>
      </c>
      <c r="K42" s="351">
        <v>1</v>
      </c>
      <c r="L42" s="352"/>
      <c r="M42" s="353"/>
    </row>
    <row r="43" spans="2:13" ht="15.75">
      <c r="B43" s="345">
        <v>37</v>
      </c>
      <c r="C43" s="346" t="s">
        <v>145</v>
      </c>
      <c r="D43" s="347" t="s">
        <v>87</v>
      </c>
      <c r="E43" s="348" t="s">
        <v>89</v>
      </c>
      <c r="F43" s="347" t="s">
        <v>27</v>
      </c>
      <c r="G43" s="349" t="s">
        <v>93</v>
      </c>
      <c r="H43" s="350"/>
      <c r="I43" s="351">
        <v>2</v>
      </c>
      <c r="J43" s="347" t="s">
        <v>27</v>
      </c>
      <c r="K43" s="351">
        <v>0</v>
      </c>
      <c r="L43" s="352"/>
      <c r="M43" s="353"/>
    </row>
    <row r="44" spans="2:13" ht="15.75">
      <c r="B44" s="345">
        <v>38</v>
      </c>
      <c r="C44" s="346" t="s">
        <v>146</v>
      </c>
      <c r="D44" s="347" t="s">
        <v>87</v>
      </c>
      <c r="E44" s="348" t="s">
        <v>92</v>
      </c>
      <c r="F44" s="347" t="s">
        <v>27</v>
      </c>
      <c r="G44" s="349" t="s">
        <v>88</v>
      </c>
      <c r="H44" s="350"/>
      <c r="I44" s="351">
        <v>3</v>
      </c>
      <c r="J44" s="347" t="s">
        <v>27</v>
      </c>
      <c r="K44" s="351">
        <v>0</v>
      </c>
      <c r="L44" s="352"/>
      <c r="M44" s="353"/>
    </row>
    <row r="45" spans="2:13" ht="15.75">
      <c r="B45" s="345">
        <v>39</v>
      </c>
      <c r="C45" s="346" t="s">
        <v>147</v>
      </c>
      <c r="D45" s="347" t="s">
        <v>95</v>
      </c>
      <c r="E45" s="348" t="s">
        <v>100</v>
      </c>
      <c r="F45" s="347" t="s">
        <v>27</v>
      </c>
      <c r="G45" s="349" t="s">
        <v>96</v>
      </c>
      <c r="H45" s="350"/>
      <c r="I45" s="351">
        <v>1</v>
      </c>
      <c r="J45" s="347" t="s">
        <v>27</v>
      </c>
      <c r="K45" s="351">
        <v>0</v>
      </c>
      <c r="L45" s="352"/>
      <c r="M45" s="353"/>
    </row>
    <row r="46" spans="2:13" ht="15.75">
      <c r="B46" s="345">
        <v>40</v>
      </c>
      <c r="C46" s="346" t="s">
        <v>148</v>
      </c>
      <c r="D46" s="347" t="s">
        <v>95</v>
      </c>
      <c r="E46" s="348" t="s">
        <v>97</v>
      </c>
      <c r="F46" s="347" t="s">
        <v>27</v>
      </c>
      <c r="G46" s="349" t="s">
        <v>101</v>
      </c>
      <c r="H46" s="350"/>
      <c r="I46" s="351">
        <v>0</v>
      </c>
      <c r="J46" s="347" t="s">
        <v>27</v>
      </c>
      <c r="K46" s="351">
        <v>1</v>
      </c>
      <c r="L46" s="352"/>
      <c r="M46" s="353"/>
    </row>
    <row r="47" spans="2:13" ht="15.75">
      <c r="B47" s="345">
        <v>41</v>
      </c>
      <c r="C47" s="346" t="s">
        <v>149</v>
      </c>
      <c r="D47" s="347" t="s">
        <v>104</v>
      </c>
      <c r="E47" s="348" t="s">
        <v>109</v>
      </c>
      <c r="F47" s="347" t="s">
        <v>27</v>
      </c>
      <c r="G47" s="349" t="s">
        <v>106</v>
      </c>
      <c r="H47" s="350"/>
      <c r="I47" s="351">
        <v>1</v>
      </c>
      <c r="J47" s="347" t="s">
        <v>27</v>
      </c>
      <c r="K47" s="351">
        <v>1</v>
      </c>
      <c r="L47" s="352"/>
      <c r="M47" s="353"/>
    </row>
    <row r="48" spans="2:13" ht="15.75">
      <c r="B48" s="345">
        <v>42</v>
      </c>
      <c r="C48" s="346" t="s">
        <v>150</v>
      </c>
      <c r="D48" s="347" t="s">
        <v>104</v>
      </c>
      <c r="E48" s="348" t="s">
        <v>105</v>
      </c>
      <c r="F48" s="347" t="s">
        <v>27</v>
      </c>
      <c r="G48" s="349" t="s">
        <v>108</v>
      </c>
      <c r="H48" s="350"/>
      <c r="I48" s="351">
        <v>3</v>
      </c>
      <c r="J48" s="347" t="s">
        <v>27</v>
      </c>
      <c r="K48" s="351">
        <v>0</v>
      </c>
      <c r="L48" s="352"/>
      <c r="M48" s="353"/>
    </row>
    <row r="49" spans="2:13" ht="15.75">
      <c r="B49" s="345">
        <v>43</v>
      </c>
      <c r="C49" s="346" t="s">
        <v>151</v>
      </c>
      <c r="D49" s="347" t="s">
        <v>112</v>
      </c>
      <c r="E49" s="348" t="s">
        <v>113</v>
      </c>
      <c r="F49" s="347" t="s">
        <v>27</v>
      </c>
      <c r="G49" s="349" t="s">
        <v>117</v>
      </c>
      <c r="H49" s="350"/>
      <c r="I49" s="351">
        <v>2</v>
      </c>
      <c r="J49" s="347" t="s">
        <v>27</v>
      </c>
      <c r="K49" s="351">
        <v>1</v>
      </c>
      <c r="L49" s="352"/>
      <c r="M49" s="353"/>
    </row>
    <row r="50" spans="2:13" ht="15.75">
      <c r="B50" s="345">
        <v>44</v>
      </c>
      <c r="C50" s="346" t="s">
        <v>152</v>
      </c>
      <c r="D50" s="347" t="s">
        <v>112</v>
      </c>
      <c r="E50" s="348" t="s">
        <v>118</v>
      </c>
      <c r="F50" s="347" t="s">
        <v>27</v>
      </c>
      <c r="G50" s="349" t="s">
        <v>114</v>
      </c>
      <c r="H50" s="350"/>
      <c r="I50" s="351">
        <v>1</v>
      </c>
      <c r="J50" s="347" t="s">
        <v>27</v>
      </c>
      <c r="K50" s="351">
        <v>1</v>
      </c>
      <c r="L50" s="352"/>
      <c r="M50" s="353"/>
    </row>
    <row r="51" spans="2:13" ht="15.75">
      <c r="B51" s="345">
        <v>45</v>
      </c>
      <c r="C51" s="346" t="s">
        <v>153</v>
      </c>
      <c r="D51" s="347" t="s">
        <v>120</v>
      </c>
      <c r="E51" s="348" t="s">
        <v>124</v>
      </c>
      <c r="F51" s="347" t="s">
        <v>27</v>
      </c>
      <c r="G51" s="349" t="s">
        <v>121</v>
      </c>
      <c r="H51" s="350"/>
      <c r="I51" s="351">
        <v>2</v>
      </c>
      <c r="J51" s="347" t="s">
        <v>27</v>
      </c>
      <c r="K51" s="351">
        <v>0</v>
      </c>
      <c r="L51" s="352"/>
      <c r="M51" s="353"/>
    </row>
    <row r="52" spans="2:13" ht="15.75">
      <c r="B52" s="345">
        <v>46</v>
      </c>
      <c r="C52" s="346" t="s">
        <v>154</v>
      </c>
      <c r="D52" s="347" t="s">
        <v>120</v>
      </c>
      <c r="E52" s="348" t="s">
        <v>122</v>
      </c>
      <c r="F52" s="347" t="s">
        <v>27</v>
      </c>
      <c r="G52" s="349" t="s">
        <v>125</v>
      </c>
      <c r="H52" s="350"/>
      <c r="I52" s="351">
        <v>0</v>
      </c>
      <c r="J52" s="347" t="s">
        <v>27</v>
      </c>
      <c r="K52" s="351">
        <v>2</v>
      </c>
      <c r="L52" s="352"/>
      <c r="M52" s="353"/>
    </row>
    <row r="53" spans="2:13" ht="15.75">
      <c r="B53" s="345">
        <v>47</v>
      </c>
      <c r="C53" s="346" t="s">
        <v>155</v>
      </c>
      <c r="D53" s="347" t="s">
        <v>127</v>
      </c>
      <c r="E53" s="348" t="s">
        <v>128</v>
      </c>
      <c r="F53" s="347" t="s">
        <v>27</v>
      </c>
      <c r="G53" s="349" t="s">
        <v>131</v>
      </c>
      <c r="H53" s="350"/>
      <c r="I53" s="351">
        <v>2</v>
      </c>
      <c r="J53" s="347" t="s">
        <v>27</v>
      </c>
      <c r="K53" s="351">
        <v>0</v>
      </c>
      <c r="L53" s="352"/>
      <c r="M53" s="353"/>
    </row>
    <row r="54" spans="2:13" ht="15.75">
      <c r="B54" s="345">
        <v>48</v>
      </c>
      <c r="C54" s="346" t="s">
        <v>156</v>
      </c>
      <c r="D54" s="347" t="s">
        <v>127</v>
      </c>
      <c r="E54" s="348" t="s">
        <v>132</v>
      </c>
      <c r="F54" s="347" t="s">
        <v>27</v>
      </c>
      <c r="G54" s="349" t="s">
        <v>129</v>
      </c>
      <c r="H54" s="350"/>
      <c r="I54" s="351">
        <v>2</v>
      </c>
      <c r="J54" s="347" t="s">
        <v>27</v>
      </c>
      <c r="K54" s="351">
        <v>0</v>
      </c>
      <c r="L54" s="352"/>
      <c r="M54" s="353"/>
    </row>
    <row r="55" spans="2:13" ht="15.75">
      <c r="B55" s="345">
        <v>49</v>
      </c>
      <c r="C55" s="346" t="s">
        <v>157</v>
      </c>
      <c r="D55" s="347" t="s">
        <v>54</v>
      </c>
      <c r="E55" s="348" t="s">
        <v>56</v>
      </c>
      <c r="F55" s="347" t="s">
        <v>27</v>
      </c>
      <c r="G55" s="349" t="s">
        <v>67</v>
      </c>
      <c r="H55" s="350"/>
      <c r="I55" s="351">
        <v>0</v>
      </c>
      <c r="J55" s="347" t="s">
        <v>27</v>
      </c>
      <c r="K55" s="351">
        <v>2</v>
      </c>
      <c r="L55" s="352"/>
      <c r="M55" s="353"/>
    </row>
    <row r="56" spans="2:13" ht="15.75">
      <c r="B56" s="345">
        <v>50</v>
      </c>
      <c r="C56" s="346" t="s">
        <v>157</v>
      </c>
      <c r="D56" s="347" t="s">
        <v>54</v>
      </c>
      <c r="E56" s="348" t="s">
        <v>68</v>
      </c>
      <c r="F56" s="347" t="s">
        <v>27</v>
      </c>
      <c r="G56" s="349" t="s">
        <v>55</v>
      </c>
      <c r="H56" s="350"/>
      <c r="I56" s="351">
        <v>3</v>
      </c>
      <c r="J56" s="347" t="s">
        <v>27</v>
      </c>
      <c r="K56" s="351">
        <v>0</v>
      </c>
      <c r="L56" s="352"/>
      <c r="M56" s="353"/>
    </row>
    <row r="57" spans="2:13" ht="15.75">
      <c r="B57" s="345">
        <v>51</v>
      </c>
      <c r="C57" s="346" t="s">
        <v>158</v>
      </c>
      <c r="D57" s="347" t="s">
        <v>46</v>
      </c>
      <c r="E57" s="348" t="s">
        <v>71</v>
      </c>
      <c r="F57" s="347" t="s">
        <v>27</v>
      </c>
      <c r="G57" s="349" t="s">
        <v>47</v>
      </c>
      <c r="H57" s="350"/>
      <c r="I57" s="351">
        <v>1</v>
      </c>
      <c r="J57" s="347" t="s">
        <v>27</v>
      </c>
      <c r="K57" s="351">
        <v>1</v>
      </c>
      <c r="L57" s="352"/>
      <c r="M57" s="353"/>
    </row>
    <row r="58" spans="2:13" ht="15.75">
      <c r="B58" s="345">
        <v>52</v>
      </c>
      <c r="C58" s="346" t="s">
        <v>158</v>
      </c>
      <c r="D58" s="347" t="s">
        <v>46</v>
      </c>
      <c r="E58" s="348" t="s">
        <v>48</v>
      </c>
      <c r="F58" s="347" t="s">
        <v>27</v>
      </c>
      <c r="G58" s="349" t="s">
        <v>70</v>
      </c>
      <c r="H58" s="350"/>
      <c r="I58" s="351">
        <v>2</v>
      </c>
      <c r="J58" s="347" t="s">
        <v>27</v>
      </c>
      <c r="K58" s="351">
        <v>1</v>
      </c>
      <c r="L58" s="352"/>
      <c r="M58" s="353"/>
    </row>
    <row r="59" spans="2:13" ht="15.75">
      <c r="B59" s="345">
        <v>53</v>
      </c>
      <c r="C59" s="346" t="s">
        <v>159</v>
      </c>
      <c r="D59" s="347" t="s">
        <v>39</v>
      </c>
      <c r="E59" s="348" t="s">
        <v>44</v>
      </c>
      <c r="F59" s="347" t="s">
        <v>27</v>
      </c>
      <c r="G59" s="349" t="s">
        <v>40</v>
      </c>
      <c r="H59" s="350"/>
      <c r="I59" s="351">
        <v>1</v>
      </c>
      <c r="J59" s="347" t="s">
        <v>27</v>
      </c>
      <c r="K59" s="351">
        <v>1</v>
      </c>
      <c r="L59" s="352"/>
      <c r="M59" s="353"/>
    </row>
    <row r="60" spans="2:13" ht="15.75">
      <c r="B60" s="345">
        <v>54</v>
      </c>
      <c r="C60" s="346" t="s">
        <v>159</v>
      </c>
      <c r="D60" s="347" t="s">
        <v>39</v>
      </c>
      <c r="E60" s="348" t="s">
        <v>41</v>
      </c>
      <c r="F60" s="347" t="s">
        <v>27</v>
      </c>
      <c r="G60" s="349" t="s">
        <v>43</v>
      </c>
      <c r="H60" s="350"/>
      <c r="I60" s="351">
        <v>1</v>
      </c>
      <c r="J60" s="347" t="s">
        <v>27</v>
      </c>
      <c r="K60" s="351">
        <v>2</v>
      </c>
      <c r="L60" s="352"/>
      <c r="M60" s="353"/>
    </row>
    <row r="61" spans="2:13" ht="15.75">
      <c r="B61" s="345">
        <v>55</v>
      </c>
      <c r="C61" s="346" t="s">
        <v>160</v>
      </c>
      <c r="D61" s="347" t="s">
        <v>73</v>
      </c>
      <c r="E61" s="348" t="s">
        <v>78</v>
      </c>
      <c r="F61" s="347" t="s">
        <v>27</v>
      </c>
      <c r="G61" s="349" t="s">
        <v>74</v>
      </c>
      <c r="H61" s="350"/>
      <c r="I61" s="351">
        <v>0</v>
      </c>
      <c r="J61" s="347" t="s">
        <v>27</v>
      </c>
      <c r="K61" s="351">
        <v>2</v>
      </c>
      <c r="L61" s="352"/>
      <c r="M61" s="353"/>
    </row>
    <row r="62" spans="2:13" ht="15.75">
      <c r="B62" s="345">
        <v>56</v>
      </c>
      <c r="C62" s="346" t="s">
        <v>160</v>
      </c>
      <c r="D62" s="347" t="s">
        <v>73</v>
      </c>
      <c r="E62" s="348" t="s">
        <v>75</v>
      </c>
      <c r="F62" s="347" t="s">
        <v>27</v>
      </c>
      <c r="G62" s="349" t="s">
        <v>77</v>
      </c>
      <c r="H62" s="350"/>
      <c r="I62" s="351">
        <v>1</v>
      </c>
      <c r="J62" s="347" t="s">
        <v>27</v>
      </c>
      <c r="K62" s="351">
        <v>2</v>
      </c>
      <c r="L62" s="352"/>
      <c r="M62" s="353"/>
    </row>
    <row r="63" spans="2:13" ht="15.75">
      <c r="B63" s="345">
        <v>57</v>
      </c>
      <c r="C63" s="346" t="s">
        <v>161</v>
      </c>
      <c r="D63" s="347" t="s">
        <v>80</v>
      </c>
      <c r="E63" s="348" t="s">
        <v>82</v>
      </c>
      <c r="F63" s="347" t="s">
        <v>27</v>
      </c>
      <c r="G63" s="349" t="s">
        <v>84</v>
      </c>
      <c r="H63" s="350"/>
      <c r="I63" s="351">
        <v>1</v>
      </c>
      <c r="J63" s="347" t="s">
        <v>27</v>
      </c>
      <c r="K63" s="351">
        <v>1</v>
      </c>
      <c r="L63" s="352"/>
      <c r="M63" s="353"/>
    </row>
    <row r="64" spans="2:13" ht="15.75">
      <c r="B64" s="345">
        <v>58</v>
      </c>
      <c r="C64" s="346" t="s">
        <v>161</v>
      </c>
      <c r="D64" s="347" t="s">
        <v>80</v>
      </c>
      <c r="E64" s="348" t="s">
        <v>85</v>
      </c>
      <c r="F64" s="347" t="s">
        <v>27</v>
      </c>
      <c r="G64" s="349" t="s">
        <v>81</v>
      </c>
      <c r="H64" s="350"/>
      <c r="I64" s="351">
        <v>0</v>
      </c>
      <c r="J64" s="347" t="s">
        <v>27</v>
      </c>
      <c r="K64" s="351">
        <v>3</v>
      </c>
      <c r="L64" s="352"/>
      <c r="M64" s="353"/>
    </row>
    <row r="65" spans="2:13" ht="15.75">
      <c r="B65" s="345">
        <v>59</v>
      </c>
      <c r="C65" s="346" t="s">
        <v>162</v>
      </c>
      <c r="D65" s="347" t="s">
        <v>50</v>
      </c>
      <c r="E65" s="348" t="s">
        <v>59</v>
      </c>
      <c r="F65" s="347" t="s">
        <v>27</v>
      </c>
      <c r="G65" s="349" t="s">
        <v>51</v>
      </c>
      <c r="H65" s="350"/>
      <c r="I65" s="351">
        <v>1</v>
      </c>
      <c r="J65" s="347" t="s">
        <v>27</v>
      </c>
      <c r="K65" s="351">
        <v>2</v>
      </c>
      <c r="L65" s="352"/>
      <c r="M65" s="353"/>
    </row>
    <row r="66" spans="2:13" ht="15.75">
      <c r="B66" s="345">
        <v>60</v>
      </c>
      <c r="C66" s="346" t="s">
        <v>162</v>
      </c>
      <c r="D66" s="347" t="s">
        <v>50</v>
      </c>
      <c r="E66" s="348" t="s">
        <v>52</v>
      </c>
      <c r="F66" s="347" t="s">
        <v>27</v>
      </c>
      <c r="G66" s="349" t="s">
        <v>58</v>
      </c>
      <c r="H66" s="350"/>
      <c r="I66" s="351">
        <v>1</v>
      </c>
      <c r="J66" s="347" t="s">
        <v>27</v>
      </c>
      <c r="K66" s="351">
        <v>1</v>
      </c>
      <c r="L66" s="352"/>
      <c r="M66" s="353"/>
    </row>
    <row r="67" spans="2:13" ht="15.75">
      <c r="B67" s="345">
        <v>61</v>
      </c>
      <c r="C67" s="346" t="s">
        <v>163</v>
      </c>
      <c r="D67" s="347" t="s">
        <v>104</v>
      </c>
      <c r="E67" s="348" t="s">
        <v>109</v>
      </c>
      <c r="F67" s="347" t="s">
        <v>27</v>
      </c>
      <c r="G67" s="349" t="s">
        <v>105</v>
      </c>
      <c r="H67" s="350"/>
      <c r="I67" s="351">
        <v>1</v>
      </c>
      <c r="J67" s="347" t="s">
        <v>27</v>
      </c>
      <c r="K67" s="351">
        <v>2</v>
      </c>
      <c r="L67" s="352"/>
      <c r="M67" s="353"/>
    </row>
    <row r="68" spans="2:13" ht="15.75">
      <c r="B68" s="345">
        <v>62</v>
      </c>
      <c r="C68" s="346" t="s">
        <v>163</v>
      </c>
      <c r="D68" s="347" t="s">
        <v>104</v>
      </c>
      <c r="E68" s="348" t="s">
        <v>106</v>
      </c>
      <c r="F68" s="347" t="s">
        <v>27</v>
      </c>
      <c r="G68" s="349" t="s">
        <v>108</v>
      </c>
      <c r="H68" s="350"/>
      <c r="I68" s="351">
        <v>2</v>
      </c>
      <c r="J68" s="347" t="s">
        <v>27</v>
      </c>
      <c r="K68" s="351">
        <v>0</v>
      </c>
      <c r="L68" s="352"/>
      <c r="M68" s="353"/>
    </row>
    <row r="69" spans="2:13" ht="15.75">
      <c r="B69" s="345">
        <v>63</v>
      </c>
      <c r="C69" s="346" t="s">
        <v>164</v>
      </c>
      <c r="D69" s="347" t="s">
        <v>95</v>
      </c>
      <c r="E69" s="348" t="s">
        <v>101</v>
      </c>
      <c r="F69" s="347" t="s">
        <v>27</v>
      </c>
      <c r="G69" s="349" t="s">
        <v>96</v>
      </c>
      <c r="H69" s="350"/>
      <c r="I69" s="351">
        <v>1</v>
      </c>
      <c r="J69" s="347" t="s">
        <v>27</v>
      </c>
      <c r="K69" s="351">
        <v>1</v>
      </c>
      <c r="L69" s="352"/>
      <c r="M69" s="353"/>
    </row>
    <row r="70" spans="2:13" ht="15.75">
      <c r="B70" s="345">
        <v>64</v>
      </c>
      <c r="C70" s="346" t="s">
        <v>164</v>
      </c>
      <c r="D70" s="347" t="s">
        <v>95</v>
      </c>
      <c r="E70" s="348" t="s">
        <v>97</v>
      </c>
      <c r="F70" s="347" t="s">
        <v>27</v>
      </c>
      <c r="G70" s="349" t="s">
        <v>100</v>
      </c>
      <c r="H70" s="350"/>
      <c r="I70" s="351">
        <v>0</v>
      </c>
      <c r="J70" s="347" t="s">
        <v>27</v>
      </c>
      <c r="K70" s="351">
        <v>2</v>
      </c>
      <c r="L70" s="352"/>
      <c r="M70" s="353"/>
    </row>
    <row r="71" spans="2:13" ht="15.75">
      <c r="B71" s="345">
        <v>65</v>
      </c>
      <c r="C71" s="346" t="s">
        <v>165</v>
      </c>
      <c r="D71" s="347" t="s">
        <v>87</v>
      </c>
      <c r="E71" s="348" t="s">
        <v>93</v>
      </c>
      <c r="F71" s="347" t="s">
        <v>27</v>
      </c>
      <c r="G71" s="349" t="s">
        <v>88</v>
      </c>
      <c r="H71" s="350"/>
      <c r="I71" s="351">
        <v>1</v>
      </c>
      <c r="J71" s="347" t="s">
        <v>27</v>
      </c>
      <c r="K71" s="351">
        <v>1</v>
      </c>
      <c r="L71" s="352"/>
      <c r="M71" s="353"/>
    </row>
    <row r="72" spans="2:13" ht="15.75">
      <c r="B72" s="345">
        <v>66</v>
      </c>
      <c r="C72" s="346" t="s">
        <v>165</v>
      </c>
      <c r="D72" s="347" t="s">
        <v>87</v>
      </c>
      <c r="E72" s="348" t="s">
        <v>89</v>
      </c>
      <c r="F72" s="347" t="s">
        <v>27</v>
      </c>
      <c r="G72" s="349" t="s">
        <v>92</v>
      </c>
      <c r="H72" s="350"/>
      <c r="I72" s="351">
        <v>1</v>
      </c>
      <c r="J72" s="347" t="s">
        <v>27</v>
      </c>
      <c r="K72" s="351">
        <v>1</v>
      </c>
      <c r="L72" s="352"/>
      <c r="M72" s="353"/>
    </row>
    <row r="73" spans="2:13" ht="15.75">
      <c r="B73" s="345">
        <v>67</v>
      </c>
      <c r="C73" s="346" t="s">
        <v>166</v>
      </c>
      <c r="D73" s="347" t="s">
        <v>120</v>
      </c>
      <c r="E73" s="348" t="s">
        <v>122</v>
      </c>
      <c r="F73" s="347" t="s">
        <v>27</v>
      </c>
      <c r="G73" s="349" t="s">
        <v>124</v>
      </c>
      <c r="H73" s="350"/>
      <c r="I73" s="351">
        <v>0</v>
      </c>
      <c r="J73" s="347" t="s">
        <v>27</v>
      </c>
      <c r="K73" s="351">
        <v>3</v>
      </c>
      <c r="L73" s="352"/>
      <c r="M73" s="353"/>
    </row>
    <row r="74" spans="2:13" ht="15.75">
      <c r="B74" s="345">
        <v>68</v>
      </c>
      <c r="C74" s="346" t="s">
        <v>166</v>
      </c>
      <c r="D74" s="347" t="s">
        <v>120</v>
      </c>
      <c r="E74" s="348" t="s">
        <v>125</v>
      </c>
      <c r="F74" s="347" t="s">
        <v>27</v>
      </c>
      <c r="G74" s="349" t="s">
        <v>121</v>
      </c>
      <c r="H74" s="350"/>
      <c r="I74" s="351">
        <v>1</v>
      </c>
      <c r="J74" s="347" t="s">
        <v>27</v>
      </c>
      <c r="K74" s="351">
        <v>1</v>
      </c>
      <c r="L74" s="352"/>
      <c r="M74" s="353"/>
    </row>
    <row r="75" spans="2:13" ht="15.75">
      <c r="B75" s="345">
        <v>69</v>
      </c>
      <c r="C75" s="346" t="s">
        <v>167</v>
      </c>
      <c r="D75" s="347" t="s">
        <v>112</v>
      </c>
      <c r="E75" s="348" t="s">
        <v>114</v>
      </c>
      <c r="F75" s="347" t="s">
        <v>27</v>
      </c>
      <c r="G75" s="349" t="s">
        <v>117</v>
      </c>
      <c r="H75" s="350"/>
      <c r="I75" s="351">
        <v>1</v>
      </c>
      <c r="J75" s="347" t="s">
        <v>27</v>
      </c>
      <c r="K75" s="351">
        <v>1</v>
      </c>
      <c r="L75" s="352"/>
      <c r="M75" s="353"/>
    </row>
    <row r="76" spans="2:13" ht="15.75">
      <c r="B76" s="345">
        <v>70</v>
      </c>
      <c r="C76" s="346" t="s">
        <v>167</v>
      </c>
      <c r="D76" s="347" t="s">
        <v>112</v>
      </c>
      <c r="E76" s="348" t="s">
        <v>118</v>
      </c>
      <c r="F76" s="347" t="s">
        <v>27</v>
      </c>
      <c r="G76" s="349" t="s">
        <v>113</v>
      </c>
      <c r="H76" s="350"/>
      <c r="I76" s="351">
        <v>0</v>
      </c>
      <c r="J76" s="347"/>
      <c r="K76" s="351">
        <v>3</v>
      </c>
      <c r="L76" s="352"/>
      <c r="M76" s="353"/>
    </row>
    <row r="77" spans="2:13" ht="15.75">
      <c r="B77" s="345">
        <v>71</v>
      </c>
      <c r="C77" s="346" t="s">
        <v>168</v>
      </c>
      <c r="D77" s="347" t="s">
        <v>127</v>
      </c>
      <c r="E77" s="348" t="s">
        <v>132</v>
      </c>
      <c r="F77" s="347" t="s">
        <v>27</v>
      </c>
      <c r="G77" s="349" t="s">
        <v>128</v>
      </c>
      <c r="H77" s="350"/>
      <c r="I77" s="351">
        <v>1</v>
      </c>
      <c r="J77" s="347" t="s">
        <v>27</v>
      </c>
      <c r="K77" s="351">
        <v>1</v>
      </c>
      <c r="L77" s="352"/>
      <c r="M77" s="353"/>
    </row>
    <row r="78" spans="2:13" ht="15.75">
      <c r="B78" s="345">
        <v>72</v>
      </c>
      <c r="C78" s="346" t="s">
        <v>168</v>
      </c>
      <c r="D78" s="347" t="s">
        <v>127</v>
      </c>
      <c r="E78" s="348" t="s">
        <v>129</v>
      </c>
      <c r="F78" s="347" t="s">
        <v>27</v>
      </c>
      <c r="G78" s="349" t="s">
        <v>131</v>
      </c>
      <c r="H78" s="350"/>
      <c r="I78" s="351">
        <v>1</v>
      </c>
      <c r="J78" s="347" t="s">
        <v>27</v>
      </c>
      <c r="K78" s="351">
        <v>1</v>
      </c>
      <c r="L78" s="352"/>
      <c r="M78" s="353"/>
    </row>
    <row r="79" spans="2:13" ht="15.75">
      <c r="B79" s="335"/>
      <c r="C79" s="335"/>
      <c r="D79" s="339" t="s">
        <v>335</v>
      </c>
      <c r="E79" s="363" t="s">
        <v>67</v>
      </c>
      <c r="F79" s="338" t="s">
        <v>27</v>
      </c>
      <c r="G79" s="363" t="s">
        <v>105</v>
      </c>
      <c r="H79" s="335"/>
      <c r="I79" s="335"/>
      <c r="J79" s="335"/>
      <c r="K79" s="335"/>
      <c r="L79" s="364"/>
      <c r="M79" s="364"/>
    </row>
    <row r="80" spans="2:13" ht="15.75">
      <c r="B80" s="335"/>
      <c r="C80" s="365"/>
      <c r="D80" s="339" t="s">
        <v>336</v>
      </c>
      <c r="E80" s="366" t="s">
        <v>92</v>
      </c>
      <c r="F80" s="338" t="s">
        <v>27</v>
      </c>
      <c r="G80" s="366" t="s">
        <v>124</v>
      </c>
      <c r="H80" s="335"/>
      <c r="I80" s="335"/>
      <c r="J80" s="335"/>
      <c r="K80" s="335"/>
      <c r="L80" s="367"/>
      <c r="M80" s="367"/>
    </row>
    <row r="81" spans="1:13" ht="15.75">
      <c r="A81" s="335"/>
      <c r="B81" s="335"/>
      <c r="C81" s="365"/>
      <c r="D81" s="335"/>
      <c r="E81" s="335"/>
      <c r="F81" s="336"/>
      <c r="G81" s="335"/>
      <c r="H81" s="335"/>
      <c r="I81" s="335"/>
      <c r="J81" s="335"/>
      <c r="K81" s="336"/>
      <c r="L81" s="336"/>
      <c r="M81" s="336"/>
    </row>
    <row r="82" spans="1:13" ht="15.75">
      <c r="A82" s="335"/>
      <c r="B82" s="335"/>
      <c r="C82" s="365"/>
      <c r="D82" s="335"/>
      <c r="E82" s="335"/>
      <c r="F82" s="336"/>
      <c r="G82" s="335"/>
      <c r="H82" s="335"/>
      <c r="I82" s="335"/>
      <c r="J82" s="335"/>
      <c r="K82" s="336"/>
      <c r="L82" s="368" t="s">
        <v>337</v>
      </c>
      <c r="M82" s="369"/>
    </row>
    <row r="83" spans="1:13" ht="15.75">
      <c r="A83" s="335"/>
      <c r="B83" s="335"/>
      <c r="C83" s="365"/>
      <c r="D83" s="335"/>
      <c r="E83" s="335"/>
      <c r="F83" s="336"/>
      <c r="G83" s="335"/>
      <c r="H83" s="335"/>
      <c r="I83" s="335"/>
      <c r="J83" s="335"/>
      <c r="K83" s="336"/>
      <c r="L83" s="336"/>
      <c r="M83" s="336"/>
    </row>
    <row r="84" spans="1:13" ht="15.75">
      <c r="A84" s="339"/>
      <c r="B84" s="335"/>
      <c r="C84" s="365"/>
      <c r="D84" s="335"/>
      <c r="E84" s="335"/>
      <c r="F84" s="336"/>
      <c r="G84" s="338"/>
      <c r="H84" s="335"/>
      <c r="I84" s="335"/>
      <c r="J84" s="335"/>
      <c r="K84" s="336"/>
      <c r="L84" s="335"/>
      <c r="M84" s="335"/>
    </row>
    <row r="85" spans="1:13" ht="15.75">
      <c r="A85" s="339"/>
      <c r="B85" s="335"/>
      <c r="C85" s="365"/>
      <c r="D85" s="335"/>
      <c r="E85" s="335"/>
      <c r="F85" s="336"/>
      <c r="G85" s="338"/>
      <c r="H85" s="335"/>
      <c r="I85" s="335"/>
      <c r="J85" s="335"/>
      <c r="K85" s="336"/>
      <c r="L85" s="335"/>
      <c r="M85" s="335"/>
    </row>
    <row r="86" spans="1:13" ht="15.75">
      <c r="A86" s="339"/>
      <c r="B86" s="370"/>
      <c r="C86" s="371"/>
      <c r="D86" s="335"/>
      <c r="E86" s="335"/>
      <c r="F86" s="336"/>
      <c r="G86" s="338"/>
      <c r="H86" s="335"/>
      <c r="I86" s="335"/>
      <c r="J86" s="335"/>
      <c r="K86" s="336"/>
      <c r="L86" s="335"/>
      <c r="M86" s="335"/>
    </row>
    <row r="87" spans="1:13" ht="15.75">
      <c r="A87" s="339"/>
      <c r="B87" s="370"/>
      <c r="C87" s="371"/>
      <c r="D87" s="335"/>
      <c r="E87" s="335"/>
      <c r="F87" s="336"/>
      <c r="G87" s="338"/>
      <c r="H87" s="335"/>
      <c r="I87" s="335"/>
      <c r="J87" s="335"/>
      <c r="K87" s="336"/>
      <c r="L87" s="335"/>
      <c r="M87" s="335"/>
    </row>
  </sheetData>
  <mergeCells count="1">
    <mergeCell ref="H2:M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1" t="s">
        <v>377</v>
      </c>
      <c r="I2" s="502"/>
      <c r="J2" s="502"/>
      <c r="K2" s="502"/>
      <c r="L2" s="502"/>
      <c r="M2" s="502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51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44</v>
      </c>
      <c r="Q9" s="389" t="s">
        <v>47</v>
      </c>
      <c r="R9" s="389" t="s">
        <v>68</v>
      </c>
      <c r="S9" s="389" t="s">
        <v>59</v>
      </c>
      <c r="T9" s="389" t="s">
        <v>75</v>
      </c>
      <c r="U9" s="389" t="s">
        <v>82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0</v>
      </c>
      <c r="L10" s="396"/>
      <c r="M10" s="397"/>
      <c r="N10" s="385"/>
      <c r="O10" s="387">
        <v>3</v>
      </c>
      <c r="P10" s="389" t="s">
        <v>41</v>
      </c>
      <c r="Q10" s="389" t="s">
        <v>48</v>
      </c>
      <c r="R10" s="389" t="s">
        <v>56</v>
      </c>
      <c r="S10" s="389" t="s">
        <v>58</v>
      </c>
      <c r="T10" s="389" t="s">
        <v>74</v>
      </c>
      <c r="U10" s="389" t="s">
        <v>84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43</v>
      </c>
      <c r="Q11" s="389" t="s">
        <v>70</v>
      </c>
      <c r="R11" s="389" t="s">
        <v>55</v>
      </c>
      <c r="S11" s="389" t="s">
        <v>52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1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1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2</v>
      </c>
      <c r="J14" s="394" t="s">
        <v>27</v>
      </c>
      <c r="K14" s="395">
        <v>0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96</v>
      </c>
      <c r="Q15" s="389" t="s">
        <v>89</v>
      </c>
      <c r="R15" s="389" t="s">
        <v>109</v>
      </c>
      <c r="S15" s="389" t="s">
        <v>117</v>
      </c>
      <c r="T15" s="389" t="s">
        <v>129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101</v>
      </c>
      <c r="Q16" s="389" t="s">
        <v>88</v>
      </c>
      <c r="R16" s="389" t="s">
        <v>106</v>
      </c>
      <c r="S16" s="389" t="s">
        <v>114</v>
      </c>
      <c r="T16" s="389" t="s">
        <v>132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2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2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2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1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1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1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1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2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2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2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1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2</v>
      </c>
      <c r="J56" s="394" t="s">
        <v>27</v>
      </c>
      <c r="K56" s="395">
        <v>0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1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2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2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1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2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1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2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0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1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2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2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113</v>
      </c>
      <c r="F80" s="393" t="s">
        <v>27</v>
      </c>
      <c r="G80" s="381" t="s">
        <v>77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408"/>
      <c r="C2" s="408"/>
      <c r="D2" s="408"/>
      <c r="E2" s="408"/>
      <c r="F2" s="408"/>
      <c r="G2" s="412" t="s">
        <v>326</v>
      </c>
      <c r="H2" s="503" t="s">
        <v>378</v>
      </c>
      <c r="I2" s="504"/>
      <c r="J2" s="504"/>
      <c r="K2" s="504"/>
      <c r="L2" s="504"/>
      <c r="M2" s="504"/>
      <c r="N2" s="409"/>
      <c r="O2" s="408"/>
      <c r="P2" s="408"/>
      <c r="Q2" s="408"/>
      <c r="R2" s="408"/>
      <c r="S2" s="408"/>
      <c r="T2" s="408"/>
      <c r="U2" s="408"/>
    </row>
    <row r="4" spans="2:21" ht="18">
      <c r="B4" s="414" t="s">
        <v>328</v>
      </c>
      <c r="C4" s="408"/>
      <c r="D4" s="408"/>
      <c r="E4" s="408"/>
      <c r="F4" s="408"/>
      <c r="G4" s="412"/>
      <c r="H4" s="412"/>
      <c r="I4" s="412"/>
      <c r="J4" s="412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2:21" ht="15.75">
      <c r="B5" s="408"/>
      <c r="C5" s="415"/>
      <c r="D5" s="408"/>
      <c r="E5" s="408"/>
      <c r="F5" s="408"/>
      <c r="G5" s="412"/>
      <c r="H5" s="412"/>
      <c r="I5" s="412"/>
      <c r="J5" s="412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2:21" ht="18.75" thickBot="1">
      <c r="B6" s="408"/>
      <c r="C6" s="416" t="s">
        <v>24</v>
      </c>
      <c r="D6" s="417" t="s">
        <v>25</v>
      </c>
      <c r="E6" s="410"/>
      <c r="F6" s="417" t="s">
        <v>329</v>
      </c>
      <c r="G6" s="410"/>
      <c r="H6" s="410"/>
      <c r="I6" s="410"/>
      <c r="J6" s="417" t="s">
        <v>330</v>
      </c>
      <c r="K6" s="417"/>
      <c r="L6" s="417" t="s">
        <v>331</v>
      </c>
      <c r="M6" s="417" t="s">
        <v>332</v>
      </c>
      <c r="N6" s="417"/>
      <c r="O6" s="418" t="s">
        <v>333</v>
      </c>
      <c r="P6" s="408"/>
      <c r="Q6" s="408"/>
      <c r="R6" s="408"/>
      <c r="S6" s="408"/>
      <c r="T6" s="408"/>
      <c r="U6" s="408"/>
    </row>
    <row r="7" spans="2:21" ht="16.5" thickBot="1">
      <c r="B7" s="419">
        <v>1</v>
      </c>
      <c r="C7" s="420" t="s">
        <v>38</v>
      </c>
      <c r="D7" s="421" t="s">
        <v>39</v>
      </c>
      <c r="E7" s="422" t="s">
        <v>40</v>
      </c>
      <c r="F7" s="421" t="s">
        <v>27</v>
      </c>
      <c r="G7" s="423" t="s">
        <v>41</v>
      </c>
      <c r="H7" s="424"/>
      <c r="I7" s="425">
        <v>2</v>
      </c>
      <c r="J7" s="421" t="s">
        <v>27</v>
      </c>
      <c r="K7" s="425">
        <v>0</v>
      </c>
      <c r="L7" s="426"/>
      <c r="M7" s="427"/>
      <c r="N7" s="428"/>
      <c r="O7" s="429" t="s">
        <v>31</v>
      </c>
      <c r="P7" s="430" t="s">
        <v>32</v>
      </c>
      <c r="Q7" s="430" t="s">
        <v>33</v>
      </c>
      <c r="R7" s="430" t="s">
        <v>34</v>
      </c>
      <c r="S7" s="430" t="s">
        <v>35</v>
      </c>
      <c r="T7" s="430" t="s">
        <v>36</v>
      </c>
      <c r="U7" s="430" t="s">
        <v>37</v>
      </c>
    </row>
    <row r="8" spans="2:21" ht="15.75">
      <c r="B8" s="419">
        <v>2</v>
      </c>
      <c r="C8" s="420" t="s">
        <v>42</v>
      </c>
      <c r="D8" s="421" t="s">
        <v>39</v>
      </c>
      <c r="E8" s="422" t="s">
        <v>43</v>
      </c>
      <c r="F8" s="421" t="s">
        <v>27</v>
      </c>
      <c r="G8" s="423" t="s">
        <v>44</v>
      </c>
      <c r="H8" s="424"/>
      <c r="I8" s="425">
        <v>2</v>
      </c>
      <c r="J8" s="421" t="s">
        <v>27</v>
      </c>
      <c r="K8" s="425">
        <v>1</v>
      </c>
      <c r="L8" s="426"/>
      <c r="M8" s="427"/>
      <c r="N8" s="428"/>
      <c r="O8" s="431">
        <v>1</v>
      </c>
      <c r="P8" s="432" t="s">
        <v>43</v>
      </c>
      <c r="Q8" s="432" t="s">
        <v>71</v>
      </c>
      <c r="R8" s="432" t="s">
        <v>67</v>
      </c>
      <c r="S8" s="432" t="s">
        <v>52</v>
      </c>
      <c r="T8" s="432" t="s">
        <v>77</v>
      </c>
      <c r="U8" s="432" t="s">
        <v>81</v>
      </c>
    </row>
    <row r="9" spans="2:21" ht="15.75">
      <c r="B9" s="419">
        <v>3</v>
      </c>
      <c r="C9" s="420" t="s">
        <v>45</v>
      </c>
      <c r="D9" s="421" t="s">
        <v>46</v>
      </c>
      <c r="E9" s="422" t="s">
        <v>47</v>
      </c>
      <c r="F9" s="421" t="s">
        <v>27</v>
      </c>
      <c r="G9" s="423" t="s">
        <v>48</v>
      </c>
      <c r="H9" s="424"/>
      <c r="I9" s="421">
        <v>2</v>
      </c>
      <c r="J9" s="425"/>
      <c r="K9" s="426">
        <v>1</v>
      </c>
      <c r="L9" s="427"/>
      <c r="M9" s="428"/>
      <c r="O9" s="433">
        <v>2</v>
      </c>
      <c r="P9" s="434" t="s">
        <v>40</v>
      </c>
      <c r="Q9" s="434" t="s">
        <v>47</v>
      </c>
      <c r="R9" s="434" t="s">
        <v>56</v>
      </c>
      <c r="S9" s="434" t="s">
        <v>51</v>
      </c>
      <c r="T9" s="434" t="s">
        <v>75</v>
      </c>
      <c r="U9" s="409" t="s">
        <v>82</v>
      </c>
    </row>
    <row r="10" spans="2:21" ht="15.75">
      <c r="B10" s="419">
        <v>4</v>
      </c>
      <c r="C10" s="420" t="s">
        <v>49</v>
      </c>
      <c r="D10" s="421" t="s">
        <v>50</v>
      </c>
      <c r="E10" s="422" t="s">
        <v>51</v>
      </c>
      <c r="F10" s="421" t="s">
        <v>27</v>
      </c>
      <c r="G10" s="423" t="s">
        <v>52</v>
      </c>
      <c r="H10" s="424"/>
      <c r="I10" s="425">
        <v>0</v>
      </c>
      <c r="J10" s="421" t="s">
        <v>27</v>
      </c>
      <c r="K10" s="425">
        <v>2</v>
      </c>
      <c r="L10" s="426"/>
      <c r="M10" s="427"/>
      <c r="N10" s="428"/>
      <c r="O10" s="433">
        <v>3</v>
      </c>
      <c r="P10" s="434" t="s">
        <v>44</v>
      </c>
      <c r="Q10" s="434" t="s">
        <v>48</v>
      </c>
      <c r="R10" s="434" t="s">
        <v>68</v>
      </c>
      <c r="S10" s="434" t="s">
        <v>58</v>
      </c>
      <c r="T10" s="434" t="s">
        <v>74</v>
      </c>
      <c r="U10" s="434" t="s">
        <v>84</v>
      </c>
    </row>
    <row r="11" spans="2:21" ht="15.75">
      <c r="B11" s="419">
        <v>5</v>
      </c>
      <c r="C11" s="420" t="s">
        <v>53</v>
      </c>
      <c r="D11" s="421" t="s">
        <v>54</v>
      </c>
      <c r="E11" s="422" t="s">
        <v>55</v>
      </c>
      <c r="F11" s="421" t="s">
        <v>27</v>
      </c>
      <c r="G11" s="423" t="s">
        <v>56</v>
      </c>
      <c r="H11" s="424"/>
      <c r="I11" s="425">
        <v>0</v>
      </c>
      <c r="J11" s="421" t="s">
        <v>27</v>
      </c>
      <c r="K11" s="425">
        <v>3</v>
      </c>
      <c r="L11" s="426"/>
      <c r="M11" s="427"/>
      <c r="N11" s="428"/>
      <c r="O11" s="433">
        <v>4</v>
      </c>
      <c r="P11" s="434" t="s">
        <v>41</v>
      </c>
      <c r="Q11" s="434" t="s">
        <v>70</v>
      </c>
      <c r="R11" s="434" t="s">
        <v>55</v>
      </c>
      <c r="S11" s="434" t="s">
        <v>59</v>
      </c>
      <c r="T11" s="434" t="s">
        <v>78</v>
      </c>
      <c r="U11" s="434" t="s">
        <v>85</v>
      </c>
    </row>
    <row r="12" spans="2:21" ht="16.5" thickBot="1">
      <c r="B12" s="419">
        <v>6</v>
      </c>
      <c r="C12" s="420" t="s">
        <v>57</v>
      </c>
      <c r="D12" s="421" t="s">
        <v>50</v>
      </c>
      <c r="E12" s="422" t="s">
        <v>58</v>
      </c>
      <c r="F12" s="421" t="s">
        <v>27</v>
      </c>
      <c r="G12" s="423" t="s">
        <v>59</v>
      </c>
      <c r="H12" s="424"/>
      <c r="I12" s="425">
        <v>2</v>
      </c>
      <c r="J12" s="421" t="s">
        <v>27</v>
      </c>
      <c r="K12" s="425">
        <v>1</v>
      </c>
      <c r="L12" s="426"/>
      <c r="M12" s="427"/>
      <c r="N12" s="428"/>
      <c r="O12" s="408"/>
      <c r="P12" s="408"/>
      <c r="Q12" s="408"/>
      <c r="R12" s="408"/>
      <c r="S12" s="408"/>
      <c r="T12" s="408"/>
      <c r="U12" s="408"/>
    </row>
    <row r="13" spans="2:21" ht="16.5" thickBot="1">
      <c r="B13" s="419">
        <v>7</v>
      </c>
      <c r="C13" s="420" t="s">
        <v>66</v>
      </c>
      <c r="D13" s="421" t="s">
        <v>54</v>
      </c>
      <c r="E13" s="422" t="s">
        <v>67</v>
      </c>
      <c r="F13" s="421" t="s">
        <v>27</v>
      </c>
      <c r="G13" s="423" t="s">
        <v>68</v>
      </c>
      <c r="H13" s="424"/>
      <c r="I13" s="425">
        <v>3</v>
      </c>
      <c r="J13" s="421" t="s">
        <v>27</v>
      </c>
      <c r="K13" s="425">
        <v>2</v>
      </c>
      <c r="L13" s="426"/>
      <c r="M13" s="427"/>
      <c r="N13" s="428"/>
      <c r="O13" s="429" t="s">
        <v>31</v>
      </c>
      <c r="P13" s="430" t="s">
        <v>60</v>
      </c>
      <c r="Q13" s="430" t="s">
        <v>61</v>
      </c>
      <c r="R13" s="430" t="s">
        <v>62</v>
      </c>
      <c r="S13" s="430" t="s">
        <v>63</v>
      </c>
      <c r="T13" s="430" t="s">
        <v>64</v>
      </c>
      <c r="U13" s="430" t="s">
        <v>65</v>
      </c>
    </row>
    <row r="14" spans="2:21" ht="15.75">
      <c r="B14" s="419">
        <v>8</v>
      </c>
      <c r="C14" s="420" t="s">
        <v>69</v>
      </c>
      <c r="D14" s="421" t="s">
        <v>46</v>
      </c>
      <c r="E14" s="422" t="s">
        <v>70</v>
      </c>
      <c r="F14" s="421" t="s">
        <v>27</v>
      </c>
      <c r="G14" s="423" t="s">
        <v>71</v>
      </c>
      <c r="H14" s="424"/>
      <c r="I14" s="425">
        <v>0</v>
      </c>
      <c r="J14" s="421" t="s">
        <v>27</v>
      </c>
      <c r="K14" s="425">
        <v>2</v>
      </c>
      <c r="L14" s="426"/>
      <c r="M14" s="427"/>
      <c r="N14" s="428"/>
      <c r="O14" s="431">
        <v>1</v>
      </c>
      <c r="P14" s="432" t="s">
        <v>100</v>
      </c>
      <c r="Q14" s="432" t="s">
        <v>92</v>
      </c>
      <c r="R14" s="432" t="s">
        <v>105</v>
      </c>
      <c r="S14" s="432" t="s">
        <v>113</v>
      </c>
      <c r="T14" s="432" t="s">
        <v>128</v>
      </c>
      <c r="U14" s="432" t="s">
        <v>124</v>
      </c>
    </row>
    <row r="15" spans="2:21" ht="15.75">
      <c r="B15" s="419">
        <v>9</v>
      </c>
      <c r="C15" s="420" t="s">
        <v>72</v>
      </c>
      <c r="D15" s="421" t="s">
        <v>73</v>
      </c>
      <c r="E15" s="422" t="s">
        <v>74</v>
      </c>
      <c r="F15" s="421" t="s">
        <v>27</v>
      </c>
      <c r="G15" s="423" t="s">
        <v>75</v>
      </c>
      <c r="H15" s="424"/>
      <c r="I15" s="425">
        <v>0</v>
      </c>
      <c r="J15" s="421" t="s">
        <v>27</v>
      </c>
      <c r="K15" s="425">
        <v>2</v>
      </c>
      <c r="L15" s="426"/>
      <c r="M15" s="427"/>
      <c r="N15" s="428"/>
      <c r="O15" s="433">
        <v>2</v>
      </c>
      <c r="P15" s="434" t="s">
        <v>101</v>
      </c>
      <c r="Q15" s="434" t="s">
        <v>89</v>
      </c>
      <c r="R15" s="434" t="s">
        <v>109</v>
      </c>
      <c r="S15" s="434" t="s">
        <v>114</v>
      </c>
      <c r="T15" s="434" t="s">
        <v>132</v>
      </c>
      <c r="U15" s="434" t="s">
        <v>125</v>
      </c>
    </row>
    <row r="16" spans="2:21" ht="15.75">
      <c r="B16" s="419">
        <v>10</v>
      </c>
      <c r="C16" s="420" t="s">
        <v>76</v>
      </c>
      <c r="D16" s="421" t="s">
        <v>73</v>
      </c>
      <c r="E16" s="422" t="s">
        <v>77</v>
      </c>
      <c r="F16" s="421" t="s">
        <v>27</v>
      </c>
      <c r="G16" s="423" t="s">
        <v>78</v>
      </c>
      <c r="H16" s="424"/>
      <c r="I16" s="425">
        <v>2</v>
      </c>
      <c r="J16" s="421" t="s">
        <v>27</v>
      </c>
      <c r="K16" s="425">
        <v>0</v>
      </c>
      <c r="L16" s="426"/>
      <c r="M16" s="427"/>
      <c r="N16" s="428"/>
      <c r="O16" s="433">
        <v>3</v>
      </c>
      <c r="P16" s="434" t="s">
        <v>96</v>
      </c>
      <c r="Q16" s="434" t="s">
        <v>88</v>
      </c>
      <c r="R16" s="434" t="s">
        <v>106</v>
      </c>
      <c r="S16" s="434" t="s">
        <v>117</v>
      </c>
      <c r="T16" s="434" t="s">
        <v>131</v>
      </c>
      <c r="U16" s="434" t="s">
        <v>121</v>
      </c>
    </row>
    <row r="17" spans="2:21" ht="15.75">
      <c r="B17" s="419">
        <v>11</v>
      </c>
      <c r="C17" s="420" t="s">
        <v>79</v>
      </c>
      <c r="D17" s="421" t="s">
        <v>80</v>
      </c>
      <c r="E17" s="422" t="s">
        <v>81</v>
      </c>
      <c r="F17" s="421" t="s">
        <v>27</v>
      </c>
      <c r="G17" s="423" t="s">
        <v>82</v>
      </c>
      <c r="H17" s="424"/>
      <c r="I17" s="425">
        <v>2</v>
      </c>
      <c r="J17" s="421" t="s">
        <v>27</v>
      </c>
      <c r="K17" s="425">
        <v>0</v>
      </c>
      <c r="L17" s="426"/>
      <c r="M17" s="427"/>
      <c r="N17" s="428"/>
      <c r="O17" s="433">
        <v>4</v>
      </c>
      <c r="P17" s="434" t="s">
        <v>97</v>
      </c>
      <c r="Q17" s="434" t="s">
        <v>93</v>
      </c>
      <c r="R17" s="434" t="s">
        <v>108</v>
      </c>
      <c r="S17" s="434" t="s">
        <v>118</v>
      </c>
      <c r="T17" s="434" t="s">
        <v>129</v>
      </c>
      <c r="U17" s="434" t="s">
        <v>122</v>
      </c>
    </row>
    <row r="18" spans="2:21" ht="15.75">
      <c r="B18" s="419">
        <v>12</v>
      </c>
      <c r="C18" s="420" t="s">
        <v>83</v>
      </c>
      <c r="D18" s="421" t="s">
        <v>80</v>
      </c>
      <c r="E18" s="422" t="s">
        <v>84</v>
      </c>
      <c r="F18" s="421" t="s">
        <v>27</v>
      </c>
      <c r="G18" s="423" t="s">
        <v>85</v>
      </c>
      <c r="H18" s="424"/>
      <c r="I18" s="425">
        <v>2</v>
      </c>
      <c r="J18" s="421" t="s">
        <v>27</v>
      </c>
      <c r="K18" s="425">
        <v>0</v>
      </c>
      <c r="L18" s="426"/>
      <c r="M18" s="427"/>
      <c r="N18" s="428"/>
      <c r="O18" s="408"/>
      <c r="P18" s="435"/>
      <c r="Q18" s="435"/>
      <c r="R18" s="435"/>
      <c r="S18" s="435"/>
      <c r="T18" s="435"/>
      <c r="U18" s="435"/>
    </row>
    <row r="19" spans="2:21" ht="15.75">
      <c r="B19" s="419">
        <v>13</v>
      </c>
      <c r="C19" s="420" t="s">
        <v>86</v>
      </c>
      <c r="D19" s="421" t="s">
        <v>87</v>
      </c>
      <c r="E19" s="422" t="s">
        <v>88</v>
      </c>
      <c r="F19" s="421" t="s">
        <v>27</v>
      </c>
      <c r="G19" s="423" t="s">
        <v>89</v>
      </c>
      <c r="H19" s="424"/>
      <c r="I19" s="425">
        <v>1</v>
      </c>
      <c r="J19" s="421" t="s">
        <v>27</v>
      </c>
      <c r="K19" s="425">
        <v>2</v>
      </c>
      <c r="L19" s="426"/>
      <c r="M19" s="427"/>
      <c r="N19" s="428"/>
      <c r="O19" s="408"/>
      <c r="P19" s="408"/>
      <c r="Q19" s="408"/>
      <c r="R19" s="408"/>
      <c r="S19" s="408"/>
      <c r="T19" s="408"/>
      <c r="U19" s="408"/>
    </row>
    <row r="20" spans="2:21" ht="16.5" thickBot="1">
      <c r="B20" s="419">
        <v>14</v>
      </c>
      <c r="C20" s="420" t="s">
        <v>91</v>
      </c>
      <c r="D20" s="421" t="s">
        <v>87</v>
      </c>
      <c r="E20" s="422" t="s">
        <v>92</v>
      </c>
      <c r="F20" s="421" t="s">
        <v>27</v>
      </c>
      <c r="G20" s="423" t="s">
        <v>93</v>
      </c>
      <c r="H20" s="424"/>
      <c r="I20" s="425">
        <v>3</v>
      </c>
      <c r="J20" s="421" t="s">
        <v>27</v>
      </c>
      <c r="K20" s="425">
        <v>0</v>
      </c>
      <c r="L20" s="426"/>
      <c r="M20" s="427"/>
      <c r="N20" s="428"/>
      <c r="O20" s="436" t="s">
        <v>334</v>
      </c>
      <c r="P20" s="408"/>
      <c r="Q20" s="408"/>
      <c r="R20" s="408"/>
      <c r="S20" s="408"/>
      <c r="T20" s="408"/>
      <c r="U20" s="408"/>
    </row>
    <row r="21" spans="2:21" ht="16.5" thickBot="1">
      <c r="B21" s="419">
        <v>15</v>
      </c>
      <c r="C21" s="420" t="s">
        <v>94</v>
      </c>
      <c r="D21" s="421" t="s">
        <v>95</v>
      </c>
      <c r="E21" s="422" t="s">
        <v>96</v>
      </c>
      <c r="F21" s="421" t="s">
        <v>27</v>
      </c>
      <c r="G21" s="423" t="s">
        <v>97</v>
      </c>
      <c r="H21" s="424"/>
      <c r="I21" s="425">
        <v>1</v>
      </c>
      <c r="J21" s="421" t="s">
        <v>27</v>
      </c>
      <c r="K21" s="425">
        <v>2</v>
      </c>
      <c r="L21" s="426"/>
      <c r="M21" s="427"/>
      <c r="N21" s="428"/>
      <c r="O21" s="408"/>
      <c r="P21" s="429" t="s">
        <v>32</v>
      </c>
      <c r="Q21" s="430" t="s">
        <v>33</v>
      </c>
      <c r="R21" s="430" t="s">
        <v>34</v>
      </c>
      <c r="S21" s="430" t="s">
        <v>35</v>
      </c>
      <c r="T21" s="430" t="s">
        <v>36</v>
      </c>
      <c r="U21" s="430" t="s">
        <v>37</v>
      </c>
    </row>
    <row r="22" spans="2:21" ht="15.75">
      <c r="B22" s="419">
        <v>16</v>
      </c>
      <c r="C22" s="420" t="s">
        <v>99</v>
      </c>
      <c r="D22" s="421" t="s">
        <v>95</v>
      </c>
      <c r="E22" s="422" t="s">
        <v>100</v>
      </c>
      <c r="F22" s="421" t="s">
        <v>27</v>
      </c>
      <c r="G22" s="423" t="s">
        <v>101</v>
      </c>
      <c r="H22" s="424"/>
      <c r="I22" s="425">
        <v>3</v>
      </c>
      <c r="J22" s="421" t="s">
        <v>27</v>
      </c>
      <c r="K22" s="425">
        <v>1</v>
      </c>
      <c r="L22" s="426"/>
      <c r="M22" s="427"/>
      <c r="N22" s="428"/>
      <c r="O22" s="408"/>
      <c r="P22" s="437" t="s">
        <v>40</v>
      </c>
      <c r="Q22" s="437" t="s">
        <v>47</v>
      </c>
      <c r="R22" s="437" t="s">
        <v>55</v>
      </c>
      <c r="S22" s="437" t="s">
        <v>51</v>
      </c>
      <c r="T22" s="437" t="s">
        <v>74</v>
      </c>
      <c r="U22" s="437" t="s">
        <v>81</v>
      </c>
    </row>
    <row r="23" spans="2:21" ht="15.75">
      <c r="B23" s="419">
        <v>17</v>
      </c>
      <c r="C23" s="420" t="s">
        <v>103</v>
      </c>
      <c r="D23" s="421" t="s">
        <v>104</v>
      </c>
      <c r="E23" s="422" t="s">
        <v>105</v>
      </c>
      <c r="F23" s="421" t="s">
        <v>27</v>
      </c>
      <c r="G23" s="423" t="s">
        <v>106</v>
      </c>
      <c r="H23" s="424"/>
      <c r="I23" s="425">
        <v>3</v>
      </c>
      <c r="J23" s="421" t="s">
        <v>27</v>
      </c>
      <c r="K23" s="425">
        <v>1</v>
      </c>
      <c r="L23" s="426"/>
      <c r="M23" s="427"/>
      <c r="N23" s="428"/>
      <c r="O23" s="408"/>
      <c r="P23" s="435" t="s">
        <v>41</v>
      </c>
      <c r="Q23" s="435" t="s">
        <v>48</v>
      </c>
      <c r="R23" s="435" t="s">
        <v>56</v>
      </c>
      <c r="S23" s="435" t="s">
        <v>52</v>
      </c>
      <c r="T23" s="435" t="s">
        <v>75</v>
      </c>
      <c r="U23" s="435" t="s">
        <v>82</v>
      </c>
    </row>
    <row r="24" spans="2:21" ht="15.75">
      <c r="B24" s="419">
        <v>18</v>
      </c>
      <c r="C24" s="420" t="s">
        <v>107</v>
      </c>
      <c r="D24" s="421" t="s">
        <v>104</v>
      </c>
      <c r="E24" s="422" t="s">
        <v>108</v>
      </c>
      <c r="F24" s="421" t="s">
        <v>27</v>
      </c>
      <c r="G24" s="423" t="s">
        <v>109</v>
      </c>
      <c r="H24" s="424"/>
      <c r="I24" s="425">
        <v>1</v>
      </c>
      <c r="J24" s="421" t="s">
        <v>27</v>
      </c>
      <c r="K24" s="425">
        <v>2</v>
      </c>
      <c r="L24" s="426"/>
      <c r="M24" s="427"/>
      <c r="N24" s="428"/>
      <c r="O24" s="408"/>
      <c r="P24" s="435" t="s">
        <v>43</v>
      </c>
      <c r="Q24" s="435" t="s">
        <v>70</v>
      </c>
      <c r="R24" s="435" t="s">
        <v>67</v>
      </c>
      <c r="S24" s="435" t="s">
        <v>58</v>
      </c>
      <c r="T24" s="435" t="s">
        <v>77</v>
      </c>
      <c r="U24" s="435" t="s">
        <v>84</v>
      </c>
    </row>
    <row r="25" spans="2:21" ht="15.75">
      <c r="B25" s="419">
        <v>19</v>
      </c>
      <c r="C25" s="420" t="s">
        <v>111</v>
      </c>
      <c r="D25" s="421" t="s">
        <v>112</v>
      </c>
      <c r="E25" s="422" t="s">
        <v>113</v>
      </c>
      <c r="F25" s="421" t="s">
        <v>27</v>
      </c>
      <c r="G25" s="423" t="s">
        <v>114</v>
      </c>
      <c r="H25" s="424"/>
      <c r="I25" s="425">
        <v>2</v>
      </c>
      <c r="J25" s="421" t="s">
        <v>27</v>
      </c>
      <c r="K25" s="425">
        <v>1</v>
      </c>
      <c r="L25" s="426"/>
      <c r="M25" s="427"/>
      <c r="N25" s="428"/>
      <c r="O25" s="408"/>
      <c r="P25" s="435" t="s">
        <v>44</v>
      </c>
      <c r="Q25" s="435" t="s">
        <v>71</v>
      </c>
      <c r="R25" s="435" t="s">
        <v>68</v>
      </c>
      <c r="S25" s="435" t="s">
        <v>59</v>
      </c>
      <c r="T25" s="435" t="s">
        <v>78</v>
      </c>
      <c r="U25" s="435" t="s">
        <v>85</v>
      </c>
    </row>
    <row r="26" spans="2:21" ht="16.5" thickBot="1">
      <c r="B26" s="419">
        <v>20</v>
      </c>
      <c r="C26" s="420" t="s">
        <v>116</v>
      </c>
      <c r="D26" s="421" t="s">
        <v>112</v>
      </c>
      <c r="E26" s="422" t="s">
        <v>117</v>
      </c>
      <c r="F26" s="421" t="s">
        <v>27</v>
      </c>
      <c r="G26" s="423" t="s">
        <v>118</v>
      </c>
      <c r="H26" s="424"/>
      <c r="I26" s="425">
        <v>2</v>
      </c>
      <c r="J26" s="421" t="s">
        <v>27</v>
      </c>
      <c r="K26" s="425">
        <v>1</v>
      </c>
      <c r="L26" s="426"/>
      <c r="M26" s="427"/>
      <c r="N26" s="428"/>
      <c r="O26" s="408"/>
      <c r="P26" s="408"/>
      <c r="Q26" s="408"/>
      <c r="R26" s="408"/>
      <c r="S26" s="408"/>
      <c r="T26" s="408"/>
      <c r="U26" s="408"/>
    </row>
    <row r="27" spans="2:21" ht="16.5" thickBot="1">
      <c r="B27" s="419">
        <v>21</v>
      </c>
      <c r="C27" s="420" t="s">
        <v>119</v>
      </c>
      <c r="D27" s="421" t="s">
        <v>120</v>
      </c>
      <c r="E27" s="422" t="s">
        <v>121</v>
      </c>
      <c r="F27" s="421" t="s">
        <v>27</v>
      </c>
      <c r="G27" s="423" t="s">
        <v>122</v>
      </c>
      <c r="H27" s="424"/>
      <c r="I27" s="425">
        <v>1</v>
      </c>
      <c r="J27" s="421" t="s">
        <v>27</v>
      </c>
      <c r="K27" s="425">
        <v>0</v>
      </c>
      <c r="L27" s="426"/>
      <c r="M27" s="427"/>
      <c r="N27" s="428"/>
      <c r="O27" s="408"/>
      <c r="P27" s="429" t="s">
        <v>60</v>
      </c>
      <c r="Q27" s="430" t="s">
        <v>61</v>
      </c>
      <c r="R27" s="430" t="s">
        <v>62</v>
      </c>
      <c r="S27" s="430" t="s">
        <v>63</v>
      </c>
      <c r="T27" s="430" t="s">
        <v>64</v>
      </c>
      <c r="U27" s="430" t="s">
        <v>65</v>
      </c>
    </row>
    <row r="28" spans="2:21" ht="15.75">
      <c r="B28" s="419">
        <v>22</v>
      </c>
      <c r="C28" s="420" t="s">
        <v>123</v>
      </c>
      <c r="D28" s="421" t="s">
        <v>120</v>
      </c>
      <c r="E28" s="422" t="s">
        <v>124</v>
      </c>
      <c r="F28" s="421" t="s">
        <v>27</v>
      </c>
      <c r="G28" s="423" t="s">
        <v>125</v>
      </c>
      <c r="H28" s="424"/>
      <c r="I28" s="425">
        <v>3</v>
      </c>
      <c r="J28" s="421" t="s">
        <v>27</v>
      </c>
      <c r="K28" s="425">
        <v>0</v>
      </c>
      <c r="L28" s="426"/>
      <c r="M28" s="427"/>
      <c r="N28" s="428"/>
      <c r="O28" s="408"/>
      <c r="P28" s="437" t="s">
        <v>96</v>
      </c>
      <c r="Q28" s="437" t="s">
        <v>88</v>
      </c>
      <c r="R28" s="437" t="s">
        <v>105</v>
      </c>
      <c r="S28" s="437" t="s">
        <v>113</v>
      </c>
      <c r="T28" s="437" t="s">
        <v>128</v>
      </c>
      <c r="U28" s="437" t="s">
        <v>121</v>
      </c>
    </row>
    <row r="29" spans="2:21" ht="15.75">
      <c r="B29" s="419">
        <v>23</v>
      </c>
      <c r="C29" s="420" t="s">
        <v>126</v>
      </c>
      <c r="D29" s="421" t="s">
        <v>127</v>
      </c>
      <c r="E29" s="422" t="s">
        <v>128</v>
      </c>
      <c r="F29" s="421" t="s">
        <v>27</v>
      </c>
      <c r="G29" s="423" t="s">
        <v>129</v>
      </c>
      <c r="H29" s="424"/>
      <c r="I29" s="425">
        <v>2</v>
      </c>
      <c r="J29" s="421" t="s">
        <v>27</v>
      </c>
      <c r="K29" s="425">
        <v>0</v>
      </c>
      <c r="L29" s="426"/>
      <c r="M29" s="427"/>
      <c r="N29" s="428"/>
      <c r="O29" s="408"/>
      <c r="P29" s="435" t="s">
        <v>97</v>
      </c>
      <c r="Q29" s="435" t="s">
        <v>89</v>
      </c>
      <c r="R29" s="435" t="s">
        <v>106</v>
      </c>
      <c r="S29" s="435" t="s">
        <v>114</v>
      </c>
      <c r="T29" s="435" t="s">
        <v>129</v>
      </c>
      <c r="U29" s="435" t="s">
        <v>122</v>
      </c>
    </row>
    <row r="30" spans="2:21" ht="15.75">
      <c r="B30" s="419">
        <v>24</v>
      </c>
      <c r="C30" s="420" t="s">
        <v>130</v>
      </c>
      <c r="D30" s="421" t="s">
        <v>127</v>
      </c>
      <c r="E30" s="422" t="s">
        <v>131</v>
      </c>
      <c r="F30" s="421" t="s">
        <v>27</v>
      </c>
      <c r="G30" s="423" t="s">
        <v>132</v>
      </c>
      <c r="H30" s="424"/>
      <c r="I30" s="425">
        <v>1</v>
      </c>
      <c r="J30" s="421" t="s">
        <v>27</v>
      </c>
      <c r="K30" s="425">
        <v>3</v>
      </c>
      <c r="L30" s="426"/>
      <c r="M30" s="427"/>
      <c r="N30" s="428"/>
      <c r="O30" s="408"/>
      <c r="P30" s="435" t="s">
        <v>100</v>
      </c>
      <c r="Q30" s="435" t="s">
        <v>92</v>
      </c>
      <c r="R30" s="435" t="s">
        <v>108</v>
      </c>
      <c r="S30" s="435" t="s">
        <v>117</v>
      </c>
      <c r="T30" s="435" t="s">
        <v>131</v>
      </c>
      <c r="U30" s="435" t="s">
        <v>124</v>
      </c>
    </row>
    <row r="31" spans="2:21" ht="15.75">
      <c r="B31" s="419">
        <v>25</v>
      </c>
      <c r="C31" s="420" t="s">
        <v>133</v>
      </c>
      <c r="D31" s="421" t="s">
        <v>39</v>
      </c>
      <c r="E31" s="422" t="s">
        <v>44</v>
      </c>
      <c r="F31" s="421" t="s">
        <v>27</v>
      </c>
      <c r="G31" s="423" t="s">
        <v>41</v>
      </c>
      <c r="H31" s="424"/>
      <c r="I31" s="425">
        <v>1</v>
      </c>
      <c r="J31" s="421" t="s">
        <v>27</v>
      </c>
      <c r="K31" s="425">
        <v>0</v>
      </c>
      <c r="L31" s="426"/>
      <c r="M31" s="427"/>
      <c r="N31" s="428"/>
      <c r="O31" s="408"/>
      <c r="P31" s="435" t="s">
        <v>101</v>
      </c>
      <c r="Q31" s="435" t="s">
        <v>93</v>
      </c>
      <c r="R31" s="435" t="s">
        <v>109</v>
      </c>
      <c r="S31" s="435" t="s">
        <v>118</v>
      </c>
      <c r="T31" s="435" t="s">
        <v>132</v>
      </c>
      <c r="U31" s="435" t="s">
        <v>125</v>
      </c>
    </row>
    <row r="32" spans="2:21" ht="15.75">
      <c r="B32" s="419">
        <v>26</v>
      </c>
      <c r="C32" s="420" t="s">
        <v>134</v>
      </c>
      <c r="D32" s="421" t="s">
        <v>46</v>
      </c>
      <c r="E32" s="422" t="s">
        <v>71</v>
      </c>
      <c r="F32" s="421" t="s">
        <v>27</v>
      </c>
      <c r="G32" s="423" t="s">
        <v>48</v>
      </c>
      <c r="H32" s="424"/>
      <c r="I32" s="425">
        <v>2</v>
      </c>
      <c r="J32" s="421" t="s">
        <v>27</v>
      </c>
      <c r="K32" s="425">
        <v>0</v>
      </c>
      <c r="L32" s="426"/>
      <c r="M32" s="427"/>
      <c r="N32" s="428"/>
      <c r="O32" s="408"/>
      <c r="P32" s="408"/>
      <c r="Q32" s="408"/>
      <c r="R32" s="408"/>
      <c r="S32" s="408"/>
      <c r="T32" s="408"/>
      <c r="U32" s="408"/>
    </row>
    <row r="33" spans="2:14" ht="15.75">
      <c r="B33" s="419">
        <v>27</v>
      </c>
      <c r="C33" s="420" t="s">
        <v>135</v>
      </c>
      <c r="D33" s="421" t="s">
        <v>46</v>
      </c>
      <c r="E33" s="422" t="s">
        <v>47</v>
      </c>
      <c r="F33" s="421" t="s">
        <v>27</v>
      </c>
      <c r="G33" s="423" t="s">
        <v>70</v>
      </c>
      <c r="H33" s="424"/>
      <c r="I33" s="425">
        <v>1</v>
      </c>
      <c r="J33" s="421" t="s">
        <v>27</v>
      </c>
      <c r="K33" s="425">
        <v>0</v>
      </c>
      <c r="L33" s="426"/>
      <c r="M33" s="427"/>
      <c r="N33" s="428"/>
    </row>
    <row r="34" spans="2:14" ht="15.75">
      <c r="B34" s="419">
        <v>28</v>
      </c>
      <c r="C34" s="420" t="s">
        <v>136</v>
      </c>
      <c r="D34" s="421" t="s">
        <v>39</v>
      </c>
      <c r="E34" s="422" t="s">
        <v>40</v>
      </c>
      <c r="F34" s="421" t="s">
        <v>27</v>
      </c>
      <c r="G34" s="423" t="s">
        <v>43</v>
      </c>
      <c r="H34" s="424"/>
      <c r="I34" s="425">
        <v>2</v>
      </c>
      <c r="J34" s="421" t="s">
        <v>27</v>
      </c>
      <c r="K34" s="425">
        <v>1</v>
      </c>
      <c r="L34" s="426"/>
      <c r="M34" s="427"/>
      <c r="N34" s="428"/>
    </row>
    <row r="35" spans="2:14" ht="15.75">
      <c r="B35" s="419">
        <v>29</v>
      </c>
      <c r="C35" s="420" t="s">
        <v>137</v>
      </c>
      <c r="D35" s="421" t="s">
        <v>54</v>
      </c>
      <c r="E35" s="422" t="s">
        <v>67</v>
      </c>
      <c r="F35" s="421" t="s">
        <v>27</v>
      </c>
      <c r="G35" s="423" t="s">
        <v>55</v>
      </c>
      <c r="H35" s="424"/>
      <c r="I35" s="425">
        <v>3</v>
      </c>
      <c r="J35" s="421" t="s">
        <v>27</v>
      </c>
      <c r="K35" s="425">
        <v>0</v>
      </c>
      <c r="L35" s="426"/>
      <c r="M35" s="427"/>
      <c r="N35" s="428"/>
    </row>
    <row r="36" spans="2:14" ht="15.75">
      <c r="B36" s="419">
        <v>30</v>
      </c>
      <c r="C36" s="420" t="s">
        <v>138</v>
      </c>
      <c r="D36" s="421" t="s">
        <v>54</v>
      </c>
      <c r="E36" s="422" t="s">
        <v>56</v>
      </c>
      <c r="F36" s="421" t="s">
        <v>27</v>
      </c>
      <c r="G36" s="423" t="s">
        <v>68</v>
      </c>
      <c r="H36" s="424"/>
      <c r="I36" s="425">
        <v>3</v>
      </c>
      <c r="J36" s="421" t="s">
        <v>27</v>
      </c>
      <c r="K36" s="425">
        <v>2</v>
      </c>
      <c r="L36" s="426"/>
      <c r="M36" s="427"/>
      <c r="N36" s="428"/>
    </row>
    <row r="37" spans="2:14" ht="15.75">
      <c r="B37" s="419">
        <v>31</v>
      </c>
      <c r="C37" s="420" t="s">
        <v>139</v>
      </c>
      <c r="D37" s="421" t="s">
        <v>50</v>
      </c>
      <c r="E37" s="422" t="s">
        <v>59</v>
      </c>
      <c r="F37" s="421" t="s">
        <v>27</v>
      </c>
      <c r="G37" s="423" t="s">
        <v>52</v>
      </c>
      <c r="H37" s="424"/>
      <c r="I37" s="425">
        <v>1</v>
      </c>
      <c r="J37" s="421" t="s">
        <v>27</v>
      </c>
      <c r="K37" s="425">
        <v>3</v>
      </c>
      <c r="L37" s="426"/>
      <c r="M37" s="427"/>
      <c r="N37" s="428"/>
    </row>
    <row r="38" spans="2:14" ht="15.75">
      <c r="B38" s="419">
        <v>32</v>
      </c>
      <c r="C38" s="420" t="s">
        <v>140</v>
      </c>
      <c r="D38" s="421" t="s">
        <v>50</v>
      </c>
      <c r="E38" s="422" t="s">
        <v>51</v>
      </c>
      <c r="F38" s="421" t="s">
        <v>27</v>
      </c>
      <c r="G38" s="423" t="s">
        <v>58</v>
      </c>
      <c r="H38" s="424"/>
      <c r="I38" s="425">
        <v>1</v>
      </c>
      <c r="J38" s="421" t="s">
        <v>27</v>
      </c>
      <c r="K38" s="425">
        <v>0</v>
      </c>
      <c r="L38" s="426"/>
      <c r="M38" s="427"/>
      <c r="N38" s="428"/>
    </row>
    <row r="39" spans="2:14" ht="15.75">
      <c r="B39" s="419">
        <v>33</v>
      </c>
      <c r="C39" s="420" t="s">
        <v>141</v>
      </c>
      <c r="D39" s="421" t="s">
        <v>73</v>
      </c>
      <c r="E39" s="422" t="s">
        <v>77</v>
      </c>
      <c r="F39" s="421" t="s">
        <v>27</v>
      </c>
      <c r="G39" s="423" t="s">
        <v>74</v>
      </c>
      <c r="H39" s="424"/>
      <c r="I39" s="425">
        <v>3</v>
      </c>
      <c r="J39" s="421" t="s">
        <v>27</v>
      </c>
      <c r="K39" s="425">
        <v>0</v>
      </c>
      <c r="L39" s="426"/>
      <c r="M39" s="427"/>
      <c r="N39" s="428"/>
    </row>
    <row r="40" spans="2:14" ht="15.75">
      <c r="B40" s="419">
        <v>34</v>
      </c>
      <c r="C40" s="420" t="s">
        <v>142</v>
      </c>
      <c r="D40" s="421" t="s">
        <v>73</v>
      </c>
      <c r="E40" s="422" t="s">
        <v>75</v>
      </c>
      <c r="F40" s="421" t="s">
        <v>27</v>
      </c>
      <c r="G40" s="423" t="s">
        <v>78</v>
      </c>
      <c r="H40" s="424"/>
      <c r="I40" s="425">
        <v>2</v>
      </c>
      <c r="J40" s="421" t="s">
        <v>27</v>
      </c>
      <c r="K40" s="425">
        <v>0</v>
      </c>
      <c r="L40" s="426"/>
      <c r="M40" s="427"/>
      <c r="N40" s="428"/>
    </row>
    <row r="41" spans="2:14" ht="15.75">
      <c r="B41" s="419">
        <v>35</v>
      </c>
      <c r="C41" s="420" t="s">
        <v>143</v>
      </c>
      <c r="D41" s="421" t="s">
        <v>80</v>
      </c>
      <c r="E41" s="422" t="s">
        <v>81</v>
      </c>
      <c r="F41" s="421" t="s">
        <v>27</v>
      </c>
      <c r="G41" s="423" t="s">
        <v>84</v>
      </c>
      <c r="H41" s="424"/>
      <c r="I41" s="425">
        <v>2</v>
      </c>
      <c r="J41" s="421" t="s">
        <v>27</v>
      </c>
      <c r="K41" s="425">
        <v>1</v>
      </c>
      <c r="L41" s="426"/>
      <c r="M41" s="427"/>
      <c r="N41" s="428"/>
    </row>
    <row r="42" spans="2:14" ht="15.75">
      <c r="B42" s="419">
        <v>36</v>
      </c>
      <c r="C42" s="420" t="s">
        <v>144</v>
      </c>
      <c r="D42" s="421" t="s">
        <v>80</v>
      </c>
      <c r="E42" s="422" t="s">
        <v>85</v>
      </c>
      <c r="F42" s="421" t="s">
        <v>27</v>
      </c>
      <c r="G42" s="423" t="s">
        <v>82</v>
      </c>
      <c r="H42" s="424"/>
      <c r="I42" s="425">
        <v>1</v>
      </c>
      <c r="J42" s="421" t="s">
        <v>27</v>
      </c>
      <c r="K42" s="425">
        <v>2</v>
      </c>
      <c r="L42" s="426"/>
      <c r="M42" s="427"/>
      <c r="N42" s="428"/>
    </row>
    <row r="43" spans="2:14" ht="15.75">
      <c r="B43" s="419">
        <v>37</v>
      </c>
      <c r="C43" s="420" t="s">
        <v>145</v>
      </c>
      <c r="D43" s="421" t="s">
        <v>87</v>
      </c>
      <c r="E43" s="422" t="s">
        <v>89</v>
      </c>
      <c r="F43" s="421" t="s">
        <v>27</v>
      </c>
      <c r="G43" s="423" t="s">
        <v>93</v>
      </c>
      <c r="H43" s="424"/>
      <c r="I43" s="425">
        <v>2</v>
      </c>
      <c r="J43" s="421" t="s">
        <v>27</v>
      </c>
      <c r="K43" s="425">
        <v>0</v>
      </c>
      <c r="L43" s="426"/>
      <c r="M43" s="427"/>
      <c r="N43" s="408"/>
    </row>
    <row r="44" spans="2:14" ht="15.75">
      <c r="B44" s="419">
        <v>38</v>
      </c>
      <c r="C44" s="420" t="s">
        <v>146</v>
      </c>
      <c r="D44" s="421" t="s">
        <v>87</v>
      </c>
      <c r="E44" s="422" t="s">
        <v>92</v>
      </c>
      <c r="F44" s="421" t="s">
        <v>27</v>
      </c>
      <c r="G44" s="423" t="s">
        <v>88</v>
      </c>
      <c r="H44" s="424"/>
      <c r="I44" s="425">
        <v>2</v>
      </c>
      <c r="J44" s="421" t="s">
        <v>27</v>
      </c>
      <c r="K44" s="425">
        <v>0</v>
      </c>
      <c r="L44" s="426"/>
      <c r="M44" s="427"/>
      <c r="N44" s="408"/>
    </row>
    <row r="45" spans="2:14" ht="15.75">
      <c r="B45" s="419">
        <v>39</v>
      </c>
      <c r="C45" s="420" t="s">
        <v>147</v>
      </c>
      <c r="D45" s="421" t="s">
        <v>95</v>
      </c>
      <c r="E45" s="422" t="s">
        <v>100</v>
      </c>
      <c r="F45" s="421" t="s">
        <v>27</v>
      </c>
      <c r="G45" s="423" t="s">
        <v>96</v>
      </c>
      <c r="H45" s="424"/>
      <c r="I45" s="425">
        <v>2</v>
      </c>
      <c r="J45" s="421" t="s">
        <v>27</v>
      </c>
      <c r="K45" s="425">
        <v>0</v>
      </c>
      <c r="L45" s="426"/>
      <c r="M45" s="427"/>
      <c r="N45" s="408"/>
    </row>
    <row r="46" spans="2:14" ht="15.75">
      <c r="B46" s="419">
        <v>40</v>
      </c>
      <c r="C46" s="420" t="s">
        <v>148</v>
      </c>
      <c r="D46" s="421" t="s">
        <v>95</v>
      </c>
      <c r="E46" s="422" t="s">
        <v>97</v>
      </c>
      <c r="F46" s="421" t="s">
        <v>27</v>
      </c>
      <c r="G46" s="423" t="s">
        <v>101</v>
      </c>
      <c r="H46" s="424"/>
      <c r="I46" s="425">
        <v>0</v>
      </c>
      <c r="J46" s="421" t="s">
        <v>27</v>
      </c>
      <c r="K46" s="425">
        <v>2</v>
      </c>
      <c r="L46" s="426"/>
      <c r="M46" s="427"/>
      <c r="N46" s="408"/>
    </row>
    <row r="47" spans="2:14" ht="15.75">
      <c r="B47" s="419">
        <v>41</v>
      </c>
      <c r="C47" s="420" t="s">
        <v>149</v>
      </c>
      <c r="D47" s="421" t="s">
        <v>104</v>
      </c>
      <c r="E47" s="422" t="s">
        <v>109</v>
      </c>
      <c r="F47" s="421" t="s">
        <v>27</v>
      </c>
      <c r="G47" s="423" t="s">
        <v>106</v>
      </c>
      <c r="H47" s="424"/>
      <c r="I47" s="425">
        <v>2</v>
      </c>
      <c r="J47" s="421" t="s">
        <v>27</v>
      </c>
      <c r="K47" s="425">
        <v>1</v>
      </c>
      <c r="L47" s="426"/>
      <c r="M47" s="427"/>
      <c r="N47" s="408"/>
    </row>
    <row r="48" spans="2:14" ht="15.75">
      <c r="B48" s="419">
        <v>42</v>
      </c>
      <c r="C48" s="420" t="s">
        <v>150</v>
      </c>
      <c r="D48" s="421" t="s">
        <v>104</v>
      </c>
      <c r="E48" s="422" t="s">
        <v>105</v>
      </c>
      <c r="F48" s="421" t="s">
        <v>27</v>
      </c>
      <c r="G48" s="423" t="s">
        <v>108</v>
      </c>
      <c r="H48" s="424"/>
      <c r="I48" s="425">
        <v>3</v>
      </c>
      <c r="J48" s="421" t="s">
        <v>27</v>
      </c>
      <c r="K48" s="425">
        <v>0</v>
      </c>
      <c r="L48" s="426"/>
      <c r="M48" s="427"/>
      <c r="N48" s="408"/>
    </row>
    <row r="49" spans="2:13" ht="15.75">
      <c r="B49" s="419">
        <v>43</v>
      </c>
      <c r="C49" s="420" t="s">
        <v>151</v>
      </c>
      <c r="D49" s="421" t="s">
        <v>112</v>
      </c>
      <c r="E49" s="422" t="s">
        <v>113</v>
      </c>
      <c r="F49" s="421" t="s">
        <v>27</v>
      </c>
      <c r="G49" s="423" t="s">
        <v>117</v>
      </c>
      <c r="H49" s="424"/>
      <c r="I49" s="425">
        <v>3</v>
      </c>
      <c r="J49" s="421" t="s">
        <v>27</v>
      </c>
      <c r="K49" s="425">
        <v>1</v>
      </c>
      <c r="L49" s="426"/>
      <c r="M49" s="427"/>
    </row>
    <row r="50" spans="2:13" ht="15.75">
      <c r="B50" s="419">
        <v>44</v>
      </c>
      <c r="C50" s="420" t="s">
        <v>152</v>
      </c>
      <c r="D50" s="421" t="s">
        <v>112</v>
      </c>
      <c r="E50" s="422" t="s">
        <v>118</v>
      </c>
      <c r="F50" s="421" t="s">
        <v>27</v>
      </c>
      <c r="G50" s="423" t="s">
        <v>114</v>
      </c>
      <c r="H50" s="424"/>
      <c r="I50" s="425">
        <v>1</v>
      </c>
      <c r="J50" s="421" t="s">
        <v>27</v>
      </c>
      <c r="K50" s="425">
        <v>2</v>
      </c>
      <c r="L50" s="426"/>
      <c r="M50" s="427"/>
    </row>
    <row r="51" spans="2:13" ht="15.75">
      <c r="B51" s="419">
        <v>45</v>
      </c>
      <c r="C51" s="420" t="s">
        <v>153</v>
      </c>
      <c r="D51" s="421" t="s">
        <v>120</v>
      </c>
      <c r="E51" s="422" t="s">
        <v>124</v>
      </c>
      <c r="F51" s="421" t="s">
        <v>27</v>
      </c>
      <c r="G51" s="423" t="s">
        <v>121</v>
      </c>
      <c r="H51" s="424"/>
      <c r="I51" s="425">
        <v>2</v>
      </c>
      <c r="J51" s="421" t="s">
        <v>27</v>
      </c>
      <c r="K51" s="425">
        <v>0</v>
      </c>
      <c r="L51" s="426"/>
      <c r="M51" s="427"/>
    </row>
    <row r="52" spans="2:13" ht="15.75">
      <c r="B52" s="419">
        <v>46</v>
      </c>
      <c r="C52" s="420" t="s">
        <v>154</v>
      </c>
      <c r="D52" s="421" t="s">
        <v>120</v>
      </c>
      <c r="E52" s="422" t="s">
        <v>122</v>
      </c>
      <c r="F52" s="421" t="s">
        <v>27</v>
      </c>
      <c r="G52" s="423" t="s">
        <v>125</v>
      </c>
      <c r="H52" s="424"/>
      <c r="I52" s="425">
        <v>0</v>
      </c>
      <c r="J52" s="421" t="s">
        <v>27</v>
      </c>
      <c r="K52" s="425">
        <v>2</v>
      </c>
      <c r="L52" s="426"/>
      <c r="M52" s="427"/>
    </row>
    <row r="53" spans="2:13" ht="15.75">
      <c r="B53" s="419">
        <v>47</v>
      </c>
      <c r="C53" s="420" t="s">
        <v>155</v>
      </c>
      <c r="D53" s="421" t="s">
        <v>127</v>
      </c>
      <c r="E53" s="422" t="s">
        <v>128</v>
      </c>
      <c r="F53" s="421" t="s">
        <v>27</v>
      </c>
      <c r="G53" s="423" t="s">
        <v>131</v>
      </c>
      <c r="H53" s="424"/>
      <c r="I53" s="425">
        <v>3</v>
      </c>
      <c r="J53" s="421" t="s">
        <v>27</v>
      </c>
      <c r="K53" s="425">
        <v>1</v>
      </c>
      <c r="L53" s="426"/>
      <c r="M53" s="427"/>
    </row>
    <row r="54" spans="2:13" ht="15.75">
      <c r="B54" s="419">
        <v>48</v>
      </c>
      <c r="C54" s="420" t="s">
        <v>156</v>
      </c>
      <c r="D54" s="421" t="s">
        <v>127</v>
      </c>
      <c r="E54" s="422" t="s">
        <v>132</v>
      </c>
      <c r="F54" s="421" t="s">
        <v>27</v>
      </c>
      <c r="G54" s="423" t="s">
        <v>129</v>
      </c>
      <c r="H54" s="424"/>
      <c r="I54" s="425">
        <v>2</v>
      </c>
      <c r="J54" s="421" t="s">
        <v>27</v>
      </c>
      <c r="K54" s="425">
        <v>0</v>
      </c>
      <c r="L54" s="426"/>
      <c r="M54" s="427"/>
    </row>
    <row r="55" spans="2:13" ht="15.75">
      <c r="B55" s="419">
        <v>49</v>
      </c>
      <c r="C55" s="420" t="s">
        <v>157</v>
      </c>
      <c r="D55" s="421" t="s">
        <v>54</v>
      </c>
      <c r="E55" s="422" t="s">
        <v>56</v>
      </c>
      <c r="F55" s="421" t="s">
        <v>27</v>
      </c>
      <c r="G55" s="423" t="s">
        <v>67</v>
      </c>
      <c r="H55" s="424"/>
      <c r="I55" s="425">
        <v>2</v>
      </c>
      <c r="J55" s="421" t="s">
        <v>27</v>
      </c>
      <c r="K55" s="425">
        <v>3</v>
      </c>
      <c r="L55" s="426"/>
      <c r="M55" s="427"/>
    </row>
    <row r="56" spans="2:13" ht="15.75">
      <c r="B56" s="419">
        <v>50</v>
      </c>
      <c r="C56" s="420" t="s">
        <v>157</v>
      </c>
      <c r="D56" s="421" t="s">
        <v>54</v>
      </c>
      <c r="E56" s="422" t="s">
        <v>68</v>
      </c>
      <c r="F56" s="421" t="s">
        <v>27</v>
      </c>
      <c r="G56" s="423" t="s">
        <v>55</v>
      </c>
      <c r="H56" s="424"/>
      <c r="I56" s="425">
        <v>2</v>
      </c>
      <c r="J56" s="421" t="s">
        <v>27</v>
      </c>
      <c r="K56" s="425">
        <v>0</v>
      </c>
      <c r="L56" s="426"/>
      <c r="M56" s="427"/>
    </row>
    <row r="57" spans="2:13" ht="15.75">
      <c r="B57" s="419">
        <v>51</v>
      </c>
      <c r="C57" s="420" t="s">
        <v>158</v>
      </c>
      <c r="D57" s="421" t="s">
        <v>46</v>
      </c>
      <c r="E57" s="422" t="s">
        <v>71</v>
      </c>
      <c r="F57" s="421" t="s">
        <v>27</v>
      </c>
      <c r="G57" s="423" t="s">
        <v>47</v>
      </c>
      <c r="H57" s="424"/>
      <c r="I57" s="425">
        <v>2</v>
      </c>
      <c r="J57" s="421" t="s">
        <v>27</v>
      </c>
      <c r="K57" s="425">
        <v>1</v>
      </c>
      <c r="L57" s="426"/>
      <c r="M57" s="427"/>
    </row>
    <row r="58" spans="2:13" ht="15.75">
      <c r="B58" s="419">
        <v>52</v>
      </c>
      <c r="C58" s="420" t="s">
        <v>158</v>
      </c>
      <c r="D58" s="421" t="s">
        <v>46</v>
      </c>
      <c r="E58" s="422" t="s">
        <v>48</v>
      </c>
      <c r="F58" s="421" t="s">
        <v>27</v>
      </c>
      <c r="G58" s="423" t="s">
        <v>70</v>
      </c>
      <c r="H58" s="424"/>
      <c r="I58" s="425">
        <v>1</v>
      </c>
      <c r="J58" s="421" t="s">
        <v>27</v>
      </c>
      <c r="K58" s="425">
        <v>0</v>
      </c>
      <c r="L58" s="426"/>
      <c r="M58" s="427"/>
    </row>
    <row r="59" spans="2:13" ht="15.75">
      <c r="B59" s="419">
        <v>53</v>
      </c>
      <c r="C59" s="420" t="s">
        <v>159</v>
      </c>
      <c r="D59" s="421" t="s">
        <v>39</v>
      </c>
      <c r="E59" s="422" t="s">
        <v>44</v>
      </c>
      <c r="F59" s="421" t="s">
        <v>27</v>
      </c>
      <c r="G59" s="423" t="s">
        <v>40</v>
      </c>
      <c r="H59" s="424"/>
      <c r="I59" s="425">
        <v>1</v>
      </c>
      <c r="J59" s="421" t="s">
        <v>27</v>
      </c>
      <c r="K59" s="425">
        <v>2</v>
      </c>
      <c r="L59" s="426"/>
      <c r="M59" s="427"/>
    </row>
    <row r="60" spans="2:13" ht="15.75">
      <c r="B60" s="419">
        <v>54</v>
      </c>
      <c r="C60" s="420" t="s">
        <v>159</v>
      </c>
      <c r="D60" s="421" t="s">
        <v>39</v>
      </c>
      <c r="E60" s="422" t="s">
        <v>41</v>
      </c>
      <c r="F60" s="421" t="s">
        <v>27</v>
      </c>
      <c r="G60" s="423" t="s">
        <v>43</v>
      </c>
      <c r="H60" s="424"/>
      <c r="I60" s="425">
        <v>1</v>
      </c>
      <c r="J60" s="421" t="s">
        <v>27</v>
      </c>
      <c r="K60" s="425">
        <v>0</v>
      </c>
      <c r="L60" s="426"/>
      <c r="M60" s="427"/>
    </row>
    <row r="61" spans="2:13" ht="15.75">
      <c r="B61" s="419">
        <v>55</v>
      </c>
      <c r="C61" s="420" t="s">
        <v>160</v>
      </c>
      <c r="D61" s="421" t="s">
        <v>73</v>
      </c>
      <c r="E61" s="422" t="s">
        <v>78</v>
      </c>
      <c r="F61" s="421" t="s">
        <v>27</v>
      </c>
      <c r="G61" s="423" t="s">
        <v>74</v>
      </c>
      <c r="H61" s="424"/>
      <c r="I61" s="425">
        <v>0</v>
      </c>
      <c r="J61" s="421" t="s">
        <v>27</v>
      </c>
      <c r="K61" s="425">
        <v>1</v>
      </c>
      <c r="L61" s="426"/>
      <c r="M61" s="427"/>
    </row>
    <row r="62" spans="2:13" ht="15.75">
      <c r="B62" s="419">
        <v>56</v>
      </c>
      <c r="C62" s="420" t="s">
        <v>160</v>
      </c>
      <c r="D62" s="421" t="s">
        <v>73</v>
      </c>
      <c r="E62" s="422" t="s">
        <v>75</v>
      </c>
      <c r="F62" s="421" t="s">
        <v>27</v>
      </c>
      <c r="G62" s="423" t="s">
        <v>77</v>
      </c>
      <c r="H62" s="424"/>
      <c r="I62" s="425">
        <v>1</v>
      </c>
      <c r="J62" s="421" t="s">
        <v>27</v>
      </c>
      <c r="K62" s="425">
        <v>3</v>
      </c>
      <c r="L62" s="426"/>
      <c r="M62" s="427"/>
    </row>
    <row r="63" spans="2:13" ht="15.75">
      <c r="B63" s="419">
        <v>57</v>
      </c>
      <c r="C63" s="420" t="s">
        <v>161</v>
      </c>
      <c r="D63" s="421" t="s">
        <v>80</v>
      </c>
      <c r="E63" s="422" t="s">
        <v>82</v>
      </c>
      <c r="F63" s="421" t="s">
        <v>27</v>
      </c>
      <c r="G63" s="423" t="s">
        <v>84</v>
      </c>
      <c r="H63" s="424"/>
      <c r="I63" s="425">
        <v>2</v>
      </c>
      <c r="J63" s="421" t="s">
        <v>27</v>
      </c>
      <c r="K63" s="425">
        <v>1</v>
      </c>
      <c r="L63" s="426"/>
      <c r="M63" s="427"/>
    </row>
    <row r="64" spans="2:13" ht="15.75">
      <c r="B64" s="419">
        <v>58</v>
      </c>
      <c r="C64" s="420" t="s">
        <v>161</v>
      </c>
      <c r="D64" s="421" t="s">
        <v>80</v>
      </c>
      <c r="E64" s="422" t="s">
        <v>85</v>
      </c>
      <c r="F64" s="421" t="s">
        <v>27</v>
      </c>
      <c r="G64" s="423" t="s">
        <v>81</v>
      </c>
      <c r="H64" s="424"/>
      <c r="I64" s="425">
        <v>0</v>
      </c>
      <c r="J64" s="421" t="s">
        <v>27</v>
      </c>
      <c r="K64" s="425">
        <v>2</v>
      </c>
      <c r="L64" s="426"/>
      <c r="M64" s="427"/>
    </row>
    <row r="65" spans="2:14" ht="15.75">
      <c r="B65" s="419">
        <v>59</v>
      </c>
      <c r="C65" s="420" t="s">
        <v>162</v>
      </c>
      <c r="D65" s="421" t="s">
        <v>50</v>
      </c>
      <c r="E65" s="422" t="s">
        <v>59</v>
      </c>
      <c r="F65" s="421" t="s">
        <v>27</v>
      </c>
      <c r="G65" s="423" t="s">
        <v>51</v>
      </c>
      <c r="H65" s="424"/>
      <c r="I65" s="425">
        <v>1</v>
      </c>
      <c r="J65" s="421" t="s">
        <v>27</v>
      </c>
      <c r="K65" s="425">
        <v>2</v>
      </c>
      <c r="L65" s="426"/>
      <c r="M65" s="427"/>
      <c r="N65" s="408"/>
    </row>
    <row r="66" spans="2:14" ht="15.75">
      <c r="B66" s="419">
        <v>60</v>
      </c>
      <c r="C66" s="420" t="s">
        <v>162</v>
      </c>
      <c r="D66" s="421" t="s">
        <v>50</v>
      </c>
      <c r="E66" s="422" t="s">
        <v>52</v>
      </c>
      <c r="F66" s="421" t="s">
        <v>27</v>
      </c>
      <c r="G66" s="423" t="s">
        <v>58</v>
      </c>
      <c r="H66" s="424"/>
      <c r="I66" s="425">
        <v>2</v>
      </c>
      <c r="J66" s="421" t="s">
        <v>27</v>
      </c>
      <c r="K66" s="425">
        <v>0</v>
      </c>
      <c r="L66" s="426"/>
      <c r="M66" s="427"/>
      <c r="N66" s="408"/>
    </row>
    <row r="67" spans="2:14" ht="15.75">
      <c r="B67" s="419">
        <v>61</v>
      </c>
      <c r="C67" s="420" t="s">
        <v>163</v>
      </c>
      <c r="D67" s="421" t="s">
        <v>104</v>
      </c>
      <c r="E67" s="422" t="s">
        <v>109</v>
      </c>
      <c r="F67" s="421" t="s">
        <v>27</v>
      </c>
      <c r="G67" s="423" t="s">
        <v>105</v>
      </c>
      <c r="H67" s="424"/>
      <c r="I67" s="425">
        <v>1</v>
      </c>
      <c r="J67" s="421" t="s">
        <v>27</v>
      </c>
      <c r="K67" s="425">
        <v>3</v>
      </c>
      <c r="L67" s="426"/>
      <c r="M67" s="427"/>
      <c r="N67" s="408"/>
    </row>
    <row r="68" spans="2:14" ht="15.75">
      <c r="B68" s="419">
        <v>62</v>
      </c>
      <c r="C68" s="420" t="s">
        <v>163</v>
      </c>
      <c r="D68" s="421" t="s">
        <v>104</v>
      </c>
      <c r="E68" s="422" t="s">
        <v>106</v>
      </c>
      <c r="F68" s="421" t="s">
        <v>27</v>
      </c>
      <c r="G68" s="423" t="s">
        <v>108</v>
      </c>
      <c r="H68" s="424"/>
      <c r="I68" s="425">
        <v>2</v>
      </c>
      <c r="J68" s="421" t="s">
        <v>27</v>
      </c>
      <c r="K68" s="425">
        <v>0</v>
      </c>
      <c r="L68" s="426"/>
      <c r="M68" s="427"/>
      <c r="N68" s="408"/>
    </row>
    <row r="69" spans="2:14" ht="15.75">
      <c r="B69" s="419">
        <v>63</v>
      </c>
      <c r="C69" s="420" t="s">
        <v>164</v>
      </c>
      <c r="D69" s="421" t="s">
        <v>95</v>
      </c>
      <c r="E69" s="422" t="s">
        <v>101</v>
      </c>
      <c r="F69" s="421" t="s">
        <v>27</v>
      </c>
      <c r="G69" s="423" t="s">
        <v>96</v>
      </c>
      <c r="H69" s="424"/>
      <c r="I69" s="425">
        <v>2</v>
      </c>
      <c r="J69" s="421" t="s">
        <v>27</v>
      </c>
      <c r="K69" s="425">
        <v>0</v>
      </c>
      <c r="L69" s="426"/>
      <c r="M69" s="427"/>
      <c r="N69" s="408"/>
    </row>
    <row r="70" spans="2:14" ht="15.75">
      <c r="B70" s="419">
        <v>64</v>
      </c>
      <c r="C70" s="420" t="s">
        <v>164</v>
      </c>
      <c r="D70" s="421" t="s">
        <v>95</v>
      </c>
      <c r="E70" s="422" t="s">
        <v>97</v>
      </c>
      <c r="F70" s="421" t="s">
        <v>27</v>
      </c>
      <c r="G70" s="423" t="s">
        <v>100</v>
      </c>
      <c r="H70" s="424"/>
      <c r="I70" s="425">
        <v>0</v>
      </c>
      <c r="J70" s="421" t="s">
        <v>27</v>
      </c>
      <c r="K70" s="425">
        <v>2</v>
      </c>
      <c r="L70" s="426"/>
      <c r="M70" s="427"/>
      <c r="N70" s="408"/>
    </row>
    <row r="71" spans="2:14" ht="15.75">
      <c r="B71" s="419">
        <v>65</v>
      </c>
      <c r="C71" s="420" t="s">
        <v>165</v>
      </c>
      <c r="D71" s="421" t="s">
        <v>87</v>
      </c>
      <c r="E71" s="422" t="s">
        <v>93</v>
      </c>
      <c r="F71" s="421" t="s">
        <v>27</v>
      </c>
      <c r="G71" s="423" t="s">
        <v>88</v>
      </c>
      <c r="H71" s="424"/>
      <c r="I71" s="425">
        <v>0</v>
      </c>
      <c r="J71" s="421" t="s">
        <v>27</v>
      </c>
      <c r="K71" s="425">
        <v>2</v>
      </c>
      <c r="L71" s="426"/>
      <c r="M71" s="427"/>
      <c r="N71" s="408"/>
    </row>
    <row r="72" spans="2:14" ht="15.75">
      <c r="B72" s="419">
        <v>66</v>
      </c>
      <c r="C72" s="420" t="s">
        <v>165</v>
      </c>
      <c r="D72" s="421" t="s">
        <v>87</v>
      </c>
      <c r="E72" s="422" t="s">
        <v>89</v>
      </c>
      <c r="F72" s="421" t="s">
        <v>27</v>
      </c>
      <c r="G72" s="423" t="s">
        <v>92</v>
      </c>
      <c r="H72" s="424"/>
      <c r="I72" s="425">
        <v>1</v>
      </c>
      <c r="J72" s="421" t="s">
        <v>27</v>
      </c>
      <c r="K72" s="425">
        <v>3</v>
      </c>
      <c r="L72" s="426"/>
      <c r="M72" s="427"/>
      <c r="N72" s="408"/>
    </row>
    <row r="73" spans="2:14" ht="15.75">
      <c r="B73" s="419">
        <v>67</v>
      </c>
      <c r="C73" s="420" t="s">
        <v>166</v>
      </c>
      <c r="D73" s="421" t="s">
        <v>120</v>
      </c>
      <c r="E73" s="422" t="s">
        <v>122</v>
      </c>
      <c r="F73" s="421" t="s">
        <v>27</v>
      </c>
      <c r="G73" s="423" t="s">
        <v>124</v>
      </c>
      <c r="H73" s="424"/>
      <c r="I73" s="425">
        <v>0</v>
      </c>
      <c r="J73" s="421" t="s">
        <v>27</v>
      </c>
      <c r="K73" s="425">
        <v>3</v>
      </c>
      <c r="L73" s="426"/>
      <c r="M73" s="427"/>
      <c r="N73" s="408"/>
    </row>
    <row r="74" spans="2:14" ht="15.75">
      <c r="B74" s="419">
        <v>68</v>
      </c>
      <c r="C74" s="420" t="s">
        <v>166</v>
      </c>
      <c r="D74" s="421" t="s">
        <v>120</v>
      </c>
      <c r="E74" s="422" t="s">
        <v>125</v>
      </c>
      <c r="F74" s="421" t="s">
        <v>27</v>
      </c>
      <c r="G74" s="423" t="s">
        <v>121</v>
      </c>
      <c r="H74" s="424"/>
      <c r="I74" s="425">
        <v>2</v>
      </c>
      <c r="J74" s="421" t="s">
        <v>27</v>
      </c>
      <c r="K74" s="425">
        <v>1</v>
      </c>
      <c r="L74" s="426"/>
      <c r="M74" s="427"/>
      <c r="N74" s="408"/>
    </row>
    <row r="75" spans="2:14" ht="15.75">
      <c r="B75" s="419">
        <v>69</v>
      </c>
      <c r="C75" s="420" t="s">
        <v>167</v>
      </c>
      <c r="D75" s="421" t="s">
        <v>112</v>
      </c>
      <c r="E75" s="422" t="s">
        <v>114</v>
      </c>
      <c r="F75" s="421" t="s">
        <v>27</v>
      </c>
      <c r="G75" s="423" t="s">
        <v>117</v>
      </c>
      <c r="H75" s="424"/>
      <c r="I75" s="425">
        <v>2</v>
      </c>
      <c r="J75" s="421" t="s">
        <v>27</v>
      </c>
      <c r="K75" s="425">
        <v>1</v>
      </c>
      <c r="L75" s="426"/>
      <c r="M75" s="427"/>
      <c r="N75" s="408"/>
    </row>
    <row r="76" spans="2:14" ht="15.75">
      <c r="B76" s="419">
        <v>70</v>
      </c>
      <c r="C76" s="420" t="s">
        <v>167</v>
      </c>
      <c r="D76" s="421" t="s">
        <v>112</v>
      </c>
      <c r="E76" s="422" t="s">
        <v>118</v>
      </c>
      <c r="F76" s="421" t="s">
        <v>27</v>
      </c>
      <c r="G76" s="423" t="s">
        <v>113</v>
      </c>
      <c r="H76" s="424"/>
      <c r="I76" s="425">
        <v>1</v>
      </c>
      <c r="J76" s="421" t="s">
        <v>27</v>
      </c>
      <c r="K76" s="425">
        <v>3</v>
      </c>
      <c r="L76" s="426"/>
      <c r="M76" s="427"/>
      <c r="N76" s="408"/>
    </row>
    <row r="77" spans="2:14" ht="15.75">
      <c r="B77" s="419">
        <v>71</v>
      </c>
      <c r="C77" s="420" t="s">
        <v>168</v>
      </c>
      <c r="D77" s="421" t="s">
        <v>127</v>
      </c>
      <c r="E77" s="422" t="s">
        <v>132</v>
      </c>
      <c r="F77" s="421" t="s">
        <v>27</v>
      </c>
      <c r="G77" s="423" t="s">
        <v>128</v>
      </c>
      <c r="H77" s="424"/>
      <c r="I77" s="425">
        <v>1</v>
      </c>
      <c r="J77" s="421" t="s">
        <v>27</v>
      </c>
      <c r="K77" s="425">
        <v>2</v>
      </c>
      <c r="L77" s="426"/>
      <c r="M77" s="427"/>
      <c r="N77" s="408"/>
    </row>
    <row r="78" spans="2:14" ht="15.75">
      <c r="B78" s="419">
        <v>72</v>
      </c>
      <c r="C78" s="420" t="s">
        <v>168</v>
      </c>
      <c r="D78" s="421" t="s">
        <v>127</v>
      </c>
      <c r="E78" s="422" t="s">
        <v>129</v>
      </c>
      <c r="F78" s="421" t="s">
        <v>27</v>
      </c>
      <c r="G78" s="423" t="s">
        <v>131</v>
      </c>
      <c r="H78" s="424"/>
      <c r="I78" s="425">
        <v>0</v>
      </c>
      <c r="J78" s="421" t="s">
        <v>27</v>
      </c>
      <c r="K78" s="425">
        <v>1</v>
      </c>
      <c r="L78" s="426"/>
      <c r="M78" s="427"/>
      <c r="N78" s="408"/>
    </row>
    <row r="79" spans="2:14" ht="15.75">
      <c r="B79" s="408"/>
      <c r="C79" s="408"/>
      <c r="D79" s="412" t="s">
        <v>335</v>
      </c>
      <c r="E79" s="438" t="s">
        <v>105</v>
      </c>
      <c r="F79" s="439" t="s">
        <v>27</v>
      </c>
      <c r="G79" s="438" t="s">
        <v>113</v>
      </c>
      <c r="H79" s="408"/>
      <c r="I79" s="408"/>
      <c r="J79" s="408"/>
      <c r="K79" s="408"/>
      <c r="L79" s="440"/>
      <c r="M79" s="440"/>
      <c r="N79" s="428"/>
    </row>
    <row r="80" spans="2:14" ht="15.75">
      <c r="B80" s="408"/>
      <c r="C80" s="413"/>
      <c r="D80" s="412" t="s">
        <v>336</v>
      </c>
      <c r="E80" s="441" t="s">
        <v>124</v>
      </c>
      <c r="F80" s="439" t="s">
        <v>27</v>
      </c>
      <c r="G80" s="441" t="s">
        <v>128</v>
      </c>
      <c r="H80" s="408"/>
      <c r="I80" s="408"/>
      <c r="J80" s="408"/>
      <c r="K80" s="408"/>
      <c r="L80" s="442"/>
      <c r="M80" s="442"/>
      <c r="N80" s="428"/>
    </row>
    <row r="81" spans="1:14" ht="15.75">
      <c r="A81" s="408"/>
      <c r="B81" s="408"/>
      <c r="C81" s="413"/>
      <c r="D81" s="408"/>
      <c r="E81" s="408"/>
      <c r="F81" s="409"/>
      <c r="G81" s="408"/>
      <c r="H81" s="408"/>
      <c r="I81" s="408"/>
      <c r="J81" s="408"/>
      <c r="K81" s="409"/>
      <c r="L81" s="409"/>
      <c r="M81" s="409"/>
      <c r="N81" s="428"/>
    </row>
    <row r="82" spans="1:14" ht="15.75">
      <c r="A82" s="408"/>
      <c r="B82" s="408"/>
      <c r="C82" s="413"/>
      <c r="D82" s="408"/>
      <c r="E82" s="408"/>
      <c r="F82" s="409"/>
      <c r="G82" s="408"/>
      <c r="H82" s="408"/>
      <c r="I82" s="408"/>
      <c r="J82" s="408"/>
      <c r="K82" s="409"/>
      <c r="L82" s="443" t="s">
        <v>337</v>
      </c>
      <c r="M82" s="444"/>
      <c r="N82" s="428"/>
    </row>
    <row r="83" spans="1:14" ht="15.75">
      <c r="A83" s="408"/>
      <c r="B83" s="408"/>
      <c r="C83" s="413"/>
      <c r="D83" s="408"/>
      <c r="E83" s="408"/>
      <c r="F83" s="409"/>
      <c r="G83" s="408"/>
      <c r="H83" s="408"/>
      <c r="I83" s="408"/>
      <c r="J83" s="408"/>
      <c r="K83" s="409"/>
      <c r="L83" s="409"/>
      <c r="M83" s="409"/>
      <c r="N83" s="428"/>
    </row>
    <row r="84" spans="1:14" ht="15.75">
      <c r="A84" s="412"/>
      <c r="B84" s="408"/>
      <c r="C84" s="413"/>
      <c r="D84" s="408"/>
      <c r="E84" s="408"/>
      <c r="F84" s="409"/>
      <c r="G84" s="411"/>
      <c r="H84" s="408"/>
      <c r="I84" s="408"/>
      <c r="J84" s="408"/>
      <c r="K84" s="409"/>
      <c r="L84" s="408"/>
      <c r="M84" s="408"/>
      <c r="N84" s="408"/>
    </row>
    <row r="85" spans="1:14" ht="15.75">
      <c r="A85" s="412"/>
      <c r="B85" s="408"/>
      <c r="C85" s="413"/>
      <c r="D85" s="408"/>
      <c r="E85" s="408"/>
      <c r="F85" s="409"/>
      <c r="G85" s="411"/>
      <c r="H85" s="408"/>
      <c r="I85" s="408"/>
      <c r="J85" s="408"/>
      <c r="K85" s="409"/>
      <c r="L85" s="408"/>
      <c r="M85" s="408"/>
      <c r="N85" s="408"/>
    </row>
    <row r="86" spans="1:14" ht="15.75">
      <c r="A86" s="412"/>
      <c r="B86" s="445"/>
      <c r="C86" s="446"/>
      <c r="D86" s="408"/>
      <c r="E86" s="408"/>
      <c r="F86" s="409"/>
      <c r="G86" s="411"/>
      <c r="H86" s="408"/>
      <c r="I86" s="408"/>
      <c r="J86" s="408"/>
      <c r="K86" s="409"/>
      <c r="L86" s="408"/>
      <c r="M86" s="408"/>
      <c r="N86" s="408"/>
    </row>
    <row r="87" spans="1:14" ht="15.75">
      <c r="A87" s="412"/>
      <c r="B87" s="445"/>
      <c r="C87" s="446"/>
      <c r="D87" s="408"/>
      <c r="E87" s="408"/>
      <c r="F87" s="409"/>
      <c r="G87" s="411"/>
      <c r="H87" s="408"/>
      <c r="I87" s="408"/>
      <c r="J87" s="408"/>
      <c r="K87" s="409"/>
      <c r="L87" s="408"/>
      <c r="M87" s="408"/>
      <c r="N87" s="408"/>
    </row>
  </sheetData>
  <mergeCells count="1">
    <mergeCell ref="H2:M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U87"/>
  <sheetViews>
    <sheetView workbookViewId="0">
      <selection activeCell="P8" sqref="P8:U11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1" t="s">
        <v>394</v>
      </c>
      <c r="I2" s="502"/>
      <c r="J2" s="502"/>
      <c r="K2" s="502"/>
      <c r="L2" s="502"/>
      <c r="M2" s="502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1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47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0</v>
      </c>
      <c r="J9" s="394" t="s">
        <v>27</v>
      </c>
      <c r="K9" s="395">
        <v>0</v>
      </c>
      <c r="L9" s="396"/>
      <c r="M9" s="397"/>
      <c r="N9" s="385"/>
      <c r="O9" s="387">
        <v>2</v>
      </c>
      <c r="P9" s="389" t="s">
        <v>41</v>
      </c>
      <c r="Q9" s="389" t="s">
        <v>48</v>
      </c>
      <c r="R9" s="389" t="s">
        <v>68</v>
      </c>
      <c r="S9" s="389" t="s">
        <v>52</v>
      </c>
      <c r="T9" s="389" t="s">
        <v>74</v>
      </c>
      <c r="U9" s="389" t="s">
        <v>84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0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43</v>
      </c>
      <c r="Q10" s="389" t="s">
        <v>71</v>
      </c>
      <c r="R10" s="389" t="s">
        <v>56</v>
      </c>
      <c r="S10" s="389" t="s">
        <v>58</v>
      </c>
      <c r="T10" s="389" t="s">
        <v>75</v>
      </c>
      <c r="U10" s="389" t="s">
        <v>85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44</v>
      </c>
      <c r="Q11" s="389" t="s">
        <v>70</v>
      </c>
      <c r="R11" s="389" t="s">
        <v>55</v>
      </c>
      <c r="S11" s="389" t="s">
        <v>51</v>
      </c>
      <c r="T11" s="389" t="s">
        <v>78</v>
      </c>
      <c r="U11" s="389" t="s">
        <v>82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2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1</v>
      </c>
      <c r="J14" s="394" t="s">
        <v>27</v>
      </c>
      <c r="K14" s="395">
        <v>1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379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1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124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97</v>
      </c>
      <c r="Q16" s="389" t="s">
        <v>88</v>
      </c>
      <c r="R16" s="389" t="s">
        <v>109</v>
      </c>
      <c r="S16" s="389" t="s">
        <v>118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3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96</v>
      </c>
      <c r="Q17" s="389" t="s">
        <v>93</v>
      </c>
      <c r="R17" s="389" t="s">
        <v>108</v>
      </c>
      <c r="S17" s="389" t="s">
        <v>117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4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1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2</v>
      </c>
      <c r="L22" s="396"/>
      <c r="M22" s="397"/>
      <c r="N22" s="385"/>
      <c r="O22" s="335"/>
      <c r="P22" s="392" t="s">
        <v>380</v>
      </c>
      <c r="Q22" s="392" t="s">
        <v>47</v>
      </c>
      <c r="R22" s="392" t="s">
        <v>55</v>
      </c>
      <c r="S22" s="392" t="s">
        <v>341</v>
      </c>
      <c r="T22" s="392" t="s">
        <v>74</v>
      </c>
      <c r="U22" s="392" t="s">
        <v>381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0</v>
      </c>
      <c r="L23" s="396"/>
      <c r="M23" s="397"/>
      <c r="N23" s="385"/>
      <c r="O23" s="335"/>
      <c r="P23" s="391" t="s">
        <v>382</v>
      </c>
      <c r="Q23" s="391" t="s">
        <v>48</v>
      </c>
      <c r="R23" s="391" t="s">
        <v>383</v>
      </c>
      <c r="S23" s="391" t="s">
        <v>384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385</v>
      </c>
      <c r="Q24" s="391" t="s">
        <v>70</v>
      </c>
      <c r="R24" s="391" t="s">
        <v>386</v>
      </c>
      <c r="S24" s="391" t="s">
        <v>387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1</v>
      </c>
      <c r="L25" s="396"/>
      <c r="M25" s="397"/>
      <c r="N25" s="385"/>
      <c r="O25" s="335"/>
      <c r="P25" s="391" t="s">
        <v>388</v>
      </c>
      <c r="Q25" s="391" t="s">
        <v>71</v>
      </c>
      <c r="R25" s="391" t="s">
        <v>389</v>
      </c>
      <c r="S25" s="391" t="s">
        <v>390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1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368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1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391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392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393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1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1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2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2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0</v>
      </c>
      <c r="J38" s="394" t="s">
        <v>27</v>
      </c>
      <c r="K38" s="395">
        <v>0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1</v>
      </c>
      <c r="J40" s="394" t="s">
        <v>27</v>
      </c>
      <c r="K40" s="395">
        <v>1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4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0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0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2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1</v>
      </c>
      <c r="J50" s="394" t="s">
        <v>27</v>
      </c>
      <c r="K50" s="395">
        <v>1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1</v>
      </c>
      <c r="J51" s="394" t="s">
        <v>27</v>
      </c>
      <c r="K51" s="395">
        <v>1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1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1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1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0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3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0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0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0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1</v>
      </c>
      <c r="J68" s="394" t="s">
        <v>27</v>
      </c>
      <c r="K68" s="395">
        <v>0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2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1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1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1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0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67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105</v>
      </c>
      <c r="F80" s="393" t="s">
        <v>27</v>
      </c>
      <c r="G80" s="381" t="s">
        <v>92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1" t="s">
        <v>395</v>
      </c>
      <c r="I2" s="502"/>
      <c r="J2" s="502"/>
      <c r="K2" s="502"/>
      <c r="L2" s="502"/>
      <c r="M2" s="502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47</v>
      </c>
      <c r="R9" s="389" t="s">
        <v>56</v>
      </c>
      <c r="S9" s="389" t="s">
        <v>52</v>
      </c>
      <c r="T9" s="389" t="s">
        <v>75</v>
      </c>
      <c r="U9" s="389" t="s">
        <v>82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1</v>
      </c>
      <c r="J10" s="394" t="s">
        <v>27</v>
      </c>
      <c r="K10" s="395">
        <v>2</v>
      </c>
      <c r="L10" s="396"/>
      <c r="M10" s="397"/>
      <c r="N10" s="385"/>
      <c r="O10" s="387">
        <v>3</v>
      </c>
      <c r="P10" s="389" t="s">
        <v>44</v>
      </c>
      <c r="Q10" s="389" t="s">
        <v>48</v>
      </c>
      <c r="R10" s="389" t="s">
        <v>68</v>
      </c>
      <c r="S10" s="389" t="s">
        <v>51</v>
      </c>
      <c r="T10" s="389" t="s">
        <v>74</v>
      </c>
      <c r="U10" s="389" t="s">
        <v>84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1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2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101</v>
      </c>
      <c r="Q15" s="389" t="s">
        <v>89</v>
      </c>
      <c r="R15" s="389" t="s">
        <v>106</v>
      </c>
      <c r="S15" s="389" t="s">
        <v>117</v>
      </c>
      <c r="T15" s="389" t="s">
        <v>132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114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1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3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1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3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1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2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0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0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2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0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2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1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0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3</v>
      </c>
      <c r="J56" s="394" t="s">
        <v>27</v>
      </c>
      <c r="K56" s="395">
        <v>0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2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3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2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3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2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2</v>
      </c>
      <c r="J65" s="394" t="s">
        <v>27</v>
      </c>
      <c r="K65" s="395">
        <v>1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1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1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3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2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2</v>
      </c>
      <c r="J74" s="394" t="s">
        <v>27</v>
      </c>
      <c r="K74" s="395">
        <v>1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2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3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2</v>
      </c>
      <c r="J78" s="394" t="s">
        <v>27</v>
      </c>
      <c r="K78" s="395">
        <v>2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105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92</v>
      </c>
      <c r="F80" s="393" t="s">
        <v>27</v>
      </c>
      <c r="G80" s="381" t="s">
        <v>113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1" t="s">
        <v>396</v>
      </c>
      <c r="I2" s="502"/>
      <c r="J2" s="502"/>
      <c r="K2" s="502"/>
      <c r="L2" s="502"/>
      <c r="M2" s="502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4</v>
      </c>
      <c r="J7" s="394" t="s">
        <v>27</v>
      </c>
      <c r="K7" s="395">
        <v>1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3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82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1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48</v>
      </c>
      <c r="R9" s="389" t="s">
        <v>56</v>
      </c>
      <c r="S9" s="389" t="s">
        <v>51</v>
      </c>
      <c r="T9" s="389" t="s">
        <v>75</v>
      </c>
      <c r="U9" s="389" t="s">
        <v>84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44</v>
      </c>
      <c r="Q10" s="389" t="s">
        <v>47</v>
      </c>
      <c r="R10" s="389" t="s">
        <v>68</v>
      </c>
      <c r="S10" s="389" t="s">
        <v>52</v>
      </c>
      <c r="T10" s="389" t="s">
        <v>74</v>
      </c>
      <c r="U10" s="389" t="s">
        <v>81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4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0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3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3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4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117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1</v>
      </c>
      <c r="J17" s="394" t="s">
        <v>27</v>
      </c>
      <c r="K17" s="395">
        <v>3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0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6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3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2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1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1</v>
      </c>
      <c r="J27" s="394" t="s">
        <v>27</v>
      </c>
      <c r="K27" s="395">
        <v>3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2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4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4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3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2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2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1</v>
      </c>
      <c r="J41" s="394" t="s">
        <v>27</v>
      </c>
      <c r="K41" s="395">
        <v>2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0</v>
      </c>
      <c r="J42" s="394" t="s">
        <v>27</v>
      </c>
      <c r="K42" s="395">
        <v>2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3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3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4</v>
      </c>
      <c r="J49" s="394" t="s">
        <v>27</v>
      </c>
      <c r="K49" s="395">
        <v>0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3</v>
      </c>
      <c r="J51" s="394" t="s">
        <v>27</v>
      </c>
      <c r="K51" s="395">
        <v>0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3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0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0</v>
      </c>
      <c r="J55" s="394" t="s">
        <v>27</v>
      </c>
      <c r="K55" s="395">
        <v>5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4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1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0</v>
      </c>
      <c r="J59" s="394" t="s">
        <v>27</v>
      </c>
      <c r="K59" s="395">
        <v>3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2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3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4</v>
      </c>
      <c r="J65" s="394" t="s">
        <v>27</v>
      </c>
      <c r="K65" s="395">
        <v>0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1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2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3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1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0</v>
      </c>
      <c r="J72" s="394" t="s">
        <v>27</v>
      </c>
      <c r="K72" s="395">
        <v>5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4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3</v>
      </c>
      <c r="J74" s="394" t="s">
        <v>27</v>
      </c>
      <c r="K74" s="395">
        <v>1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0</v>
      </c>
      <c r="J77" s="394" t="s">
        <v>27</v>
      </c>
      <c r="K77" s="395">
        <v>4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113</v>
      </c>
      <c r="F80" s="393" t="s">
        <v>27</v>
      </c>
      <c r="G80" s="381" t="s">
        <v>128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U87"/>
  <sheetViews>
    <sheetView workbookViewId="0"/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498" t="s">
        <v>397</v>
      </c>
      <c r="I2" s="505"/>
      <c r="J2" s="505"/>
      <c r="K2" s="505"/>
      <c r="L2" s="505"/>
      <c r="M2" s="505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3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51</v>
      </c>
      <c r="T8" s="484" t="s">
        <v>77</v>
      </c>
      <c r="U8" s="484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0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59</v>
      </c>
      <c r="T9" s="485" t="s">
        <v>74</v>
      </c>
      <c r="U9" s="485" t="s">
        <v>84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41</v>
      </c>
      <c r="Q10" s="485" t="s">
        <v>70</v>
      </c>
      <c r="R10" s="485" t="s">
        <v>56</v>
      </c>
      <c r="S10" s="485" t="s">
        <v>52</v>
      </c>
      <c r="T10" s="485" t="s">
        <v>75</v>
      </c>
      <c r="U10" s="485" t="s">
        <v>85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43</v>
      </c>
      <c r="Q11" s="485" t="s">
        <v>48</v>
      </c>
      <c r="R11" s="485" t="s">
        <v>55</v>
      </c>
      <c r="S11" s="485" t="s">
        <v>58</v>
      </c>
      <c r="T11" s="485" t="s">
        <v>78</v>
      </c>
      <c r="U11" s="485" t="s">
        <v>82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1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85" t="s">
        <v>96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101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1</v>
      </c>
      <c r="J23" s="468" t="s">
        <v>27</v>
      </c>
      <c r="K23" s="470">
        <v>0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3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0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1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0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1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4</v>
      </c>
      <c r="J41" s="468" t="s">
        <v>27</v>
      </c>
      <c r="K41" s="470">
        <v>2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2</v>
      </c>
      <c r="J42" s="468" t="s">
        <v>27</v>
      </c>
      <c r="K42" s="470">
        <v>1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4</v>
      </c>
      <c r="J44" s="468" t="s">
        <v>27</v>
      </c>
      <c r="K44" s="470">
        <v>0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0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1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4</v>
      </c>
      <c r="J51" s="468" t="s">
        <v>27</v>
      </c>
      <c r="K51" s="470">
        <v>0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2</v>
      </c>
      <c r="J55" s="468" t="s">
        <v>27</v>
      </c>
      <c r="K55" s="470">
        <v>3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0</v>
      </c>
      <c r="J57" s="468" t="s">
        <v>27</v>
      </c>
      <c r="K57" s="470">
        <v>0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1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2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0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1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0</v>
      </c>
      <c r="J63" s="468" t="s">
        <v>27</v>
      </c>
      <c r="K63" s="470">
        <v>2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2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2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4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6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3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1</v>
      </c>
      <c r="J76" s="468" t="s">
        <v>27</v>
      </c>
      <c r="K76" s="470">
        <v>3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3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92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128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43</vt:i4>
      </vt:variant>
    </vt:vector>
  </HeadingPairs>
  <TitlesOfParts>
    <vt:vector size="43" baseType="lpstr">
      <vt:lpstr>Tulokset</vt:lpstr>
      <vt:lpstr>Pisteet</vt:lpstr>
      <vt:lpstr>Laskenta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Tuukka Hyytiäinen</cp:lastModifiedBy>
  <dcterms:created xsi:type="dcterms:W3CDTF">2026-06-10T16:39:51Z</dcterms:created>
  <dcterms:modified xsi:type="dcterms:W3CDTF">2026-06-10T17:51:29Z</dcterms:modified>
</cp:coreProperties>
</file>