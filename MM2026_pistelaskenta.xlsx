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5c22742d7244f1a/Tiedostot/Projektit/Veikkaus/2026 Futis/"/>
    </mc:Choice>
  </mc:AlternateContent>
  <xr:revisionPtr revIDLastSave="29" documentId="13_ncr:1_{5D5FE1BB-FE32-46F1-B255-68BF70284E2E}" xr6:coauthVersionLast="47" xr6:coauthVersionMax="47" xr10:uidLastSave="{84B5B4B1-1303-4404-A4C7-E2BB56C6678C}"/>
  <bookViews>
    <workbookView xWindow="31485" yWindow="1815" windowWidth="36375" windowHeight="18825" activeTab="1" xr2:uid="{00000000-000D-0000-FFFF-FFFF00000000}"/>
  </bookViews>
  <sheets>
    <sheet name="Tulokset" sheetId="31" r:id="rId1"/>
    <sheet name="Pisteet" sheetId="32" r:id="rId2"/>
    <sheet name="Laskenta" sheetId="33" r:id="rId3"/>
    <sheet name="1" sheetId="1" r:id="rId4"/>
    <sheet name="2" sheetId="2" r:id="rId5"/>
    <sheet name="3" sheetId="3" r:id="rId6"/>
    <sheet name="4" sheetId="4" r:id="rId7"/>
    <sheet name="5" sheetId="5" r:id="rId8"/>
    <sheet name="6" sheetId="6" r:id="rId9"/>
    <sheet name="7" sheetId="7" r:id="rId10"/>
    <sheet name="8" sheetId="8" r:id="rId11"/>
    <sheet name="9" sheetId="9" r:id="rId12"/>
    <sheet name="10" sheetId="10" r:id="rId13"/>
    <sheet name="11" sheetId="11" r:id="rId14"/>
    <sheet name="12" sheetId="12" r:id="rId15"/>
    <sheet name="13" sheetId="13" r:id="rId16"/>
    <sheet name="14" sheetId="14" r:id="rId17"/>
    <sheet name="15" sheetId="15" r:id="rId18"/>
    <sheet name="16" sheetId="16" r:id="rId19"/>
    <sheet name="17" sheetId="17" r:id="rId20"/>
    <sheet name="18" sheetId="18" r:id="rId21"/>
    <sheet name="19" sheetId="19" r:id="rId22"/>
    <sheet name="20" sheetId="20" r:id="rId23"/>
    <sheet name="21" sheetId="21" r:id="rId24"/>
    <sheet name="22" sheetId="22" r:id="rId25"/>
    <sheet name="23" sheetId="23" r:id="rId26"/>
    <sheet name="24" sheetId="24" r:id="rId27"/>
    <sheet name="25" sheetId="25" r:id="rId28"/>
    <sheet name="26" sheetId="26" r:id="rId29"/>
    <sheet name="27" sheetId="27" r:id="rId30"/>
    <sheet name="28" sheetId="28" r:id="rId31"/>
    <sheet name="29" sheetId="29" r:id="rId32"/>
    <sheet name="30" sheetId="30" r:id="rId3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33" i="33" l="1"/>
  <c r="BZ33" i="33"/>
  <c r="BY33" i="33"/>
  <c r="BX33" i="33"/>
  <c r="BW33" i="33"/>
  <c r="BV33" i="33"/>
  <c r="BU33" i="33"/>
  <c r="BT33" i="33"/>
  <c r="BS33" i="33"/>
  <c r="BR33" i="33"/>
  <c r="BQ33" i="33"/>
  <c r="BP33" i="33"/>
  <c r="BO33" i="33"/>
  <c r="BN33" i="33"/>
  <c r="BM33" i="33"/>
  <c r="BL33" i="33"/>
  <c r="BK33" i="33"/>
  <c r="BJ33" i="33"/>
  <c r="BI33" i="33"/>
  <c r="BH33" i="33"/>
  <c r="BG33" i="33"/>
  <c r="BF33" i="33"/>
  <c r="BE33" i="33"/>
  <c r="BD33" i="33"/>
  <c r="BC33" i="33"/>
  <c r="BB33" i="33"/>
  <c r="BA33" i="33"/>
  <c r="AZ33" i="33"/>
  <c r="AY33" i="33"/>
  <c r="AX33" i="33"/>
  <c r="AW33" i="33"/>
  <c r="AV33" i="33"/>
  <c r="AU33" i="33"/>
  <c r="AT33" i="33"/>
  <c r="AS33" i="33"/>
  <c r="AR33" i="33"/>
  <c r="AQ33" i="33"/>
  <c r="AP33" i="33"/>
  <c r="AO33" i="33"/>
  <c r="AN33" i="33"/>
  <c r="AM33" i="33"/>
  <c r="AL33" i="33"/>
  <c r="AK33" i="33"/>
  <c r="AJ33" i="33"/>
  <c r="AI33" i="33"/>
  <c r="AH33" i="33"/>
  <c r="AG33" i="33"/>
  <c r="AF33" i="33"/>
  <c r="AE33" i="33"/>
  <c r="AD33" i="33"/>
  <c r="AC33" i="33"/>
  <c r="AB33" i="33"/>
  <c r="AA33" i="33"/>
  <c r="Z33" i="33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H33" i="33"/>
  <c r="CA32" i="33"/>
  <c r="BZ32" i="33"/>
  <c r="BY32" i="33"/>
  <c r="BX32" i="33"/>
  <c r="BW32" i="33"/>
  <c r="BV32" i="33"/>
  <c r="BU32" i="33"/>
  <c r="BT32" i="33"/>
  <c r="BS32" i="33"/>
  <c r="BR32" i="33"/>
  <c r="BQ32" i="33"/>
  <c r="BP32" i="33"/>
  <c r="BO32" i="33"/>
  <c r="BN32" i="33"/>
  <c r="BM32" i="33"/>
  <c r="BL32" i="33"/>
  <c r="BK32" i="33"/>
  <c r="BJ32" i="33"/>
  <c r="BI32" i="33"/>
  <c r="BH32" i="33"/>
  <c r="BG32" i="33"/>
  <c r="BF32" i="33"/>
  <c r="BE32" i="33"/>
  <c r="BD32" i="33"/>
  <c r="BC32" i="33"/>
  <c r="BB32" i="33"/>
  <c r="BA32" i="33"/>
  <c r="AZ32" i="33"/>
  <c r="AY32" i="33"/>
  <c r="AX32" i="33"/>
  <c r="AW32" i="33"/>
  <c r="AV32" i="33"/>
  <c r="AU32" i="33"/>
  <c r="AT32" i="33"/>
  <c r="AS32" i="33"/>
  <c r="AR32" i="33"/>
  <c r="AQ32" i="33"/>
  <c r="AP32" i="33"/>
  <c r="AO32" i="33"/>
  <c r="AN32" i="33"/>
  <c r="AM32" i="33"/>
  <c r="AL32" i="33"/>
  <c r="AK32" i="33"/>
  <c r="AJ32" i="33"/>
  <c r="AI32" i="33"/>
  <c r="AH32" i="33"/>
  <c r="AG32" i="33"/>
  <c r="AF32" i="33"/>
  <c r="AE32" i="33"/>
  <c r="AD32" i="33"/>
  <c r="AC32" i="33"/>
  <c r="AB32" i="33"/>
  <c r="AA32" i="33"/>
  <c r="Z32" i="33"/>
  <c r="Y32" i="33"/>
  <c r="X32" i="33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H32" i="33"/>
  <c r="CA31" i="33"/>
  <c r="BZ31" i="33"/>
  <c r="BY31" i="33"/>
  <c r="BX31" i="33"/>
  <c r="BW31" i="33"/>
  <c r="BV31" i="33"/>
  <c r="BU31" i="33"/>
  <c r="BT31" i="33"/>
  <c r="BS31" i="33"/>
  <c r="BR31" i="33"/>
  <c r="BQ31" i="33"/>
  <c r="BP31" i="33"/>
  <c r="BO31" i="33"/>
  <c r="BN31" i="33"/>
  <c r="BM31" i="33"/>
  <c r="BL31" i="33"/>
  <c r="BK31" i="33"/>
  <c r="BJ31" i="33"/>
  <c r="BI31" i="33"/>
  <c r="BH31" i="33"/>
  <c r="BG31" i="33"/>
  <c r="BF31" i="33"/>
  <c r="BE31" i="33"/>
  <c r="BD31" i="33"/>
  <c r="BC31" i="33"/>
  <c r="BB31" i="33"/>
  <c r="BA31" i="33"/>
  <c r="AZ31" i="33"/>
  <c r="AY31" i="33"/>
  <c r="AX31" i="33"/>
  <c r="AW31" i="33"/>
  <c r="AV31" i="33"/>
  <c r="AU31" i="33"/>
  <c r="AT31" i="33"/>
  <c r="AS31" i="33"/>
  <c r="AR31" i="33"/>
  <c r="AQ31" i="33"/>
  <c r="AP31" i="33"/>
  <c r="AO31" i="33"/>
  <c r="AN31" i="33"/>
  <c r="AM31" i="33"/>
  <c r="AL31" i="33"/>
  <c r="AK31" i="33"/>
  <c r="AJ31" i="33"/>
  <c r="AI31" i="33"/>
  <c r="AH31" i="33"/>
  <c r="AG31" i="33"/>
  <c r="AF31" i="33"/>
  <c r="AE31" i="33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CA30" i="33"/>
  <c r="BZ30" i="33"/>
  <c r="BY30" i="33"/>
  <c r="BX30" i="33"/>
  <c r="BW30" i="33"/>
  <c r="BV30" i="33"/>
  <c r="BU30" i="33"/>
  <c r="BT30" i="33"/>
  <c r="BS30" i="33"/>
  <c r="BR30" i="33"/>
  <c r="BQ30" i="33"/>
  <c r="BP30" i="33"/>
  <c r="BO30" i="33"/>
  <c r="BN30" i="33"/>
  <c r="BM30" i="33"/>
  <c r="BL30" i="33"/>
  <c r="BK30" i="33"/>
  <c r="BJ30" i="33"/>
  <c r="BI30" i="33"/>
  <c r="BH30" i="33"/>
  <c r="BG30" i="33"/>
  <c r="BF30" i="33"/>
  <c r="BE30" i="33"/>
  <c r="BD30" i="33"/>
  <c r="BC30" i="33"/>
  <c r="BB30" i="33"/>
  <c r="BA30" i="33"/>
  <c r="AZ30" i="33"/>
  <c r="AY30" i="33"/>
  <c r="AX30" i="33"/>
  <c r="AW30" i="33"/>
  <c r="AV30" i="33"/>
  <c r="AU30" i="33"/>
  <c r="AT30" i="33"/>
  <c r="AS30" i="33"/>
  <c r="AR30" i="33"/>
  <c r="AQ30" i="33"/>
  <c r="AP30" i="33"/>
  <c r="AO30" i="33"/>
  <c r="AN30" i="33"/>
  <c r="AM30" i="33"/>
  <c r="AL30" i="33"/>
  <c r="AK30" i="33"/>
  <c r="AJ30" i="33"/>
  <c r="AI30" i="33"/>
  <c r="AH30" i="33"/>
  <c r="AG30" i="33"/>
  <c r="AF30" i="33"/>
  <c r="AE30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CA29" i="33"/>
  <c r="BZ29" i="33"/>
  <c r="BY29" i="33"/>
  <c r="BX29" i="33"/>
  <c r="BW29" i="33"/>
  <c r="BV29" i="33"/>
  <c r="BU29" i="33"/>
  <c r="BT29" i="33"/>
  <c r="BS29" i="33"/>
  <c r="BR29" i="33"/>
  <c r="BQ29" i="33"/>
  <c r="BP29" i="33"/>
  <c r="BO29" i="33"/>
  <c r="BN29" i="33"/>
  <c r="BM29" i="33"/>
  <c r="BL29" i="33"/>
  <c r="BK29" i="33"/>
  <c r="BJ29" i="33"/>
  <c r="BI29" i="33"/>
  <c r="BH29" i="33"/>
  <c r="BG29" i="33"/>
  <c r="BF29" i="33"/>
  <c r="BE29" i="33"/>
  <c r="BD29" i="33"/>
  <c r="BC29" i="33"/>
  <c r="BB29" i="33"/>
  <c r="BA29" i="33"/>
  <c r="AZ29" i="33"/>
  <c r="AY29" i="33"/>
  <c r="AX29" i="33"/>
  <c r="AW29" i="33"/>
  <c r="AV29" i="33"/>
  <c r="AU29" i="33"/>
  <c r="AT29" i="33"/>
  <c r="AS29" i="33"/>
  <c r="AR29" i="33"/>
  <c r="AQ29" i="33"/>
  <c r="AP29" i="33"/>
  <c r="AO29" i="33"/>
  <c r="AN29" i="33"/>
  <c r="AM29" i="33"/>
  <c r="AL29" i="33"/>
  <c r="AK29" i="33"/>
  <c r="AJ29" i="33"/>
  <c r="AI29" i="33"/>
  <c r="AH29" i="33"/>
  <c r="AG29" i="33"/>
  <c r="AF29" i="33"/>
  <c r="AE29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CA28" i="33"/>
  <c r="BZ28" i="33"/>
  <c r="BY28" i="33"/>
  <c r="BX28" i="33"/>
  <c r="BW28" i="33"/>
  <c r="BV28" i="33"/>
  <c r="BU28" i="33"/>
  <c r="BT28" i="33"/>
  <c r="BS28" i="33"/>
  <c r="BR28" i="33"/>
  <c r="BQ28" i="33"/>
  <c r="BP28" i="33"/>
  <c r="BO28" i="33"/>
  <c r="BN28" i="33"/>
  <c r="BM28" i="33"/>
  <c r="BL28" i="33"/>
  <c r="BK28" i="33"/>
  <c r="BJ28" i="33"/>
  <c r="BI28" i="33"/>
  <c r="BH28" i="33"/>
  <c r="BG28" i="33"/>
  <c r="BF28" i="33"/>
  <c r="BE28" i="33"/>
  <c r="BD28" i="33"/>
  <c r="BC28" i="33"/>
  <c r="BB28" i="33"/>
  <c r="BA28" i="33"/>
  <c r="AZ28" i="33"/>
  <c r="AY28" i="33"/>
  <c r="AX28" i="33"/>
  <c r="AW28" i="33"/>
  <c r="AV28" i="33"/>
  <c r="AU28" i="33"/>
  <c r="AT28" i="33"/>
  <c r="AS28" i="33"/>
  <c r="AR28" i="33"/>
  <c r="AQ28" i="33"/>
  <c r="AP28" i="33"/>
  <c r="AO28" i="33"/>
  <c r="AN28" i="33"/>
  <c r="AM28" i="33"/>
  <c r="AL28" i="33"/>
  <c r="AK28" i="33"/>
  <c r="AJ28" i="33"/>
  <c r="AI28" i="33"/>
  <c r="AH28" i="33"/>
  <c r="AG28" i="33"/>
  <c r="AF28" i="33"/>
  <c r="AE28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CA27" i="33"/>
  <c r="BZ27" i="33"/>
  <c r="BY27" i="33"/>
  <c r="BX27" i="33"/>
  <c r="BW27" i="33"/>
  <c r="BV27" i="33"/>
  <c r="BU27" i="33"/>
  <c r="BT27" i="33"/>
  <c r="BS27" i="33"/>
  <c r="BR27" i="33"/>
  <c r="BQ27" i="33"/>
  <c r="BP27" i="33"/>
  <c r="BO27" i="33"/>
  <c r="BN27" i="33"/>
  <c r="BM27" i="33"/>
  <c r="BL27" i="33"/>
  <c r="BK27" i="33"/>
  <c r="BJ27" i="33"/>
  <c r="BI27" i="33"/>
  <c r="BH27" i="33"/>
  <c r="BG27" i="33"/>
  <c r="BF27" i="33"/>
  <c r="BE27" i="33"/>
  <c r="BD27" i="33"/>
  <c r="BC27" i="33"/>
  <c r="BB27" i="33"/>
  <c r="BA27" i="33"/>
  <c r="AZ27" i="33"/>
  <c r="AY27" i="33"/>
  <c r="AX27" i="33"/>
  <c r="AW27" i="33"/>
  <c r="AV27" i="33"/>
  <c r="AU27" i="33"/>
  <c r="AT27" i="33"/>
  <c r="AS27" i="33"/>
  <c r="AR27" i="33"/>
  <c r="AQ27" i="33"/>
  <c r="AP27" i="33"/>
  <c r="AO27" i="33"/>
  <c r="AN27" i="33"/>
  <c r="AM27" i="33"/>
  <c r="AL27" i="33"/>
  <c r="AK27" i="33"/>
  <c r="AJ27" i="33"/>
  <c r="AI27" i="33"/>
  <c r="AH27" i="33"/>
  <c r="AG27" i="33"/>
  <c r="AF27" i="33"/>
  <c r="AE27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CA26" i="33"/>
  <c r="BZ26" i="33"/>
  <c r="BY26" i="33"/>
  <c r="BX26" i="33"/>
  <c r="BW26" i="33"/>
  <c r="BV26" i="33"/>
  <c r="BU26" i="33"/>
  <c r="BT26" i="33"/>
  <c r="BS26" i="33"/>
  <c r="BR26" i="33"/>
  <c r="BQ26" i="33"/>
  <c r="BP26" i="33"/>
  <c r="BO26" i="33"/>
  <c r="BN26" i="33"/>
  <c r="BM26" i="33"/>
  <c r="BL26" i="33"/>
  <c r="BK26" i="33"/>
  <c r="BJ26" i="33"/>
  <c r="BI26" i="33"/>
  <c r="BH26" i="33"/>
  <c r="BG26" i="33"/>
  <c r="BF26" i="33"/>
  <c r="BE26" i="33"/>
  <c r="BD26" i="33"/>
  <c r="BC26" i="33"/>
  <c r="BB26" i="33"/>
  <c r="BA26" i="33"/>
  <c r="AZ26" i="33"/>
  <c r="AY26" i="33"/>
  <c r="AX26" i="33"/>
  <c r="AW26" i="33"/>
  <c r="AV26" i="33"/>
  <c r="AU26" i="33"/>
  <c r="AT26" i="33"/>
  <c r="AS26" i="33"/>
  <c r="AR26" i="33"/>
  <c r="AQ26" i="33"/>
  <c r="AP26" i="33"/>
  <c r="AO26" i="33"/>
  <c r="AN26" i="33"/>
  <c r="AM26" i="33"/>
  <c r="AL26" i="33"/>
  <c r="AK26" i="33"/>
  <c r="AJ26" i="33"/>
  <c r="AI26" i="33"/>
  <c r="AH26" i="33"/>
  <c r="AG26" i="33"/>
  <c r="AF26" i="33"/>
  <c r="AE26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CA25" i="33"/>
  <c r="BZ25" i="33"/>
  <c r="BY25" i="33"/>
  <c r="BX25" i="33"/>
  <c r="BW25" i="33"/>
  <c r="BV25" i="33"/>
  <c r="BU25" i="33"/>
  <c r="BT25" i="33"/>
  <c r="BS25" i="33"/>
  <c r="BR25" i="33"/>
  <c r="BQ25" i="33"/>
  <c r="BP25" i="33"/>
  <c r="BO25" i="33"/>
  <c r="BN25" i="33"/>
  <c r="BM25" i="33"/>
  <c r="BL25" i="33"/>
  <c r="BK25" i="33"/>
  <c r="BJ25" i="33"/>
  <c r="BI25" i="33"/>
  <c r="BH25" i="33"/>
  <c r="BG25" i="33"/>
  <c r="BF25" i="33"/>
  <c r="BE25" i="33"/>
  <c r="BD25" i="33"/>
  <c r="BC25" i="33"/>
  <c r="BB25" i="33"/>
  <c r="BA25" i="33"/>
  <c r="AZ25" i="33"/>
  <c r="AY25" i="33"/>
  <c r="AX25" i="33"/>
  <c r="AW25" i="33"/>
  <c r="AV25" i="33"/>
  <c r="AU25" i="33"/>
  <c r="AT25" i="33"/>
  <c r="AS25" i="33"/>
  <c r="AR25" i="33"/>
  <c r="AQ25" i="33"/>
  <c r="AP25" i="33"/>
  <c r="AO25" i="33"/>
  <c r="AN25" i="33"/>
  <c r="AM25" i="33"/>
  <c r="AL25" i="33"/>
  <c r="AK25" i="33"/>
  <c r="AJ25" i="33"/>
  <c r="AI25" i="33"/>
  <c r="AH25" i="33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CA24" i="33"/>
  <c r="BZ24" i="33"/>
  <c r="BY24" i="33"/>
  <c r="BX24" i="33"/>
  <c r="BW24" i="33"/>
  <c r="BV24" i="33"/>
  <c r="BU24" i="33"/>
  <c r="BT24" i="33"/>
  <c r="BS24" i="33"/>
  <c r="BR24" i="33"/>
  <c r="BQ24" i="33"/>
  <c r="BP24" i="33"/>
  <c r="BO24" i="33"/>
  <c r="BN24" i="33"/>
  <c r="BM24" i="33"/>
  <c r="BL24" i="33"/>
  <c r="BK24" i="33"/>
  <c r="BJ24" i="33"/>
  <c r="BI24" i="33"/>
  <c r="BH24" i="33"/>
  <c r="BG24" i="33"/>
  <c r="BF24" i="33"/>
  <c r="BE24" i="33"/>
  <c r="BD24" i="33"/>
  <c r="BC24" i="33"/>
  <c r="BB24" i="33"/>
  <c r="BA24" i="33"/>
  <c r="AZ24" i="33"/>
  <c r="AY24" i="33"/>
  <c r="AX24" i="33"/>
  <c r="AW24" i="33"/>
  <c r="AV24" i="33"/>
  <c r="AU24" i="33"/>
  <c r="AT24" i="33"/>
  <c r="AS24" i="33"/>
  <c r="AR24" i="33"/>
  <c r="AQ24" i="33"/>
  <c r="AP24" i="33"/>
  <c r="AO24" i="33"/>
  <c r="AN24" i="33"/>
  <c r="AM24" i="33"/>
  <c r="AL24" i="33"/>
  <c r="AK24" i="33"/>
  <c r="AJ24" i="33"/>
  <c r="AI24" i="33"/>
  <c r="AH24" i="33"/>
  <c r="AG24" i="33"/>
  <c r="AF24" i="33"/>
  <c r="AE24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CA23" i="33"/>
  <c r="BZ23" i="33"/>
  <c r="BY23" i="33"/>
  <c r="BX23" i="33"/>
  <c r="BW23" i="33"/>
  <c r="BV23" i="33"/>
  <c r="BU23" i="33"/>
  <c r="BT23" i="33"/>
  <c r="BS23" i="33"/>
  <c r="BR23" i="33"/>
  <c r="BQ23" i="33"/>
  <c r="BP23" i="33"/>
  <c r="BO23" i="33"/>
  <c r="BN23" i="33"/>
  <c r="BM23" i="33"/>
  <c r="BL23" i="33"/>
  <c r="BK23" i="33"/>
  <c r="BJ23" i="33"/>
  <c r="BI23" i="33"/>
  <c r="BH23" i="33"/>
  <c r="BG23" i="33"/>
  <c r="BF23" i="33"/>
  <c r="BE23" i="33"/>
  <c r="BD23" i="33"/>
  <c r="BC23" i="33"/>
  <c r="BB23" i="33"/>
  <c r="BA23" i="33"/>
  <c r="AZ23" i="33"/>
  <c r="AY23" i="33"/>
  <c r="AX23" i="33"/>
  <c r="AW23" i="33"/>
  <c r="AV23" i="33"/>
  <c r="AU23" i="33"/>
  <c r="AT23" i="33"/>
  <c r="AS23" i="33"/>
  <c r="AR23" i="33"/>
  <c r="AQ23" i="33"/>
  <c r="AP23" i="33"/>
  <c r="AO23" i="33"/>
  <c r="AN23" i="33"/>
  <c r="AM23" i="33"/>
  <c r="AL23" i="33"/>
  <c r="AK23" i="33"/>
  <c r="AJ23" i="33"/>
  <c r="AI23" i="33"/>
  <c r="AH23" i="33"/>
  <c r="AG23" i="33"/>
  <c r="AF23" i="33"/>
  <c r="AE23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CA22" i="33"/>
  <c r="BZ22" i="33"/>
  <c r="BY22" i="33"/>
  <c r="BX22" i="33"/>
  <c r="BW22" i="33"/>
  <c r="BV22" i="33"/>
  <c r="BU22" i="33"/>
  <c r="BT22" i="33"/>
  <c r="BS22" i="33"/>
  <c r="BR22" i="33"/>
  <c r="BQ22" i="33"/>
  <c r="BP22" i="33"/>
  <c r="BO22" i="33"/>
  <c r="BN22" i="33"/>
  <c r="BM22" i="33"/>
  <c r="BL22" i="33"/>
  <c r="BK22" i="33"/>
  <c r="BJ22" i="33"/>
  <c r="BI22" i="33"/>
  <c r="BH22" i="33"/>
  <c r="BG22" i="33"/>
  <c r="BF22" i="33"/>
  <c r="BE22" i="33"/>
  <c r="BD22" i="33"/>
  <c r="BC22" i="33"/>
  <c r="BB22" i="33"/>
  <c r="BA22" i="33"/>
  <c r="AZ22" i="33"/>
  <c r="AY22" i="33"/>
  <c r="AX22" i="33"/>
  <c r="AW22" i="33"/>
  <c r="AV22" i="33"/>
  <c r="AU22" i="33"/>
  <c r="AT22" i="33"/>
  <c r="AS22" i="33"/>
  <c r="AR22" i="33"/>
  <c r="AQ22" i="33"/>
  <c r="AP22" i="33"/>
  <c r="AO22" i="33"/>
  <c r="AN22" i="33"/>
  <c r="AM22" i="33"/>
  <c r="AL22" i="33"/>
  <c r="AK22" i="33"/>
  <c r="AJ22" i="33"/>
  <c r="AI22" i="33"/>
  <c r="AH22" i="33"/>
  <c r="AG22" i="33"/>
  <c r="AF22" i="33"/>
  <c r="AE22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CA21" i="33"/>
  <c r="BZ21" i="33"/>
  <c r="BY21" i="33"/>
  <c r="BX21" i="33"/>
  <c r="BW21" i="33"/>
  <c r="BV21" i="33"/>
  <c r="BU21" i="33"/>
  <c r="BT21" i="33"/>
  <c r="BS21" i="33"/>
  <c r="BR21" i="33"/>
  <c r="BQ21" i="33"/>
  <c r="BP21" i="33"/>
  <c r="BO21" i="33"/>
  <c r="BN21" i="33"/>
  <c r="BM21" i="33"/>
  <c r="BL21" i="33"/>
  <c r="BK21" i="33"/>
  <c r="BJ21" i="33"/>
  <c r="BI21" i="33"/>
  <c r="BH21" i="33"/>
  <c r="BG21" i="33"/>
  <c r="BF21" i="33"/>
  <c r="BE21" i="33"/>
  <c r="BD21" i="33"/>
  <c r="BC21" i="33"/>
  <c r="BB21" i="33"/>
  <c r="BA21" i="33"/>
  <c r="AZ21" i="33"/>
  <c r="AY21" i="33"/>
  <c r="AX21" i="33"/>
  <c r="AW21" i="33"/>
  <c r="AV21" i="33"/>
  <c r="AU21" i="33"/>
  <c r="AT21" i="33"/>
  <c r="AS21" i="33"/>
  <c r="AR21" i="33"/>
  <c r="AQ21" i="33"/>
  <c r="AP21" i="33"/>
  <c r="AO21" i="33"/>
  <c r="AN21" i="33"/>
  <c r="AM21" i="33"/>
  <c r="AL21" i="33"/>
  <c r="AK21" i="33"/>
  <c r="AJ21" i="33"/>
  <c r="AI21" i="33"/>
  <c r="AH21" i="33"/>
  <c r="AG21" i="33"/>
  <c r="AF21" i="33"/>
  <c r="AE21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CA20" i="33"/>
  <c r="BZ20" i="33"/>
  <c r="BY20" i="33"/>
  <c r="BX20" i="33"/>
  <c r="BW20" i="33"/>
  <c r="BV20" i="33"/>
  <c r="BU20" i="33"/>
  <c r="BT20" i="33"/>
  <c r="BS20" i="33"/>
  <c r="BR20" i="33"/>
  <c r="BQ20" i="33"/>
  <c r="BP20" i="33"/>
  <c r="BO20" i="33"/>
  <c r="BN20" i="33"/>
  <c r="BM20" i="33"/>
  <c r="BL20" i="33"/>
  <c r="BK20" i="33"/>
  <c r="BJ20" i="33"/>
  <c r="BI20" i="33"/>
  <c r="BH20" i="33"/>
  <c r="BG20" i="33"/>
  <c r="BF20" i="33"/>
  <c r="BE20" i="33"/>
  <c r="BD20" i="33"/>
  <c r="BC20" i="33"/>
  <c r="BB20" i="33"/>
  <c r="BA20" i="33"/>
  <c r="AZ20" i="33"/>
  <c r="AY20" i="33"/>
  <c r="AX20" i="33"/>
  <c r="AW20" i="33"/>
  <c r="AV20" i="33"/>
  <c r="AU20" i="33"/>
  <c r="AT20" i="33"/>
  <c r="AS20" i="33"/>
  <c r="AR20" i="33"/>
  <c r="AQ20" i="33"/>
  <c r="AP20" i="33"/>
  <c r="AO20" i="33"/>
  <c r="AN20" i="33"/>
  <c r="AM20" i="33"/>
  <c r="AL20" i="33"/>
  <c r="AK20" i="33"/>
  <c r="AJ20" i="33"/>
  <c r="AI20" i="33"/>
  <c r="AH20" i="33"/>
  <c r="AG20" i="33"/>
  <c r="AF20" i="33"/>
  <c r="AE20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CA19" i="33"/>
  <c r="BZ19" i="33"/>
  <c r="BY19" i="33"/>
  <c r="BX19" i="33"/>
  <c r="BW19" i="33"/>
  <c r="BV19" i="33"/>
  <c r="BU19" i="33"/>
  <c r="BT19" i="33"/>
  <c r="BS19" i="33"/>
  <c r="BR19" i="33"/>
  <c r="BQ19" i="33"/>
  <c r="BP19" i="33"/>
  <c r="BO19" i="33"/>
  <c r="BN19" i="33"/>
  <c r="BM19" i="33"/>
  <c r="BL19" i="33"/>
  <c r="BK19" i="33"/>
  <c r="BJ19" i="33"/>
  <c r="BI19" i="33"/>
  <c r="BH19" i="33"/>
  <c r="BG19" i="33"/>
  <c r="BF19" i="33"/>
  <c r="BE19" i="33"/>
  <c r="BD19" i="33"/>
  <c r="BC19" i="33"/>
  <c r="BB19" i="33"/>
  <c r="BA19" i="33"/>
  <c r="AZ19" i="33"/>
  <c r="AY19" i="33"/>
  <c r="AX19" i="33"/>
  <c r="AW19" i="33"/>
  <c r="AV19" i="33"/>
  <c r="AU19" i="33"/>
  <c r="AT19" i="33"/>
  <c r="AS19" i="33"/>
  <c r="AR19" i="33"/>
  <c r="AQ19" i="33"/>
  <c r="AP19" i="33"/>
  <c r="AO19" i="33"/>
  <c r="AN19" i="33"/>
  <c r="AM19" i="33"/>
  <c r="AL19" i="33"/>
  <c r="AK19" i="33"/>
  <c r="AJ19" i="33"/>
  <c r="AI19" i="33"/>
  <c r="AH19" i="33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CA18" i="33"/>
  <c r="BZ18" i="33"/>
  <c r="BY18" i="33"/>
  <c r="BX18" i="33"/>
  <c r="BW18" i="33"/>
  <c r="BV18" i="33"/>
  <c r="BU18" i="33"/>
  <c r="BT18" i="33"/>
  <c r="BS18" i="33"/>
  <c r="BR18" i="33"/>
  <c r="BQ18" i="33"/>
  <c r="BP18" i="33"/>
  <c r="BO18" i="33"/>
  <c r="BN18" i="33"/>
  <c r="BM18" i="33"/>
  <c r="BL18" i="33"/>
  <c r="BK18" i="33"/>
  <c r="BJ18" i="33"/>
  <c r="BI18" i="33"/>
  <c r="BH18" i="33"/>
  <c r="BG18" i="33"/>
  <c r="BF18" i="33"/>
  <c r="BE18" i="33"/>
  <c r="BD18" i="33"/>
  <c r="BC18" i="33"/>
  <c r="BB18" i="33"/>
  <c r="BA18" i="33"/>
  <c r="AZ18" i="33"/>
  <c r="AY18" i="33"/>
  <c r="AX18" i="33"/>
  <c r="AW18" i="33"/>
  <c r="AV18" i="33"/>
  <c r="AU18" i="33"/>
  <c r="AT18" i="33"/>
  <c r="AS18" i="33"/>
  <c r="AR18" i="33"/>
  <c r="AQ18" i="33"/>
  <c r="AP18" i="33"/>
  <c r="AO18" i="33"/>
  <c r="AN18" i="33"/>
  <c r="AM18" i="33"/>
  <c r="AL18" i="33"/>
  <c r="AK18" i="33"/>
  <c r="AJ18" i="33"/>
  <c r="AI18" i="33"/>
  <c r="AH18" i="33"/>
  <c r="AG18" i="33"/>
  <c r="AF18" i="33"/>
  <c r="AE18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CA17" i="33"/>
  <c r="BZ17" i="33"/>
  <c r="BY17" i="33"/>
  <c r="BX17" i="33"/>
  <c r="BW17" i="33"/>
  <c r="BV17" i="33"/>
  <c r="BU17" i="33"/>
  <c r="BT17" i="33"/>
  <c r="BS17" i="33"/>
  <c r="BR17" i="33"/>
  <c r="BQ17" i="33"/>
  <c r="BP17" i="33"/>
  <c r="BO17" i="33"/>
  <c r="BN17" i="33"/>
  <c r="BM17" i="33"/>
  <c r="BL17" i="33"/>
  <c r="BK17" i="33"/>
  <c r="BJ17" i="33"/>
  <c r="BI17" i="33"/>
  <c r="BH17" i="33"/>
  <c r="BG17" i="33"/>
  <c r="BF17" i="33"/>
  <c r="BE17" i="33"/>
  <c r="BD17" i="33"/>
  <c r="BC17" i="33"/>
  <c r="BB17" i="33"/>
  <c r="BA17" i="33"/>
  <c r="AZ17" i="33"/>
  <c r="AY17" i="33"/>
  <c r="AX17" i="33"/>
  <c r="AW17" i="33"/>
  <c r="AV17" i="33"/>
  <c r="AU17" i="33"/>
  <c r="AT17" i="33"/>
  <c r="AS17" i="33"/>
  <c r="AR17" i="33"/>
  <c r="AQ17" i="33"/>
  <c r="AP17" i="33"/>
  <c r="AO17" i="33"/>
  <c r="AN17" i="33"/>
  <c r="AM17" i="33"/>
  <c r="AL17" i="33"/>
  <c r="AK17" i="33"/>
  <c r="AJ17" i="33"/>
  <c r="AI17" i="33"/>
  <c r="AH17" i="33"/>
  <c r="AG17" i="33"/>
  <c r="AF17" i="33"/>
  <c r="AE17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CA16" i="33"/>
  <c r="BZ16" i="33"/>
  <c r="BY16" i="33"/>
  <c r="BX16" i="33"/>
  <c r="BW16" i="33"/>
  <c r="BV16" i="33"/>
  <c r="BU16" i="33"/>
  <c r="BT16" i="33"/>
  <c r="BS16" i="33"/>
  <c r="BR16" i="33"/>
  <c r="BQ16" i="33"/>
  <c r="BP16" i="33"/>
  <c r="BO16" i="33"/>
  <c r="BN16" i="33"/>
  <c r="BM16" i="33"/>
  <c r="BL16" i="33"/>
  <c r="BK16" i="33"/>
  <c r="BJ16" i="33"/>
  <c r="BI16" i="33"/>
  <c r="BH16" i="33"/>
  <c r="BG16" i="33"/>
  <c r="BF16" i="33"/>
  <c r="BE16" i="33"/>
  <c r="BD16" i="33"/>
  <c r="BC16" i="33"/>
  <c r="BB16" i="33"/>
  <c r="BA16" i="33"/>
  <c r="AZ16" i="33"/>
  <c r="AY16" i="33"/>
  <c r="AX16" i="33"/>
  <c r="AW16" i="33"/>
  <c r="AV16" i="33"/>
  <c r="AU16" i="33"/>
  <c r="AT16" i="33"/>
  <c r="AS16" i="33"/>
  <c r="AR16" i="33"/>
  <c r="AQ16" i="33"/>
  <c r="AP16" i="33"/>
  <c r="AO16" i="33"/>
  <c r="AN16" i="33"/>
  <c r="AM16" i="33"/>
  <c r="AL16" i="33"/>
  <c r="AK16" i="33"/>
  <c r="AJ16" i="33"/>
  <c r="AI16" i="33"/>
  <c r="AH16" i="33"/>
  <c r="AG16" i="33"/>
  <c r="AF16" i="33"/>
  <c r="AE16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CA15" i="33"/>
  <c r="BZ15" i="33"/>
  <c r="BY15" i="33"/>
  <c r="BX15" i="33"/>
  <c r="BW15" i="33"/>
  <c r="BV15" i="33"/>
  <c r="BU15" i="33"/>
  <c r="BT15" i="33"/>
  <c r="BS15" i="33"/>
  <c r="BR15" i="33"/>
  <c r="BQ15" i="33"/>
  <c r="BP15" i="33"/>
  <c r="BO15" i="33"/>
  <c r="BN15" i="33"/>
  <c r="BM15" i="33"/>
  <c r="BL15" i="33"/>
  <c r="BK15" i="33"/>
  <c r="BJ15" i="33"/>
  <c r="BI15" i="33"/>
  <c r="BH15" i="33"/>
  <c r="BG15" i="33"/>
  <c r="BF15" i="33"/>
  <c r="BE15" i="33"/>
  <c r="BD15" i="33"/>
  <c r="BC15" i="33"/>
  <c r="BB15" i="33"/>
  <c r="BA15" i="33"/>
  <c r="AZ15" i="33"/>
  <c r="AY15" i="33"/>
  <c r="AX15" i="33"/>
  <c r="AW15" i="33"/>
  <c r="AV15" i="33"/>
  <c r="AU15" i="33"/>
  <c r="AT15" i="33"/>
  <c r="AS15" i="33"/>
  <c r="AR15" i="33"/>
  <c r="AQ15" i="33"/>
  <c r="AP15" i="33"/>
  <c r="AO15" i="33"/>
  <c r="AN15" i="33"/>
  <c r="AM15" i="33"/>
  <c r="AL15" i="33"/>
  <c r="AK15" i="33"/>
  <c r="AJ15" i="33"/>
  <c r="AI15" i="33"/>
  <c r="AH15" i="33"/>
  <c r="AG15" i="33"/>
  <c r="AF15" i="33"/>
  <c r="AE15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CA14" i="33"/>
  <c r="BZ14" i="33"/>
  <c r="BY14" i="33"/>
  <c r="BX14" i="33"/>
  <c r="BW14" i="33"/>
  <c r="BV14" i="33"/>
  <c r="BU14" i="33"/>
  <c r="BT14" i="33"/>
  <c r="BS14" i="33"/>
  <c r="BR14" i="33"/>
  <c r="BQ14" i="33"/>
  <c r="BP14" i="33"/>
  <c r="BO14" i="33"/>
  <c r="BN14" i="33"/>
  <c r="BM14" i="33"/>
  <c r="BL14" i="33"/>
  <c r="BK14" i="33"/>
  <c r="BJ14" i="33"/>
  <c r="BI14" i="33"/>
  <c r="BH14" i="33"/>
  <c r="BG14" i="33"/>
  <c r="BF14" i="33"/>
  <c r="BE14" i="33"/>
  <c r="BD14" i="33"/>
  <c r="BC14" i="33"/>
  <c r="BB14" i="33"/>
  <c r="BA14" i="33"/>
  <c r="AZ14" i="33"/>
  <c r="AY14" i="33"/>
  <c r="AX14" i="33"/>
  <c r="AW14" i="33"/>
  <c r="AV14" i="33"/>
  <c r="AU14" i="33"/>
  <c r="AT14" i="33"/>
  <c r="AS14" i="33"/>
  <c r="AR14" i="33"/>
  <c r="AQ14" i="33"/>
  <c r="AP14" i="33"/>
  <c r="AO14" i="33"/>
  <c r="AN14" i="33"/>
  <c r="AM14" i="33"/>
  <c r="AL14" i="33"/>
  <c r="AK14" i="33"/>
  <c r="AJ14" i="33"/>
  <c r="AI14" i="33"/>
  <c r="AH14" i="33"/>
  <c r="AG14" i="33"/>
  <c r="AF14" i="33"/>
  <c r="AE14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CA13" i="33"/>
  <c r="BZ13" i="33"/>
  <c r="BY13" i="33"/>
  <c r="BX13" i="33"/>
  <c r="BW13" i="33"/>
  <c r="BV13" i="33"/>
  <c r="BU13" i="33"/>
  <c r="BT13" i="33"/>
  <c r="BS13" i="33"/>
  <c r="BR13" i="33"/>
  <c r="BQ13" i="33"/>
  <c r="BP13" i="33"/>
  <c r="BO13" i="33"/>
  <c r="BN13" i="33"/>
  <c r="BM13" i="33"/>
  <c r="BL13" i="33"/>
  <c r="BK13" i="33"/>
  <c r="BJ13" i="33"/>
  <c r="BI13" i="33"/>
  <c r="BH13" i="33"/>
  <c r="BG13" i="33"/>
  <c r="BF13" i="33"/>
  <c r="BE13" i="33"/>
  <c r="BD13" i="33"/>
  <c r="BC13" i="33"/>
  <c r="BB13" i="33"/>
  <c r="BA13" i="33"/>
  <c r="AZ13" i="33"/>
  <c r="AY13" i="33"/>
  <c r="AX13" i="33"/>
  <c r="AW13" i="33"/>
  <c r="AV13" i="33"/>
  <c r="AU13" i="33"/>
  <c r="AT13" i="33"/>
  <c r="AS13" i="33"/>
  <c r="AR13" i="33"/>
  <c r="AQ13" i="33"/>
  <c r="AP13" i="33"/>
  <c r="AO13" i="33"/>
  <c r="AN13" i="33"/>
  <c r="AM13" i="33"/>
  <c r="AL13" i="33"/>
  <c r="AK13" i="33"/>
  <c r="AJ13" i="33"/>
  <c r="AI13" i="33"/>
  <c r="AH13" i="33"/>
  <c r="AG13" i="33"/>
  <c r="AF13" i="33"/>
  <c r="AE13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CA12" i="33"/>
  <c r="BZ12" i="33"/>
  <c r="BY12" i="33"/>
  <c r="BX12" i="33"/>
  <c r="BW12" i="33"/>
  <c r="BV12" i="33"/>
  <c r="BU12" i="33"/>
  <c r="BT12" i="33"/>
  <c r="BS12" i="33"/>
  <c r="BR12" i="33"/>
  <c r="BQ12" i="33"/>
  <c r="BP12" i="33"/>
  <c r="BO12" i="33"/>
  <c r="BN12" i="33"/>
  <c r="BM12" i="33"/>
  <c r="BL12" i="33"/>
  <c r="BK12" i="33"/>
  <c r="BJ12" i="33"/>
  <c r="BI12" i="33"/>
  <c r="BH12" i="33"/>
  <c r="BG12" i="33"/>
  <c r="BF12" i="33"/>
  <c r="BE12" i="33"/>
  <c r="BD12" i="33"/>
  <c r="BC12" i="33"/>
  <c r="BB12" i="33"/>
  <c r="BA12" i="33"/>
  <c r="AZ12" i="33"/>
  <c r="AY12" i="33"/>
  <c r="AX12" i="33"/>
  <c r="AW12" i="33"/>
  <c r="AV12" i="33"/>
  <c r="AU12" i="33"/>
  <c r="AT12" i="33"/>
  <c r="AS12" i="33"/>
  <c r="AR12" i="33"/>
  <c r="AQ12" i="33"/>
  <c r="AP12" i="33"/>
  <c r="AO12" i="33"/>
  <c r="AN12" i="33"/>
  <c r="AM12" i="33"/>
  <c r="AL12" i="33"/>
  <c r="AK12" i="33"/>
  <c r="AJ12" i="33"/>
  <c r="AI12" i="33"/>
  <c r="AH12" i="33"/>
  <c r="AG12" i="33"/>
  <c r="AF12" i="33"/>
  <c r="AE12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CA11" i="33"/>
  <c r="BZ11" i="33"/>
  <c r="BY11" i="33"/>
  <c r="BX11" i="33"/>
  <c r="BW11" i="33"/>
  <c r="BV11" i="33"/>
  <c r="BU11" i="33"/>
  <c r="BT11" i="33"/>
  <c r="BS11" i="33"/>
  <c r="BR11" i="33"/>
  <c r="BQ11" i="33"/>
  <c r="BP11" i="33"/>
  <c r="BO11" i="33"/>
  <c r="BN11" i="33"/>
  <c r="BM11" i="33"/>
  <c r="BL11" i="33"/>
  <c r="BK11" i="33"/>
  <c r="BJ11" i="33"/>
  <c r="BI11" i="33"/>
  <c r="BH11" i="33"/>
  <c r="BG11" i="33"/>
  <c r="BF11" i="33"/>
  <c r="BE11" i="33"/>
  <c r="BD11" i="33"/>
  <c r="BC11" i="33"/>
  <c r="BB11" i="33"/>
  <c r="BA11" i="33"/>
  <c r="AZ11" i="33"/>
  <c r="AY11" i="33"/>
  <c r="AX11" i="33"/>
  <c r="AW11" i="33"/>
  <c r="AV11" i="33"/>
  <c r="AU11" i="33"/>
  <c r="AT11" i="33"/>
  <c r="AS11" i="33"/>
  <c r="AR11" i="33"/>
  <c r="AQ11" i="33"/>
  <c r="AP11" i="33"/>
  <c r="AO11" i="33"/>
  <c r="AN11" i="33"/>
  <c r="AM11" i="33"/>
  <c r="AL11" i="33"/>
  <c r="AK11" i="33"/>
  <c r="AJ11" i="33"/>
  <c r="AI11" i="33"/>
  <c r="AH11" i="33"/>
  <c r="AG11" i="33"/>
  <c r="AF11" i="33"/>
  <c r="AE11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CA10" i="33"/>
  <c r="BZ10" i="33"/>
  <c r="BY10" i="33"/>
  <c r="BX10" i="33"/>
  <c r="BW10" i="33"/>
  <c r="BV10" i="33"/>
  <c r="BU10" i="33"/>
  <c r="BT10" i="33"/>
  <c r="BS10" i="33"/>
  <c r="BR10" i="33"/>
  <c r="BQ10" i="33"/>
  <c r="BP10" i="33"/>
  <c r="BO10" i="33"/>
  <c r="BN10" i="33"/>
  <c r="BM10" i="33"/>
  <c r="BL10" i="33"/>
  <c r="BK10" i="33"/>
  <c r="BJ10" i="33"/>
  <c r="BI10" i="33"/>
  <c r="BH10" i="33"/>
  <c r="BG10" i="33"/>
  <c r="BF10" i="33"/>
  <c r="BE10" i="33"/>
  <c r="BD10" i="33"/>
  <c r="BC10" i="33"/>
  <c r="BB10" i="33"/>
  <c r="BA10" i="33"/>
  <c r="AZ10" i="33"/>
  <c r="AY10" i="33"/>
  <c r="AX10" i="33"/>
  <c r="AW10" i="33"/>
  <c r="AV10" i="33"/>
  <c r="AU10" i="33"/>
  <c r="AT10" i="33"/>
  <c r="AS10" i="33"/>
  <c r="AR10" i="33"/>
  <c r="AQ10" i="33"/>
  <c r="AP10" i="33"/>
  <c r="AO10" i="33"/>
  <c r="AN10" i="33"/>
  <c r="AM10" i="33"/>
  <c r="AL10" i="33"/>
  <c r="AK10" i="33"/>
  <c r="AJ10" i="33"/>
  <c r="AI10" i="33"/>
  <c r="AH10" i="33"/>
  <c r="AG10" i="33"/>
  <c r="AF10" i="33"/>
  <c r="AE10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CA9" i="33"/>
  <c r="BZ9" i="33"/>
  <c r="BY9" i="33"/>
  <c r="BX9" i="33"/>
  <c r="BW9" i="33"/>
  <c r="BV9" i="33"/>
  <c r="BU9" i="33"/>
  <c r="BT9" i="33"/>
  <c r="BS9" i="33"/>
  <c r="BR9" i="33"/>
  <c r="BQ9" i="33"/>
  <c r="BP9" i="33"/>
  <c r="BO9" i="33"/>
  <c r="BN9" i="33"/>
  <c r="BM9" i="33"/>
  <c r="BL9" i="33"/>
  <c r="BK9" i="33"/>
  <c r="BJ9" i="33"/>
  <c r="BI9" i="33"/>
  <c r="BH9" i="33"/>
  <c r="BG9" i="33"/>
  <c r="BF9" i="33"/>
  <c r="BE9" i="33"/>
  <c r="BD9" i="33"/>
  <c r="BC9" i="33"/>
  <c r="BB9" i="33"/>
  <c r="BA9" i="33"/>
  <c r="AZ9" i="33"/>
  <c r="AY9" i="33"/>
  <c r="AX9" i="33"/>
  <c r="AW9" i="33"/>
  <c r="AV9" i="33"/>
  <c r="AU9" i="33"/>
  <c r="AT9" i="33"/>
  <c r="AS9" i="33"/>
  <c r="AR9" i="33"/>
  <c r="AQ9" i="33"/>
  <c r="AP9" i="33"/>
  <c r="AO9" i="33"/>
  <c r="AN9" i="33"/>
  <c r="AM9" i="33"/>
  <c r="AL9" i="33"/>
  <c r="AK9" i="33"/>
  <c r="AJ9" i="33"/>
  <c r="AI9" i="33"/>
  <c r="AH9" i="33"/>
  <c r="AG9" i="33"/>
  <c r="AF9" i="33"/>
  <c r="AE9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CA8" i="33"/>
  <c r="BZ8" i="33"/>
  <c r="BY8" i="33"/>
  <c r="BX8" i="33"/>
  <c r="BW8" i="33"/>
  <c r="BV8" i="33"/>
  <c r="BU8" i="33"/>
  <c r="BT8" i="33"/>
  <c r="BS8" i="33"/>
  <c r="BR8" i="33"/>
  <c r="BQ8" i="33"/>
  <c r="BP8" i="33"/>
  <c r="BO8" i="33"/>
  <c r="BN8" i="33"/>
  <c r="BM8" i="33"/>
  <c r="BL8" i="33"/>
  <c r="BK8" i="33"/>
  <c r="BJ8" i="33"/>
  <c r="BI8" i="33"/>
  <c r="BH8" i="33"/>
  <c r="BG8" i="33"/>
  <c r="BF8" i="33"/>
  <c r="BE8" i="33"/>
  <c r="BD8" i="33"/>
  <c r="BC8" i="33"/>
  <c r="BB8" i="33"/>
  <c r="BA8" i="33"/>
  <c r="AZ8" i="33"/>
  <c r="AY8" i="33"/>
  <c r="AX8" i="33"/>
  <c r="AW8" i="33"/>
  <c r="AV8" i="33"/>
  <c r="AU8" i="33"/>
  <c r="AT8" i="33"/>
  <c r="AS8" i="33"/>
  <c r="AR8" i="33"/>
  <c r="AQ8" i="33"/>
  <c r="AP8" i="33"/>
  <c r="AO8" i="33"/>
  <c r="AN8" i="33"/>
  <c r="AM8" i="33"/>
  <c r="AL8" i="33"/>
  <c r="AK8" i="33"/>
  <c r="AJ8" i="33"/>
  <c r="AI8" i="33"/>
  <c r="AH8" i="33"/>
  <c r="AG8" i="33"/>
  <c r="AF8" i="33"/>
  <c r="AE8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CA7" i="33"/>
  <c r="BZ7" i="33"/>
  <c r="BY7" i="33"/>
  <c r="BX7" i="33"/>
  <c r="BW7" i="33"/>
  <c r="BV7" i="33"/>
  <c r="BU7" i="33"/>
  <c r="BT7" i="33"/>
  <c r="BS7" i="33"/>
  <c r="BR7" i="33"/>
  <c r="BQ7" i="33"/>
  <c r="BP7" i="33"/>
  <c r="BO7" i="33"/>
  <c r="BN7" i="33"/>
  <c r="BM7" i="33"/>
  <c r="BL7" i="33"/>
  <c r="BK7" i="33"/>
  <c r="BJ7" i="33"/>
  <c r="BI7" i="33"/>
  <c r="BH7" i="33"/>
  <c r="BG7" i="33"/>
  <c r="BF7" i="33"/>
  <c r="BE7" i="33"/>
  <c r="BD7" i="33"/>
  <c r="BC7" i="33"/>
  <c r="BB7" i="33"/>
  <c r="BA7" i="33"/>
  <c r="AZ7" i="33"/>
  <c r="AY7" i="33"/>
  <c r="AX7" i="33"/>
  <c r="AW7" i="33"/>
  <c r="AV7" i="33"/>
  <c r="AU7" i="33"/>
  <c r="AT7" i="33"/>
  <c r="AS7" i="33"/>
  <c r="AR7" i="33"/>
  <c r="AQ7" i="33"/>
  <c r="AP7" i="33"/>
  <c r="AO7" i="33"/>
  <c r="AN7" i="33"/>
  <c r="AM7" i="33"/>
  <c r="AL7" i="33"/>
  <c r="AK7" i="33"/>
  <c r="AJ7" i="33"/>
  <c r="AI7" i="33"/>
  <c r="AH7" i="33"/>
  <c r="AG7" i="33"/>
  <c r="AF7" i="33"/>
  <c r="AE7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CA6" i="33"/>
  <c r="BZ6" i="33"/>
  <c r="BY6" i="33"/>
  <c r="BX6" i="33"/>
  <c r="BW6" i="33"/>
  <c r="BV6" i="33"/>
  <c r="BU6" i="33"/>
  <c r="BT6" i="33"/>
  <c r="BS6" i="33"/>
  <c r="BR6" i="33"/>
  <c r="BQ6" i="33"/>
  <c r="BP6" i="33"/>
  <c r="BO6" i="33"/>
  <c r="BN6" i="33"/>
  <c r="BM6" i="33"/>
  <c r="BL6" i="33"/>
  <c r="BK6" i="33"/>
  <c r="BJ6" i="33"/>
  <c r="BI6" i="33"/>
  <c r="BH6" i="33"/>
  <c r="BG6" i="33"/>
  <c r="BF6" i="33"/>
  <c r="BE6" i="33"/>
  <c r="BD6" i="33"/>
  <c r="BC6" i="33"/>
  <c r="BB6" i="33"/>
  <c r="BA6" i="33"/>
  <c r="AZ6" i="33"/>
  <c r="AY6" i="33"/>
  <c r="AX6" i="33"/>
  <c r="AW6" i="33"/>
  <c r="AV6" i="33"/>
  <c r="AU6" i="33"/>
  <c r="AT6" i="33"/>
  <c r="AS6" i="33"/>
  <c r="AR6" i="33"/>
  <c r="AQ6" i="33"/>
  <c r="AP6" i="33"/>
  <c r="AO6" i="33"/>
  <c r="AN6" i="33"/>
  <c r="AM6" i="33"/>
  <c r="AL6" i="33"/>
  <c r="AK6" i="33"/>
  <c r="AJ6" i="33"/>
  <c r="AI6" i="33"/>
  <c r="AH6" i="33"/>
  <c r="AG6" i="33"/>
  <c r="AF6" i="33"/>
  <c r="AE6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CA5" i="33"/>
  <c r="BZ5" i="33"/>
  <c r="BY5" i="33"/>
  <c r="BX5" i="33"/>
  <c r="BW5" i="33"/>
  <c r="BV5" i="33"/>
  <c r="BU5" i="33"/>
  <c r="BT5" i="33"/>
  <c r="BS5" i="33"/>
  <c r="BR5" i="33"/>
  <c r="BQ5" i="33"/>
  <c r="BP5" i="33"/>
  <c r="BO5" i="33"/>
  <c r="BN5" i="33"/>
  <c r="BM5" i="33"/>
  <c r="BL5" i="33"/>
  <c r="BK5" i="33"/>
  <c r="BJ5" i="33"/>
  <c r="BI5" i="33"/>
  <c r="BH5" i="33"/>
  <c r="BG5" i="33"/>
  <c r="BF5" i="33"/>
  <c r="BE5" i="33"/>
  <c r="BD5" i="33"/>
  <c r="BC5" i="33"/>
  <c r="BB5" i="33"/>
  <c r="BA5" i="33"/>
  <c r="AZ5" i="33"/>
  <c r="AY5" i="33"/>
  <c r="AX5" i="33"/>
  <c r="AW5" i="33"/>
  <c r="AV5" i="33"/>
  <c r="AU5" i="33"/>
  <c r="AT5" i="33"/>
  <c r="AS5" i="33"/>
  <c r="AR5" i="33"/>
  <c r="AQ5" i="33"/>
  <c r="AP5" i="33"/>
  <c r="AO5" i="33"/>
  <c r="AN5" i="33"/>
  <c r="AM5" i="33"/>
  <c r="AL5" i="33"/>
  <c r="AK5" i="33"/>
  <c r="AJ5" i="33"/>
  <c r="AI5" i="33"/>
  <c r="AH5" i="33"/>
  <c r="AG5" i="33"/>
  <c r="AF5" i="33"/>
  <c r="AE5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CA4" i="33"/>
  <c r="BZ4" i="33"/>
  <c r="BY4" i="33"/>
  <c r="BX4" i="33"/>
  <c r="BW4" i="33"/>
  <c r="BV4" i="33"/>
  <c r="BU4" i="33"/>
  <c r="BT4" i="33"/>
  <c r="BS4" i="33"/>
  <c r="BR4" i="33"/>
  <c r="BQ4" i="33"/>
  <c r="BP4" i="33"/>
  <c r="BO4" i="33"/>
  <c r="BN4" i="33"/>
  <c r="BM4" i="33"/>
  <c r="BL4" i="33"/>
  <c r="BK4" i="33"/>
  <c r="BJ4" i="33"/>
  <c r="BI4" i="33"/>
  <c r="BH4" i="33"/>
  <c r="BG4" i="33"/>
  <c r="BF4" i="33"/>
  <c r="BE4" i="33"/>
  <c r="BD4" i="33"/>
  <c r="BC4" i="33"/>
  <c r="BB4" i="33"/>
  <c r="BA4" i="33"/>
  <c r="AZ4" i="33"/>
  <c r="AY4" i="33"/>
  <c r="AX4" i="33"/>
  <c r="AW4" i="33"/>
  <c r="AV4" i="33"/>
  <c r="AU4" i="33"/>
  <c r="AT4" i="33"/>
  <c r="AS4" i="33"/>
  <c r="AR4" i="33"/>
  <c r="AQ4" i="33"/>
  <c r="AP4" i="33"/>
  <c r="AO4" i="33"/>
  <c r="AN4" i="33"/>
  <c r="AM4" i="33"/>
  <c r="AL4" i="33"/>
  <c r="AK4" i="33"/>
  <c r="AJ4" i="33"/>
  <c r="AI4" i="33"/>
  <c r="AH4" i="33"/>
  <c r="AG4" i="33"/>
  <c r="AF4" i="33"/>
  <c r="AE4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A3" i="32"/>
  <c r="G19" i="33" l="1"/>
  <c r="G7" i="33"/>
  <c r="G32" i="33"/>
  <c r="G28" i="33"/>
  <c r="G24" i="33"/>
  <c r="C22" i="33"/>
  <c r="G20" i="33"/>
  <c r="C25" i="33"/>
  <c r="G15" i="33"/>
  <c r="C28" i="33"/>
  <c r="C32" i="33"/>
  <c r="C19" i="33"/>
  <c r="C21" i="33"/>
  <c r="G25" i="33"/>
  <c r="C26" i="33"/>
  <c r="C9" i="33"/>
  <c r="C13" i="33"/>
  <c r="G9" i="33"/>
  <c r="C11" i="33"/>
  <c r="C16" i="33"/>
  <c r="G29" i="33"/>
  <c r="C30" i="33"/>
  <c r="C29" i="33"/>
  <c r="C18" i="33"/>
  <c r="G22" i="33"/>
  <c r="C33" i="33"/>
  <c r="C17" i="33"/>
  <c r="G26" i="33"/>
  <c r="C12" i="33"/>
  <c r="G5" i="33"/>
  <c r="C8" i="33"/>
  <c r="G11" i="33"/>
  <c r="C15" i="33"/>
  <c r="G14" i="33"/>
  <c r="C14" i="33"/>
  <c r="C7" i="33"/>
  <c r="G10" i="33"/>
  <c r="C10" i="33"/>
  <c r="G27" i="33"/>
  <c r="C27" i="33"/>
  <c r="C4" i="33"/>
  <c r="G6" i="33"/>
  <c r="C6" i="33"/>
  <c r="G17" i="33"/>
  <c r="C5" i="33"/>
  <c r="G13" i="33"/>
  <c r="G4" i="33"/>
  <c r="G8" i="33"/>
  <c r="G12" i="33"/>
  <c r="G16" i="33"/>
  <c r="G23" i="33"/>
  <c r="C23" i="33"/>
  <c r="C24" i="33"/>
  <c r="C20" i="33"/>
  <c r="G31" i="33"/>
  <c r="C31" i="33"/>
  <c r="G18" i="33"/>
  <c r="G30" i="33"/>
  <c r="G33" i="33"/>
  <c r="G21" i="33"/>
  <c r="DG15" i="33"/>
  <c r="CZ29" i="33"/>
  <c r="DS32" i="33"/>
  <c r="CF23" i="33"/>
  <c r="CD13" i="33"/>
  <c r="CJ27" i="33"/>
  <c r="CX16" i="33"/>
  <c r="DM19" i="33"/>
  <c r="CO28" i="33"/>
  <c r="CL13" i="33"/>
  <c r="CU9" i="33"/>
  <c r="DN14" i="33"/>
  <c r="CM27" i="33"/>
  <c r="DO32" i="33"/>
  <c r="DQ13" i="33"/>
  <c r="CY29" i="33"/>
  <c r="CS25" i="33"/>
  <c r="EA23" i="33"/>
  <c r="DG22" i="33"/>
  <c r="CQ5" i="33"/>
  <c r="DD23" i="33"/>
  <c r="DB5" i="33"/>
  <c r="DS22" i="33"/>
  <c r="DN19" i="33"/>
  <c r="CD5" i="33"/>
  <c r="CZ27" i="33"/>
  <c r="DI27" i="33"/>
  <c r="DW9" i="33"/>
  <c r="CW5" i="33"/>
  <c r="CL4" i="33"/>
  <c r="DM26" i="33"/>
  <c r="DB25" i="33"/>
  <c r="DN31" i="33"/>
  <c r="CV6" i="33"/>
  <c r="EA32" i="33"/>
  <c r="DR24" i="33"/>
  <c r="CI22" i="33"/>
  <c r="DG33" i="33"/>
  <c r="CN14" i="33"/>
  <c r="DK15" i="33"/>
  <c r="DB10" i="33"/>
  <c r="DG18" i="33"/>
  <c r="DE10" i="33"/>
  <c r="DS23" i="33"/>
  <c r="CQ15" i="33"/>
  <c r="EC22" i="33"/>
  <c r="DL12" i="33"/>
  <c r="DT9" i="33"/>
  <c r="CN8" i="33"/>
  <c r="DM7" i="33"/>
  <c r="DM28" i="33"/>
  <c r="CD6" i="33"/>
  <c r="DB19" i="33"/>
  <c r="DF11" i="33"/>
  <c r="DC33" i="33"/>
  <c r="CJ24" i="33"/>
  <c r="EA6" i="33"/>
  <c r="DP15" i="33"/>
  <c r="CO14" i="33"/>
  <c r="DU11" i="33"/>
  <c r="CY12" i="33"/>
  <c r="DV30" i="33"/>
  <c r="DF28" i="33"/>
  <c r="CV22" i="33"/>
  <c r="DE26" i="33"/>
  <c r="DN29" i="33"/>
  <c r="CL28" i="33"/>
  <c r="EB33" i="33"/>
  <c r="DT21" i="33"/>
  <c r="CL27" i="33"/>
  <c r="DV8" i="33"/>
  <c r="DP5" i="33"/>
  <c r="CT9" i="33"/>
  <c r="CT16" i="33"/>
  <c r="DU26" i="33"/>
  <c r="DC8" i="33"/>
  <c r="CD33" i="33"/>
  <c r="DD30" i="33"/>
  <c r="CQ10" i="33"/>
  <c r="DG27" i="33"/>
  <c r="DY19" i="33"/>
  <c r="DE20" i="33"/>
  <c r="CM19" i="33"/>
  <c r="CP12" i="33"/>
  <c r="CO5" i="33"/>
  <c r="EB16" i="33"/>
  <c r="DG25" i="33"/>
  <c r="CZ15" i="33"/>
  <c r="DK10" i="33"/>
  <c r="CR30" i="33"/>
  <c r="CW8" i="33"/>
  <c r="DQ19" i="33"/>
  <c r="DP27" i="33"/>
  <c r="CJ14" i="33"/>
  <c r="CY6" i="33"/>
  <c r="CW28" i="33"/>
  <c r="CY23" i="33"/>
  <c r="CO23" i="33"/>
  <c r="DE18" i="33"/>
  <c r="CW10" i="33"/>
  <c r="CW18" i="33"/>
  <c r="CM28" i="33"/>
  <c r="CP29" i="33"/>
  <c r="DW30" i="33"/>
  <c r="CT14" i="33"/>
  <c r="DY12" i="33"/>
  <c r="DA7" i="33"/>
  <c r="DS20" i="33"/>
  <c r="EA10" i="33"/>
  <c r="CD26" i="33"/>
  <c r="DL7" i="33"/>
  <c r="CQ9" i="33"/>
  <c r="DP8" i="33"/>
  <c r="CN24" i="33"/>
  <c r="CP4" i="33"/>
  <c r="CN31" i="33"/>
  <c r="EC15" i="33"/>
  <c r="DK4" i="33"/>
  <c r="CF15" i="33"/>
  <c r="CN5" i="33"/>
  <c r="EC7" i="33"/>
  <c r="DN12" i="33"/>
  <c r="DS18" i="33"/>
  <c r="CT23" i="33"/>
  <c r="DU10" i="33"/>
  <c r="DS21" i="33"/>
  <c r="DP10" i="33"/>
  <c r="CQ30" i="33"/>
  <c r="B19" i="33"/>
  <c r="EB9" i="33"/>
  <c r="DC4" i="33"/>
  <c r="CO21" i="33"/>
  <c r="DR20" i="33"/>
  <c r="DY8" i="33"/>
  <c r="CY13" i="33"/>
  <c r="DX20" i="33"/>
  <c r="DJ29" i="33"/>
  <c r="DV25" i="33"/>
  <c r="CR4" i="33"/>
  <c r="DC11" i="33"/>
  <c r="CW19" i="33"/>
  <c r="CD22" i="33"/>
  <c r="CI28" i="33"/>
  <c r="EA29" i="33"/>
  <c r="CU24" i="33"/>
  <c r="DM20" i="33"/>
  <c r="CL26" i="33"/>
  <c r="DV10" i="33"/>
  <c r="DT22" i="33"/>
  <c r="DW17" i="33"/>
  <c r="EB26" i="33"/>
  <c r="DD19" i="33"/>
  <c r="CW14" i="33"/>
  <c r="DU14" i="33"/>
  <c r="ED6" i="33"/>
  <c r="DS9" i="33"/>
  <c r="CV17" i="33"/>
  <c r="CQ7" i="33"/>
  <c r="DH14" i="33"/>
  <c r="DI22" i="33"/>
  <c r="DW7" i="33"/>
  <c r="DT31" i="33"/>
  <c r="DU27" i="33"/>
  <c r="DO8" i="33"/>
  <c r="CH32" i="33"/>
  <c r="CX10" i="33"/>
  <c r="CH30" i="33"/>
  <c r="DN17" i="33"/>
  <c r="CM6" i="33"/>
  <c r="CK7" i="33"/>
  <c r="DT30" i="33"/>
  <c r="DL28" i="33"/>
  <c r="CO8" i="33"/>
  <c r="CO7" i="33"/>
  <c r="CU31" i="33"/>
  <c r="CW13" i="33"/>
  <c r="EB14" i="33"/>
  <c r="DK31" i="33"/>
  <c r="DX27" i="33"/>
  <c r="DL14" i="33"/>
  <c r="EC5" i="33"/>
  <c r="CT28" i="33"/>
  <c r="DX13" i="33"/>
  <c r="DT20" i="33"/>
  <c r="DA9" i="33"/>
  <c r="CX17" i="33"/>
  <c r="CJ16" i="33"/>
  <c r="CG22" i="33"/>
  <c r="DM6" i="33"/>
  <c r="CS26" i="33"/>
  <c r="DB15" i="33"/>
  <c r="CE11" i="33"/>
  <c r="CF18" i="33"/>
  <c r="DS29" i="33"/>
  <c r="EA31" i="33"/>
  <c r="DP12" i="33"/>
  <c r="CE5" i="33"/>
  <c r="EC31" i="33"/>
  <c r="CX8" i="33"/>
  <c r="DI33" i="33"/>
  <c r="CQ12" i="33"/>
  <c r="DJ24" i="33"/>
  <c r="CE32" i="33"/>
  <c r="DM14" i="33"/>
  <c r="CQ24" i="33"/>
  <c r="CF33" i="33"/>
  <c r="CK26" i="33"/>
  <c r="DV27" i="33"/>
  <c r="CK32" i="33"/>
  <c r="CO19" i="33"/>
  <c r="DV22" i="33"/>
  <c r="EC28" i="33"/>
  <c r="DD28" i="33"/>
  <c r="DS31" i="33"/>
  <c r="DQ23" i="33"/>
  <c r="CG18" i="33"/>
  <c r="DX22" i="33"/>
  <c r="CZ28" i="33"/>
  <c r="DF23" i="33"/>
  <c r="DW6" i="33"/>
  <c r="DR17" i="33"/>
  <c r="DL30" i="33"/>
  <c r="CE4" i="33"/>
  <c r="CO25" i="33"/>
  <c r="DV26" i="33"/>
  <c r="DG31" i="33"/>
  <c r="CR27" i="33"/>
  <c r="CM29" i="33"/>
  <c r="DT15" i="33"/>
  <c r="DD25" i="33"/>
  <c r="CM13" i="33"/>
  <c r="CD30" i="33"/>
  <c r="DC9" i="33"/>
  <c r="DK13" i="33"/>
  <c r="CE31" i="33"/>
  <c r="CN17" i="33"/>
  <c r="CE7" i="33"/>
  <c r="CQ17" i="33"/>
  <c r="DH10" i="33"/>
  <c r="CN27" i="33"/>
  <c r="CJ9" i="33"/>
  <c r="CR26" i="33"/>
  <c r="CY7" i="33"/>
  <c r="CY19" i="33"/>
  <c r="DK8" i="33"/>
  <c r="CN9" i="33"/>
  <c r="CJ5" i="33"/>
  <c r="DB32" i="33"/>
  <c r="DT12" i="33"/>
  <c r="CH24" i="33"/>
  <c r="DT29" i="33"/>
  <c r="CT20" i="33"/>
  <c r="DH32" i="33"/>
  <c r="CD12" i="33"/>
  <c r="DP26" i="33"/>
  <c r="CL25" i="33"/>
  <c r="CZ13" i="33"/>
  <c r="CZ14" i="33"/>
  <c r="CN7" i="33"/>
  <c r="DX16" i="33"/>
  <c r="DI10" i="33"/>
  <c r="DR21" i="33"/>
  <c r="DT5" i="33"/>
  <c r="CS22" i="33"/>
  <c r="CM25" i="33"/>
  <c r="DR28" i="33"/>
  <c r="DA13" i="33"/>
  <c r="CH21" i="33"/>
  <c r="CW31" i="33"/>
  <c r="CX31" i="33"/>
  <c r="CS23" i="33"/>
  <c r="CY27" i="33"/>
  <c r="CO6" i="33"/>
  <c r="CJ7" i="33"/>
  <c r="EC10" i="33"/>
  <c r="DL25" i="33"/>
  <c r="CR12" i="33"/>
  <c r="CU11" i="33"/>
  <c r="DT11" i="33"/>
  <c r="CY21" i="33"/>
  <c r="CQ29" i="33"/>
  <c r="DY4" i="33"/>
  <c r="ED12" i="33"/>
  <c r="CE25" i="33"/>
  <c r="DS14" i="33"/>
  <c r="CW15" i="33"/>
  <c r="DL33" i="33"/>
  <c r="EB11" i="33"/>
  <c r="DV4" i="33"/>
  <c r="DH24" i="33"/>
  <c r="CY20" i="33"/>
  <c r="CF24" i="33"/>
  <c r="CR28" i="33"/>
  <c r="CP22" i="33"/>
  <c r="DP13" i="33"/>
  <c r="CS27" i="33"/>
  <c r="CT7" i="33"/>
  <c r="CO22" i="33"/>
  <c r="DD7" i="33"/>
  <c r="DX9" i="33"/>
  <c r="DA8" i="33"/>
  <c r="DJ6" i="33"/>
  <c r="CP31" i="33"/>
  <c r="ED8" i="33"/>
  <c r="CJ20" i="33"/>
  <c r="CR21" i="33"/>
  <c r="DX31" i="33"/>
  <c r="DB31" i="33"/>
  <c r="DI4" i="33"/>
  <c r="DE21" i="33"/>
  <c r="DL5" i="33"/>
  <c r="DQ26" i="33"/>
  <c r="CG30" i="33"/>
  <c r="CG17" i="33"/>
  <c r="DB30" i="33"/>
  <c r="DO5" i="33"/>
  <c r="DN6" i="33"/>
  <c r="DA17" i="33"/>
  <c r="CP10" i="33"/>
  <c r="EA25" i="33"/>
  <c r="DE6" i="33"/>
  <c r="DF21" i="33"/>
  <c r="DH29" i="33"/>
  <c r="DY5" i="33"/>
  <c r="CG23" i="33"/>
  <c r="CH11" i="33"/>
  <c r="CX22" i="33"/>
  <c r="CX5" i="33"/>
  <c r="CK8" i="33"/>
  <c r="CZ4" i="33"/>
  <c r="CG25" i="33"/>
  <c r="DD13" i="33"/>
  <c r="DY6" i="33"/>
  <c r="EC27" i="33"/>
  <c r="DK27" i="33"/>
  <c r="EC18" i="33"/>
  <c r="DI25" i="33"/>
  <c r="CL12" i="33"/>
  <c r="DB27" i="33"/>
  <c r="DN9" i="33"/>
  <c r="CM20" i="33"/>
  <c r="DL32" i="33"/>
  <c r="DT17" i="33"/>
  <c r="CD29" i="33"/>
  <c r="DC7" i="33"/>
  <c r="B22" i="33"/>
  <c r="CS29" i="33"/>
  <c r="CL24" i="33"/>
  <c r="CK33" i="33"/>
  <c r="DR18" i="33"/>
  <c r="CV13" i="33"/>
  <c r="CN29" i="33"/>
  <c r="DO30" i="33"/>
  <c r="DH33" i="33"/>
  <c r="CI5" i="33"/>
  <c r="DI31" i="33"/>
  <c r="DW25" i="33"/>
  <c r="CE21" i="33"/>
  <c r="DA18" i="33"/>
  <c r="DG14" i="33"/>
  <c r="CS8" i="33"/>
  <c r="DO24" i="33"/>
  <c r="CN30" i="33"/>
  <c r="CP19" i="33"/>
  <c r="DQ28" i="33"/>
  <c r="CR17" i="33"/>
  <c r="DE8" i="33"/>
  <c r="CP32" i="33"/>
  <c r="DB11" i="33"/>
  <c r="DK19" i="33"/>
  <c r="DI14" i="33"/>
  <c r="EB7" i="33"/>
  <c r="DK24" i="33"/>
  <c r="ED15" i="33"/>
  <c r="CO12" i="33"/>
  <c r="CF30" i="33"/>
  <c r="CW22" i="33"/>
  <c r="DA29" i="33"/>
  <c r="CD20" i="33"/>
  <c r="CM23" i="33"/>
  <c r="DA23" i="33"/>
  <c r="CL31" i="33"/>
  <c r="CH28" i="33"/>
  <c r="EB24" i="33"/>
  <c r="CJ28" i="33"/>
  <c r="DQ6" i="33"/>
  <c r="DF19" i="33"/>
  <c r="DK20" i="33"/>
  <c r="DM31" i="33"/>
  <c r="CK9" i="33"/>
  <c r="DX25" i="33"/>
  <c r="DN11" i="33"/>
  <c r="DF29" i="33"/>
  <c r="DK18" i="33"/>
  <c r="DT26" i="33"/>
  <c r="CD28" i="33"/>
  <c r="CJ6" i="33"/>
  <c r="DD29" i="33"/>
  <c r="DT4" i="33"/>
  <c r="CO30" i="33"/>
  <c r="CL33" i="33"/>
  <c r="DN24" i="33"/>
  <c r="DK21" i="33"/>
  <c r="DN13" i="33"/>
  <c r="DE32" i="33"/>
  <c r="DL21" i="33"/>
  <c r="CW26" i="33"/>
  <c r="DA27" i="33"/>
  <c r="CE20" i="33"/>
  <c r="ED33" i="33"/>
  <c r="EB30" i="33"/>
  <c r="CL7" i="33"/>
  <c r="DQ12" i="33"/>
  <c r="CX9" i="33"/>
  <c r="CZ18" i="33"/>
  <c r="DO25" i="33"/>
  <c r="DL31" i="33"/>
  <c r="CM12" i="33"/>
  <c r="DT10" i="33"/>
  <c r="DU13" i="33"/>
  <c r="CD27" i="33"/>
  <c r="CS20" i="33"/>
  <c r="CQ6" i="33"/>
  <c r="CI27" i="33"/>
  <c r="DJ19" i="33"/>
  <c r="DE17" i="33"/>
  <c r="DA33" i="33"/>
  <c r="DC29" i="33"/>
  <c r="DR26" i="33"/>
  <c r="DF25" i="33"/>
  <c r="ED25" i="33"/>
  <c r="DA30" i="33"/>
  <c r="DJ20" i="33"/>
  <c r="DJ21" i="33"/>
  <c r="DL11" i="33"/>
  <c r="DY22" i="33"/>
  <c r="CN23" i="33"/>
  <c r="DE23" i="33"/>
  <c r="CO9" i="33"/>
  <c r="EC23" i="33"/>
  <c r="EC16" i="33"/>
  <c r="DK22" i="33"/>
  <c r="DA19" i="33"/>
  <c r="DE15" i="33"/>
  <c r="CV5" i="33"/>
  <c r="DR9" i="33"/>
  <c r="CG21" i="33"/>
  <c r="CD25" i="33"/>
  <c r="DX19" i="33"/>
  <c r="DY30" i="33"/>
  <c r="CI12" i="33"/>
  <c r="DE27" i="33"/>
  <c r="EB23" i="33"/>
  <c r="DM33" i="33"/>
  <c r="EA21" i="33"/>
  <c r="DO28" i="33"/>
  <c r="CF22" i="33"/>
  <c r="CK13" i="33"/>
  <c r="DY14" i="33"/>
  <c r="DU32" i="33"/>
  <c r="DI17" i="33"/>
  <c r="DU12" i="33"/>
  <c r="DU15" i="33"/>
  <c r="DH30" i="33"/>
  <c r="DP30" i="33"/>
  <c r="DF27" i="33"/>
  <c r="DF9" i="33"/>
  <c r="CM21" i="33"/>
  <c r="CH10" i="33"/>
  <c r="CP27" i="33"/>
  <c r="DV31" i="33"/>
  <c r="DV12" i="33"/>
  <c r="CR14" i="33"/>
  <c r="DV19" i="33"/>
  <c r="DQ21" i="33"/>
  <c r="CY14" i="33"/>
  <c r="DJ17" i="33"/>
  <c r="CW9" i="33"/>
  <c r="CW20" i="33"/>
  <c r="DX15" i="33"/>
  <c r="CL19" i="33"/>
  <c r="DA20" i="33"/>
  <c r="DN21" i="33"/>
  <c r="CU20" i="33"/>
  <c r="CM26" i="33"/>
  <c r="DQ18" i="33"/>
  <c r="DK17" i="33"/>
  <c r="DO29" i="33"/>
  <c r="DA24" i="33"/>
  <c r="DE30" i="33"/>
  <c r="CQ11" i="33"/>
  <c r="DH27" i="33"/>
  <c r="CD14" i="33"/>
  <c r="DQ16" i="33"/>
  <c r="DX10" i="33"/>
  <c r="DW8" i="33"/>
  <c r="CG5" i="33"/>
  <c r="DD20" i="33"/>
  <c r="CD32" i="33"/>
  <c r="DF17" i="33"/>
  <c r="CL21" i="33"/>
  <c r="CE24" i="33"/>
  <c r="DY26" i="33"/>
  <c r="DC14" i="33"/>
  <c r="DF8" i="33"/>
  <c r="DR12" i="33"/>
  <c r="DT18" i="33"/>
  <c r="DF4" i="33"/>
  <c r="CT26" i="33"/>
  <c r="DS6" i="33"/>
  <c r="EC14" i="33"/>
  <c r="CW12" i="33"/>
  <c r="CN19" i="33"/>
  <c r="CD18" i="33"/>
  <c r="CR18" i="33"/>
  <c r="DJ8" i="33"/>
  <c r="DE12" i="33"/>
  <c r="DK28" i="33"/>
  <c r="DQ8" i="33"/>
  <c r="DR27" i="33"/>
  <c r="B27" i="33"/>
  <c r="CI23" i="33"/>
  <c r="CM9" i="33"/>
  <c r="EB22" i="33"/>
  <c r="CY28" i="33"/>
  <c r="CI17" i="33"/>
  <c r="CN13" i="33"/>
  <c r="CP17" i="33"/>
  <c r="DW23" i="33"/>
  <c r="CP16" i="33"/>
  <c r="DU33" i="33"/>
  <c r="CV28" i="33"/>
  <c r="DS25" i="33"/>
  <c r="CX25" i="33"/>
  <c r="CU7" i="33"/>
  <c r="CH7" i="33"/>
  <c r="DT24" i="33"/>
  <c r="CW23" i="33"/>
  <c r="DR14" i="33"/>
  <c r="CE29" i="33"/>
  <c r="DF24" i="33"/>
  <c r="CJ30" i="33"/>
  <c r="DY11" i="33"/>
  <c r="DI21" i="33"/>
  <c r="DB28" i="33"/>
  <c r="CV18" i="33"/>
  <c r="EA13" i="33"/>
  <c r="CF14" i="33"/>
  <c r="DJ5" i="33"/>
  <c r="EB32" i="33"/>
  <c r="CS21" i="33"/>
  <c r="CN28" i="33"/>
  <c r="DW16" i="33"/>
  <c r="CW16" i="33"/>
  <c r="DB24" i="33"/>
  <c r="CR19" i="33"/>
  <c r="CY22" i="33"/>
  <c r="DY20" i="33"/>
  <c r="DI6" i="33"/>
  <c r="DH31" i="33"/>
  <c r="CF26" i="33"/>
  <c r="CJ26" i="33"/>
  <c r="CZ32" i="33"/>
  <c r="DE14" i="33"/>
  <c r="DO11" i="33"/>
  <c r="EB13" i="33"/>
  <c r="EC33" i="33"/>
  <c r="DU7" i="33"/>
  <c r="DA25" i="33"/>
  <c r="CP23" i="33"/>
  <c r="CO17" i="33"/>
  <c r="CO4" i="33"/>
  <c r="DL24" i="33"/>
  <c r="DY16" i="33"/>
  <c r="DC32" i="33"/>
  <c r="DO9" i="33"/>
  <c r="CT6" i="33"/>
  <c r="DU30" i="33"/>
  <c r="EA28" i="33"/>
  <c r="CI9" i="33"/>
  <c r="CH23" i="33"/>
  <c r="CM32" i="33"/>
  <c r="EA27" i="33"/>
  <c r="DD5" i="33"/>
  <c r="CX27" i="33"/>
  <c r="EA9" i="33"/>
  <c r="DC28" i="33"/>
  <c r="CR25" i="33"/>
  <c r="CZ17" i="33"/>
  <c r="DN30" i="33"/>
  <c r="DG11" i="33"/>
  <c r="CY16" i="33"/>
  <c r="CQ27" i="33"/>
  <c r="CW21" i="33"/>
  <c r="CG12" i="33"/>
  <c r="CX19" i="33"/>
  <c r="CI18" i="33"/>
  <c r="DN4" i="33"/>
  <c r="ED27" i="33"/>
  <c r="CD8" i="33"/>
  <c r="EA26" i="33"/>
  <c r="CN16" i="33"/>
  <c r="DJ13" i="33"/>
  <c r="CP6" i="33"/>
  <c r="CI29" i="33"/>
  <c r="DU18" i="33"/>
  <c r="DM13" i="33"/>
  <c r="DB22" i="33"/>
  <c r="CV10" i="33"/>
  <c r="CV25" i="33"/>
  <c r="EC19" i="33"/>
  <c r="EB17" i="33"/>
  <c r="DE5" i="33"/>
  <c r="DU17" i="33"/>
  <c r="DD12" i="33"/>
  <c r="CE28" i="33"/>
  <c r="CE17" i="33"/>
  <c r="ED11" i="33"/>
  <c r="CK22" i="33"/>
  <c r="DD18" i="33"/>
  <c r="CT12" i="33"/>
  <c r="CQ33" i="33"/>
  <c r="DJ25" i="33"/>
  <c r="DF7" i="33"/>
  <c r="DG26" i="33"/>
  <c r="DT16" i="33"/>
  <c r="CZ19" i="33"/>
  <c r="DQ24" i="33"/>
  <c r="DF33" i="33"/>
  <c r="DT28" i="33"/>
  <c r="DA22" i="33"/>
  <c r="CV14" i="33"/>
  <c r="DQ29" i="33"/>
  <c r="CW27" i="33"/>
  <c r="DM24" i="33"/>
  <c r="DL18" i="33"/>
  <c r="DY13" i="33"/>
  <c r="DA32" i="33"/>
  <c r="CJ29" i="33"/>
  <c r="DM12" i="33"/>
  <c r="CZ33" i="33"/>
  <c r="CI25" i="33"/>
  <c r="DE11" i="33"/>
  <c r="DG21" i="33"/>
  <c r="DH13" i="33"/>
  <c r="DP29" i="33"/>
  <c r="DT7" i="33"/>
  <c r="DL10" i="33"/>
  <c r="DW19" i="33"/>
  <c r="CF5" i="33"/>
  <c r="DG16" i="33"/>
  <c r="EB21" i="33"/>
  <c r="CS5" i="33"/>
  <c r="DJ18" i="33"/>
  <c r="DU19" i="33"/>
  <c r="DV5" i="33"/>
  <c r="DQ30" i="33"/>
  <c r="DS30" i="33"/>
  <c r="CI7" i="33"/>
  <c r="CS15" i="33"/>
  <c r="CP18" i="33"/>
  <c r="DG12" i="33"/>
  <c r="DI9" i="33"/>
  <c r="CP28" i="33"/>
  <c r="DC26" i="33"/>
  <c r="DP32" i="33"/>
  <c r="DY28" i="33"/>
  <c r="CP24" i="33"/>
  <c r="EB4" i="33"/>
  <c r="DK32" i="33"/>
  <c r="CY31" i="33"/>
  <c r="CG8" i="33"/>
  <c r="CU8" i="33"/>
  <c r="DY27" i="33"/>
  <c r="DW33" i="33"/>
  <c r="DP18" i="33"/>
  <c r="CR6" i="33"/>
  <c r="DV29" i="33"/>
  <c r="DO12" i="33"/>
  <c r="DN18" i="33"/>
  <c r="CV16" i="33"/>
  <c r="DL15" i="33"/>
  <c r="DJ10" i="33"/>
  <c r="DX12" i="33"/>
  <c r="CE9" i="33"/>
  <c r="CE15" i="33"/>
  <c r="DL13" i="33"/>
  <c r="CX33" i="33"/>
  <c r="DL20" i="33"/>
  <c r="DQ31" i="33"/>
  <c r="CI15" i="33"/>
  <c r="DG8" i="33"/>
  <c r="CI33" i="33"/>
  <c r="DI19" i="33"/>
  <c r="DK9" i="33"/>
  <c r="CW11" i="33"/>
  <c r="CG15" i="33"/>
  <c r="CH15" i="33"/>
  <c r="CL15" i="33"/>
  <c r="DM30" i="33"/>
  <c r="DL4" i="33"/>
  <c r="DO6" i="33"/>
  <c r="DQ25" i="33"/>
  <c r="DP9" i="33"/>
  <c r="B26" i="33"/>
  <c r="CL6" i="33"/>
  <c r="CT33" i="33"/>
  <c r="CG14" i="33"/>
  <c r="DM21" i="33"/>
  <c r="CG32" i="33"/>
  <c r="CL10" i="33"/>
  <c r="DY32" i="33"/>
  <c r="CS31" i="33"/>
  <c r="CY24" i="33"/>
  <c r="DF22" i="33"/>
  <c r="CR16" i="33"/>
  <c r="B13" i="33"/>
  <c r="DI29" i="33"/>
  <c r="DD22" i="33"/>
  <c r="DU20" i="33"/>
  <c r="B12" i="33"/>
  <c r="CK6" i="33"/>
  <c r="DY31" i="33"/>
  <c r="DP25" i="33"/>
  <c r="DC15" i="33"/>
  <c r="DF32" i="33"/>
  <c r="ED10" i="33"/>
  <c r="DD11" i="33"/>
  <c r="DE4" i="33"/>
  <c r="CF4" i="33"/>
  <c r="DO20" i="33"/>
  <c r="EA22" i="33"/>
  <c r="CP11" i="33"/>
  <c r="EC29" i="33"/>
  <c r="DU28" i="33"/>
  <c r="DQ27" i="33"/>
  <c r="DW18" i="33"/>
  <c r="CQ26" i="33"/>
  <c r="CT31" i="33"/>
  <c r="EC4" i="33"/>
  <c r="CM16" i="33"/>
  <c r="ED20" i="33"/>
  <c r="DO16" i="33"/>
  <c r="CO32" i="33"/>
  <c r="DU23" i="33"/>
  <c r="CS9" i="33"/>
  <c r="CX11" i="33"/>
  <c r="DA16" i="33"/>
  <c r="ED17" i="33"/>
  <c r="CJ19" i="33"/>
  <c r="CG27" i="33"/>
  <c r="DS15" i="33"/>
  <c r="DV13" i="33"/>
  <c r="CK29" i="33"/>
  <c r="CT10" i="33"/>
  <c r="DN15" i="33"/>
  <c r="DB17" i="33"/>
  <c r="DX21" i="33"/>
  <c r="CG33" i="33"/>
  <c r="CR31" i="33"/>
  <c r="DX26" i="33"/>
  <c r="CS24" i="33"/>
  <c r="DI8" i="33"/>
  <c r="CT30" i="33"/>
  <c r="DS8" i="33"/>
  <c r="DO14" i="33"/>
  <c r="CR8" i="33"/>
  <c r="B24" i="33"/>
  <c r="CF31" i="33"/>
  <c r="B11" i="33"/>
  <c r="CF19" i="33"/>
  <c r="DF6" i="33"/>
  <c r="DM27" i="33"/>
  <c r="DD14" i="33"/>
  <c r="CK23" i="33"/>
  <c r="CY30" i="33"/>
  <c r="DD27" i="33"/>
  <c r="CY18" i="33"/>
  <c r="CY15" i="33"/>
  <c r="DB4" i="33"/>
  <c r="CQ23" i="33"/>
  <c r="DN16" i="33"/>
  <c r="DG24" i="33"/>
  <c r="CZ8" i="33"/>
  <c r="CY11" i="33"/>
  <c r="DF30" i="33"/>
  <c r="CL18" i="33"/>
  <c r="DL26" i="33"/>
  <c r="DI5" i="33"/>
  <c r="DT23" i="33"/>
  <c r="CK31" i="33"/>
  <c r="CR10" i="33"/>
  <c r="DX23" i="33"/>
  <c r="DR4" i="33"/>
  <c r="CJ17" i="33"/>
  <c r="CF21" i="33"/>
  <c r="DG5" i="33"/>
  <c r="DO26" i="33"/>
  <c r="CS11" i="33"/>
  <c r="DL29" i="33"/>
  <c r="DX24" i="33"/>
  <c r="DM5" i="33"/>
  <c r="DV20" i="33"/>
  <c r="DR22" i="33"/>
  <c r="DV24" i="33"/>
  <c r="DU8" i="33"/>
  <c r="DH17" i="33"/>
  <c r="ED32" i="33"/>
  <c r="CX14" i="33"/>
  <c r="DV16" i="33"/>
  <c r="ED31" i="33"/>
  <c r="DD15" i="33"/>
  <c r="DC13" i="33"/>
  <c r="DR15" i="33"/>
  <c r="CD15" i="33"/>
  <c r="DS16" i="33"/>
  <c r="CI10" i="33"/>
  <c r="CQ4" i="33"/>
  <c r="DW21" i="33"/>
  <c r="CZ6" i="33"/>
  <c r="CE33" i="33"/>
  <c r="CP26" i="33"/>
  <c r="CF16" i="33"/>
  <c r="CY10" i="33"/>
  <c r="CM18" i="33"/>
  <c r="DW29" i="33"/>
  <c r="DK7" i="33"/>
  <c r="DM17" i="33"/>
  <c r="DJ4" i="33"/>
  <c r="CT24" i="33"/>
  <c r="DX4" i="33"/>
  <c r="DS24" i="33"/>
  <c r="DI24" i="33"/>
  <c r="CX24" i="33"/>
  <c r="ED21" i="33"/>
  <c r="DN8" i="33"/>
  <c r="EA4" i="33"/>
  <c r="CN12" i="33"/>
  <c r="DP20" i="33"/>
  <c r="CD24" i="33"/>
  <c r="CL8" i="33"/>
  <c r="DX18" i="33"/>
  <c r="DC21" i="33"/>
  <c r="CM10" i="33"/>
  <c r="DJ14" i="33"/>
  <c r="CS33" i="33"/>
  <c r="CZ31" i="33"/>
  <c r="CH22" i="33"/>
  <c r="CJ8" i="33"/>
  <c r="CV23" i="33"/>
  <c r="CF8" i="33"/>
  <c r="DQ32" i="33"/>
  <c r="DN33" i="33"/>
  <c r="EA19" i="33"/>
  <c r="CY25" i="33"/>
  <c r="EA7" i="33"/>
  <c r="EB25" i="33"/>
  <c r="DS19" i="33"/>
  <c r="CG16" i="33"/>
  <c r="DN7" i="33"/>
  <c r="CL22" i="33"/>
  <c r="DC5" i="33"/>
  <c r="CG24" i="33"/>
  <c r="CQ28" i="33"/>
  <c r="DX28" i="33"/>
  <c r="CG11" i="33"/>
  <c r="CQ19" i="33"/>
  <c r="B23" i="33"/>
  <c r="DH18" i="33"/>
  <c r="DP21" i="33"/>
  <c r="CM31" i="33"/>
  <c r="CX26" i="33"/>
  <c r="CL14" i="33"/>
  <c r="CU14" i="33"/>
  <c r="CM17" i="33"/>
  <c r="CQ14" i="33"/>
  <c r="CH16" i="33"/>
  <c r="DF10" i="33"/>
  <c r="DV21" i="33"/>
  <c r="DP31" i="33"/>
  <c r="CV4" i="33"/>
  <c r="DG10" i="33"/>
  <c r="CE18" i="33"/>
  <c r="CT18" i="33"/>
  <c r="CM8" i="33"/>
  <c r="EA12" i="33"/>
  <c r="CL23" i="33"/>
  <c r="DF5" i="33"/>
  <c r="CG28" i="33"/>
  <c r="DA12" i="33"/>
  <c r="CT32" i="33"/>
  <c r="DY17" i="33"/>
  <c r="CT27" i="33"/>
  <c r="CM30" i="33"/>
  <c r="CO13" i="33"/>
  <c r="DL19" i="33"/>
  <c r="CN18" i="33"/>
  <c r="DH4" i="33"/>
  <c r="DN32" i="33"/>
  <c r="CK16" i="33"/>
  <c r="CN20" i="33"/>
  <c r="B10" i="33"/>
  <c r="DB12" i="33"/>
  <c r="DK23" i="33"/>
  <c r="DM15" i="33"/>
  <c r="CT13" i="33"/>
  <c r="EC20" i="33"/>
  <c r="DL6" i="33"/>
  <c r="DQ14" i="33"/>
  <c r="DO33" i="33"/>
  <c r="B20" i="33"/>
  <c r="DB20" i="33"/>
  <c r="DL17" i="33"/>
  <c r="DQ4" i="33"/>
  <c r="CJ33" i="33"/>
  <c r="DW22" i="33"/>
  <c r="CY9" i="33"/>
  <c r="DC24" i="33"/>
  <c r="CE30" i="33"/>
  <c r="CI31" i="33"/>
  <c r="EC24" i="33"/>
  <c r="DK29" i="33"/>
  <c r="DP19" i="33"/>
  <c r="DB26" i="33"/>
  <c r="DR19" i="33"/>
  <c r="CJ22" i="33"/>
  <c r="CF28" i="33"/>
  <c r="B32" i="33"/>
  <c r="DV33" i="33"/>
  <c r="CF10" i="33"/>
  <c r="DP22" i="33"/>
  <c r="DI26" i="33"/>
  <c r="EB6" i="33"/>
  <c r="ED19" i="33"/>
  <c r="ED28" i="33"/>
  <c r="CU15" i="33"/>
  <c r="DD10" i="33"/>
  <c r="CT4" i="33"/>
  <c r="DM16" i="33"/>
  <c r="CR22" i="33"/>
  <c r="CG13" i="33"/>
  <c r="CG20" i="33"/>
  <c r="DL22" i="33"/>
  <c r="CV8" i="33"/>
  <c r="CE19" i="33"/>
  <c r="CK24" i="33"/>
  <c r="CU21" i="33"/>
  <c r="DU9" i="33"/>
  <c r="CE13" i="33"/>
  <c r="EC6" i="33"/>
  <c r="CI4" i="33"/>
  <c r="ED5" i="33"/>
  <c r="CQ16" i="33"/>
  <c r="CX6" i="33"/>
  <c r="DV7" i="33"/>
  <c r="DE7" i="33"/>
  <c r="EC32" i="33"/>
  <c r="B30" i="33"/>
  <c r="CJ15" i="33"/>
  <c r="CZ7" i="33"/>
  <c r="CP15" i="33"/>
  <c r="B21" i="33"/>
  <c r="DB7" i="33"/>
  <c r="DQ5" i="33"/>
  <c r="CI14" i="33"/>
  <c r="DA6" i="33"/>
  <c r="DY23" i="33"/>
  <c r="DJ23" i="33"/>
  <c r="DG23" i="33"/>
  <c r="CU19" i="33"/>
  <c r="DY25" i="33"/>
  <c r="DM32" i="33"/>
  <c r="DO18" i="33"/>
  <c r="CK14" i="33"/>
  <c r="CE22" i="33"/>
  <c r="DM18" i="33"/>
  <c r="CO18" i="33"/>
  <c r="CV31" i="33"/>
  <c r="CX23" i="33"/>
  <c r="DU5" i="33"/>
  <c r="DS4" i="33"/>
  <c r="DJ31" i="33"/>
  <c r="DH22" i="33"/>
  <c r="CK27" i="33"/>
  <c r="DS26" i="33"/>
  <c r="CW32" i="33"/>
  <c r="B18" i="33"/>
  <c r="CO16" i="33"/>
  <c r="CZ23" i="33"/>
  <c r="ED4" i="33"/>
  <c r="DA21" i="33"/>
  <c r="CV27" i="33"/>
  <c r="DN23" i="33"/>
  <c r="CV11" i="33"/>
  <c r="CS16" i="33"/>
  <c r="DO4" i="33"/>
  <c r="DD9" i="33"/>
  <c r="CE12" i="33"/>
  <c r="CF25" i="33"/>
  <c r="DY15" i="33"/>
  <c r="B29" i="33"/>
  <c r="CM11" i="33"/>
  <c r="DS27" i="33"/>
  <c r="DK26" i="33"/>
  <c r="DP14" i="33"/>
  <c r="DM25" i="33"/>
  <c r="DW5" i="33"/>
  <c r="CI8" i="33"/>
  <c r="DB14" i="33"/>
  <c r="DO19" i="33"/>
  <c r="CD7" i="33"/>
  <c r="DC6" i="33"/>
  <c r="B14" i="33"/>
  <c r="DR16" i="33"/>
  <c r="EC8" i="33"/>
  <c r="CR24" i="33"/>
  <c r="EA33" i="33"/>
  <c r="DN28" i="33"/>
  <c r="CH6" i="33"/>
  <c r="DP6" i="33"/>
  <c r="CJ12" i="33"/>
  <c r="CH12" i="33"/>
  <c r="DV28" i="33"/>
  <c r="DH25" i="33"/>
  <c r="DE16" i="33"/>
  <c r="EA18" i="33"/>
  <c r="DK14" i="33"/>
  <c r="DW15" i="33"/>
  <c r="CI16" i="33"/>
  <c r="CY33" i="33"/>
  <c r="CE23" i="33"/>
  <c r="CE26" i="33"/>
  <c r="CI6" i="33"/>
  <c r="DI20" i="33"/>
  <c r="DJ12" i="33"/>
  <c r="CJ10" i="33"/>
  <c r="DV14" i="33"/>
  <c r="DF14" i="33"/>
  <c r="CT21" i="33"/>
  <c r="DK6" i="33"/>
  <c r="CZ22" i="33"/>
  <c r="CH5" i="33"/>
  <c r="CJ11" i="33"/>
  <c r="DC12" i="33"/>
  <c r="EA5" i="33"/>
  <c r="DT27" i="33"/>
  <c r="DO23" i="33"/>
  <c r="DM23" i="33"/>
  <c r="DC18" i="33"/>
  <c r="EA14" i="33"/>
  <c r="B8" i="33"/>
  <c r="CU32" i="33"/>
  <c r="DA5" i="33"/>
  <c r="CO31" i="33"/>
  <c r="DY33" i="33"/>
  <c r="DG6" i="33"/>
  <c r="EA11" i="33"/>
  <c r="CG7" i="33"/>
  <c r="DG7" i="33"/>
  <c r="CP5" i="33"/>
  <c r="CQ32" i="33"/>
  <c r="DC25" i="33"/>
  <c r="EA24" i="33"/>
  <c r="DY18" i="33"/>
  <c r="CH31" i="33"/>
  <c r="CK10" i="33"/>
  <c r="CX32" i="33"/>
  <c r="DX7" i="33"/>
  <c r="DD4" i="33"/>
  <c r="B25" i="33"/>
  <c r="CH27" i="33"/>
  <c r="DR8" i="33"/>
  <c r="CV30" i="33"/>
  <c r="DL23" i="33"/>
  <c r="DI15" i="33"/>
  <c r="B4" i="33"/>
  <c r="CO33" i="33"/>
  <c r="CP20" i="33"/>
  <c r="DB33" i="33"/>
  <c r="DJ32" i="33"/>
  <c r="DM22" i="33"/>
  <c r="CH18" i="33"/>
  <c r="DD16" i="33"/>
  <c r="EA20" i="33"/>
  <c r="EB10" i="33"/>
  <c r="EC11" i="33"/>
  <c r="CX21" i="33"/>
  <c r="DO31" i="33"/>
  <c r="CK20" i="33"/>
  <c r="DR23" i="33"/>
  <c r="DB18" i="33"/>
  <c r="CR15" i="33"/>
  <c r="DE28" i="33"/>
  <c r="DR11" i="33"/>
  <c r="CT22" i="33"/>
  <c r="EA15" i="33"/>
  <c r="DS28" i="33"/>
  <c r="DH6" i="33"/>
  <c r="CJ31" i="33"/>
  <c r="CY32" i="33"/>
  <c r="DV18" i="33"/>
  <c r="CI32" i="33"/>
  <c r="CE10" i="33"/>
  <c r="DY9" i="33"/>
  <c r="DF16" i="33"/>
  <c r="CP30" i="33"/>
  <c r="DT32" i="33"/>
  <c r="CU12" i="33"/>
  <c r="CO26" i="33"/>
  <c r="CV29" i="33"/>
  <c r="CK11" i="33"/>
  <c r="CF7" i="33"/>
  <c r="CP7" i="33"/>
  <c r="DX5" i="33"/>
  <c r="CR33" i="33"/>
  <c r="DH16" i="33"/>
  <c r="ED26" i="33"/>
  <c r="EC21" i="33"/>
  <c r="DE22" i="33"/>
  <c r="CV7" i="33"/>
  <c r="DG32" i="33"/>
  <c r="EA16" i="33"/>
  <c r="CO27" i="33"/>
  <c r="CI19" i="33"/>
  <c r="CX30" i="33"/>
  <c r="CW4" i="33"/>
  <c r="DP4" i="33"/>
  <c r="CV20" i="33"/>
  <c r="CI20" i="33"/>
  <c r="DV17" i="33"/>
  <c r="DU31" i="33"/>
  <c r="CH20" i="33"/>
  <c r="DA11" i="33"/>
  <c r="DN10" i="33"/>
  <c r="CS4" i="33"/>
  <c r="DO13" i="33"/>
  <c r="CX12" i="33"/>
  <c r="CZ11" i="33"/>
  <c r="DM4" i="33"/>
  <c r="CP21" i="33"/>
  <c r="CK28" i="33"/>
  <c r="DD31" i="33"/>
  <c r="EB12" i="33"/>
  <c r="DF18" i="33"/>
  <c r="DJ26" i="33"/>
  <c r="B16" i="33"/>
  <c r="CP25" i="33"/>
  <c r="CI11" i="33"/>
  <c r="DE29" i="33"/>
  <c r="DU24" i="33"/>
  <c r="CN10" i="33"/>
  <c r="CU4" i="33"/>
  <c r="DH15" i="33"/>
  <c r="DU22" i="33"/>
  <c r="CI21" i="33"/>
  <c r="DJ27" i="33"/>
  <c r="DN25" i="33"/>
  <c r="DP7" i="33"/>
  <c r="CD11" i="33"/>
  <c r="CL29" i="33"/>
  <c r="DK5" i="33"/>
  <c r="DL9" i="33"/>
  <c r="DB8" i="33"/>
  <c r="EB28" i="33"/>
  <c r="DP33" i="33"/>
  <c r="CK17" i="33"/>
  <c r="CY8" i="33"/>
  <c r="CD16" i="33"/>
  <c r="CT15" i="33"/>
  <c r="CW24" i="33"/>
  <c r="DI12" i="33"/>
  <c r="DH19" i="33"/>
  <c r="CU28" i="33"/>
  <c r="CR29" i="33"/>
  <c r="CG10" i="33"/>
  <c r="CH17" i="33"/>
  <c r="CD9" i="33"/>
  <c r="DV9" i="33"/>
  <c r="DA28" i="33"/>
  <c r="CI24" i="33"/>
  <c r="DI11" i="33"/>
  <c r="ED18" i="33"/>
  <c r="DP17" i="33"/>
  <c r="DI23" i="33"/>
  <c r="CN21" i="33"/>
  <c r="DA15" i="33"/>
  <c r="CX7" i="33"/>
  <c r="ED13" i="33"/>
  <c r="DK25" i="33"/>
  <c r="B15" i="33"/>
  <c r="CX28" i="33"/>
  <c r="CQ13" i="33"/>
  <c r="DX33" i="33"/>
  <c r="DC16" i="33"/>
  <c r="CX4" i="33"/>
  <c r="CG9" i="33"/>
  <c r="DI13" i="33"/>
  <c r="CX15" i="33"/>
  <c r="CM5" i="33"/>
  <c r="CW29" i="33"/>
  <c r="DJ9" i="33"/>
  <c r="DC22" i="33"/>
  <c r="CD17" i="33"/>
  <c r="CD31" i="33"/>
  <c r="CK12" i="33"/>
  <c r="CK21" i="33"/>
  <c r="CQ22" i="33"/>
  <c r="CN6" i="33"/>
  <c r="DL16" i="33"/>
  <c r="CY5" i="33"/>
  <c r="DG19" i="33"/>
  <c r="DQ7" i="33"/>
  <c r="DC19" i="33"/>
  <c r="DD33" i="33"/>
  <c r="EC13" i="33"/>
  <c r="DC30" i="33"/>
  <c r="CS30" i="33"/>
  <c r="CI30" i="33"/>
  <c r="CY26" i="33"/>
  <c r="DB6" i="33"/>
  <c r="CF11" i="33"/>
  <c r="CF13" i="33"/>
  <c r="CF27" i="33"/>
  <c r="CM22" i="33"/>
  <c r="DH9" i="33"/>
  <c r="DR33" i="33"/>
  <c r="CO15" i="33"/>
  <c r="DQ17" i="33"/>
  <c r="CL20" i="33"/>
  <c r="DN5" i="33"/>
  <c r="DH21" i="33"/>
  <c r="CK19" i="33"/>
  <c r="CZ25" i="33"/>
  <c r="EB29" i="33"/>
  <c r="DO27" i="33"/>
  <c r="CV12" i="33"/>
  <c r="DO10" i="33"/>
  <c r="CV19" i="33"/>
  <c r="DT25" i="33"/>
  <c r="DI7" i="33"/>
  <c r="CZ10" i="33"/>
  <c r="CN26" i="33"/>
  <c r="DA14" i="33"/>
  <c r="CL5" i="33"/>
  <c r="CH26" i="33"/>
  <c r="CW7" i="33"/>
  <c r="CU25" i="33"/>
  <c r="EB31" i="33"/>
  <c r="CU23" i="33"/>
  <c r="EC26" i="33"/>
  <c r="EA17" i="33"/>
  <c r="CR20" i="33"/>
  <c r="CH29" i="33"/>
  <c r="CE16" i="33"/>
  <c r="CI13" i="33"/>
  <c r="DQ22" i="33"/>
  <c r="CV33" i="33"/>
  <c r="DD8" i="33"/>
  <c r="DP23" i="33"/>
  <c r="DU21" i="33"/>
  <c r="DX17" i="33"/>
  <c r="ED24" i="33"/>
  <c r="DP28" i="33"/>
  <c r="DX30" i="33"/>
  <c r="CS32" i="33"/>
  <c r="DH8" i="33"/>
  <c r="CK18" i="33"/>
  <c r="DB16" i="33"/>
  <c r="DL8" i="33"/>
  <c r="CL17" i="33"/>
  <c r="DR32" i="33"/>
  <c r="DI18" i="33"/>
  <c r="DX8" i="33"/>
  <c r="CT29" i="33"/>
  <c r="CV21" i="33"/>
  <c r="EB19" i="33"/>
  <c r="CQ20" i="33"/>
  <c r="CW25" i="33"/>
  <c r="DY29" i="33"/>
  <c r="ED22" i="33"/>
  <c r="CH13" i="33"/>
  <c r="DF12" i="33"/>
  <c r="B7" i="33"/>
  <c r="EA30" i="33"/>
  <c r="CQ25" i="33"/>
  <c r="DU4" i="33"/>
  <c r="CZ20" i="33"/>
  <c r="CU30" i="33"/>
  <c r="CU33" i="33"/>
  <c r="DW28" i="33"/>
  <c r="DK33" i="33"/>
  <c r="DW24" i="33"/>
  <c r="DX14" i="33"/>
  <c r="DG28" i="33"/>
  <c r="DU6" i="33"/>
  <c r="DD26" i="33"/>
  <c r="CY4" i="33"/>
  <c r="DG9" i="33"/>
  <c r="CU6" i="33"/>
  <c r="CP8" i="33"/>
  <c r="DH12" i="33"/>
  <c r="CL11" i="33"/>
  <c r="CD19" i="33"/>
  <c r="CS10" i="33"/>
  <c r="DW26" i="33"/>
  <c r="B28" i="33"/>
  <c r="B6" i="33"/>
  <c r="DR13" i="33"/>
  <c r="CN22" i="33"/>
  <c r="DC23" i="33"/>
  <c r="CR5" i="33"/>
  <c r="DV15" i="33"/>
  <c r="EC17" i="33"/>
  <c r="DA31" i="33"/>
  <c r="DT6" i="33"/>
  <c r="DR30" i="33"/>
  <c r="CS13" i="33"/>
  <c r="CK25" i="33"/>
  <c r="CP14" i="33"/>
  <c r="DT33" i="33"/>
  <c r="CU29" i="33"/>
  <c r="CX13" i="33"/>
  <c r="CS28" i="33"/>
  <c r="DV11" i="33"/>
  <c r="CR9" i="33"/>
  <c r="DV32" i="33"/>
  <c r="DJ22" i="33"/>
  <c r="DW27" i="33"/>
  <c r="ED7" i="33"/>
  <c r="EC12" i="33"/>
  <c r="CQ31" i="33"/>
  <c r="CJ23" i="33"/>
  <c r="CZ16" i="33"/>
  <c r="CU13" i="33"/>
  <c r="CN4" i="33"/>
  <c r="DR7" i="33"/>
  <c r="CO29" i="33"/>
  <c r="CF29" i="33"/>
  <c r="DE13" i="33"/>
  <c r="CH14" i="33"/>
  <c r="DE9" i="33"/>
  <c r="DQ33" i="33"/>
  <c r="CL9" i="33"/>
  <c r="CM33" i="33"/>
  <c r="B31" i="33"/>
  <c r="DF26" i="33"/>
  <c r="CV15" i="33"/>
  <c r="DR25" i="33"/>
  <c r="DS13" i="33"/>
  <c r="CN32" i="33"/>
  <c r="CS12" i="33"/>
  <c r="CV24" i="33"/>
  <c r="DJ33" i="33"/>
  <c r="DR10" i="33"/>
  <c r="CZ5" i="33"/>
  <c r="DH23" i="33"/>
  <c r="DJ7" i="33"/>
  <c r="DN20" i="33"/>
  <c r="ED16" i="33"/>
  <c r="CJ32" i="33"/>
  <c r="CW30" i="33"/>
  <c r="DO7" i="33"/>
  <c r="DQ10" i="33"/>
  <c r="CJ25" i="33"/>
  <c r="DM8" i="33"/>
  <c r="CF12" i="33"/>
  <c r="ED9" i="33"/>
  <c r="DO22" i="33"/>
  <c r="CS18" i="33"/>
  <c r="CG6" i="33"/>
  <c r="DR29" i="33"/>
  <c r="DD17" i="33"/>
  <c r="DK12" i="33"/>
  <c r="DS5" i="33"/>
  <c r="CV32" i="33"/>
  <c r="DP11" i="33"/>
  <c r="DJ11" i="33"/>
  <c r="CO11" i="33"/>
  <c r="CK30" i="33"/>
  <c r="CN33" i="33"/>
  <c r="CS14" i="33"/>
  <c r="DB21" i="33"/>
  <c r="EA8" i="33"/>
  <c r="DM10" i="33"/>
  <c r="DH5" i="33"/>
  <c r="DX32" i="33"/>
  <c r="CP33" i="33"/>
  <c r="CT19" i="33"/>
  <c r="DM11" i="33"/>
  <c r="DT13" i="33"/>
  <c r="CT17" i="33"/>
  <c r="DO17" i="33"/>
  <c r="CO10" i="33"/>
  <c r="CK4" i="33"/>
  <c r="DQ11" i="33"/>
  <c r="CM7" i="33"/>
  <c r="CM15" i="33"/>
  <c r="CG26" i="33"/>
  <c r="CT11" i="33"/>
  <c r="EC30" i="33"/>
  <c r="CE27" i="33"/>
  <c r="DG17" i="33"/>
  <c r="DP24" i="33"/>
  <c r="DJ28" i="33"/>
  <c r="CF9" i="33"/>
  <c r="CE6" i="33"/>
  <c r="DE31" i="33"/>
  <c r="CQ21" i="33"/>
  <c r="DT8" i="33"/>
  <c r="DF31" i="33"/>
  <c r="DA26" i="33"/>
  <c r="DC31" i="33"/>
  <c r="DE24" i="33"/>
  <c r="DY24" i="33"/>
  <c r="DD21" i="33"/>
  <c r="CN25" i="33"/>
  <c r="EB18" i="33"/>
  <c r="DH11" i="33"/>
  <c r="CJ21" i="33"/>
  <c r="CG4" i="33"/>
  <c r="DM29" i="33"/>
  <c r="DC10" i="33"/>
  <c r="CM4" i="33"/>
  <c r="CQ18" i="33"/>
  <c r="DB29" i="33"/>
  <c r="DK30" i="33"/>
  <c r="CF20" i="33"/>
  <c r="CG29" i="33"/>
  <c r="CL32" i="33"/>
  <c r="DF13" i="33"/>
  <c r="DT14" i="33"/>
  <c r="B5" i="33"/>
  <c r="CZ9" i="33"/>
  <c r="DX6" i="33"/>
  <c r="DT19" i="33"/>
  <c r="DN27" i="33"/>
  <c r="ED23" i="33"/>
  <c r="DW14" i="33"/>
  <c r="DH20" i="33"/>
  <c r="CH25" i="33"/>
  <c r="CV9" i="33"/>
  <c r="CU22" i="33"/>
  <c r="DW10" i="33"/>
  <c r="CJ18" i="33"/>
  <c r="CT8" i="33"/>
  <c r="CO24" i="33"/>
  <c r="DJ15" i="33"/>
  <c r="CS7" i="33"/>
  <c r="CJ4" i="33"/>
  <c r="DQ15" i="33"/>
  <c r="CW33" i="33"/>
  <c r="DG13" i="33"/>
  <c r="DY7" i="33"/>
  <c r="DB23" i="33"/>
  <c r="CZ24" i="33"/>
  <c r="DN22" i="33"/>
  <c r="DA4" i="33"/>
  <c r="DI30" i="33"/>
  <c r="ED14" i="33"/>
  <c r="CU18" i="33"/>
  <c r="DG20" i="33"/>
  <c r="CX29" i="33"/>
  <c r="CE8" i="33"/>
  <c r="CH33" i="33"/>
  <c r="DS10" i="33"/>
  <c r="CN15" i="33"/>
  <c r="CZ30" i="33"/>
  <c r="DG29" i="33"/>
  <c r="CV26" i="33"/>
  <c r="CI26" i="33"/>
  <c r="DE25" i="33"/>
  <c r="CJ13" i="33"/>
  <c r="DL27" i="33"/>
  <c r="CP9" i="33"/>
  <c r="DD32" i="33"/>
  <c r="CH8" i="33"/>
  <c r="DS12" i="33"/>
  <c r="DW4" i="33"/>
  <c r="CE14" i="33"/>
  <c r="EB20" i="33"/>
  <c r="CR13" i="33"/>
  <c r="DX29" i="33"/>
  <c r="CH4" i="33"/>
  <c r="EC9" i="33"/>
  <c r="EB15" i="33"/>
  <c r="CP13" i="33"/>
  <c r="DI16" i="33"/>
  <c r="EC25" i="33"/>
  <c r="DN26" i="33"/>
  <c r="DU16" i="33"/>
  <c r="CD4" i="33"/>
  <c r="DJ30" i="33"/>
  <c r="DH28" i="33"/>
  <c r="DY21" i="33"/>
  <c r="DD24" i="33"/>
  <c r="DK11" i="33"/>
  <c r="EB5" i="33"/>
  <c r="DW31" i="33"/>
  <c r="CK15" i="33"/>
  <c r="DS7" i="33"/>
  <c r="CS17" i="33"/>
  <c r="CD21" i="33"/>
  <c r="DW32" i="33"/>
  <c r="DB9" i="33"/>
  <c r="CN11" i="33"/>
  <c r="DO21" i="33"/>
  <c r="CY17" i="33"/>
  <c r="DW12" i="33"/>
  <c r="CG31" i="33"/>
  <c r="DR5" i="33"/>
  <c r="DB13" i="33"/>
  <c r="CU10" i="33"/>
  <c r="DE33" i="33"/>
  <c r="DV6" i="33"/>
  <c r="DE19" i="33"/>
  <c r="DG4" i="33"/>
  <c r="CZ26" i="33"/>
  <c r="DW20" i="33"/>
  <c r="DF20" i="33"/>
  <c r="CX20" i="33"/>
  <c r="DU29" i="33"/>
  <c r="DJ16" i="33"/>
  <c r="DR31" i="33"/>
  <c r="CF17" i="33"/>
  <c r="CF32" i="33"/>
  <c r="CU27" i="33"/>
  <c r="CR7" i="33"/>
  <c r="DS11" i="33"/>
  <c r="DK16" i="33"/>
  <c r="CH19" i="33"/>
  <c r="CD10" i="33"/>
  <c r="CU5" i="33"/>
  <c r="DO15" i="33"/>
  <c r="ED29" i="33"/>
  <c r="DI28" i="33"/>
  <c r="DF15" i="33"/>
  <c r="CZ21" i="33"/>
  <c r="DW13" i="33"/>
  <c r="B9" i="33"/>
  <c r="CM24" i="33"/>
  <c r="ED30" i="33"/>
  <c r="CS6" i="33"/>
  <c r="DW11" i="33"/>
  <c r="DC17" i="33"/>
  <c r="DH7" i="33"/>
  <c r="DV23" i="33"/>
  <c r="CS19" i="33"/>
  <c r="DP16" i="33"/>
  <c r="EB27" i="33"/>
  <c r="CO20" i="33"/>
  <c r="DG30" i="33"/>
  <c r="CT25" i="33"/>
  <c r="CF6" i="33"/>
  <c r="DI32" i="33"/>
  <c r="CZ12" i="33"/>
  <c r="DY10" i="33"/>
  <c r="CR23" i="33"/>
  <c r="DS17" i="33"/>
  <c r="CT5" i="33"/>
  <c r="CH9" i="33"/>
  <c r="CW6" i="33"/>
  <c r="DD6" i="33"/>
  <c r="CG19" i="33"/>
  <c r="DH26" i="33"/>
  <c r="CL30" i="33"/>
  <c r="DR6" i="33"/>
  <c r="DQ20" i="33"/>
  <c r="DC27" i="33"/>
  <c r="CU17" i="33"/>
  <c r="B17" i="33"/>
  <c r="CR11" i="33"/>
  <c r="EB8" i="33"/>
  <c r="DQ9" i="33"/>
  <c r="CW17" i="33"/>
  <c r="CL16" i="33"/>
  <c r="CX18" i="33"/>
  <c r="CD23" i="33"/>
  <c r="CR32" i="33"/>
  <c r="DA10" i="33"/>
  <c r="B33" i="33"/>
  <c r="DU25" i="33"/>
  <c r="DC20" i="33"/>
  <c r="CQ8" i="33"/>
  <c r="CU16" i="33"/>
  <c r="DX11" i="33"/>
  <c r="CK5" i="33"/>
  <c r="DM9" i="33"/>
  <c r="DS33" i="33"/>
  <c r="CU26" i="33"/>
  <c r="CM14" i="33"/>
  <c r="F33" i="33" l="1"/>
  <c r="C35" i="32"/>
  <c r="D23" i="33"/>
  <c r="F23" i="33" s="1"/>
  <c r="C19" i="32"/>
  <c r="C11" i="32"/>
  <c r="D10" i="33"/>
  <c r="D21" i="33"/>
  <c r="D4" i="33"/>
  <c r="C7" i="32"/>
  <c r="E8" i="33"/>
  <c r="C33" i="32"/>
  <c r="F31" i="33"/>
  <c r="C8" i="32"/>
  <c r="F28" i="33"/>
  <c r="C30" i="32"/>
  <c r="D19" i="33"/>
  <c r="E30" i="33"/>
  <c r="C9" i="32"/>
  <c r="E17" i="33"/>
  <c r="D31" i="33"/>
  <c r="D17" i="33"/>
  <c r="C17" i="32"/>
  <c r="D9" i="33"/>
  <c r="D16" i="33"/>
  <c r="D11" i="33"/>
  <c r="C18" i="32"/>
  <c r="E16" i="33"/>
  <c r="E15" i="33"/>
  <c r="E20" i="33"/>
  <c r="C6" i="32"/>
  <c r="C27" i="32"/>
  <c r="E24" i="33"/>
  <c r="E11" i="33"/>
  <c r="C10" i="32"/>
  <c r="E14" i="33"/>
  <c r="E5" i="33"/>
  <c r="E18" i="33"/>
  <c r="E33" i="33"/>
  <c r="C16" i="32"/>
  <c r="D7" i="33"/>
  <c r="C31" i="32"/>
  <c r="F29" i="33"/>
  <c r="C20" i="32"/>
  <c r="C23" i="32"/>
  <c r="F30" i="33"/>
  <c r="C32" i="32"/>
  <c r="F32" i="33"/>
  <c r="C34" i="32"/>
  <c r="C22" i="32"/>
  <c r="C12" i="32"/>
  <c r="E12" i="33"/>
  <c r="C25" i="32"/>
  <c r="E7" i="33"/>
  <c r="E19" i="33"/>
  <c r="D24" i="33"/>
  <c r="E4" i="33"/>
  <c r="D15" i="33"/>
  <c r="C13" i="32"/>
  <c r="F11" i="33"/>
  <c r="C26" i="32"/>
  <c r="E22" i="33"/>
  <c r="C14" i="32"/>
  <c r="C15" i="32"/>
  <c r="C28" i="32"/>
  <c r="E26" i="33"/>
  <c r="D8" i="33"/>
  <c r="F8" i="33" s="1"/>
  <c r="E9" i="33"/>
  <c r="E27" i="33"/>
  <c r="E28" i="33"/>
  <c r="E13" i="33"/>
  <c r="C29" i="32"/>
  <c r="D18" i="33"/>
  <c r="D32" i="33"/>
  <c r="D14" i="33"/>
  <c r="E21" i="33"/>
  <c r="D25" i="33"/>
  <c r="F25" i="33" s="1"/>
  <c r="D27" i="33"/>
  <c r="D28" i="33"/>
  <c r="D20" i="33"/>
  <c r="C24" i="32"/>
  <c r="D29" i="33"/>
  <c r="E25" i="33"/>
  <c r="D12" i="33"/>
  <c r="D30" i="33"/>
  <c r="E31" i="33"/>
  <c r="E29" i="33"/>
  <c r="D22" i="33"/>
  <c r="C21" i="32"/>
  <c r="D26" i="33"/>
  <c r="F26" i="33" s="1"/>
  <c r="E10" i="33"/>
  <c r="D33" i="33"/>
  <c r="E6" i="33"/>
  <c r="D6" i="33"/>
  <c r="E32" i="33"/>
  <c r="D5" i="33"/>
  <c r="E23" i="33"/>
  <c r="D13" i="33"/>
  <c r="F24" i="33" l="1"/>
  <c r="G26" i="32" s="1"/>
  <c r="F27" i="33"/>
  <c r="F17" i="33"/>
  <c r="G19" i="32" s="1"/>
  <c r="G10" i="32"/>
  <c r="G27" i="32"/>
  <c r="F9" i="33"/>
  <c r="F15" i="33"/>
  <c r="G17" i="32" s="1"/>
  <c r="F5" i="33"/>
  <c r="G7" i="32" s="1"/>
  <c r="F22" i="33"/>
  <c r="G24" i="32" s="1"/>
  <c r="F20" i="33"/>
  <c r="G22" i="32" s="1"/>
  <c r="F7" i="33"/>
  <c r="G9" i="32" s="1"/>
  <c r="F4" i="33"/>
  <c r="G6" i="32" s="1"/>
  <c r="G25" i="32"/>
  <c r="F12" i="33"/>
  <c r="G14" i="32" s="1"/>
  <c r="F13" i="33"/>
  <c r="G15" i="32" s="1"/>
  <c r="F18" i="33"/>
  <c r="F6" i="33"/>
  <c r="G8" i="32" s="1"/>
  <c r="F16" i="33"/>
  <c r="G18" i="32" s="1"/>
  <c r="F10" i="33"/>
  <c r="G12" i="32" s="1"/>
  <c r="F14" i="33"/>
  <c r="G16" i="32" s="1"/>
  <c r="F21" i="33"/>
  <c r="G23" i="32" s="1"/>
  <c r="E16" i="32"/>
  <c r="D16" i="32"/>
  <c r="H16" i="32"/>
  <c r="F16" i="32"/>
  <c r="F15" i="32"/>
  <c r="H15" i="32"/>
  <c r="D15" i="32"/>
  <c r="E15" i="32"/>
  <c r="D18" i="32"/>
  <c r="F18" i="32"/>
  <c r="E18" i="32"/>
  <c r="H18" i="32"/>
  <c r="E8" i="32"/>
  <c r="H8" i="32"/>
  <c r="D8" i="32"/>
  <c r="F8" i="32"/>
  <c r="D13" i="32"/>
  <c r="H13" i="32"/>
  <c r="E13" i="32"/>
  <c r="F13" i="32"/>
  <c r="D12" i="32"/>
  <c r="H12" i="32"/>
  <c r="F12" i="32"/>
  <c r="E12" i="32"/>
  <c r="D23" i="32"/>
  <c r="H23" i="32"/>
  <c r="F23" i="32"/>
  <c r="E23" i="32"/>
  <c r="H27" i="32"/>
  <c r="D27" i="32"/>
  <c r="E27" i="32"/>
  <c r="F27" i="32"/>
  <c r="E11" i="32"/>
  <c r="F11" i="32"/>
  <c r="G11" i="32"/>
  <c r="H11" i="32"/>
  <c r="D11" i="32"/>
  <c r="H21" i="32"/>
  <c r="D21" i="32"/>
  <c r="E21" i="32"/>
  <c r="F21" i="32"/>
  <c r="E22" i="32"/>
  <c r="D22" i="32"/>
  <c r="H22" i="32"/>
  <c r="F22" i="32"/>
  <c r="H6" i="32"/>
  <c r="F6" i="32"/>
  <c r="D6" i="32"/>
  <c r="E6" i="32"/>
  <c r="H19" i="32"/>
  <c r="D19" i="32"/>
  <c r="F19" i="32"/>
  <c r="E19" i="32"/>
  <c r="E14" i="32"/>
  <c r="D14" i="32"/>
  <c r="F14" i="32"/>
  <c r="H14" i="32"/>
  <c r="G20" i="32"/>
  <c r="D20" i="32"/>
  <c r="E20" i="32"/>
  <c r="F20" i="32"/>
  <c r="H20" i="32"/>
  <c r="D9" i="32"/>
  <c r="E9" i="32"/>
  <c r="H9" i="32"/>
  <c r="F9" i="32"/>
  <c r="G33" i="32"/>
  <c r="A33" i="32" s="1"/>
  <c r="E33" i="32"/>
  <c r="D33" i="32"/>
  <c r="H33" i="32"/>
  <c r="F33" i="32"/>
  <c r="F24" i="32"/>
  <c r="D24" i="32"/>
  <c r="H24" i="32"/>
  <c r="E24" i="32"/>
  <c r="G34" i="32"/>
  <c r="A34" i="32" s="1"/>
  <c r="E34" i="32"/>
  <c r="F34" i="32"/>
  <c r="H34" i="32"/>
  <c r="D34" i="32"/>
  <c r="H31" i="32"/>
  <c r="D31" i="32"/>
  <c r="E31" i="32"/>
  <c r="G31" i="32"/>
  <c r="A31" i="32" s="1"/>
  <c r="F31" i="32"/>
  <c r="F19" i="33"/>
  <c r="G21" i="32" s="1"/>
  <c r="F17" i="32"/>
  <c r="D17" i="32"/>
  <c r="E17" i="32"/>
  <c r="H17" i="32"/>
  <c r="H30" i="32"/>
  <c r="D30" i="32"/>
  <c r="F30" i="32"/>
  <c r="G30" i="32"/>
  <c r="A30" i="32" s="1"/>
  <c r="E30" i="32"/>
  <c r="H7" i="32"/>
  <c r="D7" i="32"/>
  <c r="F7" i="32"/>
  <c r="E7" i="32"/>
  <c r="G35" i="32"/>
  <c r="A35" i="32" s="1"/>
  <c r="F35" i="32"/>
  <c r="E35" i="32"/>
  <c r="D35" i="32"/>
  <c r="H35" i="32"/>
  <c r="E26" i="32"/>
  <c r="H26" i="32"/>
  <c r="D26" i="32"/>
  <c r="F26" i="32"/>
  <c r="D10" i="32"/>
  <c r="E10" i="32"/>
  <c r="H10" i="32"/>
  <c r="F10" i="32"/>
  <c r="E29" i="32"/>
  <c r="H29" i="32"/>
  <c r="F29" i="32"/>
  <c r="D29" i="32"/>
  <c r="G29" i="32"/>
  <c r="E28" i="32"/>
  <c r="D28" i="32"/>
  <c r="F28" i="32"/>
  <c r="H28" i="32"/>
  <c r="G28" i="32"/>
  <c r="G13" i="32"/>
  <c r="F25" i="32"/>
  <c r="H25" i="32"/>
  <c r="D25" i="32"/>
  <c r="E25" i="32"/>
  <c r="E32" i="32"/>
  <c r="D32" i="32"/>
  <c r="H32" i="32"/>
  <c r="G32" i="32"/>
  <c r="A32" i="32" s="1"/>
  <c r="F32" i="32"/>
  <c r="A13" i="32" l="1"/>
  <c r="A29" i="32"/>
  <c r="A23" i="32"/>
  <c r="A28" i="32"/>
  <c r="A16" i="32"/>
  <c r="A25" i="32"/>
  <c r="A22" i="32"/>
  <c r="A12" i="32"/>
  <c r="A21" i="32"/>
  <c r="A18" i="32"/>
  <c r="A27" i="32"/>
  <c r="A24" i="32"/>
  <c r="A10" i="32"/>
  <c r="A19" i="32"/>
  <c r="A7" i="32"/>
  <c r="A26" i="32"/>
  <c r="A20" i="32"/>
  <c r="A11" i="32"/>
  <c r="A14" i="32"/>
  <c r="A9" i="32"/>
  <c r="A17" i="32"/>
  <c r="A6" i="32"/>
  <c r="A15" i="32"/>
  <c r="A8" i="32"/>
</calcChain>
</file>

<file path=xl/sharedStrings.xml><?xml version="1.0" encoding="utf-8"?>
<sst xmlns="http://schemas.openxmlformats.org/spreadsheetml/2006/main" count="17581" uniqueCount="424">
  <si>
    <t>Osallistuja:</t>
  </si>
  <si>
    <t>Mike Salmon</t>
  </si>
  <si>
    <t>Alkulohkojen ottelut</t>
  </si>
  <si>
    <t>Pvm</t>
  </si>
  <si>
    <t>Lohko</t>
  </si>
  <si>
    <t>Ottelu</t>
  </si>
  <si>
    <t>Veikkaus</t>
  </si>
  <si>
    <t>Tulos</t>
  </si>
  <si>
    <t>Pisteet</t>
  </si>
  <si>
    <t>Taulukko 1. Laita joukkueet tähän taulukkoon.</t>
  </si>
  <si>
    <t>11.6. klo 22</t>
  </si>
  <si>
    <t>A</t>
  </si>
  <si>
    <t>Meksiko</t>
  </si>
  <si>
    <t>-</t>
  </si>
  <si>
    <t>Etelä-Afrikka</t>
  </si>
  <si>
    <t>Sijoitus</t>
  </si>
  <si>
    <t>Lohko A</t>
  </si>
  <si>
    <t>Lohko B</t>
  </si>
  <si>
    <t>Lohko C</t>
  </si>
  <si>
    <t>Lohko D</t>
  </si>
  <si>
    <t>Lohko E</t>
  </si>
  <si>
    <t>Lohko F</t>
  </si>
  <si>
    <t>12.6. klo 05</t>
  </si>
  <si>
    <t>Etelä-Korea</t>
  </si>
  <si>
    <t>Tshekki</t>
  </si>
  <si>
    <t>Sveitsi</t>
  </si>
  <si>
    <t>Brasilia</t>
  </si>
  <si>
    <t>Turkki</t>
  </si>
  <si>
    <t>Saksa</t>
  </si>
  <si>
    <t>Hollanti</t>
  </si>
  <si>
    <t>12.6. klo 22</t>
  </si>
  <si>
    <t>B</t>
  </si>
  <si>
    <t>Kanada</t>
  </si>
  <si>
    <t>Bosnia ja Hertsegovina</t>
  </si>
  <si>
    <t>Skotlanti</t>
  </si>
  <si>
    <t>USA</t>
  </si>
  <si>
    <t>Ecuador</t>
  </si>
  <si>
    <t>Ruotsi</t>
  </si>
  <si>
    <t>13.6. klo 04</t>
  </si>
  <si>
    <t>D</t>
  </si>
  <si>
    <t>Paraguay</t>
  </si>
  <si>
    <t>Marokko</t>
  </si>
  <si>
    <t>Norsunluurannikko</t>
  </si>
  <si>
    <t>Japani</t>
  </si>
  <si>
    <t>14.6. klo 04</t>
  </si>
  <si>
    <t>C</t>
  </si>
  <si>
    <t>Haiti</t>
  </si>
  <si>
    <t>Qatar</t>
  </si>
  <si>
    <t>Australia</t>
  </si>
  <si>
    <t>Curaçao</t>
  </si>
  <si>
    <t>Tunisia</t>
  </si>
  <si>
    <t>14.6. klo 07</t>
  </si>
  <si>
    <t>14.6. klo 01</t>
  </si>
  <si>
    <t>Lohko G</t>
  </si>
  <si>
    <t>Lohko H</t>
  </si>
  <si>
    <t>Lohko I</t>
  </si>
  <si>
    <t>Lohko J</t>
  </si>
  <si>
    <t>Lohko K</t>
  </si>
  <si>
    <t>Lohko L</t>
  </si>
  <si>
    <t>13.6. klo 22</t>
  </si>
  <si>
    <t>Belgia</t>
  </si>
  <si>
    <t>Espanja</t>
  </si>
  <si>
    <t>Ranska</t>
  </si>
  <si>
    <t>Argentiina</t>
  </si>
  <si>
    <t>Portugali</t>
  </si>
  <si>
    <t>Englanti</t>
  </si>
  <si>
    <t>15.6. klo 02</t>
  </si>
  <si>
    <t>E</t>
  </si>
  <si>
    <t>Egypti</t>
  </si>
  <si>
    <t>Uruguay</t>
  </si>
  <si>
    <t>Norja</t>
  </si>
  <si>
    <t>Itävalta</t>
  </si>
  <si>
    <t>Kolumbia</t>
  </si>
  <si>
    <t>Kroatia</t>
  </si>
  <si>
    <t>14.6. klo 20</t>
  </si>
  <si>
    <t>Uusi-Seelanti</t>
  </si>
  <si>
    <t>Kap Verde</t>
  </si>
  <si>
    <t>Senegal</t>
  </si>
  <si>
    <t>Algeria</t>
  </si>
  <si>
    <t>Uzbekistan</t>
  </si>
  <si>
    <t>Ghana</t>
  </si>
  <si>
    <t>14.6. klo 23</t>
  </si>
  <si>
    <t>F</t>
  </si>
  <si>
    <t>Iran</t>
  </si>
  <si>
    <t>Saudi-Arabia</t>
  </si>
  <si>
    <t>Irak</t>
  </si>
  <si>
    <t>Jordania</t>
  </si>
  <si>
    <t>Kongon DR</t>
  </si>
  <si>
    <t>Panama</t>
  </si>
  <si>
    <t>15.6. klo 05</t>
  </si>
  <si>
    <t>16.6. klo 01</t>
  </si>
  <si>
    <t>H</t>
  </si>
  <si>
    <t>15.6. klo 19</t>
  </si>
  <si>
    <t>Tässä lohkojen joukkueet mielivaltaisessa järjestyksessä.</t>
  </si>
  <si>
    <t>16.6. klo 04</t>
  </si>
  <si>
    <t>G</t>
  </si>
  <si>
    <t>15.6. klo 22</t>
  </si>
  <si>
    <t>16.6. klo 22</t>
  </si>
  <si>
    <t>I</t>
  </si>
  <si>
    <t>17.6. klo 01</t>
  </si>
  <si>
    <t>17.6. klo 04</t>
  </si>
  <si>
    <t>J</t>
  </si>
  <si>
    <t>17.6. klo 07</t>
  </si>
  <si>
    <t>18.6. klo 02</t>
  </si>
  <si>
    <t>L</t>
  </si>
  <si>
    <t>17.6. klo 23</t>
  </si>
  <si>
    <t>17.6. klo 20</t>
  </si>
  <si>
    <t>K</t>
  </si>
  <si>
    <t>18.6. klo 05</t>
  </si>
  <si>
    <t>18.6. klo 19</t>
  </si>
  <si>
    <t>18.6. klo 22</t>
  </si>
  <si>
    <t>19.6. klo 01</t>
  </si>
  <si>
    <t>19.6. klo 04</t>
  </si>
  <si>
    <t>20.6. klo 04</t>
  </si>
  <si>
    <t>20.6. klo 01</t>
  </si>
  <si>
    <t>20.6. klo 07</t>
  </si>
  <si>
    <t>19.6. klo 22</t>
  </si>
  <si>
    <t>20.6. klo 23</t>
  </si>
  <si>
    <t>21.6. klo 03</t>
  </si>
  <si>
    <t>20.6. klo 20</t>
  </si>
  <si>
    <t>21.6. klo 07</t>
  </si>
  <si>
    <t>22.6. klo 01</t>
  </si>
  <si>
    <t>21.6. klo 19</t>
  </si>
  <si>
    <t>21.6. klo 22</t>
  </si>
  <si>
    <t>22.6. klo 04</t>
  </si>
  <si>
    <t>23.6. klo 03</t>
  </si>
  <si>
    <t>23.6. klo 00</t>
  </si>
  <si>
    <t>22.6. klo 20</t>
  </si>
  <si>
    <t>23.6. klo 06</t>
  </si>
  <si>
    <t>23.6. klo 23</t>
  </si>
  <si>
    <t>24.6. klo 02</t>
  </si>
  <si>
    <t>23.6. klo 20</t>
  </si>
  <si>
    <t>24.6. klo 05</t>
  </si>
  <si>
    <t>25.6. klo 01</t>
  </si>
  <si>
    <t>24.6. klo 22</t>
  </si>
  <si>
    <t>25.6. klo 04</t>
  </si>
  <si>
    <t>25.6. klo 23</t>
  </si>
  <si>
    <t>26.6. klo 02</t>
  </si>
  <si>
    <t>26.6. klo 05</t>
  </si>
  <si>
    <t>26.6. klo 22</t>
  </si>
  <si>
    <t>27.6. klo 06</t>
  </si>
  <si>
    <t>27.6. klo 03</t>
  </si>
  <si>
    <t>28.6. klo 00</t>
  </si>
  <si>
    <t>28.6. klo 05</t>
  </si>
  <si>
    <t>28.6. klo 02.30</t>
  </si>
  <si>
    <t>Finaalijoukkueet:</t>
  </si>
  <si>
    <t>Sijoilla 3-4:</t>
  </si>
  <si>
    <t>Pisteet yhteensä:</t>
  </si>
  <si>
    <t>ArtsiKerho</t>
  </si>
  <si>
    <t xml:space="preserve">Englanti </t>
  </si>
  <si>
    <t>Johnny Rotten</t>
  </si>
  <si>
    <t xml:space="preserve">USA </t>
  </si>
  <si>
    <t>Tšekki</t>
  </si>
  <si>
    <t>Etelä korea</t>
  </si>
  <si>
    <t>Bosnia hertzegovina</t>
  </si>
  <si>
    <t>Paraguaysta</t>
  </si>
  <si>
    <t>Norsunluurannikon</t>
  </si>
  <si>
    <t>Etelä Afrikka</t>
  </si>
  <si>
    <t>Vaiti</t>
  </si>
  <si>
    <t>Curacao</t>
  </si>
  <si>
    <t>Argentina</t>
  </si>
  <si>
    <t>Uusi Seelantia</t>
  </si>
  <si>
    <t>Saudi arabia</t>
  </si>
  <si>
    <t>Kongon dr</t>
  </si>
  <si>
    <t>Kap verde</t>
  </si>
  <si>
    <t>The Moka</t>
  </si>
  <si>
    <t>LOHKO F</t>
  </si>
  <si>
    <t>meksiko</t>
  </si>
  <si>
    <t>Usa</t>
  </si>
  <si>
    <t>Tsekki</t>
  </si>
  <si>
    <t>Bosnia Hertegovina</t>
  </si>
  <si>
    <t>Uusi Seelanti</t>
  </si>
  <si>
    <t>Sedu</t>
  </si>
  <si>
    <t>Bosnia Hertse..</t>
  </si>
  <si>
    <t>Mexico</t>
  </si>
  <si>
    <t>Paraquai</t>
  </si>
  <si>
    <t>Uruquai</t>
  </si>
  <si>
    <t>Saudi Arabia</t>
  </si>
  <si>
    <t>Kongo</t>
  </si>
  <si>
    <t>Pauli Koponen</t>
  </si>
  <si>
    <t>Paraquay</t>
  </si>
  <si>
    <t>Bosnia-Herzegovina</t>
  </si>
  <si>
    <t>Pora</t>
  </si>
  <si>
    <t>Jordfania</t>
  </si>
  <si>
    <t>Rikhard Moeller-Kalanmaksaoeljy</t>
  </si>
  <si>
    <t>Tuurilla</t>
  </si>
  <si>
    <t>MM 2026 - tulosten syöttö</t>
  </si>
  <si>
    <t>Lohkojen ja finaalivaiheen tulokset</t>
  </si>
  <si>
    <t>Syötä toteutuneet maalit sarakkeisiin G ja I. Jätä kesken olevat/pelaamattomat ottelut tyhjiksi.</t>
  </si>
  <si>
    <t>Syötä lohkojen lopullinen järjestys sekä finaalijoukkueet. Lohko- ja finaalipisteet päivittyvät Pisteet-välilehdelle.</t>
  </si>
  <si>
    <t>Otteluiden tulokset</t>
  </si>
  <si>
    <t>Nro</t>
  </si>
  <si>
    <t>Joukkue 1</t>
  </si>
  <si>
    <t>Joukkue 2</t>
  </si>
  <si>
    <t>Maalit 1</t>
  </si>
  <si>
    <t>Maalit 2</t>
  </si>
  <si>
    <t>Finaalijoukkueet ja sijat 3-4</t>
  </si>
  <si>
    <t>Finaalijoukkue 1</t>
  </si>
  <si>
    <t>Finaalijoukkue 2</t>
  </si>
  <si>
    <t>Sijat 3-4, joukkue 1</t>
  </si>
  <si>
    <t>Sijat 3-4, joukkue 2</t>
  </si>
  <si>
    <t>MM 2026 - veikkaajien pisteet</t>
  </si>
  <si>
    <t>Yhteenveto päivittyy Tulokset-välilehdelle syötettyjen toteutuneiden tulosten perusteella.</t>
  </si>
  <si>
    <t>Sija</t>
  </si>
  <si>
    <t>Välilehti</t>
  </si>
  <si>
    <t>Osallistuja</t>
  </si>
  <si>
    <t>Ottelupisteet</t>
  </si>
  <si>
    <t>Lohkopisteet</t>
  </si>
  <si>
    <t>Finaali/3-4</t>
  </si>
  <si>
    <t>Yhteensä</t>
  </si>
  <si>
    <t>Täsmälleen oikein</t>
  </si>
  <si>
    <t>Tasatilanteet</t>
  </si>
  <si>
    <t>1</t>
  </si>
  <si>
    <t>Sija huomioi ensin kokonaispisteet ja sen jälkeen täsmälleen oikein veikatut ottelut.</t>
  </si>
  <si>
    <t>2</t>
  </si>
  <si>
    <t>3</t>
  </si>
  <si>
    <t>Pisteytystiivistelmä</t>
  </si>
  <si>
    <t>4</t>
  </si>
  <si>
    <t>Ottelut: 1-X-2 pitää olla oikein. Täysin oikea tulos 6 p.</t>
  </si>
  <si>
    <t>5</t>
  </si>
  <si>
    <t>Ei-tasapelit: oikea 1-X-2 on edellytys; pisteet = max(0, 6 - maalimäärävirheiden summa).</t>
  </si>
  <si>
    <t>6</t>
  </si>
  <si>
    <t>Esim. tulos 5-1 ja veikkaus 1-0: virhe 4+1=5, pisteet 6-5=1.</t>
  </si>
  <si>
    <t>7</t>
  </si>
  <si>
    <t>Tasapelit: täysin oikea tasapeli 6 p, muu oikea tasapeli 3 p.</t>
  </si>
  <si>
    <t>8</t>
  </si>
  <si>
    <t>Finaali ja sijat 3-4: jokainen oikea joukkue kategoriassa 2 p.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</si>
  <si>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</si>
  <si>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</si>
  <si>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</si>
  <si>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</si>
  <si>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</si>
  <si>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</si>
  <si>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</si>
  <si>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</si>
  <si>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</si>
  <si>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</si>
  <si>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</si>
  <si>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</si>
  <si>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</si>
  <si>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</si>
  <si>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</si>
  <si>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</si>
  <si>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</si>
  <si>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</si>
  <si>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</si>
  <si>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</si>
  <si>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</si>
  <si>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</si>
  <si>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Laskenta - älä muokkaa</t>
  </si>
  <si>
    <t>Täällä ovat pisteytyskaavat. Veikkausvälilehdillä 1-30 ei ole pisteytyskaavoja. Ottelupisteissä oikea 1-X-2 on edellytys; ei erillistä voittajapistettä. Ei-tasapeleissä pisteet = max(0, 6 - maalimäärävirheiden summa).</t>
  </si>
  <si>
    <t>Finaali/3-4-pisteet</t>
  </si>
  <si>
    <t>Ottelu 1</t>
  </si>
  <si>
    <t>Ottelu 2</t>
  </si>
  <si>
    <t>Ottelu 3</t>
  </si>
  <si>
    <t>Ottelu 4</t>
  </si>
  <si>
    <t>Ottelu 5</t>
  </si>
  <si>
    <t>Ottelu 6</t>
  </si>
  <si>
    <t>Ottelu 7</t>
  </si>
  <si>
    <t>Ottelu 8</t>
  </si>
  <si>
    <t>Ottelu 9</t>
  </si>
  <si>
    <t>Ottelu 10</t>
  </si>
  <si>
    <t>Ottelu 11</t>
  </si>
  <si>
    <t>Ottelu 12</t>
  </si>
  <si>
    <t>Ottelu 13</t>
  </si>
  <si>
    <t>Ottelu 14</t>
  </si>
  <si>
    <t>Ottelu 15</t>
  </si>
  <si>
    <t>Ottelu 16</t>
  </si>
  <si>
    <t>Ottelu 17</t>
  </si>
  <si>
    <t>Ottelu 18</t>
  </si>
  <si>
    <t>Ottelu 19</t>
  </si>
  <si>
    <t>Ottelu 20</t>
  </si>
  <si>
    <t>Ottelu 21</t>
  </si>
  <si>
    <t>Ottelu 22</t>
  </si>
  <si>
    <t>Ottelu 23</t>
  </si>
  <si>
    <t>Ottelu 24</t>
  </si>
  <si>
    <t>Ottelu 25</t>
  </si>
  <si>
    <t>Ottelu 26</t>
  </si>
  <si>
    <t>Ottelu 27</t>
  </si>
  <si>
    <t>Ottelu 28</t>
  </si>
  <si>
    <t>Ottelu 29</t>
  </si>
  <si>
    <t>Ottelu 30</t>
  </si>
  <si>
    <t>Ottelu 31</t>
  </si>
  <si>
    <t>Ottelu 32</t>
  </si>
  <si>
    <t>Ottelu 33</t>
  </si>
  <si>
    <t>Ottelu 34</t>
  </si>
  <si>
    <t>Ottelu 35</t>
  </si>
  <si>
    <t>Ottelu 36</t>
  </si>
  <si>
    <t>Ottelu 37</t>
  </si>
  <si>
    <t>Ottelu 38</t>
  </si>
  <si>
    <t>Ottelu 39</t>
  </si>
  <si>
    <t>Ottelu 40</t>
  </si>
  <si>
    <t>Ottelu 41</t>
  </si>
  <si>
    <t>Ottelu 42</t>
  </si>
  <si>
    <t>Ottelu 43</t>
  </si>
  <si>
    <t>Ottelu 44</t>
  </si>
  <si>
    <t>Ottelu 45</t>
  </si>
  <si>
    <t>Ottelu 46</t>
  </si>
  <si>
    <t>Ottelu 47</t>
  </si>
  <si>
    <t>Ottelu 48</t>
  </si>
  <si>
    <t>Ottelu 49</t>
  </si>
  <si>
    <t>Ottelu 50</t>
  </si>
  <si>
    <t>Ottelu 51</t>
  </si>
  <si>
    <t>Ottelu 52</t>
  </si>
  <si>
    <t>Ottelu 53</t>
  </si>
  <si>
    <t>Ottelu 54</t>
  </si>
  <si>
    <t>Ottelu 55</t>
  </si>
  <si>
    <t>Ottelu 56</t>
  </si>
  <si>
    <t>Ottelu 57</t>
  </si>
  <si>
    <t>Ottelu 58</t>
  </si>
  <si>
    <t>Ottelu 59</t>
  </si>
  <si>
    <t>Ottelu 60</t>
  </si>
  <si>
    <t>Ottelu 61</t>
  </si>
  <si>
    <t>Ottelu 62</t>
  </si>
  <si>
    <t>Ottelu 63</t>
  </si>
  <si>
    <t>Ottelu 64</t>
  </si>
  <si>
    <t>Ottelu 65</t>
  </si>
  <si>
    <t>Ottelu 66</t>
  </si>
  <si>
    <t>Ottelu 67</t>
  </si>
  <si>
    <t>Ottelu 68</t>
  </si>
  <si>
    <t>Ottelu 69</t>
  </si>
  <si>
    <t>Ottelu 70</t>
  </si>
  <si>
    <t>Ottelu 71</t>
  </si>
  <si>
    <t>Ottelu 72</t>
  </si>
  <si>
    <t>Lohko 1</t>
  </si>
  <si>
    <t>Lohko 2</t>
  </si>
  <si>
    <t>Lohko 3</t>
  </si>
  <si>
    <t>Lohko 4</t>
  </si>
  <si>
    <t>Lohko 5</t>
  </si>
  <si>
    <t>Lohko 6</t>
  </si>
  <si>
    <t>Lohko 7</t>
  </si>
  <si>
    <t>Lohko 8</t>
  </si>
  <si>
    <t>Lohko 9</t>
  </si>
  <si>
    <t>Lohko 10</t>
  </si>
  <si>
    <t>Lohko 11</t>
  </si>
  <si>
    <t>Lohko 12</t>
  </si>
  <si>
    <t>Lohko 13</t>
  </si>
  <si>
    <t>Lohko 14</t>
  </si>
  <si>
    <t>Lohko 15</t>
  </si>
  <si>
    <t>Lohko 16</t>
  </si>
  <si>
    <t>Lohko 17</t>
  </si>
  <si>
    <t>Lohko 18</t>
  </si>
  <si>
    <t>Lohko 19</t>
  </si>
  <si>
    <t>Lohko 20</t>
  </si>
  <si>
    <t>Lohko 21</t>
  </si>
  <si>
    <t>Lohko 22</t>
  </si>
  <si>
    <t>Lohko 23</t>
  </si>
  <si>
    <t>Lohko 24</t>
  </si>
  <si>
    <t>Lohko 25</t>
  </si>
  <si>
    <t>Lohko 26</t>
  </si>
  <si>
    <t>Lohko 27</t>
  </si>
  <si>
    <t>Lohko 28</t>
  </si>
  <si>
    <t>Lohko 29</t>
  </si>
  <si>
    <t>Lohko 30</t>
  </si>
  <si>
    <t>Lohko 31</t>
  </si>
  <si>
    <t>Lohko 32</t>
  </si>
  <si>
    <t>Lohko 33</t>
  </si>
  <si>
    <t>Lohko 34</t>
  </si>
  <si>
    <t>Lohko 35</t>
  </si>
  <si>
    <t>Lohko 36</t>
  </si>
  <si>
    <t>Lohko 37</t>
  </si>
  <si>
    <t>Lohko 38</t>
  </si>
  <si>
    <t>Lohko 39</t>
  </si>
  <si>
    <t>Lohko 40</t>
  </si>
  <si>
    <t>Lohko 41</t>
  </si>
  <si>
    <t>Lohko 42</t>
  </si>
  <si>
    <t>Lohko 43</t>
  </si>
  <si>
    <t>Lohko 44</t>
  </si>
  <si>
    <t>Lohko 45</t>
  </si>
  <si>
    <t>Lohko 46</t>
  </si>
  <si>
    <t>Lohko 47</t>
  </si>
  <si>
    <t>Lohko 48</t>
  </si>
  <si>
    <t>Finalisti 1</t>
  </si>
  <si>
    <t>Finalisti 2</t>
  </si>
  <si>
    <t>Sijat 3-4 / 1</t>
  </si>
  <si>
    <t>Sijat 3-4 / 2</t>
  </si>
  <si>
    <t>PoHan Pullistus</t>
  </si>
  <si>
    <t>Profeetta Möttönen</t>
  </si>
  <si>
    <t>Etekä-Korea</t>
  </si>
  <si>
    <t>Ice Cold</t>
  </si>
  <si>
    <t xml:space="preserve"> | </t>
  </si>
  <si>
    <t>: |</t>
  </si>
  <si>
    <t>Eski66</t>
  </si>
  <si>
    <t>Equador</t>
  </si>
  <si>
    <t xml:space="preserve">Tunisia </t>
  </si>
  <si>
    <t>Etela-Afrikka</t>
  </si>
  <si>
    <t>Quatar</t>
  </si>
  <si>
    <t xml:space="preserve">Espanja </t>
  </si>
  <si>
    <t>Uruqay</t>
  </si>
  <si>
    <t>Eqypti</t>
  </si>
  <si>
    <t>Senegas</t>
  </si>
  <si>
    <t>Koingon DR</t>
  </si>
  <si>
    <t>T</t>
  </si>
  <si>
    <t>Ibaldo de Lima</t>
  </si>
  <si>
    <t>Qagar</t>
  </si>
  <si>
    <t>Uzkebistan</t>
  </si>
  <si>
    <t>Bosnia...</t>
  </si>
  <si>
    <t>Argenttiina</t>
  </si>
  <si>
    <t>Shampoo</t>
  </si>
  <si>
    <t>Teo ja Noel</t>
  </si>
  <si>
    <t>Tero H</t>
  </si>
  <si>
    <t>Bosnia-Hertsegovina</t>
  </si>
  <si>
    <t xml:space="preserve">Iran </t>
  </si>
  <si>
    <t>sveitsi</t>
  </si>
  <si>
    <t>Brasialia</t>
  </si>
  <si>
    <t>kanada</t>
  </si>
  <si>
    <t>qatar</t>
  </si>
  <si>
    <t>bosnia ja hertsegovina</t>
  </si>
  <si>
    <t>Uusi-seelanti</t>
  </si>
  <si>
    <t>Neyney</t>
  </si>
  <si>
    <t xml:space="preserve">Etelä Afrikka </t>
  </si>
  <si>
    <t>Bosnia ja hertsegovina</t>
  </si>
  <si>
    <t>Portugal</t>
  </si>
  <si>
    <t xml:space="preserve">Algeria </t>
  </si>
  <si>
    <t>Uusi seelanti</t>
  </si>
  <si>
    <t xml:space="preserve">Uzbekistan </t>
  </si>
  <si>
    <t xml:space="preserve">- </t>
  </si>
  <si>
    <t>Xhakku</t>
  </si>
  <si>
    <t>Suomaldinho</t>
  </si>
  <si>
    <t>Sipolovic</t>
  </si>
  <si>
    <t>Heinomar</t>
  </si>
  <si>
    <t>Agueero</t>
  </si>
  <si>
    <t>Marokki</t>
  </si>
  <si>
    <t>Rosaldo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</si>
</sst>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"/>
    <numFmt numFmtId="165" formatCode="d\.m\.;@"/>
    <numFmt numFmtId="166" formatCode="d\.m\."/>
  </numFmts>
  <fonts count="27">
    <font>
      <sz val="11"/>
      <color theme="1"/>
      <name val="Aptos Narrow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sz val="11"/>
      <name val="Carlito"/>
    </font>
    <font>
      <sz val="12"/>
      <color rgb="FF000000"/>
      <name val="Aptos Narrow"/>
      <family val="2"/>
    </font>
    <font>
      <b/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i/>
      <sz val="12"/>
      <color theme="1"/>
      <name val="Arial"/>
      <family val="2"/>
    </font>
    <font>
      <b/>
      <sz val="16"/>
      <color rgb="FFFFFFFF"/>
      <name val="Aptos Narrow"/>
      <family val="2"/>
    </font>
    <font>
      <i/>
      <sz val="11"/>
      <color theme="1"/>
      <name val="Aptos Narrow"/>
      <family val="2"/>
    </font>
    <font>
      <b/>
      <sz val="11"/>
      <color rgb="FFFFFFFF"/>
      <name val="Aptos Narrow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sz val="14"/>
      <name val="Arial"/>
      <family val="2"/>
    </font>
    <font>
      <sz val="12"/>
      <color rgb="FF000000"/>
      <name val="Calibri"/>
      <scheme val="minor"/>
    </font>
    <font>
      <sz val="12"/>
      <name val="Carlito"/>
    </font>
    <font>
      <b/>
      <u/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</font>
    <font>
      <sz val="12"/>
      <name val="Arial"/>
    </font>
  </fonts>
  <fills count="20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gray125">
        <bgColor indexed="9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8064A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27"/>
    <xf numFmtId="0" fontId="1" fillId="0" borderId="27"/>
    <xf numFmtId="0" fontId="7" fillId="0" borderId="27"/>
    <xf numFmtId="0" fontId="7" fillId="0" borderId="27"/>
    <xf numFmtId="0" fontId="8" fillId="0" borderId="27"/>
    <xf numFmtId="0" fontId="7" fillId="0" borderId="27"/>
    <xf numFmtId="0" fontId="17" fillId="0" borderId="27"/>
    <xf numFmtId="0" fontId="21" fillId="0" borderId="27"/>
    <xf numFmtId="0" fontId="24" fillId="0" borderId="27"/>
    <xf numFmtId="0" fontId="26" fillId="0" borderId="27"/>
  </cellStyleXfs>
  <cellXfs count="386">
    <xf numFmtId="0" fontId="0" fillId="0" borderId="0" xfId="0" applyBorder="1"/>
    <xf numFmtId="0" fontId="1" fillId="0" borderId="0" xfId="1" applyBorder="1"/>
    <xf numFmtId="0" fontId="1" fillId="2" borderId="0" xfId="1" applyFill="1" applyBorder="1" applyAlignment="1">
      <alignment horizontal="right"/>
    </xf>
    <xf numFmtId="164" fontId="1" fillId="2" borderId="0" xfId="1" applyNumberFormat="1" applyFill="1" applyBorder="1" applyAlignment="1">
      <alignment horizontal="center"/>
    </xf>
    <xf numFmtId="0" fontId="1" fillId="2" borderId="0" xfId="1" applyFill="1" applyBorder="1"/>
    <xf numFmtId="0" fontId="1" fillId="2" borderId="0" xfId="1" applyFill="1" applyBorder="1" applyAlignment="1">
      <alignment horizontal="center"/>
    </xf>
    <xf numFmtId="0" fontId="3" fillId="2" borderId="0" xfId="1" applyFont="1" applyFill="1" applyBorder="1" applyAlignment="1">
      <alignment horizontal="center"/>
    </xf>
    <xf numFmtId="0" fontId="3" fillId="2" borderId="0" xfId="1" applyFont="1" applyFill="1" applyBorder="1"/>
    <xf numFmtId="0" fontId="1" fillId="2" borderId="2" xfId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2" borderId="2" xfId="1" applyFill="1" applyBorder="1"/>
    <xf numFmtId="0" fontId="1" fillId="2" borderId="3" xfId="1" applyFill="1" applyBorder="1"/>
    <xf numFmtId="0" fontId="4" fillId="2" borderId="0" xfId="1" applyFont="1" applyFill="1" applyBorder="1" applyAlignment="1">
      <alignment horizontal="right"/>
    </xf>
    <xf numFmtId="0" fontId="2" fillId="2" borderId="0" xfId="1" applyFont="1" applyFill="1" applyBorder="1"/>
    <xf numFmtId="0" fontId="1" fillId="2" borderId="4" xfId="1" applyFill="1" applyBorder="1" applyAlignment="1">
      <alignment horizontal="center"/>
    </xf>
    <xf numFmtId="0" fontId="1" fillId="4" borderId="0" xfId="1" applyFill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1" fillId="5" borderId="5" xfId="1" applyFill="1" applyBorder="1"/>
    <xf numFmtId="0" fontId="1" fillId="5" borderId="6" xfId="1" applyFill="1" applyBorder="1"/>
    <xf numFmtId="0" fontId="5" fillId="2" borderId="0" xfId="1" applyFont="1" applyFill="1" applyBorder="1"/>
    <xf numFmtId="0" fontId="1" fillId="0" borderId="6" xfId="1" applyBorder="1"/>
    <xf numFmtId="0" fontId="1" fillId="0" borderId="5" xfId="1" applyBorder="1"/>
    <xf numFmtId="0" fontId="1" fillId="2" borderId="9" xfId="1" applyFill="1" applyBorder="1" applyAlignment="1">
      <alignment horizontal="center"/>
    </xf>
    <xf numFmtId="0" fontId="1" fillId="0" borderId="9" xfId="1" applyBorder="1" applyAlignment="1">
      <alignment horizontal="right"/>
    </xf>
    <xf numFmtId="0" fontId="1" fillId="3" borderId="10" xfId="1" applyFill="1" applyBorder="1" applyAlignment="1">
      <alignment horizontal="center"/>
    </xf>
    <xf numFmtId="0" fontId="1" fillId="2" borderId="10" xfId="1" applyFill="1" applyBorder="1" applyAlignment="1">
      <alignment horizontal="center"/>
    </xf>
    <xf numFmtId="0" fontId="1" fillId="2" borderId="11" xfId="1" applyFill="1" applyBorder="1" applyAlignment="1">
      <alignment horizont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1" fillId="0" borderId="9" xfId="1" applyBorder="1"/>
    <xf numFmtId="0" fontId="1" fillId="2" borderId="7" xfId="1" applyFill="1" applyBorder="1"/>
    <xf numFmtId="0" fontId="4" fillId="2" borderId="8" xfId="1" applyFont="1" applyFill="1" applyBorder="1" applyAlignment="1">
      <alignment horizontal="right"/>
    </xf>
    <xf numFmtId="164" fontId="5" fillId="2" borderId="0" xfId="1" applyNumberFormat="1" applyFont="1" applyFill="1" applyBorder="1"/>
    <xf numFmtId="164" fontId="2" fillId="2" borderId="0" xfId="1" applyNumberFormat="1" applyFont="1" applyFill="1" applyBorder="1" applyAlignment="1">
      <alignment horizontal="left"/>
    </xf>
    <xf numFmtId="164" fontId="3" fillId="2" borderId="0" xfId="1" applyNumberFormat="1" applyFont="1" applyFill="1" applyBorder="1" applyAlignment="1">
      <alignment horizontal="left"/>
    </xf>
    <xf numFmtId="165" fontId="1" fillId="4" borderId="9" xfId="1" applyNumberFormat="1" applyFill="1" applyBorder="1" applyAlignment="1">
      <alignment horizontal="left"/>
    </xf>
    <xf numFmtId="164" fontId="1" fillId="2" borderId="0" xfId="1" applyNumberFormat="1" applyFill="1" applyBorder="1" applyAlignment="1">
      <alignment horizontal="left"/>
    </xf>
    <xf numFmtId="0" fontId="1" fillId="2" borderId="0" xfId="1" applyFill="1" applyBorder="1" applyAlignment="1">
      <alignment horizontal="left"/>
    </xf>
    <xf numFmtId="0" fontId="6" fillId="7" borderId="0" xfId="4" applyFont="1" applyFill="1" applyBorder="1"/>
    <xf numFmtId="0" fontId="2" fillId="5" borderId="5" xfId="1" applyFont="1" applyFill="1" applyBorder="1" applyAlignment="1">
      <alignment horizontal="center"/>
    </xf>
    <xf numFmtId="0" fontId="2" fillId="5" borderId="6" xfId="1" applyFont="1" applyFill="1" applyBorder="1" applyAlignment="1">
      <alignment horizontal="center"/>
    </xf>
    <xf numFmtId="0" fontId="1" fillId="0" borderId="9" xfId="1" applyBorder="1" applyAlignment="1">
      <alignment horizontal="center"/>
    </xf>
    <xf numFmtId="0" fontId="10" fillId="7" borderId="0" xfId="4" applyFont="1" applyFill="1" applyBorder="1"/>
    <xf numFmtId="0" fontId="6" fillId="7" borderId="0" xfId="4" applyFont="1" applyFill="1" applyBorder="1" applyAlignment="1">
      <alignment horizontal="center"/>
    </xf>
    <xf numFmtId="0" fontId="6" fillId="7" borderId="0" xfId="4" applyFont="1" applyFill="1" applyBorder="1" applyAlignment="1">
      <alignment horizontal="right"/>
    </xf>
    <xf numFmtId="164" fontId="6" fillId="7" borderId="0" xfId="4" applyNumberFormat="1" applyFont="1" applyFill="1" applyBorder="1" applyAlignment="1">
      <alignment horizontal="left"/>
    </xf>
    <xf numFmtId="164" fontId="11" fillId="7" borderId="0" xfId="4" applyNumberFormat="1" applyFont="1" applyFill="1" applyBorder="1"/>
    <xf numFmtId="164" fontId="9" fillId="7" borderId="0" xfId="4" applyNumberFormat="1" applyFont="1" applyFill="1" applyBorder="1" applyAlignment="1">
      <alignment horizontal="left"/>
    </xf>
    <xf numFmtId="164" fontId="10" fillId="7" borderId="0" xfId="4" applyNumberFormat="1" applyFont="1" applyFill="1" applyBorder="1" applyAlignment="1">
      <alignment horizontal="left"/>
    </xf>
    <xf numFmtId="0" fontId="10" fillId="7" borderId="0" xfId="4" applyFont="1" applyFill="1" applyBorder="1" applyAlignment="1">
      <alignment horizontal="center"/>
    </xf>
    <xf numFmtId="0" fontId="11" fillId="7" borderId="0" xfId="4" applyFont="1" applyFill="1" applyBorder="1"/>
    <xf numFmtId="0" fontId="12" fillId="7" borderId="14" xfId="4" applyFont="1" applyFill="1" applyBorder="1" applyAlignment="1">
      <alignment horizontal="right"/>
    </xf>
    <xf numFmtId="166" fontId="6" fillId="6" borderId="15" xfId="4" applyNumberFormat="1" applyFont="1" applyFill="1" applyBorder="1" applyAlignment="1">
      <alignment horizontal="left"/>
    </xf>
    <xf numFmtId="0" fontId="6" fillId="7" borderId="15" xfId="4" applyFont="1" applyFill="1" applyBorder="1" applyAlignment="1">
      <alignment horizontal="center"/>
    </xf>
    <xf numFmtId="0" fontId="6" fillId="0" borderId="15" xfId="4" applyFont="1" applyBorder="1" applyAlignment="1">
      <alignment horizontal="right"/>
    </xf>
    <xf numFmtId="0" fontId="6" fillId="0" borderId="15" xfId="4" applyFont="1" applyBorder="1"/>
    <xf numFmtId="0" fontId="6" fillId="7" borderId="16" xfId="4" applyFont="1" applyFill="1" applyBorder="1"/>
    <xf numFmtId="0" fontId="6" fillId="7" borderId="17" xfId="4" applyFont="1" applyFill="1" applyBorder="1" applyAlignment="1">
      <alignment horizontal="center"/>
    </xf>
    <xf numFmtId="0" fontId="6" fillId="7" borderId="18" xfId="4" applyFont="1" applyFill="1" applyBorder="1" applyAlignment="1">
      <alignment horizontal="center"/>
    </xf>
    <xf numFmtId="0" fontId="6" fillId="6" borderId="0" xfId="4" applyFont="1" applyFill="1" applyBorder="1" applyAlignment="1">
      <alignment horizontal="center"/>
    </xf>
    <xf numFmtId="0" fontId="9" fillId="0" borderId="19" xfId="4" applyFont="1" applyBorder="1" applyAlignment="1">
      <alignment horizontal="center" vertical="center"/>
    </xf>
    <xf numFmtId="0" fontId="9" fillId="0" borderId="20" xfId="4" applyFont="1" applyBorder="1" applyAlignment="1">
      <alignment horizontal="center" vertical="center"/>
    </xf>
    <xf numFmtId="0" fontId="9" fillId="0" borderId="21" xfId="4" applyFont="1" applyBorder="1" applyAlignment="1">
      <alignment horizontal="center"/>
    </xf>
    <xf numFmtId="0" fontId="6" fillId="8" borderId="21" xfId="4" applyFont="1" applyFill="1" applyBorder="1"/>
    <xf numFmtId="0" fontId="9" fillId="0" borderId="22" xfId="4" applyFont="1" applyBorder="1" applyAlignment="1">
      <alignment horizontal="center"/>
    </xf>
    <xf numFmtId="0" fontId="6" fillId="8" borderId="22" xfId="4" applyFont="1" applyFill="1" applyBorder="1"/>
    <xf numFmtId="0" fontId="6" fillId="0" borderId="22" xfId="4" applyFont="1" applyBorder="1"/>
    <xf numFmtId="0" fontId="9" fillId="7" borderId="0" xfId="4" applyFont="1" applyFill="1" applyBorder="1"/>
    <xf numFmtId="0" fontId="6" fillId="0" borderId="21" xfId="4" applyFont="1" applyBorder="1"/>
    <xf numFmtId="0" fontId="6" fillId="7" borderId="23" xfId="4" applyFont="1" applyFill="1" applyBorder="1"/>
    <xf numFmtId="0" fontId="6" fillId="7" borderId="24" xfId="4" applyFont="1" applyFill="1" applyBorder="1" applyAlignment="1">
      <alignment horizontal="center"/>
    </xf>
    <xf numFmtId="0" fontId="6" fillId="7" borderId="25" xfId="4" applyFont="1" applyFill="1" applyBorder="1"/>
    <xf numFmtId="0" fontId="6" fillId="7" borderId="26" xfId="4" applyFont="1" applyFill="1" applyBorder="1" applyAlignment="1">
      <alignment horizontal="center"/>
    </xf>
    <xf numFmtId="0" fontId="12" fillId="7" borderId="0" xfId="4" applyFont="1" applyFill="1" applyBorder="1" applyAlignment="1">
      <alignment horizontal="right"/>
    </xf>
    <xf numFmtId="0" fontId="6" fillId="7" borderId="23" xfId="4" applyFont="1" applyFill="1" applyBorder="1" applyAlignment="1">
      <alignment horizontal="center"/>
    </xf>
    <xf numFmtId="164" fontId="6" fillId="7" borderId="0" xfId="4" applyNumberFormat="1" applyFont="1" applyFill="1" applyBorder="1" applyAlignment="1">
      <alignment horizontal="center"/>
    </xf>
    <xf numFmtId="0" fontId="6" fillId="7" borderId="0" xfId="4" applyFont="1" applyFill="1" applyBorder="1" applyAlignment="1">
      <alignment horizontal="left"/>
    </xf>
    <xf numFmtId="0" fontId="13" fillId="9" borderId="0" xfId="0" applyFont="1" applyFill="1" applyBorder="1"/>
    <xf numFmtId="0" fontId="14" fillId="0" borderId="0" xfId="0" applyFont="1" applyBorder="1" applyAlignment="1">
      <alignment wrapText="1"/>
    </xf>
    <xf numFmtId="0" fontId="15" fillId="10" borderId="0" xfId="0" applyFont="1" applyFill="1" applyBorder="1"/>
    <xf numFmtId="0" fontId="15" fillId="10" borderId="0" xfId="0" applyFont="1" applyFill="1" applyBorder="1" applyAlignment="1">
      <alignment horizontal="center"/>
    </xf>
    <xf numFmtId="0" fontId="13" fillId="9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14" fillId="0" borderId="0" xfId="0" applyFont="1" applyBorder="1" applyAlignment="1">
      <alignment vertical="center" wrapText="1"/>
    </xf>
    <xf numFmtId="0" fontId="15" fillId="10" borderId="0" xfId="0" applyFont="1" applyFill="1" applyBorder="1" applyAlignment="1">
      <alignment horizontal="center" vertical="center"/>
    </xf>
    <xf numFmtId="0" fontId="0" fillId="11" borderId="0" xfId="0" applyFill="1" applyBorder="1" applyAlignment="1">
      <alignment vertical="center"/>
    </xf>
    <xf numFmtId="0" fontId="15" fillId="10" borderId="0" xfId="0" applyFont="1" applyFill="1" applyBorder="1" applyAlignment="1">
      <alignment vertical="center"/>
    </xf>
    <xf numFmtId="0" fontId="13" fillId="12" borderId="0" xfId="0" applyFont="1" applyFill="1" applyBorder="1"/>
    <xf numFmtId="0" fontId="15" fillId="13" borderId="0" xfId="0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15" fillId="10" borderId="0" xfId="0" applyFont="1" applyFill="1" applyBorder="1" applyAlignment="1">
      <alignment wrapText="1"/>
    </xf>
    <xf numFmtId="1" fontId="0" fillId="11" borderId="0" xfId="0" applyNumberFormat="1" applyFill="1" applyBorder="1" applyAlignment="1">
      <alignment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left"/>
    </xf>
    <xf numFmtId="1" fontId="0" fillId="0" borderId="0" xfId="0" applyNumberFormat="1" applyBorder="1"/>
    <xf numFmtId="0" fontId="1" fillId="0" borderId="27" xfId="1"/>
    <xf numFmtId="0" fontId="1" fillId="14" borderId="27" xfId="1" applyFill="1" applyAlignment="1">
      <alignment horizontal="right"/>
    </xf>
    <xf numFmtId="164" fontId="17" fillId="14" borderId="27" xfId="1" applyNumberFormat="1" applyFont="1" applyFill="1" applyAlignment="1">
      <alignment horizontal="center"/>
    </xf>
    <xf numFmtId="0" fontId="1" fillId="14" borderId="27" xfId="1" applyFill="1"/>
    <xf numFmtId="0" fontId="1" fillId="14" borderId="27" xfId="1" applyFill="1" applyAlignment="1">
      <alignment horizontal="center"/>
    </xf>
    <xf numFmtId="0" fontId="18" fillId="14" borderId="27" xfId="1" applyFont="1" applyFill="1" applyAlignment="1">
      <alignment horizontal="center"/>
    </xf>
    <xf numFmtId="0" fontId="18" fillId="14" borderId="27" xfId="1" applyFont="1" applyFill="1"/>
    <xf numFmtId="0" fontId="1" fillId="14" borderId="2" xfId="1" applyFill="1" applyBorder="1" applyAlignment="1">
      <alignment horizontal="center"/>
    </xf>
    <xf numFmtId="0" fontId="1" fillId="14" borderId="1" xfId="1" applyFill="1" applyBorder="1" applyAlignment="1">
      <alignment horizontal="center"/>
    </xf>
    <xf numFmtId="0" fontId="1" fillId="14" borderId="2" xfId="1" applyFill="1" applyBorder="1"/>
    <xf numFmtId="0" fontId="1" fillId="14" borderId="3" xfId="1" applyFill="1" applyBorder="1"/>
    <xf numFmtId="0" fontId="19" fillId="14" borderId="27" xfId="1" applyFont="1" applyFill="1" applyAlignment="1">
      <alignment horizontal="right"/>
    </xf>
    <xf numFmtId="0" fontId="16" fillId="14" borderId="27" xfId="1" applyFont="1" applyFill="1"/>
    <xf numFmtId="0" fontId="1" fillId="14" borderId="4" xfId="1" applyFill="1" applyBorder="1" applyAlignment="1">
      <alignment horizontal="center"/>
    </xf>
    <xf numFmtId="0" fontId="1" fillId="15" borderId="27" xfId="1" applyFill="1" applyAlignment="1">
      <alignment horizontal="center"/>
    </xf>
    <xf numFmtId="0" fontId="16" fillId="0" borderId="5" xfId="1" applyFont="1" applyBorder="1" applyAlignment="1">
      <alignment horizontal="center"/>
    </xf>
    <xf numFmtId="0" fontId="16" fillId="0" borderId="6" xfId="1" applyFont="1" applyBorder="1" applyAlignment="1">
      <alignment horizontal="center"/>
    </xf>
    <xf numFmtId="0" fontId="1" fillId="16" borderId="5" xfId="1" applyFill="1" applyBorder="1"/>
    <xf numFmtId="0" fontId="1" fillId="16" borderId="6" xfId="1" applyFill="1" applyBorder="1"/>
    <xf numFmtId="0" fontId="20" fillId="14" borderId="27" xfId="1" applyFont="1" applyFill="1"/>
    <xf numFmtId="0" fontId="17" fillId="0" borderId="6" xfId="1" applyFont="1" applyBorder="1"/>
    <xf numFmtId="0" fontId="17" fillId="0" borderId="5" xfId="1" applyFont="1" applyBorder="1"/>
    <xf numFmtId="0" fontId="1" fillId="14" borderId="27" xfId="1" quotePrefix="1" applyFill="1" applyAlignment="1">
      <alignment horizontal="center"/>
    </xf>
    <xf numFmtId="0" fontId="1" fillId="14" borderId="9" xfId="1" applyFill="1" applyBorder="1" applyAlignment="1">
      <alignment horizontal="center"/>
    </xf>
    <xf numFmtId="0" fontId="1" fillId="14" borderId="10" xfId="1" applyFill="1" applyBorder="1" applyAlignment="1">
      <alignment horizontal="center"/>
    </xf>
    <xf numFmtId="0" fontId="1" fillId="14" borderId="11" xfId="1" applyFill="1" applyBorder="1" applyAlignment="1">
      <alignment horizontal="center"/>
    </xf>
    <xf numFmtId="0" fontId="1" fillId="14" borderId="7" xfId="1" applyFill="1" applyBorder="1"/>
    <xf numFmtId="0" fontId="19" fillId="14" borderId="8" xfId="1" applyFont="1" applyFill="1" applyBorder="1" applyAlignment="1">
      <alignment horizontal="right"/>
    </xf>
    <xf numFmtId="164" fontId="20" fillId="14" borderId="27" xfId="1" applyNumberFormat="1" applyFont="1" applyFill="1"/>
    <xf numFmtId="164" fontId="16" fillId="14" borderId="27" xfId="1" applyNumberFormat="1" applyFont="1" applyFill="1" applyAlignment="1">
      <alignment horizontal="left"/>
    </xf>
    <xf numFmtId="164" fontId="18" fillId="14" borderId="27" xfId="1" applyNumberFormat="1" applyFont="1" applyFill="1" applyAlignment="1">
      <alignment horizontal="left"/>
    </xf>
    <xf numFmtId="165" fontId="1" fillId="15" borderId="9" xfId="1" applyNumberFormat="1" applyFill="1" applyBorder="1" applyAlignment="1">
      <alignment horizontal="left"/>
    </xf>
    <xf numFmtId="164" fontId="1" fillId="14" borderId="27" xfId="1" applyNumberFormat="1" applyFill="1" applyAlignment="1">
      <alignment horizontal="left"/>
    </xf>
    <xf numFmtId="0" fontId="1" fillId="14" borderId="27" xfId="1" applyFill="1" applyAlignment="1">
      <alignment horizontal="left"/>
    </xf>
    <xf numFmtId="0" fontId="1" fillId="16" borderId="6" xfId="1" applyFill="1" applyBorder="1" applyAlignment="1">
      <alignment wrapText="1"/>
    </xf>
    <xf numFmtId="0" fontId="16" fillId="0" borderId="12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7" fillId="0" borderId="27" xfId="6"/>
    <xf numFmtId="0" fontId="17" fillId="14" borderId="27" xfId="6" applyFill="1" applyAlignment="1">
      <alignment horizontal="right"/>
    </xf>
    <xf numFmtId="164" fontId="17" fillId="14" borderId="27" xfId="6" applyNumberFormat="1" applyFill="1" applyAlignment="1">
      <alignment horizontal="center"/>
    </xf>
    <xf numFmtId="0" fontId="17" fillId="14" borderId="27" xfId="6" applyFill="1"/>
    <xf numFmtId="0" fontId="17" fillId="14" borderId="27" xfId="6" applyFill="1" applyAlignment="1">
      <alignment horizontal="center"/>
    </xf>
    <xf numFmtId="0" fontId="18" fillId="14" borderId="27" xfId="6" applyFont="1" applyFill="1" applyAlignment="1">
      <alignment horizontal="center"/>
    </xf>
    <xf numFmtId="0" fontId="18" fillId="14" borderId="27" xfId="6" applyFont="1" applyFill="1"/>
    <xf numFmtId="0" fontId="17" fillId="14" borderId="2" xfId="6" applyFill="1" applyBorder="1" applyAlignment="1">
      <alignment horizontal="center"/>
    </xf>
    <xf numFmtId="0" fontId="17" fillId="14" borderId="1" xfId="6" applyFill="1" applyBorder="1" applyAlignment="1">
      <alignment horizontal="center"/>
    </xf>
    <xf numFmtId="0" fontId="17" fillId="14" borderId="2" xfId="6" applyFill="1" applyBorder="1"/>
    <xf numFmtId="0" fontId="17" fillId="14" borderId="3" xfId="6" applyFill="1" applyBorder="1"/>
    <xf numFmtId="0" fontId="19" fillId="14" borderId="27" xfId="6" applyFont="1" applyFill="1" applyAlignment="1">
      <alignment horizontal="right"/>
    </xf>
    <xf numFmtId="0" fontId="16" fillId="14" borderId="27" xfId="6" applyFont="1" applyFill="1"/>
    <xf numFmtId="0" fontId="17" fillId="14" borderId="4" xfId="6" applyFill="1" applyBorder="1" applyAlignment="1">
      <alignment horizontal="center"/>
    </xf>
    <xf numFmtId="0" fontId="17" fillId="15" borderId="27" xfId="6" applyFill="1" applyAlignment="1">
      <alignment horizontal="center"/>
    </xf>
    <xf numFmtId="0" fontId="16" fillId="0" borderId="5" xfId="6" applyFont="1" applyBorder="1" applyAlignment="1">
      <alignment horizontal="center"/>
    </xf>
    <xf numFmtId="0" fontId="16" fillId="0" borderId="6" xfId="6" applyFont="1" applyBorder="1" applyAlignment="1">
      <alignment horizontal="center"/>
    </xf>
    <xf numFmtId="0" fontId="17" fillId="16" borderId="5" xfId="6" applyFill="1" applyBorder="1"/>
    <xf numFmtId="0" fontId="17" fillId="16" borderId="6" xfId="6" applyFill="1" applyBorder="1"/>
    <xf numFmtId="0" fontId="20" fillId="14" borderId="27" xfId="6" applyFont="1" applyFill="1"/>
    <xf numFmtId="0" fontId="17" fillId="0" borderId="6" xfId="6" applyBorder="1"/>
    <xf numFmtId="0" fontId="17" fillId="0" borderId="5" xfId="6" applyBorder="1"/>
    <xf numFmtId="0" fontId="17" fillId="14" borderId="27" xfId="6" quotePrefix="1" applyFill="1" applyAlignment="1">
      <alignment horizontal="center"/>
    </xf>
    <xf numFmtId="0" fontId="17" fillId="14" borderId="9" xfId="6" applyFill="1" applyBorder="1" applyAlignment="1">
      <alignment horizontal="center"/>
    </xf>
    <xf numFmtId="0" fontId="17" fillId="0" borderId="9" xfId="6" applyBorder="1" applyAlignment="1">
      <alignment horizontal="right"/>
    </xf>
    <xf numFmtId="0" fontId="17" fillId="3" borderId="10" xfId="6" applyFill="1" applyBorder="1" applyAlignment="1">
      <alignment horizontal="center"/>
    </xf>
    <xf numFmtId="0" fontId="17" fillId="14" borderId="10" xfId="6" applyFill="1" applyBorder="1" applyAlignment="1">
      <alignment horizontal="center"/>
    </xf>
    <xf numFmtId="0" fontId="17" fillId="14" borderId="11" xfId="6" applyFill="1" applyBorder="1" applyAlignment="1">
      <alignment horizontal="center"/>
    </xf>
    <xf numFmtId="0" fontId="16" fillId="0" borderId="12" xfId="6" applyFont="1" applyBorder="1" applyAlignment="1">
      <alignment horizontal="center" vertical="center"/>
    </xf>
    <xf numFmtId="0" fontId="16" fillId="0" borderId="13" xfId="6" applyFont="1" applyBorder="1" applyAlignment="1">
      <alignment horizontal="center" vertical="center"/>
    </xf>
    <xf numFmtId="0" fontId="17" fillId="0" borderId="9" xfId="6" applyBorder="1"/>
    <xf numFmtId="0" fontId="17" fillId="14" borderId="7" xfId="6" applyFill="1" applyBorder="1"/>
    <xf numFmtId="0" fontId="19" fillId="14" borderId="8" xfId="6" applyFont="1" applyFill="1" applyBorder="1" applyAlignment="1">
      <alignment horizontal="right"/>
    </xf>
    <xf numFmtId="164" fontId="20" fillId="14" borderId="27" xfId="6" applyNumberFormat="1" applyFont="1" applyFill="1"/>
    <xf numFmtId="164" fontId="16" fillId="14" borderId="27" xfId="6" applyNumberFormat="1" applyFont="1" applyFill="1" applyAlignment="1">
      <alignment horizontal="left"/>
    </xf>
    <xf numFmtId="164" fontId="18" fillId="14" borderId="27" xfId="6" applyNumberFormat="1" applyFont="1" applyFill="1" applyAlignment="1">
      <alignment horizontal="left"/>
    </xf>
    <xf numFmtId="165" fontId="17" fillId="15" borderId="9" xfId="6" applyNumberFormat="1" applyFill="1" applyBorder="1" applyAlignment="1">
      <alignment horizontal="left"/>
    </xf>
    <xf numFmtId="164" fontId="17" fillId="14" borderId="27" xfId="6" applyNumberFormat="1" applyFill="1" applyAlignment="1">
      <alignment horizontal="left"/>
    </xf>
    <xf numFmtId="0" fontId="17" fillId="14" borderId="27" xfId="6" applyFill="1" applyAlignment="1">
      <alignment horizontal="left"/>
    </xf>
    <xf numFmtId="0" fontId="0" fillId="14" borderId="27" xfId="0" applyFill="1" applyAlignment="1">
      <alignment horizontal="right"/>
    </xf>
    <xf numFmtId="164" fontId="1" fillId="14" borderId="27" xfId="0" applyNumberFormat="1" applyFont="1" applyFill="1" applyAlignment="1">
      <alignment horizontal="left"/>
    </xf>
    <xf numFmtId="0" fontId="0" fillId="14" borderId="27" xfId="0" applyFill="1"/>
    <xf numFmtId="0" fontId="0" fillId="14" borderId="27" xfId="0" applyFill="1" applyAlignment="1">
      <alignment horizontal="center"/>
    </xf>
    <xf numFmtId="164" fontId="5" fillId="14" borderId="27" xfId="0" applyNumberFormat="1" applyFont="1" applyFill="1"/>
    <xf numFmtId="164" fontId="2" fillId="14" borderId="27" xfId="0" applyNumberFormat="1" applyFont="1" applyFill="1" applyAlignment="1">
      <alignment horizontal="left"/>
    </xf>
    <xf numFmtId="164" fontId="18" fillId="14" borderId="27" xfId="0" applyNumberFormat="1" applyFont="1" applyFill="1" applyAlignment="1">
      <alignment horizontal="left"/>
    </xf>
    <xf numFmtId="0" fontId="18" fillId="14" borderId="27" xfId="0" applyFont="1" applyFill="1" applyAlignment="1">
      <alignment horizontal="center"/>
    </xf>
    <xf numFmtId="0" fontId="18" fillId="14" borderId="27" xfId="0" applyFont="1" applyFill="1"/>
    <xf numFmtId="0" fontId="5" fillId="14" borderId="27" xfId="0" applyFont="1" applyFill="1"/>
    <xf numFmtId="0" fontId="4" fillId="14" borderId="8" xfId="0" applyFont="1" applyFill="1" applyBorder="1" applyAlignment="1">
      <alignment horizontal="right"/>
    </xf>
    <xf numFmtId="165" fontId="0" fillId="15" borderId="9" xfId="0" applyNumberFormat="1" applyFill="1" applyBorder="1" applyAlignment="1">
      <alignment horizontal="left"/>
    </xf>
    <xf numFmtId="0" fontId="0" fillId="14" borderId="9" xfId="0" applyFill="1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9" xfId="0" applyBorder="1"/>
    <xf numFmtId="0" fontId="0" fillId="14" borderId="7" xfId="0" applyFill="1" applyBorder="1"/>
    <xf numFmtId="0" fontId="0" fillId="3" borderId="10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5" borderId="27" xfId="0" applyFill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0" fillId="16" borderId="5" xfId="0" applyFill="1" applyBorder="1"/>
    <xf numFmtId="0" fontId="2" fillId="0" borderId="6" xfId="0" applyFont="1" applyBorder="1" applyAlignment="1">
      <alignment horizontal="center"/>
    </xf>
    <xf numFmtId="0" fontId="0" fillId="16" borderId="6" xfId="0" applyFill="1" applyBorder="1"/>
    <xf numFmtId="0" fontId="1" fillId="0" borderId="6" xfId="0" applyFont="1" applyBorder="1"/>
    <xf numFmtId="0" fontId="2" fillId="14" borderId="27" xfId="0" applyFont="1" applyFill="1"/>
    <xf numFmtId="0" fontId="1" fillId="0" borderId="5" xfId="0" applyFont="1" applyBorder="1"/>
    <xf numFmtId="0" fontId="0" fillId="14" borderId="2" xfId="0" applyFill="1" applyBorder="1"/>
    <xf numFmtId="0" fontId="0" fillId="14" borderId="27" xfId="0" quotePrefix="1" applyFill="1" applyAlignment="1">
      <alignment horizontal="center"/>
    </xf>
    <xf numFmtId="0" fontId="0" fillId="14" borderId="4" xfId="0" applyFill="1" applyBorder="1" applyAlignment="1">
      <alignment horizontal="center"/>
    </xf>
    <xf numFmtId="164" fontId="0" fillId="14" borderId="27" xfId="0" applyNumberFormat="1" applyFill="1" applyAlignment="1">
      <alignment horizontal="left"/>
    </xf>
    <xf numFmtId="0" fontId="0" fillId="14" borderId="3" xfId="0" applyFill="1" applyBorder="1"/>
    <xf numFmtId="0" fontId="0" fillId="14" borderId="1" xfId="0" applyFill="1" applyBorder="1" applyAlignment="1">
      <alignment horizontal="center"/>
    </xf>
    <xf numFmtId="0" fontId="4" fillId="14" borderId="27" xfId="0" applyFont="1" applyFill="1" applyAlignment="1">
      <alignment horizontal="right"/>
    </xf>
    <xf numFmtId="0" fontId="0" fillId="14" borderId="2" xfId="0" applyFill="1" applyBorder="1" applyAlignment="1">
      <alignment horizontal="center"/>
    </xf>
    <xf numFmtId="164" fontId="1" fillId="14" borderId="27" xfId="0" applyNumberFormat="1" applyFont="1" applyFill="1" applyAlignment="1">
      <alignment horizontal="center"/>
    </xf>
    <xf numFmtId="0" fontId="0" fillId="14" borderId="27" xfId="0" applyFill="1" applyAlignment="1">
      <alignment horizontal="left"/>
    </xf>
    <xf numFmtId="164" fontId="1" fillId="14" borderId="27" xfId="1" applyNumberFormat="1" applyFill="1" applyAlignment="1">
      <alignment horizontal="center"/>
    </xf>
    <xf numFmtId="0" fontId="4" fillId="14" borderId="27" xfId="1" applyFont="1" applyFill="1" applyAlignment="1">
      <alignment horizontal="right"/>
    </xf>
    <xf numFmtId="0" fontId="2" fillId="14" borderId="27" xfId="1" applyFont="1" applyFill="1"/>
    <xf numFmtId="0" fontId="5" fillId="14" borderId="27" xfId="1" applyFont="1" applyFill="1"/>
    <xf numFmtId="0" fontId="4" fillId="14" borderId="8" xfId="1" applyFont="1" applyFill="1" applyBorder="1" applyAlignment="1">
      <alignment horizontal="right"/>
    </xf>
    <xf numFmtId="164" fontId="5" fillId="14" borderId="27" xfId="1" applyNumberFormat="1" applyFont="1" applyFill="1"/>
    <xf numFmtId="164" fontId="2" fillId="14" borderId="27" xfId="1" applyNumberFormat="1" applyFont="1" applyFill="1" applyAlignment="1">
      <alignment horizontal="left"/>
    </xf>
    <xf numFmtId="0" fontId="6" fillId="18" borderId="27" xfId="7" applyFont="1" applyFill="1"/>
    <xf numFmtId="0" fontId="23" fillId="18" borderId="27" xfId="7" applyFont="1" applyFill="1"/>
    <xf numFmtId="0" fontId="6" fillId="18" borderId="27" xfId="7" applyFont="1" applyFill="1" applyAlignment="1">
      <alignment horizontal="center"/>
    </xf>
    <xf numFmtId="0" fontId="6" fillId="18" borderId="27" xfId="7" applyFont="1" applyFill="1" applyAlignment="1">
      <alignment horizontal="right"/>
    </xf>
    <xf numFmtId="164" fontId="6" fillId="18" borderId="27" xfId="7" applyNumberFormat="1" applyFont="1" applyFill="1" applyAlignment="1">
      <alignment horizontal="left"/>
    </xf>
    <xf numFmtId="164" fontId="11" fillId="18" borderId="27" xfId="7" applyNumberFormat="1" applyFont="1" applyFill="1"/>
    <xf numFmtId="164" fontId="9" fillId="18" borderId="27" xfId="7" applyNumberFormat="1" applyFont="1" applyFill="1" applyAlignment="1">
      <alignment horizontal="left"/>
    </xf>
    <xf numFmtId="164" fontId="23" fillId="18" borderId="27" xfId="7" applyNumberFormat="1" applyFont="1" applyFill="1" applyAlignment="1">
      <alignment horizontal="left"/>
    </xf>
    <xf numFmtId="0" fontId="23" fillId="18" borderId="27" xfId="7" applyFont="1" applyFill="1" applyAlignment="1">
      <alignment horizontal="center"/>
    </xf>
    <xf numFmtId="0" fontId="11" fillId="18" borderId="27" xfId="7" applyFont="1" applyFill="1"/>
    <xf numFmtId="0" fontId="12" fillId="18" borderId="14" xfId="7" applyFont="1" applyFill="1" applyBorder="1" applyAlignment="1">
      <alignment horizontal="right"/>
    </xf>
    <xf numFmtId="166" fontId="6" fillId="17" borderId="15" xfId="7" applyNumberFormat="1" applyFont="1" applyFill="1" applyBorder="1" applyAlignment="1">
      <alignment horizontal="left"/>
    </xf>
    <xf numFmtId="0" fontId="6" fillId="18" borderId="15" xfId="7" applyFont="1" applyFill="1" applyBorder="1" applyAlignment="1">
      <alignment horizontal="center"/>
    </xf>
    <xf numFmtId="0" fontId="6" fillId="0" borderId="15" xfId="7" applyFont="1" applyBorder="1" applyAlignment="1">
      <alignment horizontal="right"/>
    </xf>
    <xf numFmtId="0" fontId="6" fillId="0" borderId="15" xfId="7" applyFont="1" applyBorder="1"/>
    <xf numFmtId="0" fontId="6" fillId="18" borderId="16" xfId="7" applyFont="1" applyFill="1" applyBorder="1"/>
    <xf numFmtId="0" fontId="6" fillId="18" borderId="17" xfId="7" applyFont="1" applyFill="1" applyBorder="1" applyAlignment="1">
      <alignment horizontal="center"/>
    </xf>
    <xf numFmtId="0" fontId="6" fillId="18" borderId="18" xfId="7" applyFont="1" applyFill="1" applyBorder="1" applyAlignment="1">
      <alignment horizontal="center"/>
    </xf>
    <xf numFmtId="0" fontId="6" fillId="17" borderId="27" xfId="7" applyFont="1" applyFill="1" applyAlignment="1">
      <alignment horizontal="center"/>
    </xf>
    <xf numFmtId="0" fontId="9" fillId="0" borderId="19" xfId="7" applyFont="1" applyBorder="1" applyAlignment="1">
      <alignment horizontal="center" vertical="center"/>
    </xf>
    <xf numFmtId="0" fontId="9" fillId="0" borderId="20" xfId="7" applyFont="1" applyBorder="1" applyAlignment="1">
      <alignment horizontal="center" vertical="center"/>
    </xf>
    <xf numFmtId="0" fontId="9" fillId="0" borderId="21" xfId="7" applyFont="1" applyBorder="1" applyAlignment="1">
      <alignment horizontal="center"/>
    </xf>
    <xf numFmtId="0" fontId="9" fillId="0" borderId="22" xfId="7" applyFont="1" applyBorder="1" applyAlignment="1">
      <alignment horizontal="center"/>
    </xf>
    <xf numFmtId="0" fontId="6" fillId="0" borderId="22" xfId="7" applyFont="1" applyBorder="1"/>
    <xf numFmtId="0" fontId="9" fillId="18" borderId="27" xfId="7" applyFont="1" applyFill="1"/>
    <xf numFmtId="0" fontId="6" fillId="0" borderId="21" xfId="7" applyFont="1" applyBorder="1"/>
    <xf numFmtId="0" fontId="6" fillId="18" borderId="23" xfId="7" applyFont="1" applyFill="1" applyBorder="1"/>
    <xf numFmtId="0" fontId="6" fillId="18" borderId="27" xfId="7" quotePrefix="1" applyFont="1" applyFill="1" applyAlignment="1">
      <alignment horizontal="center"/>
    </xf>
    <xf numFmtId="0" fontId="6" fillId="18" borderId="24" xfId="7" applyFont="1" applyFill="1" applyBorder="1" applyAlignment="1">
      <alignment horizontal="center"/>
    </xf>
    <xf numFmtId="0" fontId="6" fillId="18" borderId="25" xfId="7" applyFont="1" applyFill="1" applyBorder="1"/>
    <xf numFmtId="0" fontId="6" fillId="18" borderId="26" xfId="7" applyFont="1" applyFill="1" applyBorder="1" applyAlignment="1">
      <alignment horizontal="center"/>
    </xf>
    <xf numFmtId="0" fontId="12" fillId="18" borderId="27" xfId="7" applyFont="1" applyFill="1" applyAlignment="1">
      <alignment horizontal="right"/>
    </xf>
    <xf numFmtId="0" fontId="6" fillId="18" borderId="23" xfId="7" applyFont="1" applyFill="1" applyBorder="1" applyAlignment="1">
      <alignment horizontal="center"/>
    </xf>
    <xf numFmtId="164" fontId="6" fillId="18" borderId="27" xfId="7" applyNumberFormat="1" applyFont="1" applyFill="1" applyAlignment="1">
      <alignment horizontal="center"/>
    </xf>
    <xf numFmtId="0" fontId="6" fillId="18" borderId="27" xfId="7" applyFont="1" applyFill="1" applyAlignment="1">
      <alignment horizontal="left"/>
    </xf>
    <xf numFmtId="0" fontId="1" fillId="18" borderId="27" xfId="8" applyFont="1" applyFill="1"/>
    <xf numFmtId="0" fontId="18" fillId="18" borderId="27" xfId="8" applyFont="1" applyFill="1"/>
    <xf numFmtId="0" fontId="1" fillId="18" borderId="27" xfId="8" applyFont="1" applyFill="1" applyAlignment="1">
      <alignment horizontal="center"/>
    </xf>
    <xf numFmtId="0" fontId="1" fillId="18" borderId="27" xfId="8" applyFont="1" applyFill="1" applyAlignment="1">
      <alignment horizontal="right"/>
    </xf>
    <xf numFmtId="164" fontId="1" fillId="18" borderId="27" xfId="8" applyNumberFormat="1" applyFont="1" applyFill="1" applyAlignment="1">
      <alignment horizontal="left"/>
    </xf>
    <xf numFmtId="164" fontId="5" fillId="18" borderId="27" xfId="8" applyNumberFormat="1" applyFont="1" applyFill="1"/>
    <xf numFmtId="164" fontId="2" fillId="18" borderId="27" xfId="8" applyNumberFormat="1" applyFont="1" applyFill="1" applyAlignment="1">
      <alignment horizontal="left"/>
    </xf>
    <xf numFmtId="164" fontId="18" fillId="18" borderId="27" xfId="8" applyNumberFormat="1" applyFont="1" applyFill="1" applyAlignment="1">
      <alignment horizontal="left"/>
    </xf>
    <xf numFmtId="0" fontId="18" fillId="18" borderId="27" xfId="8" applyFont="1" applyFill="1" applyAlignment="1">
      <alignment horizontal="center"/>
    </xf>
    <xf numFmtId="0" fontId="5" fillId="18" borderId="27" xfId="8" applyFont="1" applyFill="1"/>
    <xf numFmtId="0" fontId="4" fillId="18" borderId="14" xfId="8" applyFont="1" applyFill="1" applyBorder="1" applyAlignment="1">
      <alignment horizontal="right"/>
    </xf>
    <xf numFmtId="166" fontId="1" fillId="0" borderId="15" xfId="8" applyNumberFormat="1" applyFont="1" applyBorder="1" applyAlignment="1">
      <alignment horizontal="left"/>
    </xf>
    <xf numFmtId="0" fontId="1" fillId="18" borderId="15" xfId="8" applyFont="1" applyFill="1" applyBorder="1" applyAlignment="1">
      <alignment horizontal="center"/>
    </xf>
    <xf numFmtId="0" fontId="1" fillId="0" borderId="15" xfId="8" applyFont="1" applyBorder="1" applyAlignment="1">
      <alignment horizontal="right"/>
    </xf>
    <xf numFmtId="0" fontId="1" fillId="0" borderId="15" xfId="8" applyFont="1" applyBorder="1"/>
    <xf numFmtId="0" fontId="1" fillId="18" borderId="16" xfId="8" applyFont="1" applyFill="1" applyBorder="1"/>
    <xf numFmtId="0" fontId="1" fillId="18" borderId="17" xfId="8" applyFont="1" applyFill="1" applyBorder="1" applyAlignment="1">
      <alignment horizontal="center"/>
    </xf>
    <xf numFmtId="0" fontId="1" fillId="18" borderId="18" xfId="8" applyFont="1" applyFill="1" applyBorder="1" applyAlignment="1">
      <alignment horizontal="center"/>
    </xf>
    <xf numFmtId="0" fontId="1" fillId="0" borderId="27" xfId="8" applyFont="1" applyAlignment="1">
      <alignment horizontal="center"/>
    </xf>
    <xf numFmtId="0" fontId="2" fillId="0" borderId="19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21" xfId="8" applyFont="1" applyBorder="1" applyAlignment="1">
      <alignment horizontal="center"/>
    </xf>
    <xf numFmtId="0" fontId="2" fillId="0" borderId="22" xfId="8" applyFont="1" applyBorder="1" applyAlignment="1">
      <alignment horizontal="center"/>
    </xf>
    <xf numFmtId="0" fontId="1" fillId="0" borderId="22" xfId="8" applyFont="1" applyBorder="1"/>
    <xf numFmtId="0" fontId="2" fillId="18" borderId="27" xfId="8" applyFont="1" applyFill="1"/>
    <xf numFmtId="0" fontId="1" fillId="0" borderId="21" xfId="8" applyFont="1" applyBorder="1"/>
    <xf numFmtId="0" fontId="1" fillId="18" borderId="23" xfId="8" applyFont="1" applyFill="1" applyBorder="1"/>
    <xf numFmtId="0" fontId="1" fillId="18" borderId="27" xfId="8" quotePrefix="1" applyFont="1" applyFill="1" applyAlignment="1">
      <alignment horizontal="center"/>
    </xf>
    <xf numFmtId="0" fontId="1" fillId="18" borderId="24" xfId="8" applyFont="1" applyFill="1" applyBorder="1" applyAlignment="1">
      <alignment horizontal="center"/>
    </xf>
    <xf numFmtId="0" fontId="1" fillId="18" borderId="25" xfId="8" applyFont="1" applyFill="1" applyBorder="1"/>
    <xf numFmtId="0" fontId="1" fillId="18" borderId="26" xfId="8" applyFont="1" applyFill="1" applyBorder="1" applyAlignment="1">
      <alignment horizontal="center"/>
    </xf>
    <xf numFmtId="0" fontId="4" fillId="18" borderId="27" xfId="8" applyFont="1" applyFill="1" applyAlignment="1">
      <alignment horizontal="right"/>
    </xf>
    <xf numFmtId="0" fontId="1" fillId="18" borderId="23" xfId="8" applyFont="1" applyFill="1" applyBorder="1" applyAlignment="1">
      <alignment horizontal="center"/>
    </xf>
    <xf numFmtId="164" fontId="1" fillId="18" borderId="27" xfId="8" applyNumberFormat="1" applyFont="1" applyFill="1" applyAlignment="1">
      <alignment horizontal="center"/>
    </xf>
    <xf numFmtId="0" fontId="1" fillId="18" borderId="27" xfId="8" applyFont="1" applyFill="1" applyAlignment="1">
      <alignment horizontal="left"/>
    </xf>
    <xf numFmtId="0" fontId="1" fillId="19" borderId="21" xfId="8" applyFont="1" applyFill="1" applyBorder="1"/>
    <xf numFmtId="0" fontId="1" fillId="19" borderId="22" xfId="8" applyFont="1" applyFill="1" applyBorder="1"/>
    <xf numFmtId="0" fontId="6" fillId="19" borderId="21" xfId="7" applyFont="1" applyFill="1" applyBorder="1"/>
    <xf numFmtId="0" fontId="6" fillId="19" borderId="22" xfId="7" applyFont="1" applyFill="1" applyBorder="1"/>
    <xf numFmtId="0" fontId="1" fillId="2" borderId="28" xfId="1" applyFill="1" applyBorder="1"/>
    <xf numFmtId="0" fontId="0" fillId="0" borderId="28" xfId="0" applyBorder="1"/>
    <xf numFmtId="0" fontId="6" fillId="7" borderId="29" xfId="4" applyFont="1" applyFill="1" applyBorder="1"/>
    <xf numFmtId="0" fontId="0" fillId="0" borderId="29" xfId="0" applyBorder="1"/>
    <xf numFmtId="0" fontId="1" fillId="14" borderId="28" xfId="1" applyFill="1" applyBorder="1"/>
    <xf numFmtId="0" fontId="1" fillId="0" borderId="28" xfId="1" applyBorder="1"/>
    <xf numFmtId="0" fontId="17" fillId="14" borderId="28" xfId="6" applyFill="1" applyBorder="1"/>
    <xf numFmtId="0" fontId="17" fillId="0" borderId="28" xfId="6" applyBorder="1"/>
    <xf numFmtId="0" fontId="1" fillId="14" borderId="28" xfId="6" applyFont="1" applyFill="1" applyBorder="1"/>
    <xf numFmtId="0" fontId="1" fillId="14" borderId="28" xfId="0" applyFont="1" applyFill="1" applyBorder="1"/>
    <xf numFmtId="0" fontId="6" fillId="18" borderId="29" xfId="7" applyFont="1" applyFill="1" applyBorder="1"/>
    <xf numFmtId="0" fontId="22" fillId="0" borderId="29" xfId="7" applyFont="1" applyBorder="1"/>
    <xf numFmtId="0" fontId="1" fillId="18" borderId="29" xfId="8" applyFont="1" applyFill="1" applyBorder="1"/>
    <xf numFmtId="0" fontId="25" fillId="0" borderId="29" xfId="8" applyFont="1" applyBorder="1"/>
    <xf numFmtId="0" fontId="26" fillId="0" borderId="28" xfId="9" applyBorder="1"/>
    <xf numFmtId="0" fontId="26" fillId="14" borderId="28" xfId="9" applyFill="1" applyBorder="1"/>
    <xf numFmtId="0" fontId="26" fillId="0" borderId="27" xfId="9"/>
    <xf numFmtId="0" fontId="26" fillId="14" borderId="27" xfId="9" applyFill="1" applyAlignment="1">
      <alignment horizontal="right"/>
    </xf>
    <xf numFmtId="164" fontId="1" fillId="14" borderId="27" xfId="9" applyNumberFormat="1" applyFont="1" applyFill="1" applyAlignment="1">
      <alignment horizontal="center"/>
    </xf>
    <xf numFmtId="0" fontId="26" fillId="14" borderId="27" xfId="9" applyFill="1"/>
    <xf numFmtId="0" fontId="26" fillId="14" borderId="27" xfId="9" applyFill="1" applyAlignment="1">
      <alignment horizontal="center"/>
    </xf>
    <xf numFmtId="0" fontId="18" fillId="14" borderId="27" xfId="9" applyFont="1" applyFill="1" applyAlignment="1">
      <alignment horizontal="center"/>
    </xf>
    <xf numFmtId="0" fontId="18" fillId="14" borderId="27" xfId="9" applyFont="1" applyFill="1"/>
    <xf numFmtId="0" fontId="26" fillId="14" borderId="2" xfId="9" applyFill="1" applyBorder="1" applyAlignment="1">
      <alignment horizontal="center"/>
    </xf>
    <xf numFmtId="0" fontId="26" fillId="14" borderId="1" xfId="9" applyFill="1" applyBorder="1" applyAlignment="1">
      <alignment horizontal="center"/>
    </xf>
    <xf numFmtId="0" fontId="26" fillId="14" borderId="2" xfId="9" applyFill="1" applyBorder="1"/>
    <xf numFmtId="0" fontId="26" fillId="14" borderId="3" xfId="9" applyFill="1" applyBorder="1"/>
    <xf numFmtId="0" fontId="4" fillId="14" borderId="27" xfId="9" applyFont="1" applyFill="1" applyAlignment="1">
      <alignment horizontal="right"/>
    </xf>
    <xf numFmtId="0" fontId="2" fillId="14" borderId="27" xfId="9" applyFont="1" applyFill="1"/>
    <xf numFmtId="0" fontId="26" fillId="14" borderId="4" xfId="9" applyFill="1" applyBorder="1" applyAlignment="1">
      <alignment horizontal="center"/>
    </xf>
    <xf numFmtId="0" fontId="26" fillId="15" borderId="27" xfId="9" applyFill="1" applyAlignment="1">
      <alignment horizontal="center"/>
    </xf>
    <xf numFmtId="0" fontId="2" fillId="0" borderId="5" xfId="9" applyFont="1" applyBorder="1" applyAlignment="1">
      <alignment horizontal="center"/>
    </xf>
    <xf numFmtId="0" fontId="2" fillId="0" borderId="6" xfId="9" applyFont="1" applyBorder="1" applyAlignment="1">
      <alignment horizontal="center"/>
    </xf>
    <xf numFmtId="0" fontId="26" fillId="16" borderId="5" xfId="9" applyFill="1" applyBorder="1"/>
    <xf numFmtId="0" fontId="26" fillId="16" borderId="6" xfId="9" applyFill="1" applyBorder="1"/>
    <xf numFmtId="0" fontId="5" fillId="14" borderId="27" xfId="9" applyFont="1" applyFill="1"/>
    <xf numFmtId="0" fontId="1" fillId="0" borderId="6" xfId="9" applyFont="1" applyBorder="1"/>
    <xf numFmtId="0" fontId="1" fillId="0" borderId="5" xfId="9" applyFont="1" applyBorder="1"/>
    <xf numFmtId="0" fontId="26" fillId="14" borderId="27" xfId="9" quotePrefix="1" applyFill="1" applyAlignment="1">
      <alignment horizontal="center"/>
    </xf>
    <xf numFmtId="0" fontId="26" fillId="14" borderId="9" xfId="9" applyFill="1" applyBorder="1" applyAlignment="1">
      <alignment horizontal="center"/>
    </xf>
    <xf numFmtId="0" fontId="26" fillId="0" borderId="9" xfId="9" applyBorder="1" applyAlignment="1">
      <alignment horizontal="right"/>
    </xf>
    <xf numFmtId="0" fontId="26" fillId="3" borderId="10" xfId="9" applyFill="1" applyBorder="1" applyAlignment="1">
      <alignment horizontal="center"/>
    </xf>
    <xf numFmtId="0" fontId="26" fillId="14" borderId="10" xfId="9" applyFill="1" applyBorder="1" applyAlignment="1">
      <alignment horizontal="center"/>
    </xf>
    <xf numFmtId="0" fontId="26" fillId="14" borderId="11" xfId="9" applyFill="1" applyBorder="1" applyAlignment="1">
      <alignment horizontal="center"/>
    </xf>
    <xf numFmtId="0" fontId="2" fillId="0" borderId="12" xfId="9" applyFont="1" applyBorder="1" applyAlignment="1">
      <alignment horizontal="center" vertical="center"/>
    </xf>
    <xf numFmtId="0" fontId="2" fillId="0" borderId="13" xfId="9" applyFont="1" applyBorder="1" applyAlignment="1">
      <alignment horizontal="center" vertical="center"/>
    </xf>
    <xf numFmtId="0" fontId="26" fillId="0" borderId="9" xfId="9" applyBorder="1"/>
    <xf numFmtId="0" fontId="26" fillId="14" borderId="7" xfId="9" applyFill="1" applyBorder="1"/>
    <xf numFmtId="0" fontId="4" fillId="14" borderId="8" xfId="9" applyFont="1" applyFill="1" applyBorder="1" applyAlignment="1">
      <alignment horizontal="right"/>
    </xf>
    <xf numFmtId="164" fontId="5" fillId="14" borderId="27" xfId="9" applyNumberFormat="1" applyFont="1" applyFill="1"/>
    <xf numFmtId="164" fontId="2" fillId="14" borderId="27" xfId="9" applyNumberFormat="1" applyFont="1" applyFill="1" applyAlignment="1">
      <alignment horizontal="left"/>
    </xf>
    <xf numFmtId="164" fontId="18" fillId="14" borderId="27" xfId="9" applyNumberFormat="1" applyFont="1" applyFill="1" applyAlignment="1">
      <alignment horizontal="left"/>
    </xf>
    <xf numFmtId="165" fontId="26" fillId="15" borderId="9" xfId="9" applyNumberFormat="1" applyFill="1" applyBorder="1" applyAlignment="1">
      <alignment horizontal="left"/>
    </xf>
    <xf numFmtId="164" fontId="26" fillId="14" borderId="27" xfId="9" applyNumberFormat="1" applyFill="1" applyAlignment="1">
      <alignment horizontal="left"/>
    </xf>
    <xf numFmtId="0" fontId="26" fillId="14" borderId="27" xfId="9" applyFill="1" applyAlignment="1">
      <alignment horizontal="left"/>
    </xf>
    <xf numFmtId="0" fontId="26" fillId="0" borderId="27" xfId="9"/>
    <xf numFmtId="0" fontId="26" fillId="14" borderId="27" xfId="9" applyFill="1" applyAlignment="1">
      <alignment horizontal="right"/>
    </xf>
    <xf numFmtId="164" fontId="1" fillId="14" borderId="27" xfId="9" applyNumberFormat="1" applyFont="1" applyFill="1" applyAlignment="1">
      <alignment horizontal="center"/>
    </xf>
    <xf numFmtId="0" fontId="26" fillId="14" borderId="27" xfId="9" applyFill="1"/>
    <xf numFmtId="0" fontId="26" fillId="14" borderId="27" xfId="9" applyFill="1" applyAlignment="1">
      <alignment horizontal="center"/>
    </xf>
    <xf numFmtId="0" fontId="18" fillId="14" borderId="27" xfId="9" applyFont="1" applyFill="1" applyAlignment="1">
      <alignment horizontal="center"/>
    </xf>
    <xf numFmtId="0" fontId="18" fillId="14" borderId="27" xfId="9" applyFont="1" applyFill="1"/>
    <xf numFmtId="0" fontId="26" fillId="14" borderId="2" xfId="9" applyFill="1" applyBorder="1" applyAlignment="1">
      <alignment horizontal="center"/>
    </xf>
    <xf numFmtId="0" fontId="26" fillId="14" borderId="1" xfId="9" applyFill="1" applyBorder="1" applyAlignment="1">
      <alignment horizontal="center"/>
    </xf>
    <xf numFmtId="0" fontId="26" fillId="14" borderId="2" xfId="9" applyFill="1" applyBorder="1"/>
    <xf numFmtId="0" fontId="26" fillId="14" borderId="3" xfId="9" applyFill="1" applyBorder="1"/>
    <xf numFmtId="0" fontId="4" fillId="14" borderId="27" xfId="9" applyFont="1" applyFill="1" applyAlignment="1">
      <alignment horizontal="right"/>
    </xf>
    <xf numFmtId="0" fontId="2" fillId="14" borderId="27" xfId="9" applyFont="1" applyFill="1"/>
    <xf numFmtId="0" fontId="26" fillId="14" borderId="4" xfId="9" applyFill="1" applyBorder="1" applyAlignment="1">
      <alignment horizontal="center"/>
    </xf>
    <xf numFmtId="0" fontId="26" fillId="15" borderId="27" xfId="9" applyFill="1" applyAlignment="1">
      <alignment horizontal="center"/>
    </xf>
    <xf numFmtId="0" fontId="2" fillId="0" borderId="5" xfId="9" applyFont="1" applyBorder="1" applyAlignment="1">
      <alignment horizontal="center"/>
    </xf>
    <xf numFmtId="0" fontId="2" fillId="0" borderId="6" xfId="9" applyFont="1" applyBorder="1" applyAlignment="1">
      <alignment horizontal="center"/>
    </xf>
    <xf numFmtId="0" fontId="26" fillId="16" borderId="5" xfId="9" applyFill="1" applyBorder="1"/>
    <xf numFmtId="0" fontId="26" fillId="16" borderId="6" xfId="9" applyFill="1" applyBorder="1"/>
    <xf numFmtId="0" fontId="5" fillId="14" borderId="27" xfId="9" applyFont="1" applyFill="1"/>
    <xf numFmtId="0" fontId="1" fillId="0" borderId="6" xfId="9" applyFont="1" applyBorder="1"/>
    <xf numFmtId="0" fontId="1" fillId="0" borderId="5" xfId="9" applyFont="1" applyBorder="1"/>
    <xf numFmtId="0" fontId="26" fillId="14" borderId="27" xfId="9" quotePrefix="1" applyFill="1" applyAlignment="1">
      <alignment horizontal="center"/>
    </xf>
    <xf numFmtId="0" fontId="26" fillId="14" borderId="9" xfId="9" applyFill="1" applyBorder="1" applyAlignment="1">
      <alignment horizontal="center"/>
    </xf>
    <xf numFmtId="0" fontId="26" fillId="0" borderId="9" xfId="9" applyBorder="1" applyAlignment="1">
      <alignment horizontal="right"/>
    </xf>
    <xf numFmtId="0" fontId="26" fillId="3" borderId="10" xfId="9" applyFill="1" applyBorder="1" applyAlignment="1">
      <alignment horizontal="center"/>
    </xf>
    <xf numFmtId="0" fontId="26" fillId="14" borderId="10" xfId="9" applyFill="1" applyBorder="1" applyAlignment="1">
      <alignment horizontal="center"/>
    </xf>
    <xf numFmtId="0" fontId="26" fillId="14" borderId="11" xfId="9" applyFill="1" applyBorder="1" applyAlignment="1">
      <alignment horizontal="center"/>
    </xf>
    <xf numFmtId="0" fontId="2" fillId="0" borderId="12" xfId="9" applyFont="1" applyBorder="1" applyAlignment="1">
      <alignment horizontal="center" vertical="center"/>
    </xf>
    <xf numFmtId="0" fontId="2" fillId="0" borderId="13" xfId="9" applyFont="1" applyBorder="1" applyAlignment="1">
      <alignment horizontal="center" vertical="center"/>
    </xf>
    <xf numFmtId="0" fontId="26" fillId="0" borderId="9" xfId="9" applyBorder="1"/>
    <xf numFmtId="0" fontId="26" fillId="14" borderId="7" xfId="9" applyFill="1" applyBorder="1"/>
    <xf numFmtId="0" fontId="4" fillId="14" borderId="8" xfId="9" applyFont="1" applyFill="1" applyBorder="1" applyAlignment="1">
      <alignment horizontal="right"/>
    </xf>
    <xf numFmtId="164" fontId="5" fillId="14" borderId="27" xfId="9" applyNumberFormat="1" applyFont="1" applyFill="1"/>
    <xf numFmtId="164" fontId="2" fillId="14" borderId="27" xfId="9" applyNumberFormat="1" applyFont="1" applyFill="1" applyAlignment="1">
      <alignment horizontal="left"/>
    </xf>
    <xf numFmtId="164" fontId="18" fillId="14" borderId="27" xfId="9" applyNumberFormat="1" applyFont="1" applyFill="1" applyAlignment="1">
      <alignment horizontal="left"/>
    </xf>
    <xf numFmtId="165" fontId="26" fillId="15" borderId="9" xfId="9" applyNumberFormat="1" applyFill="1" applyBorder="1" applyAlignment="1">
      <alignment horizontal="left"/>
    </xf>
    <xf numFmtId="164" fontId="26" fillId="14" borderId="27" xfId="9" applyNumberFormat="1" applyFill="1" applyAlignment="1">
      <alignment horizontal="left"/>
    </xf>
    <xf numFmtId="0" fontId="26" fillId="14" borderId="27" xfId="9" applyFill="1" applyAlignment="1">
      <alignment horizontal="left"/>
    </xf>
  </cellXfs>
  <cellStyles count="10">
    <cellStyle name="Normaali" xfId="0" builtinId="0"/>
    <cellStyle name="Normaali 2" xfId="2" xr:uid="{00000000-0005-0000-0000-000002000000}"/>
    <cellStyle name="Normaali 3" xfId="1" xr:uid="{00000000-0005-0000-0000-000001000000}"/>
    <cellStyle name="Normaali 4" xfId="4" xr:uid="{00000000-0005-0000-0000-000004000000}"/>
    <cellStyle name="Normaali 5" xfId="6" xr:uid="{F06E659F-3B45-4BE9-8167-98CA9532EFF5}"/>
    <cellStyle name="Normaali 6" xfId="7" xr:uid="{AF59F49F-0F17-4265-AAAB-3056996594A5}"/>
    <cellStyle name="Normaali 7" xfId="8" xr:uid="{4E5ECF34-685F-4981-8BF5-9E06A3CD0A4B}"/>
    <cellStyle name="Normaali 8" xfId="9" xr:uid="{8BD4C1DA-3FBD-4994-9E18-F490DD092875}"/>
    <cellStyle name="Normal" xfId="5" xr:uid="{00000000-0005-0000-0000-000005000000}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77"/>
  <sheetViews>
    <sheetView workbookViewId="0">
      <selection activeCell="G21" sqref="G6:G21"/>
    </sheetView>
  </sheetViews>
  <sheetFormatPr defaultRowHeight="15"/>
  <cols>
    <col min="1" max="1" width="7" customWidth="1"/>
    <col min="2" max="2" width="14" customWidth="1"/>
    <col min="3" max="3" width="8" customWidth="1"/>
    <col min="4" max="4" width="24" customWidth="1"/>
    <col min="5" max="5" width="4" customWidth="1"/>
    <col min="6" max="6" width="24" customWidth="1"/>
    <col min="7" max="7" width="10" customWidth="1"/>
    <col min="8" max="8" width="4" customWidth="1"/>
    <col min="9" max="9" width="10" customWidth="1"/>
    <col min="12" max="12" width="16" customWidth="1"/>
    <col min="13" max="18" width="18" customWidth="1"/>
  </cols>
  <sheetData>
    <row r="1" spans="1:18" ht="21">
      <c r="A1" s="82" t="s">
        <v>186</v>
      </c>
      <c r="B1" s="82"/>
      <c r="C1" s="82"/>
      <c r="D1" s="82"/>
      <c r="E1" s="82"/>
      <c r="F1" s="82"/>
      <c r="G1" s="82"/>
      <c r="H1" s="82"/>
      <c r="I1" s="82"/>
      <c r="J1" s="83"/>
      <c r="K1" s="83"/>
      <c r="L1" s="82" t="s">
        <v>187</v>
      </c>
      <c r="M1" s="82"/>
      <c r="N1" s="82"/>
      <c r="O1" s="82"/>
      <c r="P1" s="82"/>
      <c r="Q1" s="82"/>
      <c r="R1" s="82"/>
    </row>
    <row r="2" spans="1:18" ht="255">
      <c r="A2" s="84" t="s">
        <v>188</v>
      </c>
      <c r="B2" s="84"/>
      <c r="C2" s="84"/>
      <c r="D2" s="84"/>
      <c r="E2" s="84"/>
      <c r="F2" s="84"/>
      <c r="G2" s="84"/>
      <c r="H2" s="84"/>
      <c r="I2" s="84"/>
      <c r="J2" s="83"/>
      <c r="K2" s="83"/>
      <c r="L2" s="84" t="s">
        <v>189</v>
      </c>
      <c r="M2" s="84"/>
      <c r="N2" s="84"/>
      <c r="O2" s="84"/>
      <c r="P2" s="84"/>
      <c r="Q2" s="84"/>
      <c r="R2" s="84"/>
    </row>
    <row r="3" spans="1:18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18">
      <c r="A4" s="85" t="s">
        <v>190</v>
      </c>
      <c r="B4" s="85"/>
      <c r="C4" s="85"/>
      <c r="D4" s="85"/>
      <c r="E4" s="85"/>
      <c r="F4" s="85"/>
      <c r="G4" s="85"/>
      <c r="H4" s="85"/>
      <c r="I4" s="85"/>
      <c r="J4" s="83"/>
      <c r="K4" s="83"/>
      <c r="L4" s="83"/>
      <c r="M4" s="83"/>
      <c r="N4" s="83"/>
      <c r="O4" s="83"/>
      <c r="P4" s="83"/>
      <c r="Q4" s="83"/>
      <c r="R4" s="83"/>
    </row>
    <row r="5" spans="1:18">
      <c r="A5" s="85" t="s">
        <v>191</v>
      </c>
      <c r="B5" s="85" t="s">
        <v>3</v>
      </c>
      <c r="C5" s="85" t="s">
        <v>4</v>
      </c>
      <c r="D5" s="85" t="s">
        <v>192</v>
      </c>
      <c r="E5" s="85" t="s">
        <v>13</v>
      </c>
      <c r="F5" s="85" t="s">
        <v>193</v>
      </c>
      <c r="G5" s="85" t="s">
        <v>194</v>
      </c>
      <c r="H5" s="85" t="s">
        <v>13</v>
      </c>
      <c r="I5" s="85" t="s">
        <v>195</v>
      </c>
      <c r="J5" s="83"/>
      <c r="K5" s="83"/>
      <c r="L5" s="85" t="s">
        <v>15</v>
      </c>
      <c r="M5" s="85" t="s">
        <v>16</v>
      </c>
      <c r="N5" s="85" t="s">
        <v>17</v>
      </c>
      <c r="O5" s="85" t="s">
        <v>18</v>
      </c>
      <c r="P5" s="85" t="s">
        <v>19</v>
      </c>
      <c r="Q5" s="85" t="s">
        <v>20</v>
      </c>
      <c r="R5" s="85" t="s">
        <v>21</v>
      </c>
    </row>
    <row r="6" spans="1:18">
      <c r="A6" s="83">
        <v>1</v>
      </c>
      <c r="B6" s="83" t="s">
        <v>10</v>
      </c>
      <c r="C6" s="83" t="s">
        <v>11</v>
      </c>
      <c r="D6" s="83" t="s">
        <v>12</v>
      </c>
      <c r="E6" s="83" t="s">
        <v>13</v>
      </c>
      <c r="F6" s="83" t="s">
        <v>14</v>
      </c>
      <c r="G6" s="92"/>
      <c r="H6" s="83" t="s">
        <v>13</v>
      </c>
      <c r="I6" s="92"/>
      <c r="J6" s="83"/>
      <c r="K6" s="83"/>
      <c r="L6" s="83">
        <v>1</v>
      </c>
      <c r="M6" s="86"/>
      <c r="N6" s="86"/>
      <c r="O6" s="86"/>
      <c r="P6" s="86"/>
      <c r="Q6" s="86"/>
      <c r="R6" s="86"/>
    </row>
    <row r="7" spans="1:18">
      <c r="A7" s="83">
        <v>2</v>
      </c>
      <c r="B7" s="83" t="s">
        <v>22</v>
      </c>
      <c r="C7" s="83" t="s">
        <v>11</v>
      </c>
      <c r="D7" s="83" t="s">
        <v>23</v>
      </c>
      <c r="E7" s="83" t="s">
        <v>13</v>
      </c>
      <c r="F7" s="83" t="s">
        <v>24</v>
      </c>
      <c r="G7" s="92"/>
      <c r="H7" s="83" t="s">
        <v>13</v>
      </c>
      <c r="I7" s="92"/>
      <c r="J7" s="83"/>
      <c r="K7" s="83"/>
      <c r="L7" s="83">
        <v>2</v>
      </c>
      <c r="M7" s="86"/>
      <c r="N7" s="86"/>
      <c r="O7" s="86"/>
      <c r="P7" s="86"/>
      <c r="Q7" s="86"/>
      <c r="R7" s="86"/>
    </row>
    <row r="8" spans="1:18">
      <c r="A8" s="83">
        <v>3</v>
      </c>
      <c r="B8" s="83" t="s">
        <v>30</v>
      </c>
      <c r="C8" s="83" t="s">
        <v>31</v>
      </c>
      <c r="D8" s="83" t="s">
        <v>32</v>
      </c>
      <c r="E8" s="83" t="s">
        <v>13</v>
      </c>
      <c r="F8" s="83" t="s">
        <v>33</v>
      </c>
      <c r="G8" s="92"/>
      <c r="H8" s="83" t="s">
        <v>13</v>
      </c>
      <c r="I8" s="92"/>
      <c r="J8" s="83"/>
      <c r="K8" s="83"/>
      <c r="L8" s="83">
        <v>3</v>
      </c>
      <c r="M8" s="86"/>
      <c r="N8" s="86"/>
      <c r="O8" s="86"/>
      <c r="P8" s="86"/>
      <c r="Q8" s="86"/>
      <c r="R8" s="86"/>
    </row>
    <row r="9" spans="1:18">
      <c r="A9" s="83">
        <v>4</v>
      </c>
      <c r="B9" s="83" t="s">
        <v>38</v>
      </c>
      <c r="C9" s="83" t="s">
        <v>39</v>
      </c>
      <c r="D9" s="83" t="s">
        <v>35</v>
      </c>
      <c r="E9" s="83" t="s">
        <v>13</v>
      </c>
      <c r="F9" s="83" t="s">
        <v>40</v>
      </c>
      <c r="G9" s="92"/>
      <c r="H9" s="83" t="s">
        <v>13</v>
      </c>
      <c r="I9" s="92"/>
      <c r="J9" s="83"/>
      <c r="K9" s="83"/>
      <c r="L9" s="83">
        <v>4</v>
      </c>
      <c r="M9" s="86"/>
      <c r="N9" s="86"/>
      <c r="O9" s="86"/>
      <c r="P9" s="86"/>
      <c r="Q9" s="86"/>
      <c r="R9" s="86"/>
    </row>
    <row r="10" spans="1:18">
      <c r="A10" s="83">
        <v>5</v>
      </c>
      <c r="B10" s="83" t="s">
        <v>44</v>
      </c>
      <c r="C10" s="83" t="s">
        <v>45</v>
      </c>
      <c r="D10" s="83" t="s">
        <v>46</v>
      </c>
      <c r="E10" s="83" t="s">
        <v>13</v>
      </c>
      <c r="F10" s="83" t="s">
        <v>34</v>
      </c>
      <c r="G10" s="92"/>
      <c r="H10" s="83" t="s">
        <v>13</v>
      </c>
      <c r="I10" s="92"/>
      <c r="J10" s="83"/>
      <c r="K10" s="83"/>
      <c r="L10" s="83"/>
      <c r="M10" s="83"/>
      <c r="N10" s="83"/>
      <c r="O10" s="83"/>
      <c r="P10" s="83"/>
      <c r="Q10" s="83"/>
      <c r="R10" s="83"/>
    </row>
    <row r="11" spans="1:18">
      <c r="A11" s="83">
        <v>6</v>
      </c>
      <c r="B11" s="83" t="s">
        <v>51</v>
      </c>
      <c r="C11" s="83" t="s">
        <v>39</v>
      </c>
      <c r="D11" s="83" t="s">
        <v>48</v>
      </c>
      <c r="E11" s="83" t="s">
        <v>13</v>
      </c>
      <c r="F11" s="83" t="s">
        <v>27</v>
      </c>
      <c r="G11" s="92"/>
      <c r="H11" s="83" t="s">
        <v>13</v>
      </c>
      <c r="I11" s="92"/>
      <c r="J11" s="83"/>
      <c r="K11" s="83"/>
      <c r="L11" s="85" t="s">
        <v>15</v>
      </c>
      <c r="M11" s="85" t="s">
        <v>53</v>
      </c>
      <c r="N11" s="85" t="s">
        <v>54</v>
      </c>
      <c r="O11" s="85" t="s">
        <v>55</v>
      </c>
      <c r="P11" s="85" t="s">
        <v>56</v>
      </c>
      <c r="Q11" s="85" t="s">
        <v>57</v>
      </c>
      <c r="R11" s="85" t="s">
        <v>58</v>
      </c>
    </row>
    <row r="12" spans="1:18">
      <c r="A12" s="83">
        <v>7</v>
      </c>
      <c r="B12" s="83" t="s">
        <v>52</v>
      </c>
      <c r="C12" s="83" t="s">
        <v>45</v>
      </c>
      <c r="D12" s="83" t="s">
        <v>26</v>
      </c>
      <c r="E12" s="83" t="s">
        <v>13</v>
      </c>
      <c r="F12" s="83" t="s">
        <v>41</v>
      </c>
      <c r="G12" s="92"/>
      <c r="H12" s="83" t="s">
        <v>13</v>
      </c>
      <c r="I12" s="92"/>
      <c r="J12" s="83"/>
      <c r="K12" s="83"/>
      <c r="L12" s="83">
        <v>1</v>
      </c>
      <c r="M12" s="86"/>
      <c r="N12" s="86"/>
      <c r="O12" s="86"/>
      <c r="P12" s="86"/>
      <c r="Q12" s="86"/>
      <c r="R12" s="86"/>
    </row>
    <row r="13" spans="1:18">
      <c r="A13" s="83">
        <v>8</v>
      </c>
      <c r="B13" s="83" t="s">
        <v>59</v>
      </c>
      <c r="C13" s="83" t="s">
        <v>31</v>
      </c>
      <c r="D13" s="83" t="s">
        <v>47</v>
      </c>
      <c r="E13" s="83" t="s">
        <v>13</v>
      </c>
      <c r="F13" s="83" t="s">
        <v>25</v>
      </c>
      <c r="G13" s="92"/>
      <c r="H13" s="83" t="s">
        <v>13</v>
      </c>
      <c r="I13" s="92"/>
      <c r="J13" s="83"/>
      <c r="K13" s="83"/>
      <c r="L13" s="83">
        <v>2</v>
      </c>
      <c r="M13" s="86"/>
      <c r="N13" s="86"/>
      <c r="O13" s="86"/>
      <c r="P13" s="86"/>
      <c r="Q13" s="86"/>
      <c r="R13" s="86"/>
    </row>
    <row r="14" spans="1:18">
      <c r="A14" s="83">
        <v>9</v>
      </c>
      <c r="B14" s="83" t="s">
        <v>66</v>
      </c>
      <c r="C14" s="83" t="s">
        <v>67</v>
      </c>
      <c r="D14" s="83" t="s">
        <v>42</v>
      </c>
      <c r="E14" s="83" t="s">
        <v>13</v>
      </c>
      <c r="F14" s="83" t="s">
        <v>36</v>
      </c>
      <c r="G14" s="92"/>
      <c r="H14" s="83" t="s">
        <v>13</v>
      </c>
      <c r="I14" s="92"/>
      <c r="J14" s="83"/>
      <c r="K14" s="83"/>
      <c r="L14" s="83">
        <v>3</v>
      </c>
      <c r="M14" s="86"/>
      <c r="N14" s="86"/>
      <c r="O14" s="86"/>
      <c r="P14" s="86"/>
      <c r="Q14" s="86"/>
      <c r="R14" s="86"/>
    </row>
    <row r="15" spans="1:18">
      <c r="A15" s="83">
        <v>10</v>
      </c>
      <c r="B15" s="83" t="s">
        <v>74</v>
      </c>
      <c r="C15" s="83" t="s">
        <v>67</v>
      </c>
      <c r="D15" s="83" t="s">
        <v>28</v>
      </c>
      <c r="E15" s="83" t="s">
        <v>13</v>
      </c>
      <c r="F15" s="83" t="s">
        <v>49</v>
      </c>
      <c r="G15" s="92"/>
      <c r="H15" s="83" t="s">
        <v>13</v>
      </c>
      <c r="I15" s="92"/>
      <c r="J15" s="83"/>
      <c r="K15" s="83"/>
      <c r="L15" s="83">
        <v>4</v>
      </c>
      <c r="M15" s="86"/>
      <c r="N15" s="86"/>
      <c r="O15" s="86"/>
      <c r="P15" s="86"/>
      <c r="Q15" s="86"/>
      <c r="R15" s="86"/>
    </row>
    <row r="16" spans="1:18">
      <c r="A16" s="83">
        <v>11</v>
      </c>
      <c r="B16" s="83" t="s">
        <v>81</v>
      </c>
      <c r="C16" s="83" t="s">
        <v>82</v>
      </c>
      <c r="D16" s="83" t="s">
        <v>29</v>
      </c>
      <c r="E16" s="83" t="s">
        <v>13</v>
      </c>
      <c r="F16" s="83" t="s">
        <v>43</v>
      </c>
      <c r="G16" s="92"/>
      <c r="H16" s="83" t="s">
        <v>13</v>
      </c>
      <c r="I16" s="92"/>
      <c r="J16" s="83"/>
      <c r="K16" s="83"/>
      <c r="L16" s="83"/>
      <c r="M16" s="83"/>
      <c r="N16" s="83"/>
      <c r="O16" s="83"/>
      <c r="P16" s="83"/>
      <c r="Q16" s="83"/>
      <c r="R16" s="83"/>
    </row>
    <row r="17" spans="1:18">
      <c r="A17" s="83">
        <v>12</v>
      </c>
      <c r="B17" s="83" t="s">
        <v>89</v>
      </c>
      <c r="C17" s="83" t="s">
        <v>82</v>
      </c>
      <c r="D17" s="83" t="s">
        <v>37</v>
      </c>
      <c r="E17" s="83" t="s">
        <v>13</v>
      </c>
      <c r="F17" s="83" t="s">
        <v>50</v>
      </c>
      <c r="G17" s="92"/>
      <c r="H17" s="83" t="s">
        <v>13</v>
      </c>
      <c r="I17" s="92"/>
      <c r="J17" s="83"/>
      <c r="K17" s="83"/>
      <c r="L17" s="83"/>
      <c r="M17" s="83"/>
      <c r="N17" s="83"/>
      <c r="O17" s="83"/>
      <c r="P17" s="83"/>
      <c r="Q17" s="83"/>
      <c r="R17" s="83"/>
    </row>
    <row r="18" spans="1:18">
      <c r="A18" s="83">
        <v>13</v>
      </c>
      <c r="B18" s="83" t="s">
        <v>90</v>
      </c>
      <c r="C18" s="83" t="s">
        <v>91</v>
      </c>
      <c r="D18" s="83" t="s">
        <v>84</v>
      </c>
      <c r="E18" s="83" t="s">
        <v>13</v>
      </c>
      <c r="F18" s="83" t="s">
        <v>69</v>
      </c>
      <c r="G18" s="92"/>
      <c r="H18" s="83" t="s">
        <v>13</v>
      </c>
      <c r="I18" s="92"/>
      <c r="J18" s="83"/>
      <c r="K18" s="83"/>
      <c r="L18" s="87" t="s">
        <v>196</v>
      </c>
      <c r="M18" s="87"/>
      <c r="N18" s="83"/>
      <c r="O18" s="83"/>
      <c r="P18" s="83"/>
      <c r="Q18" s="83"/>
      <c r="R18" s="83"/>
    </row>
    <row r="19" spans="1:18">
      <c r="A19" s="83">
        <v>14</v>
      </c>
      <c r="B19" s="83" t="s">
        <v>92</v>
      </c>
      <c r="C19" s="83" t="s">
        <v>91</v>
      </c>
      <c r="D19" s="83" t="s">
        <v>61</v>
      </c>
      <c r="E19" s="83" t="s">
        <v>13</v>
      </c>
      <c r="F19" s="83" t="s">
        <v>76</v>
      </c>
      <c r="G19" s="92"/>
      <c r="H19" s="83" t="s">
        <v>13</v>
      </c>
      <c r="I19" s="92"/>
      <c r="J19" s="83"/>
      <c r="K19" s="83"/>
      <c r="L19" s="83"/>
      <c r="M19" s="83"/>
      <c r="N19" s="83"/>
      <c r="O19" s="83"/>
      <c r="P19" s="83"/>
      <c r="Q19" s="83"/>
      <c r="R19" s="83"/>
    </row>
    <row r="20" spans="1:18">
      <c r="A20" s="83">
        <v>15</v>
      </c>
      <c r="B20" s="83" t="s">
        <v>94</v>
      </c>
      <c r="C20" s="83" t="s">
        <v>95</v>
      </c>
      <c r="D20" s="83" t="s">
        <v>83</v>
      </c>
      <c r="E20" s="83" t="s">
        <v>13</v>
      </c>
      <c r="F20" s="83" t="s">
        <v>75</v>
      </c>
      <c r="G20" s="92"/>
      <c r="H20" s="83" t="s">
        <v>13</v>
      </c>
      <c r="I20" s="92"/>
      <c r="J20" s="83"/>
      <c r="K20" s="83"/>
      <c r="L20" s="83" t="s">
        <v>197</v>
      </c>
      <c r="M20" s="86"/>
      <c r="N20" s="83"/>
      <c r="O20" s="83"/>
      <c r="P20" s="83"/>
      <c r="Q20" s="83"/>
      <c r="R20" s="83"/>
    </row>
    <row r="21" spans="1:18">
      <c r="A21" s="83">
        <v>16</v>
      </c>
      <c r="B21" s="83" t="s">
        <v>96</v>
      </c>
      <c r="C21" s="83" t="s">
        <v>95</v>
      </c>
      <c r="D21" s="83" t="s">
        <v>60</v>
      </c>
      <c r="E21" s="83" t="s">
        <v>13</v>
      </c>
      <c r="F21" s="83" t="s">
        <v>68</v>
      </c>
      <c r="G21" s="92"/>
      <c r="H21" s="83" t="s">
        <v>13</v>
      </c>
      <c r="I21" s="92"/>
      <c r="J21" s="83"/>
      <c r="K21" s="83"/>
      <c r="L21" s="83" t="s">
        <v>198</v>
      </c>
      <c r="M21" s="86"/>
      <c r="N21" s="83"/>
      <c r="O21" s="83"/>
      <c r="P21" s="83"/>
      <c r="Q21" s="83"/>
      <c r="R21" s="83"/>
    </row>
    <row r="22" spans="1:18">
      <c r="A22" s="83">
        <v>17</v>
      </c>
      <c r="B22" s="83" t="s">
        <v>97</v>
      </c>
      <c r="C22" s="83" t="s">
        <v>98</v>
      </c>
      <c r="D22" s="83" t="s">
        <v>62</v>
      </c>
      <c r="E22" s="83" t="s">
        <v>13</v>
      </c>
      <c r="F22" s="83" t="s">
        <v>77</v>
      </c>
      <c r="G22" s="92"/>
      <c r="H22" s="83" t="s">
        <v>13</v>
      </c>
      <c r="I22" s="92"/>
      <c r="J22" s="83"/>
      <c r="K22" s="83"/>
      <c r="L22" s="83"/>
      <c r="M22" s="83"/>
      <c r="N22" s="83"/>
      <c r="O22" s="83"/>
      <c r="P22" s="83"/>
      <c r="Q22" s="83"/>
      <c r="R22" s="83"/>
    </row>
    <row r="23" spans="1:18">
      <c r="A23" s="83">
        <v>18</v>
      </c>
      <c r="B23" s="83" t="s">
        <v>99</v>
      </c>
      <c r="C23" s="83" t="s">
        <v>98</v>
      </c>
      <c r="D23" s="83" t="s">
        <v>85</v>
      </c>
      <c r="E23" s="83" t="s">
        <v>13</v>
      </c>
      <c r="F23" s="83" t="s">
        <v>70</v>
      </c>
      <c r="G23" s="92"/>
      <c r="H23" s="83" t="s">
        <v>13</v>
      </c>
      <c r="I23" s="92"/>
      <c r="J23" s="83"/>
      <c r="K23" s="83"/>
      <c r="L23" s="83" t="s">
        <v>199</v>
      </c>
      <c r="M23" s="86"/>
      <c r="N23" s="83"/>
      <c r="O23" s="83"/>
      <c r="P23" s="83"/>
      <c r="Q23" s="83"/>
      <c r="R23" s="83"/>
    </row>
    <row r="24" spans="1:18">
      <c r="A24" s="83">
        <v>19</v>
      </c>
      <c r="B24" s="83" t="s">
        <v>100</v>
      </c>
      <c r="C24" s="83" t="s">
        <v>101</v>
      </c>
      <c r="D24" s="83" t="s">
        <v>63</v>
      </c>
      <c r="E24" s="83" t="s">
        <v>13</v>
      </c>
      <c r="F24" s="83" t="s">
        <v>78</v>
      </c>
      <c r="G24" s="92"/>
      <c r="H24" s="83" t="s">
        <v>13</v>
      </c>
      <c r="I24" s="92"/>
      <c r="J24" s="83"/>
      <c r="K24" s="83"/>
      <c r="L24" s="83" t="s">
        <v>200</v>
      </c>
      <c r="M24" s="86"/>
      <c r="N24" s="83"/>
      <c r="O24" s="83"/>
      <c r="P24" s="83"/>
      <c r="Q24" s="83"/>
      <c r="R24" s="83"/>
    </row>
    <row r="25" spans="1:18">
      <c r="A25" s="83">
        <v>20</v>
      </c>
      <c r="B25" s="83" t="s">
        <v>102</v>
      </c>
      <c r="C25" s="83" t="s">
        <v>101</v>
      </c>
      <c r="D25" s="83" t="s">
        <v>71</v>
      </c>
      <c r="E25" s="83" t="s">
        <v>13</v>
      </c>
      <c r="F25" s="83" t="s">
        <v>86</v>
      </c>
      <c r="G25" s="92"/>
      <c r="H25" s="83" t="s">
        <v>13</v>
      </c>
      <c r="I25" s="92"/>
      <c r="J25" s="83"/>
      <c r="K25" s="83"/>
      <c r="L25" s="83"/>
      <c r="M25" s="83"/>
      <c r="N25" s="83"/>
      <c r="O25" s="83"/>
      <c r="P25" s="83"/>
      <c r="Q25" s="83"/>
      <c r="R25" s="83"/>
    </row>
    <row r="26" spans="1:18">
      <c r="A26" s="83">
        <v>21</v>
      </c>
      <c r="B26" s="83" t="s">
        <v>103</v>
      </c>
      <c r="C26" s="83" t="s">
        <v>104</v>
      </c>
      <c r="D26" s="83" t="s">
        <v>80</v>
      </c>
      <c r="E26" s="83" t="s">
        <v>13</v>
      </c>
      <c r="F26" s="83" t="s">
        <v>88</v>
      </c>
      <c r="G26" s="92"/>
      <c r="H26" s="83" t="s">
        <v>13</v>
      </c>
      <c r="I26" s="92"/>
      <c r="J26" s="83"/>
      <c r="K26" s="83"/>
      <c r="L26" s="83"/>
      <c r="M26" s="83"/>
      <c r="N26" s="83"/>
      <c r="O26" s="83"/>
      <c r="P26" s="83"/>
      <c r="Q26" s="83"/>
      <c r="R26" s="83"/>
    </row>
    <row r="27" spans="1:18">
      <c r="A27" s="83">
        <v>22</v>
      </c>
      <c r="B27" s="83" t="s">
        <v>105</v>
      </c>
      <c r="C27" s="83" t="s">
        <v>104</v>
      </c>
      <c r="D27" s="83" t="s">
        <v>65</v>
      </c>
      <c r="E27" s="83" t="s">
        <v>13</v>
      </c>
      <c r="F27" s="83" t="s">
        <v>73</v>
      </c>
      <c r="G27" s="92"/>
      <c r="H27" s="83" t="s">
        <v>13</v>
      </c>
      <c r="I27" s="92"/>
      <c r="J27" s="83"/>
      <c r="K27" s="83"/>
      <c r="L27" s="83"/>
      <c r="M27" s="83"/>
      <c r="N27" s="83"/>
      <c r="O27" s="83"/>
      <c r="P27" s="83"/>
      <c r="Q27" s="83"/>
      <c r="R27" s="83"/>
    </row>
    <row r="28" spans="1:18">
      <c r="A28" s="83">
        <v>23</v>
      </c>
      <c r="B28" s="83" t="s">
        <v>106</v>
      </c>
      <c r="C28" s="83" t="s">
        <v>107</v>
      </c>
      <c r="D28" s="83" t="s">
        <v>64</v>
      </c>
      <c r="E28" s="83" t="s">
        <v>13</v>
      </c>
      <c r="F28" s="83" t="s">
        <v>87</v>
      </c>
      <c r="G28" s="92"/>
      <c r="H28" s="83" t="s">
        <v>13</v>
      </c>
      <c r="I28" s="92"/>
      <c r="J28" s="83"/>
      <c r="K28" s="83"/>
      <c r="L28" s="83"/>
      <c r="M28" s="83"/>
      <c r="N28" s="83"/>
      <c r="O28" s="83"/>
      <c r="P28" s="83"/>
      <c r="Q28" s="83"/>
      <c r="R28" s="83"/>
    </row>
    <row r="29" spans="1:18">
      <c r="A29" s="83">
        <v>24</v>
      </c>
      <c r="B29" s="83" t="s">
        <v>108</v>
      </c>
      <c r="C29" s="83" t="s">
        <v>107</v>
      </c>
      <c r="D29" s="83" t="s">
        <v>79</v>
      </c>
      <c r="E29" s="83" t="s">
        <v>13</v>
      </c>
      <c r="F29" s="83" t="s">
        <v>72</v>
      </c>
      <c r="G29" s="92"/>
      <c r="H29" s="83" t="s">
        <v>13</v>
      </c>
      <c r="I29" s="92"/>
      <c r="J29" s="83"/>
      <c r="K29" s="83"/>
      <c r="L29" s="83"/>
      <c r="M29" s="83"/>
      <c r="N29" s="83"/>
      <c r="O29" s="83"/>
      <c r="P29" s="83"/>
      <c r="Q29" s="83"/>
      <c r="R29" s="83"/>
    </row>
    <row r="30" spans="1:18">
      <c r="A30" s="83">
        <v>25</v>
      </c>
      <c r="B30" s="83" t="s">
        <v>109</v>
      </c>
      <c r="C30" s="83" t="s">
        <v>11</v>
      </c>
      <c r="D30" s="83" t="s">
        <v>24</v>
      </c>
      <c r="E30" s="83" t="s">
        <v>13</v>
      </c>
      <c r="F30" s="83" t="s">
        <v>14</v>
      </c>
      <c r="G30" s="92"/>
      <c r="H30" s="83" t="s">
        <v>13</v>
      </c>
      <c r="I30" s="92"/>
      <c r="J30" s="83"/>
      <c r="K30" s="83"/>
      <c r="L30" s="83"/>
      <c r="M30" s="83"/>
      <c r="N30" s="83"/>
      <c r="O30" s="83"/>
      <c r="P30" s="83"/>
      <c r="Q30" s="83"/>
      <c r="R30" s="83"/>
    </row>
    <row r="31" spans="1:18">
      <c r="A31" s="83">
        <v>26</v>
      </c>
      <c r="B31" s="83" t="s">
        <v>110</v>
      </c>
      <c r="C31" s="83" t="s">
        <v>31</v>
      </c>
      <c r="D31" s="83" t="s">
        <v>25</v>
      </c>
      <c r="E31" s="83" t="s">
        <v>13</v>
      </c>
      <c r="F31" s="83" t="s">
        <v>33</v>
      </c>
      <c r="G31" s="92"/>
      <c r="H31" s="83" t="s">
        <v>13</v>
      </c>
      <c r="I31" s="92"/>
      <c r="J31" s="83"/>
      <c r="K31" s="83"/>
      <c r="L31" s="83"/>
      <c r="M31" s="83"/>
      <c r="N31" s="83"/>
      <c r="O31" s="83"/>
      <c r="P31" s="83"/>
      <c r="Q31" s="83"/>
      <c r="R31" s="83"/>
    </row>
    <row r="32" spans="1:18">
      <c r="A32" s="83">
        <v>27</v>
      </c>
      <c r="B32" s="83" t="s">
        <v>111</v>
      </c>
      <c r="C32" s="83" t="s">
        <v>31</v>
      </c>
      <c r="D32" s="83" t="s">
        <v>32</v>
      </c>
      <c r="E32" s="83" t="s">
        <v>13</v>
      </c>
      <c r="F32" s="83" t="s">
        <v>47</v>
      </c>
      <c r="G32" s="92"/>
      <c r="H32" s="83" t="s">
        <v>13</v>
      </c>
      <c r="I32" s="92"/>
      <c r="J32" s="83"/>
      <c r="K32" s="83"/>
      <c r="L32" s="83"/>
      <c r="M32" s="83"/>
      <c r="N32" s="83"/>
      <c r="O32" s="83"/>
      <c r="P32" s="83"/>
      <c r="Q32" s="83"/>
      <c r="R32" s="83"/>
    </row>
    <row r="33" spans="1:18">
      <c r="A33" s="83">
        <v>28</v>
      </c>
      <c r="B33" s="83" t="s">
        <v>112</v>
      </c>
      <c r="C33" s="83" t="s">
        <v>11</v>
      </c>
      <c r="D33" s="83" t="s">
        <v>12</v>
      </c>
      <c r="E33" s="83" t="s">
        <v>13</v>
      </c>
      <c r="F33" s="83" t="s">
        <v>23</v>
      </c>
      <c r="G33" s="92"/>
      <c r="H33" s="83" t="s">
        <v>13</v>
      </c>
      <c r="I33" s="92"/>
      <c r="J33" s="83"/>
      <c r="K33" s="83"/>
      <c r="L33" s="83"/>
      <c r="M33" s="83"/>
      <c r="N33" s="83"/>
      <c r="O33" s="83"/>
      <c r="P33" s="83"/>
      <c r="Q33" s="83"/>
      <c r="R33" s="83"/>
    </row>
    <row r="34" spans="1:18">
      <c r="A34" s="83">
        <v>29</v>
      </c>
      <c r="B34" s="83" t="s">
        <v>113</v>
      </c>
      <c r="C34" s="83" t="s">
        <v>45</v>
      </c>
      <c r="D34" s="83" t="s">
        <v>26</v>
      </c>
      <c r="E34" s="83" t="s">
        <v>13</v>
      </c>
      <c r="F34" s="83" t="s">
        <v>46</v>
      </c>
      <c r="G34" s="92"/>
      <c r="H34" s="83" t="s">
        <v>13</v>
      </c>
      <c r="I34" s="92"/>
      <c r="J34" s="83"/>
      <c r="K34" s="83"/>
      <c r="L34" s="83"/>
      <c r="M34" s="83"/>
      <c r="N34" s="83"/>
      <c r="O34" s="83"/>
      <c r="P34" s="83"/>
      <c r="Q34" s="83"/>
      <c r="R34" s="83"/>
    </row>
    <row r="35" spans="1:18">
      <c r="A35" s="83">
        <v>30</v>
      </c>
      <c r="B35" s="83" t="s">
        <v>114</v>
      </c>
      <c r="C35" s="83" t="s">
        <v>45</v>
      </c>
      <c r="D35" s="83" t="s">
        <v>34</v>
      </c>
      <c r="E35" s="83" t="s">
        <v>13</v>
      </c>
      <c r="F35" s="83" t="s">
        <v>41</v>
      </c>
      <c r="G35" s="92"/>
      <c r="H35" s="83" t="s">
        <v>13</v>
      </c>
      <c r="I35" s="92"/>
      <c r="J35" s="83"/>
      <c r="K35" s="83"/>
      <c r="L35" s="83"/>
      <c r="M35" s="83"/>
      <c r="N35" s="83"/>
      <c r="O35" s="83"/>
      <c r="P35" s="83"/>
      <c r="Q35" s="83"/>
      <c r="R35" s="83"/>
    </row>
    <row r="36" spans="1:18">
      <c r="A36" s="83">
        <v>31</v>
      </c>
      <c r="B36" s="83" t="s">
        <v>115</v>
      </c>
      <c r="C36" s="83" t="s">
        <v>39</v>
      </c>
      <c r="D36" s="83" t="s">
        <v>27</v>
      </c>
      <c r="E36" s="83" t="s">
        <v>13</v>
      </c>
      <c r="F36" s="83" t="s">
        <v>40</v>
      </c>
      <c r="G36" s="92"/>
      <c r="H36" s="83" t="s">
        <v>13</v>
      </c>
      <c r="I36" s="92"/>
      <c r="J36" s="83"/>
      <c r="K36" s="83"/>
      <c r="L36" s="83"/>
      <c r="M36" s="83"/>
      <c r="N36" s="83"/>
      <c r="O36" s="83"/>
      <c r="P36" s="83"/>
      <c r="Q36" s="83"/>
      <c r="R36" s="83"/>
    </row>
    <row r="37" spans="1:18">
      <c r="A37" s="83">
        <v>32</v>
      </c>
      <c r="B37" s="83" t="s">
        <v>116</v>
      </c>
      <c r="C37" s="83" t="s">
        <v>39</v>
      </c>
      <c r="D37" s="83" t="s">
        <v>35</v>
      </c>
      <c r="E37" s="83" t="s">
        <v>13</v>
      </c>
      <c r="F37" s="83" t="s">
        <v>48</v>
      </c>
      <c r="G37" s="92"/>
      <c r="H37" s="83" t="s">
        <v>13</v>
      </c>
      <c r="I37" s="92"/>
      <c r="J37" s="83"/>
      <c r="K37" s="83"/>
      <c r="L37" s="83"/>
      <c r="M37" s="83"/>
      <c r="N37" s="83"/>
      <c r="O37" s="83"/>
      <c r="P37" s="83"/>
      <c r="Q37" s="83"/>
      <c r="R37" s="83"/>
    </row>
    <row r="38" spans="1:18">
      <c r="A38" s="83">
        <v>33</v>
      </c>
      <c r="B38" s="83" t="s">
        <v>117</v>
      </c>
      <c r="C38" s="83" t="s">
        <v>67</v>
      </c>
      <c r="D38" s="83" t="s">
        <v>28</v>
      </c>
      <c r="E38" s="83" t="s">
        <v>13</v>
      </c>
      <c r="F38" s="83" t="s">
        <v>42</v>
      </c>
      <c r="G38" s="92"/>
      <c r="H38" s="83" t="s">
        <v>13</v>
      </c>
      <c r="I38" s="92"/>
      <c r="J38" s="83"/>
      <c r="K38" s="83"/>
      <c r="L38" s="83"/>
      <c r="M38" s="83"/>
      <c r="N38" s="83"/>
      <c r="O38" s="83"/>
      <c r="P38" s="83"/>
      <c r="Q38" s="83"/>
      <c r="R38" s="83"/>
    </row>
    <row r="39" spans="1:18">
      <c r="A39" s="83">
        <v>34</v>
      </c>
      <c r="B39" s="83" t="s">
        <v>118</v>
      </c>
      <c r="C39" s="83" t="s">
        <v>67</v>
      </c>
      <c r="D39" s="83" t="s">
        <v>36</v>
      </c>
      <c r="E39" s="83" t="s">
        <v>13</v>
      </c>
      <c r="F39" s="83" t="s">
        <v>49</v>
      </c>
      <c r="G39" s="92"/>
      <c r="H39" s="83" t="s">
        <v>13</v>
      </c>
      <c r="I39" s="92"/>
      <c r="J39" s="83"/>
      <c r="K39" s="83"/>
      <c r="L39" s="83"/>
      <c r="M39" s="83"/>
      <c r="N39" s="83"/>
      <c r="O39" s="83"/>
      <c r="P39" s="83"/>
      <c r="Q39" s="83"/>
      <c r="R39" s="83"/>
    </row>
    <row r="40" spans="1:18">
      <c r="A40" s="83">
        <v>35</v>
      </c>
      <c r="B40" s="83" t="s">
        <v>119</v>
      </c>
      <c r="C40" s="83" t="s">
        <v>82</v>
      </c>
      <c r="D40" s="83" t="s">
        <v>29</v>
      </c>
      <c r="E40" s="83" t="s">
        <v>13</v>
      </c>
      <c r="F40" s="83" t="s">
        <v>37</v>
      </c>
      <c r="G40" s="92"/>
      <c r="H40" s="83" t="s">
        <v>13</v>
      </c>
      <c r="I40" s="92"/>
      <c r="J40" s="83"/>
      <c r="K40" s="83"/>
      <c r="L40" s="83"/>
      <c r="M40" s="83"/>
      <c r="N40" s="83"/>
      <c r="O40" s="83"/>
      <c r="P40" s="83"/>
      <c r="Q40" s="83"/>
      <c r="R40" s="83"/>
    </row>
    <row r="41" spans="1:18">
      <c r="A41" s="83">
        <v>36</v>
      </c>
      <c r="B41" s="83" t="s">
        <v>120</v>
      </c>
      <c r="C41" s="83" t="s">
        <v>82</v>
      </c>
      <c r="D41" s="83" t="s">
        <v>50</v>
      </c>
      <c r="E41" s="83" t="s">
        <v>13</v>
      </c>
      <c r="F41" s="83" t="s">
        <v>43</v>
      </c>
      <c r="G41" s="92"/>
      <c r="H41" s="83" t="s">
        <v>13</v>
      </c>
      <c r="I41" s="92"/>
      <c r="J41" s="83"/>
      <c r="K41" s="83"/>
      <c r="L41" s="83"/>
      <c r="M41" s="83"/>
      <c r="N41" s="83"/>
      <c r="O41" s="83"/>
      <c r="P41" s="83"/>
      <c r="Q41" s="83"/>
      <c r="R41" s="83"/>
    </row>
    <row r="42" spans="1:18">
      <c r="A42" s="83">
        <v>37</v>
      </c>
      <c r="B42" s="83" t="s">
        <v>121</v>
      </c>
      <c r="C42" s="83" t="s">
        <v>91</v>
      </c>
      <c r="D42" s="83" t="s">
        <v>69</v>
      </c>
      <c r="E42" s="83" t="s">
        <v>13</v>
      </c>
      <c r="F42" s="83" t="s">
        <v>76</v>
      </c>
      <c r="G42" s="92"/>
      <c r="H42" s="83" t="s">
        <v>13</v>
      </c>
      <c r="I42" s="92"/>
      <c r="J42" s="83"/>
      <c r="K42" s="83"/>
      <c r="L42" s="83"/>
      <c r="M42" s="83"/>
      <c r="N42" s="83"/>
      <c r="O42" s="83"/>
      <c r="P42" s="83"/>
      <c r="Q42" s="83"/>
      <c r="R42" s="83"/>
    </row>
    <row r="43" spans="1:18">
      <c r="A43" s="83">
        <v>38</v>
      </c>
      <c r="B43" s="83" t="s">
        <v>122</v>
      </c>
      <c r="C43" s="83" t="s">
        <v>91</v>
      </c>
      <c r="D43" s="83" t="s">
        <v>61</v>
      </c>
      <c r="E43" s="83" t="s">
        <v>13</v>
      </c>
      <c r="F43" s="83" t="s">
        <v>84</v>
      </c>
      <c r="G43" s="92"/>
      <c r="H43" s="83" t="s">
        <v>13</v>
      </c>
      <c r="I43" s="92"/>
      <c r="J43" s="83"/>
      <c r="K43" s="83"/>
      <c r="L43" s="83"/>
      <c r="M43" s="83"/>
      <c r="N43" s="83"/>
      <c r="O43" s="83"/>
      <c r="P43" s="83"/>
      <c r="Q43" s="83"/>
      <c r="R43" s="83"/>
    </row>
    <row r="44" spans="1:18">
      <c r="A44" s="83">
        <v>39</v>
      </c>
      <c r="B44" s="83" t="s">
        <v>123</v>
      </c>
      <c r="C44" s="83" t="s">
        <v>95</v>
      </c>
      <c r="D44" s="83" t="s">
        <v>60</v>
      </c>
      <c r="E44" s="83" t="s">
        <v>13</v>
      </c>
      <c r="F44" s="83" t="s">
        <v>83</v>
      </c>
      <c r="G44" s="92"/>
      <c r="H44" s="83" t="s">
        <v>13</v>
      </c>
      <c r="I44" s="92"/>
      <c r="J44" s="83"/>
      <c r="K44" s="83"/>
      <c r="L44" s="83"/>
      <c r="M44" s="83"/>
      <c r="N44" s="83"/>
      <c r="O44" s="83"/>
      <c r="P44" s="83"/>
      <c r="Q44" s="83"/>
      <c r="R44" s="83"/>
    </row>
    <row r="45" spans="1:18">
      <c r="A45" s="83">
        <v>40</v>
      </c>
      <c r="B45" s="83" t="s">
        <v>124</v>
      </c>
      <c r="C45" s="83" t="s">
        <v>95</v>
      </c>
      <c r="D45" s="83" t="s">
        <v>75</v>
      </c>
      <c r="E45" s="83" t="s">
        <v>13</v>
      </c>
      <c r="F45" s="83" t="s">
        <v>68</v>
      </c>
      <c r="G45" s="92"/>
      <c r="H45" s="83" t="s">
        <v>13</v>
      </c>
      <c r="I45" s="92"/>
      <c r="J45" s="83"/>
      <c r="K45" s="83"/>
      <c r="L45" s="83"/>
      <c r="M45" s="83"/>
      <c r="N45" s="83"/>
      <c r="O45" s="83"/>
      <c r="P45" s="83"/>
      <c r="Q45" s="83"/>
      <c r="R45" s="83"/>
    </row>
    <row r="46" spans="1:18">
      <c r="A46" s="83">
        <v>41</v>
      </c>
      <c r="B46" s="83" t="s">
        <v>125</v>
      </c>
      <c r="C46" s="83" t="s">
        <v>98</v>
      </c>
      <c r="D46" s="83" t="s">
        <v>70</v>
      </c>
      <c r="E46" s="83" t="s">
        <v>13</v>
      </c>
      <c r="F46" s="83" t="s">
        <v>77</v>
      </c>
      <c r="G46" s="92"/>
      <c r="H46" s="83" t="s">
        <v>13</v>
      </c>
      <c r="I46" s="92"/>
      <c r="J46" s="83"/>
      <c r="K46" s="83"/>
      <c r="L46" s="83"/>
      <c r="M46" s="83"/>
      <c r="N46" s="83"/>
      <c r="O46" s="83"/>
      <c r="P46" s="83"/>
      <c r="Q46" s="83"/>
      <c r="R46" s="83"/>
    </row>
    <row r="47" spans="1:18">
      <c r="A47" s="83">
        <v>42</v>
      </c>
      <c r="B47" s="83" t="s">
        <v>126</v>
      </c>
      <c r="C47" s="83" t="s">
        <v>98</v>
      </c>
      <c r="D47" s="83" t="s">
        <v>62</v>
      </c>
      <c r="E47" s="83" t="s">
        <v>13</v>
      </c>
      <c r="F47" s="83" t="s">
        <v>85</v>
      </c>
      <c r="G47" s="92"/>
      <c r="H47" s="83" t="s">
        <v>13</v>
      </c>
      <c r="I47" s="92"/>
      <c r="J47" s="83"/>
      <c r="K47" s="83"/>
      <c r="L47" s="83"/>
      <c r="M47" s="83"/>
      <c r="N47" s="83"/>
      <c r="O47" s="83"/>
      <c r="P47" s="83"/>
      <c r="Q47" s="83"/>
      <c r="R47" s="83"/>
    </row>
    <row r="48" spans="1:18">
      <c r="A48" s="83">
        <v>43</v>
      </c>
      <c r="B48" s="83" t="s">
        <v>127</v>
      </c>
      <c r="C48" s="83" t="s">
        <v>101</v>
      </c>
      <c r="D48" s="83" t="s">
        <v>63</v>
      </c>
      <c r="E48" s="83" t="s">
        <v>13</v>
      </c>
      <c r="F48" s="83" t="s">
        <v>71</v>
      </c>
      <c r="G48" s="92"/>
      <c r="H48" s="83" t="s">
        <v>13</v>
      </c>
      <c r="I48" s="92"/>
      <c r="J48" s="83"/>
      <c r="K48" s="83"/>
      <c r="L48" s="83"/>
      <c r="M48" s="83"/>
      <c r="N48" s="83"/>
      <c r="O48" s="83"/>
      <c r="P48" s="83"/>
      <c r="Q48" s="83"/>
      <c r="R48" s="83"/>
    </row>
    <row r="49" spans="1:18">
      <c r="A49" s="83">
        <v>44</v>
      </c>
      <c r="B49" s="83" t="s">
        <v>128</v>
      </c>
      <c r="C49" s="83" t="s">
        <v>101</v>
      </c>
      <c r="D49" s="83" t="s">
        <v>86</v>
      </c>
      <c r="E49" s="83" t="s">
        <v>13</v>
      </c>
      <c r="F49" s="83" t="s">
        <v>78</v>
      </c>
      <c r="G49" s="92"/>
      <c r="H49" s="83" t="s">
        <v>13</v>
      </c>
      <c r="I49" s="92"/>
      <c r="J49" s="83"/>
      <c r="K49" s="83"/>
      <c r="L49" s="83"/>
      <c r="M49" s="83"/>
      <c r="N49" s="83"/>
      <c r="O49" s="83"/>
      <c r="P49" s="83"/>
      <c r="Q49" s="83"/>
      <c r="R49" s="83"/>
    </row>
    <row r="50" spans="1:18">
      <c r="A50" s="83">
        <v>45</v>
      </c>
      <c r="B50" s="83" t="s">
        <v>129</v>
      </c>
      <c r="C50" s="83" t="s">
        <v>104</v>
      </c>
      <c r="D50" s="83" t="s">
        <v>65</v>
      </c>
      <c r="E50" s="83" t="s">
        <v>13</v>
      </c>
      <c r="F50" s="83" t="s">
        <v>80</v>
      </c>
      <c r="G50" s="92"/>
      <c r="H50" s="83" t="s">
        <v>13</v>
      </c>
      <c r="I50" s="92"/>
      <c r="J50" s="83"/>
      <c r="K50" s="83"/>
      <c r="L50" s="83"/>
      <c r="M50" s="83"/>
      <c r="N50" s="83"/>
      <c r="O50" s="83"/>
      <c r="P50" s="83"/>
      <c r="Q50" s="83"/>
      <c r="R50" s="83"/>
    </row>
    <row r="51" spans="1:18">
      <c r="A51" s="83">
        <v>46</v>
      </c>
      <c r="B51" s="83" t="s">
        <v>130</v>
      </c>
      <c r="C51" s="83" t="s">
        <v>104</v>
      </c>
      <c r="D51" s="83" t="s">
        <v>88</v>
      </c>
      <c r="E51" s="83" t="s">
        <v>13</v>
      </c>
      <c r="F51" s="83" t="s">
        <v>73</v>
      </c>
      <c r="G51" s="92"/>
      <c r="H51" s="83" t="s">
        <v>13</v>
      </c>
      <c r="I51" s="92"/>
      <c r="J51" s="83"/>
      <c r="K51" s="83"/>
      <c r="L51" s="83"/>
      <c r="M51" s="83"/>
      <c r="N51" s="83"/>
      <c r="O51" s="83"/>
      <c r="P51" s="83"/>
      <c r="Q51" s="83"/>
      <c r="R51" s="83"/>
    </row>
    <row r="52" spans="1:18">
      <c r="A52" s="83">
        <v>47</v>
      </c>
      <c r="B52" s="83" t="s">
        <v>131</v>
      </c>
      <c r="C52" s="83" t="s">
        <v>107</v>
      </c>
      <c r="D52" s="83" t="s">
        <v>64</v>
      </c>
      <c r="E52" s="83" t="s">
        <v>13</v>
      </c>
      <c r="F52" s="83" t="s">
        <v>79</v>
      </c>
      <c r="G52" s="92"/>
      <c r="H52" s="83" t="s">
        <v>13</v>
      </c>
      <c r="I52" s="92"/>
      <c r="J52" s="83"/>
      <c r="K52" s="83"/>
      <c r="L52" s="83"/>
      <c r="M52" s="83"/>
      <c r="N52" s="83"/>
      <c r="O52" s="83"/>
      <c r="P52" s="83"/>
      <c r="Q52" s="83"/>
      <c r="R52" s="83"/>
    </row>
    <row r="53" spans="1:18">
      <c r="A53" s="83">
        <v>48</v>
      </c>
      <c r="B53" s="83" t="s">
        <v>132</v>
      </c>
      <c r="C53" s="83" t="s">
        <v>107</v>
      </c>
      <c r="D53" s="83" t="s">
        <v>72</v>
      </c>
      <c r="E53" s="83" t="s">
        <v>13</v>
      </c>
      <c r="F53" s="83" t="s">
        <v>87</v>
      </c>
      <c r="G53" s="92"/>
      <c r="H53" s="83" t="s">
        <v>13</v>
      </c>
      <c r="I53" s="92"/>
      <c r="J53" s="83"/>
      <c r="K53" s="83"/>
      <c r="L53" s="83"/>
      <c r="M53" s="83"/>
      <c r="N53" s="83"/>
      <c r="O53" s="83"/>
      <c r="P53" s="83"/>
      <c r="Q53" s="83"/>
      <c r="R53" s="83"/>
    </row>
    <row r="54" spans="1:18">
      <c r="A54" s="83">
        <v>49</v>
      </c>
      <c r="B54" s="83" t="s">
        <v>133</v>
      </c>
      <c r="C54" s="83" t="s">
        <v>45</v>
      </c>
      <c r="D54" s="83" t="s">
        <v>34</v>
      </c>
      <c r="E54" s="83" t="s">
        <v>13</v>
      </c>
      <c r="F54" s="83" t="s">
        <v>26</v>
      </c>
      <c r="G54" s="92"/>
      <c r="H54" s="83" t="s">
        <v>13</v>
      </c>
      <c r="I54" s="92"/>
      <c r="J54" s="83"/>
      <c r="K54" s="83"/>
      <c r="L54" s="83"/>
      <c r="M54" s="83"/>
      <c r="N54" s="83"/>
      <c r="O54" s="83"/>
      <c r="P54" s="83"/>
      <c r="Q54" s="83"/>
      <c r="R54" s="83"/>
    </row>
    <row r="55" spans="1:18">
      <c r="A55" s="83">
        <v>50</v>
      </c>
      <c r="B55" s="83" t="s">
        <v>133</v>
      </c>
      <c r="C55" s="83" t="s">
        <v>45</v>
      </c>
      <c r="D55" s="83" t="s">
        <v>41</v>
      </c>
      <c r="E55" s="83" t="s">
        <v>13</v>
      </c>
      <c r="F55" s="83" t="s">
        <v>46</v>
      </c>
      <c r="G55" s="92"/>
      <c r="H55" s="83" t="s">
        <v>13</v>
      </c>
      <c r="I55" s="92"/>
      <c r="J55" s="83"/>
      <c r="K55" s="83"/>
      <c r="L55" s="83"/>
      <c r="M55" s="83"/>
      <c r="N55" s="83"/>
      <c r="O55" s="83"/>
      <c r="P55" s="83"/>
      <c r="Q55" s="83"/>
      <c r="R55" s="83"/>
    </row>
    <row r="56" spans="1:18">
      <c r="A56" s="83">
        <v>51</v>
      </c>
      <c r="B56" s="83" t="s">
        <v>134</v>
      </c>
      <c r="C56" s="83" t="s">
        <v>31</v>
      </c>
      <c r="D56" s="83" t="s">
        <v>25</v>
      </c>
      <c r="E56" s="83" t="s">
        <v>13</v>
      </c>
      <c r="F56" s="83" t="s">
        <v>32</v>
      </c>
      <c r="G56" s="92"/>
      <c r="H56" s="83" t="s">
        <v>13</v>
      </c>
      <c r="I56" s="92"/>
      <c r="J56" s="83"/>
      <c r="K56" s="83"/>
      <c r="L56" s="83"/>
      <c r="M56" s="83"/>
      <c r="N56" s="83"/>
      <c r="O56" s="83"/>
      <c r="P56" s="83"/>
      <c r="Q56" s="83"/>
      <c r="R56" s="83"/>
    </row>
    <row r="57" spans="1:18">
      <c r="A57" s="83">
        <v>52</v>
      </c>
      <c r="B57" s="83" t="s">
        <v>134</v>
      </c>
      <c r="C57" s="83" t="s">
        <v>31</v>
      </c>
      <c r="D57" s="83" t="s">
        <v>33</v>
      </c>
      <c r="E57" s="83" t="s">
        <v>13</v>
      </c>
      <c r="F57" s="83" t="s">
        <v>47</v>
      </c>
      <c r="G57" s="92"/>
      <c r="H57" s="83" t="s">
        <v>13</v>
      </c>
      <c r="I57" s="92"/>
      <c r="J57" s="83"/>
      <c r="K57" s="83"/>
      <c r="L57" s="83"/>
      <c r="M57" s="83"/>
      <c r="N57" s="83"/>
      <c r="O57" s="83"/>
      <c r="P57" s="83"/>
      <c r="Q57" s="83"/>
      <c r="R57" s="83"/>
    </row>
    <row r="58" spans="1:18">
      <c r="A58" s="83">
        <v>53</v>
      </c>
      <c r="B58" s="83" t="s">
        <v>135</v>
      </c>
      <c r="C58" s="83" t="s">
        <v>11</v>
      </c>
      <c r="D58" s="83" t="s">
        <v>24</v>
      </c>
      <c r="E58" s="83" t="s">
        <v>13</v>
      </c>
      <c r="F58" s="83" t="s">
        <v>12</v>
      </c>
      <c r="G58" s="92"/>
      <c r="H58" s="83" t="s">
        <v>13</v>
      </c>
      <c r="I58" s="92"/>
      <c r="J58" s="83"/>
      <c r="K58" s="83"/>
      <c r="L58" s="83"/>
      <c r="M58" s="83"/>
      <c r="N58" s="83"/>
      <c r="O58" s="83"/>
      <c r="P58" s="83"/>
      <c r="Q58" s="83"/>
      <c r="R58" s="83"/>
    </row>
    <row r="59" spans="1:18">
      <c r="A59" s="83">
        <v>54</v>
      </c>
      <c r="B59" s="83" t="s">
        <v>135</v>
      </c>
      <c r="C59" s="83" t="s">
        <v>11</v>
      </c>
      <c r="D59" s="83" t="s">
        <v>14</v>
      </c>
      <c r="E59" s="83" t="s">
        <v>13</v>
      </c>
      <c r="F59" s="83" t="s">
        <v>23</v>
      </c>
      <c r="G59" s="92"/>
      <c r="H59" s="83" t="s">
        <v>13</v>
      </c>
      <c r="I59" s="92"/>
      <c r="J59" s="83"/>
      <c r="K59" s="83"/>
      <c r="L59" s="83"/>
      <c r="M59" s="83"/>
      <c r="N59" s="83"/>
      <c r="O59" s="83"/>
      <c r="P59" s="83"/>
      <c r="Q59" s="83"/>
      <c r="R59" s="83"/>
    </row>
    <row r="60" spans="1:18">
      <c r="A60" s="83">
        <v>55</v>
      </c>
      <c r="B60" s="83" t="s">
        <v>136</v>
      </c>
      <c r="C60" s="83" t="s">
        <v>67</v>
      </c>
      <c r="D60" s="83" t="s">
        <v>49</v>
      </c>
      <c r="E60" s="83" t="s">
        <v>13</v>
      </c>
      <c r="F60" s="83" t="s">
        <v>42</v>
      </c>
      <c r="G60" s="92"/>
      <c r="H60" s="83" t="s">
        <v>13</v>
      </c>
      <c r="I60" s="92"/>
      <c r="J60" s="83"/>
      <c r="K60" s="83"/>
      <c r="L60" s="83"/>
      <c r="M60" s="83"/>
      <c r="N60" s="83"/>
      <c r="O60" s="83"/>
      <c r="P60" s="83"/>
      <c r="Q60" s="83"/>
      <c r="R60" s="83"/>
    </row>
    <row r="61" spans="1:18">
      <c r="A61" s="83">
        <v>56</v>
      </c>
      <c r="B61" s="83" t="s">
        <v>136</v>
      </c>
      <c r="C61" s="83" t="s">
        <v>67</v>
      </c>
      <c r="D61" s="83" t="s">
        <v>36</v>
      </c>
      <c r="E61" s="83" t="s">
        <v>13</v>
      </c>
      <c r="F61" s="83" t="s">
        <v>28</v>
      </c>
      <c r="G61" s="92"/>
      <c r="H61" s="83" t="s">
        <v>13</v>
      </c>
      <c r="I61" s="92"/>
      <c r="J61" s="83"/>
      <c r="K61" s="83"/>
      <c r="L61" s="83"/>
      <c r="M61" s="83"/>
      <c r="N61" s="83"/>
      <c r="O61" s="83"/>
      <c r="P61" s="83"/>
      <c r="Q61" s="83"/>
      <c r="R61" s="83"/>
    </row>
    <row r="62" spans="1:18">
      <c r="A62" s="83">
        <v>57</v>
      </c>
      <c r="B62" s="83" t="s">
        <v>137</v>
      </c>
      <c r="C62" s="83" t="s">
        <v>82</v>
      </c>
      <c r="D62" s="83" t="s">
        <v>43</v>
      </c>
      <c r="E62" s="83" t="s">
        <v>13</v>
      </c>
      <c r="F62" s="83" t="s">
        <v>37</v>
      </c>
      <c r="G62" s="92"/>
      <c r="H62" s="83" t="s">
        <v>13</v>
      </c>
      <c r="I62" s="92"/>
      <c r="J62" s="83"/>
      <c r="K62" s="83"/>
      <c r="L62" s="83"/>
      <c r="M62" s="83"/>
      <c r="N62" s="83"/>
      <c r="O62" s="83"/>
      <c r="P62" s="83"/>
      <c r="Q62" s="83"/>
      <c r="R62" s="83"/>
    </row>
    <row r="63" spans="1:18">
      <c r="A63" s="83">
        <v>58</v>
      </c>
      <c r="B63" s="83" t="s">
        <v>137</v>
      </c>
      <c r="C63" s="83" t="s">
        <v>82</v>
      </c>
      <c r="D63" s="83" t="s">
        <v>50</v>
      </c>
      <c r="E63" s="83" t="s">
        <v>13</v>
      </c>
      <c r="F63" s="83" t="s">
        <v>29</v>
      </c>
      <c r="G63" s="92"/>
      <c r="H63" s="83" t="s">
        <v>13</v>
      </c>
      <c r="I63" s="92"/>
      <c r="J63" s="83"/>
      <c r="K63" s="83"/>
      <c r="L63" s="83"/>
      <c r="M63" s="83"/>
      <c r="N63" s="83"/>
      <c r="O63" s="83"/>
      <c r="P63" s="83"/>
      <c r="Q63" s="83"/>
      <c r="R63" s="83"/>
    </row>
    <row r="64" spans="1:18">
      <c r="A64" s="83">
        <v>59</v>
      </c>
      <c r="B64" s="83" t="s">
        <v>138</v>
      </c>
      <c r="C64" s="83" t="s">
        <v>39</v>
      </c>
      <c r="D64" s="83" t="s">
        <v>27</v>
      </c>
      <c r="E64" s="83" t="s">
        <v>13</v>
      </c>
      <c r="F64" s="83" t="s">
        <v>35</v>
      </c>
      <c r="G64" s="92"/>
      <c r="H64" s="83" t="s">
        <v>13</v>
      </c>
      <c r="I64" s="92"/>
      <c r="J64" s="83"/>
      <c r="K64" s="83"/>
      <c r="L64" s="83"/>
      <c r="M64" s="83"/>
      <c r="N64" s="83"/>
      <c r="O64" s="83"/>
      <c r="P64" s="83"/>
      <c r="Q64" s="83"/>
      <c r="R64" s="83"/>
    </row>
    <row r="65" spans="1:18">
      <c r="A65" s="83">
        <v>60</v>
      </c>
      <c r="B65" s="83" t="s">
        <v>138</v>
      </c>
      <c r="C65" s="83" t="s">
        <v>39</v>
      </c>
      <c r="D65" s="83" t="s">
        <v>40</v>
      </c>
      <c r="E65" s="83" t="s">
        <v>13</v>
      </c>
      <c r="F65" s="83" t="s">
        <v>48</v>
      </c>
      <c r="G65" s="92"/>
      <c r="H65" s="83" t="s">
        <v>13</v>
      </c>
      <c r="I65" s="92"/>
      <c r="J65" s="83"/>
      <c r="K65" s="83"/>
      <c r="L65" s="83"/>
      <c r="M65" s="83"/>
      <c r="N65" s="83"/>
      <c r="O65" s="83"/>
      <c r="P65" s="83"/>
      <c r="Q65" s="83"/>
      <c r="R65" s="83"/>
    </row>
    <row r="66" spans="1:18">
      <c r="A66" s="83">
        <v>61</v>
      </c>
      <c r="B66" s="83" t="s">
        <v>139</v>
      </c>
      <c r="C66" s="83" t="s">
        <v>98</v>
      </c>
      <c r="D66" s="83" t="s">
        <v>70</v>
      </c>
      <c r="E66" s="83" t="s">
        <v>13</v>
      </c>
      <c r="F66" s="83" t="s">
        <v>62</v>
      </c>
      <c r="G66" s="92"/>
      <c r="H66" s="83" t="s">
        <v>13</v>
      </c>
      <c r="I66" s="92"/>
      <c r="J66" s="83"/>
      <c r="K66" s="83"/>
      <c r="L66" s="83"/>
      <c r="M66" s="83"/>
      <c r="N66" s="83"/>
      <c r="O66" s="83"/>
      <c r="P66" s="83"/>
      <c r="Q66" s="83"/>
      <c r="R66" s="83"/>
    </row>
    <row r="67" spans="1:18">
      <c r="A67" s="83">
        <v>62</v>
      </c>
      <c r="B67" s="83" t="s">
        <v>139</v>
      </c>
      <c r="C67" s="83" t="s">
        <v>98</v>
      </c>
      <c r="D67" s="83" t="s">
        <v>77</v>
      </c>
      <c r="E67" s="83" t="s">
        <v>13</v>
      </c>
      <c r="F67" s="83" t="s">
        <v>85</v>
      </c>
      <c r="G67" s="92"/>
      <c r="H67" s="83" t="s">
        <v>13</v>
      </c>
      <c r="I67" s="92"/>
      <c r="J67" s="83"/>
      <c r="K67" s="83"/>
      <c r="L67" s="83"/>
      <c r="M67" s="83"/>
      <c r="N67" s="83"/>
      <c r="O67" s="83"/>
      <c r="P67" s="83"/>
      <c r="Q67" s="83"/>
      <c r="R67" s="83"/>
    </row>
    <row r="68" spans="1:18">
      <c r="A68" s="83">
        <v>63</v>
      </c>
      <c r="B68" s="83" t="s">
        <v>140</v>
      </c>
      <c r="C68" s="83" t="s">
        <v>95</v>
      </c>
      <c r="D68" s="83" t="s">
        <v>68</v>
      </c>
      <c r="E68" s="83" t="s">
        <v>13</v>
      </c>
      <c r="F68" s="83" t="s">
        <v>83</v>
      </c>
      <c r="G68" s="92"/>
      <c r="H68" s="83" t="s">
        <v>13</v>
      </c>
      <c r="I68" s="92"/>
      <c r="J68" s="83"/>
      <c r="K68" s="83"/>
      <c r="L68" s="83"/>
      <c r="M68" s="83"/>
      <c r="N68" s="83"/>
      <c r="O68" s="83"/>
      <c r="P68" s="83"/>
      <c r="Q68" s="83"/>
      <c r="R68" s="83"/>
    </row>
    <row r="69" spans="1:18">
      <c r="A69" s="83">
        <v>64</v>
      </c>
      <c r="B69" s="83" t="s">
        <v>140</v>
      </c>
      <c r="C69" s="83" t="s">
        <v>95</v>
      </c>
      <c r="D69" s="83" t="s">
        <v>75</v>
      </c>
      <c r="E69" s="83" t="s">
        <v>13</v>
      </c>
      <c r="F69" s="83" t="s">
        <v>60</v>
      </c>
      <c r="G69" s="92"/>
      <c r="H69" s="83" t="s">
        <v>13</v>
      </c>
      <c r="I69" s="92"/>
      <c r="J69" s="83"/>
      <c r="K69" s="83"/>
      <c r="L69" s="83"/>
      <c r="M69" s="83"/>
      <c r="N69" s="83"/>
      <c r="O69" s="83"/>
      <c r="P69" s="83"/>
      <c r="Q69" s="83"/>
      <c r="R69" s="83"/>
    </row>
    <row r="70" spans="1:18">
      <c r="A70" s="83">
        <v>65</v>
      </c>
      <c r="B70" s="83" t="s">
        <v>141</v>
      </c>
      <c r="C70" s="83" t="s">
        <v>91</v>
      </c>
      <c r="D70" s="83" t="s">
        <v>76</v>
      </c>
      <c r="E70" s="83" t="s">
        <v>13</v>
      </c>
      <c r="F70" s="83" t="s">
        <v>84</v>
      </c>
      <c r="G70" s="92"/>
      <c r="H70" s="83" t="s">
        <v>13</v>
      </c>
      <c r="I70" s="92"/>
      <c r="J70" s="83"/>
      <c r="K70" s="83"/>
      <c r="L70" s="83"/>
      <c r="M70" s="83"/>
      <c r="N70" s="83"/>
      <c r="O70" s="83"/>
      <c r="P70" s="83"/>
      <c r="Q70" s="83"/>
      <c r="R70" s="83"/>
    </row>
    <row r="71" spans="1:18">
      <c r="A71" s="83">
        <v>66</v>
      </c>
      <c r="B71" s="83" t="s">
        <v>141</v>
      </c>
      <c r="C71" s="83" t="s">
        <v>91</v>
      </c>
      <c r="D71" s="83" t="s">
        <v>69</v>
      </c>
      <c r="E71" s="83" t="s">
        <v>13</v>
      </c>
      <c r="F71" s="83" t="s">
        <v>61</v>
      </c>
      <c r="G71" s="92"/>
      <c r="H71" s="83" t="s">
        <v>13</v>
      </c>
      <c r="I71" s="92"/>
      <c r="J71" s="83"/>
      <c r="K71" s="83"/>
      <c r="L71" s="83"/>
      <c r="M71" s="83"/>
      <c r="N71" s="83"/>
      <c r="O71" s="83"/>
      <c r="P71" s="83"/>
      <c r="Q71" s="83"/>
      <c r="R71" s="83"/>
    </row>
    <row r="72" spans="1:18">
      <c r="A72" s="83">
        <v>67</v>
      </c>
      <c r="B72" s="83" t="s">
        <v>142</v>
      </c>
      <c r="C72" s="83" t="s">
        <v>104</v>
      </c>
      <c r="D72" s="83" t="s">
        <v>88</v>
      </c>
      <c r="E72" s="83" t="s">
        <v>13</v>
      </c>
      <c r="F72" s="83" t="s">
        <v>65</v>
      </c>
      <c r="G72" s="92"/>
      <c r="H72" s="83" t="s">
        <v>13</v>
      </c>
      <c r="I72" s="92"/>
      <c r="J72" s="83"/>
      <c r="K72" s="83"/>
      <c r="L72" s="83"/>
      <c r="M72" s="83"/>
      <c r="N72" s="83"/>
      <c r="O72" s="83"/>
      <c r="P72" s="83"/>
      <c r="Q72" s="83"/>
      <c r="R72" s="83"/>
    </row>
    <row r="73" spans="1:18">
      <c r="A73" s="83">
        <v>68</v>
      </c>
      <c r="B73" s="83" t="s">
        <v>142</v>
      </c>
      <c r="C73" s="83" t="s">
        <v>104</v>
      </c>
      <c r="D73" s="83" t="s">
        <v>73</v>
      </c>
      <c r="E73" s="83" t="s">
        <v>13</v>
      </c>
      <c r="F73" s="83" t="s">
        <v>80</v>
      </c>
      <c r="G73" s="92"/>
      <c r="H73" s="83" t="s">
        <v>13</v>
      </c>
      <c r="I73" s="92"/>
      <c r="J73" s="83"/>
      <c r="K73" s="83"/>
      <c r="L73" s="83"/>
      <c r="M73" s="83"/>
      <c r="N73" s="83"/>
      <c r="O73" s="83"/>
      <c r="P73" s="83"/>
      <c r="Q73" s="83"/>
      <c r="R73" s="83"/>
    </row>
    <row r="74" spans="1:18">
      <c r="A74" s="83">
        <v>69</v>
      </c>
      <c r="B74" s="83" t="s">
        <v>143</v>
      </c>
      <c r="C74" s="83" t="s">
        <v>101</v>
      </c>
      <c r="D74" s="83" t="s">
        <v>78</v>
      </c>
      <c r="E74" s="83" t="s">
        <v>13</v>
      </c>
      <c r="F74" s="83" t="s">
        <v>71</v>
      </c>
      <c r="G74" s="92"/>
      <c r="H74" s="83" t="s">
        <v>13</v>
      </c>
      <c r="I74" s="92"/>
      <c r="J74" s="83"/>
      <c r="K74" s="83"/>
      <c r="L74" s="83"/>
      <c r="M74" s="83"/>
      <c r="N74" s="83"/>
      <c r="O74" s="83"/>
      <c r="P74" s="83"/>
      <c r="Q74" s="83"/>
      <c r="R74" s="83"/>
    </row>
    <row r="75" spans="1:18">
      <c r="A75" s="83">
        <v>70</v>
      </c>
      <c r="B75" s="83" t="s">
        <v>143</v>
      </c>
      <c r="C75" s="83" t="s">
        <v>101</v>
      </c>
      <c r="D75" s="83" t="s">
        <v>86</v>
      </c>
      <c r="E75" s="83" t="s">
        <v>13</v>
      </c>
      <c r="F75" s="83" t="s">
        <v>63</v>
      </c>
      <c r="G75" s="92"/>
      <c r="H75" s="83" t="s">
        <v>13</v>
      </c>
      <c r="I75" s="92"/>
      <c r="J75" s="83"/>
      <c r="K75" s="83"/>
      <c r="L75" s="83"/>
      <c r="M75" s="83"/>
      <c r="N75" s="83"/>
      <c r="O75" s="83"/>
      <c r="P75" s="83"/>
      <c r="Q75" s="83"/>
      <c r="R75" s="83"/>
    </row>
    <row r="76" spans="1:18">
      <c r="A76" s="83">
        <v>71</v>
      </c>
      <c r="B76" s="83" t="s">
        <v>144</v>
      </c>
      <c r="C76" s="83" t="s">
        <v>107</v>
      </c>
      <c r="D76" s="83" t="s">
        <v>72</v>
      </c>
      <c r="E76" s="83" t="s">
        <v>13</v>
      </c>
      <c r="F76" s="83" t="s">
        <v>64</v>
      </c>
      <c r="G76" s="92"/>
      <c r="H76" s="83" t="s">
        <v>13</v>
      </c>
      <c r="I76" s="92"/>
      <c r="J76" s="83"/>
      <c r="K76" s="83"/>
      <c r="L76" s="83"/>
      <c r="M76" s="83"/>
      <c r="N76" s="83"/>
      <c r="O76" s="83"/>
      <c r="P76" s="83"/>
      <c r="Q76" s="83"/>
      <c r="R76" s="83"/>
    </row>
    <row r="77" spans="1:18">
      <c r="A77" s="83">
        <v>72</v>
      </c>
      <c r="B77" s="83" t="s">
        <v>144</v>
      </c>
      <c r="C77" s="83" t="s">
        <v>107</v>
      </c>
      <c r="D77" s="83" t="s">
        <v>87</v>
      </c>
      <c r="E77" s="83" t="s">
        <v>13</v>
      </c>
      <c r="F77" s="83" t="s">
        <v>79</v>
      </c>
      <c r="G77" s="92"/>
      <c r="H77" s="83" t="s">
        <v>13</v>
      </c>
      <c r="I77" s="92"/>
      <c r="J77" s="83"/>
      <c r="K77" s="83"/>
      <c r="L77" s="83"/>
      <c r="M77" s="83"/>
      <c r="N77" s="83"/>
      <c r="O77" s="83"/>
      <c r="P77" s="83"/>
      <c r="Q77" s="83"/>
      <c r="R77" s="8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5"/>
  <sheetViews>
    <sheetView tabSelected="1" topLeftCell="A2" workbookViewId="0">
      <selection activeCell="C28" sqref="C28:C29"/>
    </sheetView>
  </sheetViews>
  <sheetFormatPr defaultRowHeight="15"/>
  <cols>
    <col min="1" max="1" width="8" customWidth="1"/>
    <col min="2" max="2" width="10" customWidth="1"/>
    <col min="3" max="3" width="24" customWidth="1"/>
    <col min="4" max="8" width="16" customWidth="1"/>
    <col min="10" max="10" width="72" customWidth="1"/>
  </cols>
  <sheetData>
    <row r="1" spans="1:10" ht="21">
      <c r="A1" s="78" t="s">
        <v>201</v>
      </c>
      <c r="B1" s="78"/>
      <c r="C1" s="78"/>
      <c r="D1" s="78"/>
      <c r="E1" s="78"/>
      <c r="F1" s="78"/>
      <c r="G1" s="78"/>
      <c r="H1" s="78"/>
    </row>
    <row r="2" spans="1:10" ht="240">
      <c r="A2" s="79" t="s">
        <v>202</v>
      </c>
      <c r="B2" s="79"/>
      <c r="C2" s="79"/>
      <c r="D2" s="79"/>
      <c r="E2" s="79"/>
      <c r="F2" s="79"/>
      <c r="G2" s="79"/>
      <c r="H2" s="79"/>
    </row>
    <row r="3" spans="1:10" ht="60">
      <c r="A3" s="79" t="str">
        <f>"Pelattuja otteluita: "&amp;COUNTIFS(Tulokset!$G$6:$G$77,"&gt;=0",Tulokset!$I$6:$I$77,"&gt;=0")&amp;" / 72"</f>
        <v>Pelattuja otteluita: 0 / 72</v>
      </c>
      <c r="B3" s="79"/>
      <c r="C3" s="79"/>
      <c r="D3" s="79"/>
      <c r="E3" s="79"/>
      <c r="F3" s="79"/>
      <c r="G3" s="79"/>
      <c r="H3" s="79"/>
    </row>
    <row r="5" spans="1:10">
      <c r="A5" s="81" t="s">
        <v>203</v>
      </c>
      <c r="B5" s="81" t="s">
        <v>204</v>
      </c>
      <c r="C5" s="81" t="s">
        <v>205</v>
      </c>
      <c r="D5" s="81" t="s">
        <v>206</v>
      </c>
      <c r="E5" s="81" t="s">
        <v>207</v>
      </c>
      <c r="F5" s="81" t="s">
        <v>208</v>
      </c>
      <c r="G5" s="81" t="s">
        <v>209</v>
      </c>
      <c r="H5" s="81" t="s">
        <v>210</v>
      </c>
      <c r="J5" s="80" t="s">
        <v>211</v>
      </c>
    </row>
    <row r="6" spans="1:10" ht="30">
      <c r="A6" s="93">
        <f t="shared" ref="A6:A35" ca="1" si="0">IF($G6="","",1+COUNTIFS($G$6:$G$35,"&gt;"&amp;$G6)+COUNTIFS($G$6:$G$35,$G6,$H$6:$H$35,"&gt;"&amp;$H6))</f>
        <v>1</v>
      </c>
      <c r="B6" s="93" t="s">
        <v>212</v>
      </c>
      <c r="C6" s="94" t="str">
        <f ca="1">IF(Laskenta!$B4="","",Laskenta!$B4)</f>
        <v>Mike Salmon</v>
      </c>
      <c r="D6" s="93">
        <f ca="1">IF($C6="","",Laskenta!$C4)</f>
        <v>0</v>
      </c>
      <c r="E6" s="93">
        <f ca="1">IF($C6="","",Laskenta!$D4)</f>
        <v>0</v>
      </c>
      <c r="F6" s="93">
        <f ca="1">IF($C6="","",Laskenta!$E4)</f>
        <v>0</v>
      </c>
      <c r="G6" s="93">
        <f ca="1">IF($C6="","",Laskenta!$F4)</f>
        <v>0</v>
      </c>
      <c r="H6" s="93">
        <f ca="1">IF($C6="","",Laskenta!$G4)</f>
        <v>0</v>
      </c>
      <c r="J6" s="90" t="s">
        <v>213</v>
      </c>
    </row>
    <row r="7" spans="1:10">
      <c r="A7" s="93">
        <f t="shared" ca="1" si="0"/>
        <v>1</v>
      </c>
      <c r="B7" s="93" t="s">
        <v>214</v>
      </c>
      <c r="C7" s="94" t="str">
        <f ca="1">IF(Laskenta!$B5="","",Laskenta!$B5)</f>
        <v>ArtsiKerho</v>
      </c>
      <c r="D7" s="93">
        <f ca="1">IF($C7="","",Laskenta!$C5)</f>
        <v>0</v>
      </c>
      <c r="E7" s="93">
        <f ca="1">IF($C7="","",Laskenta!$D5)</f>
        <v>0</v>
      </c>
      <c r="F7" s="93">
        <f ca="1">IF($C7="","",Laskenta!$E5)</f>
        <v>0</v>
      </c>
      <c r="G7" s="93">
        <f ca="1">IF($C7="","",Laskenta!$F5)</f>
        <v>0</v>
      </c>
      <c r="H7" s="93">
        <f ca="1">IF($C7="","",Laskenta!$G5)</f>
        <v>0</v>
      </c>
      <c r="J7" s="90"/>
    </row>
    <row r="8" spans="1:10">
      <c r="A8" s="93">
        <f t="shared" ca="1" si="0"/>
        <v>1</v>
      </c>
      <c r="B8" s="93" t="s">
        <v>215</v>
      </c>
      <c r="C8" s="94" t="str">
        <f ca="1">IF(Laskenta!$B6="","",Laskenta!$B6)</f>
        <v>Johnny Rotten</v>
      </c>
      <c r="D8" s="93">
        <f ca="1">IF($C8="","",Laskenta!$C6)</f>
        <v>0</v>
      </c>
      <c r="E8" s="93">
        <f ca="1">IF($C8="","",Laskenta!$D6)</f>
        <v>0</v>
      </c>
      <c r="F8" s="93">
        <f ca="1">IF($C8="","",Laskenta!$E6)</f>
        <v>0</v>
      </c>
      <c r="G8" s="93">
        <f ca="1">IF($C8="","",Laskenta!$F6)</f>
        <v>0</v>
      </c>
      <c r="H8" s="93">
        <f ca="1">IF($C8="","",Laskenta!$G6)</f>
        <v>0</v>
      </c>
      <c r="J8" s="91" t="s">
        <v>216</v>
      </c>
    </row>
    <row r="9" spans="1:10">
      <c r="A9" s="93">
        <f t="shared" ca="1" si="0"/>
        <v>1</v>
      </c>
      <c r="B9" s="93" t="s">
        <v>217</v>
      </c>
      <c r="C9" s="94" t="str">
        <f ca="1">IF(Laskenta!$B7="","",Laskenta!$B7)</f>
        <v>The Moka</v>
      </c>
      <c r="D9" s="93">
        <f ca="1">IF($C9="","",Laskenta!$C7)</f>
        <v>0</v>
      </c>
      <c r="E9" s="93">
        <f ca="1">IF($C9="","",Laskenta!$D7)</f>
        <v>0</v>
      </c>
      <c r="F9" s="93">
        <f ca="1">IF($C9="","",Laskenta!$E7)</f>
        <v>0</v>
      </c>
      <c r="G9" s="93">
        <f ca="1">IF($C9="","",Laskenta!$F7)</f>
        <v>0</v>
      </c>
      <c r="H9" s="93">
        <f ca="1">IF($C9="","",Laskenta!$G7)</f>
        <v>0</v>
      </c>
      <c r="J9" s="90" t="s">
        <v>218</v>
      </c>
    </row>
    <row r="10" spans="1:10" ht="30">
      <c r="A10" s="93">
        <f t="shared" ca="1" si="0"/>
        <v>1</v>
      </c>
      <c r="B10" s="93" t="s">
        <v>219</v>
      </c>
      <c r="C10" s="94" t="str">
        <f ca="1">IF(Laskenta!$B8="","",Laskenta!$B8)</f>
        <v>Sedu</v>
      </c>
      <c r="D10" s="93">
        <f ca="1">IF($C10="","",Laskenta!$C8)</f>
        <v>0</v>
      </c>
      <c r="E10" s="93">
        <f ca="1">IF($C10="","",Laskenta!$D8)</f>
        <v>0</v>
      </c>
      <c r="F10" s="93">
        <f ca="1">IF($C10="","",Laskenta!$E8)</f>
        <v>0</v>
      </c>
      <c r="G10" s="93">
        <f ca="1">IF($C10="","",Laskenta!$F8)</f>
        <v>0</v>
      </c>
      <c r="H10" s="93">
        <f ca="1">IF($C10="","",Laskenta!$G8)</f>
        <v>0</v>
      </c>
      <c r="J10" s="90" t="s">
        <v>220</v>
      </c>
    </row>
    <row r="11" spans="1:10">
      <c r="A11" s="93">
        <f t="shared" ca="1" si="0"/>
        <v>1</v>
      </c>
      <c r="B11" s="93" t="s">
        <v>221</v>
      </c>
      <c r="C11" s="94" t="str">
        <f ca="1">IF(Laskenta!$B9="","",Laskenta!$B9)</f>
        <v>Pauli Koponen</v>
      </c>
      <c r="D11" s="93">
        <f ca="1">IF($C11="","",Laskenta!$C9)</f>
        <v>0</v>
      </c>
      <c r="E11" s="93">
        <f ca="1">IF($C11="","",Laskenta!$D9)</f>
        <v>0</v>
      </c>
      <c r="F11" s="93">
        <f ca="1">IF($C11="","",Laskenta!$E9)</f>
        <v>0</v>
      </c>
      <c r="G11" s="93">
        <f ca="1">IF($C11="","",Laskenta!$F9)</f>
        <v>0</v>
      </c>
      <c r="H11" s="93">
        <f ca="1">IF($C11="","",Laskenta!$G9)</f>
        <v>0</v>
      </c>
      <c r="J11" s="90" t="s">
        <v>222</v>
      </c>
    </row>
    <row r="12" spans="1:10">
      <c r="A12" s="93">
        <f t="shared" ca="1" si="0"/>
        <v>1</v>
      </c>
      <c r="B12" s="93" t="s">
        <v>223</v>
      </c>
      <c r="C12" s="94" t="str">
        <f ca="1">IF(Laskenta!$B10="","",Laskenta!$B10)</f>
        <v>Pora</v>
      </c>
      <c r="D12" s="93">
        <f ca="1">IF($C12="","",Laskenta!$C10)</f>
        <v>0</v>
      </c>
      <c r="E12" s="93">
        <f ca="1">IF($C12="","",Laskenta!$D10)</f>
        <v>0</v>
      </c>
      <c r="F12" s="93">
        <f ca="1">IF($C12="","",Laskenta!$E10)</f>
        <v>0</v>
      </c>
      <c r="G12" s="93">
        <f ca="1">IF($C12="","",Laskenta!$F10)</f>
        <v>0</v>
      </c>
      <c r="H12" s="93">
        <f ca="1">IF($C12="","",Laskenta!$G10)</f>
        <v>0</v>
      </c>
      <c r="J12" s="90" t="s">
        <v>224</v>
      </c>
    </row>
    <row r="13" spans="1:10">
      <c r="A13" s="93">
        <f t="shared" ca="1" si="0"/>
        <v>1</v>
      </c>
      <c r="B13" s="93" t="s">
        <v>225</v>
      </c>
      <c r="C13" s="94" t="str">
        <f ca="1">IF(Laskenta!$B11="","",Laskenta!$B11)</f>
        <v>Rikhard Moeller-Kalanmaksaoeljy</v>
      </c>
      <c r="D13" s="93">
        <f ca="1">IF($C13="","",Laskenta!$C11)</f>
        <v>0</v>
      </c>
      <c r="E13" s="93">
        <f ca="1">IF($C13="","",Laskenta!$D11)</f>
        <v>0</v>
      </c>
      <c r="F13" s="93">
        <f ca="1">IF($C13="","",Laskenta!$E11)</f>
        <v>0</v>
      </c>
      <c r="G13" s="93">
        <f ca="1">IF($C13="","",Laskenta!$F11)</f>
        <v>0</v>
      </c>
      <c r="H13" s="93">
        <f ca="1">IF($C13="","",Laskenta!$G11)</f>
        <v>0</v>
      </c>
      <c r="J13" s="90" t="s">
        <v>226</v>
      </c>
    </row>
    <row r="14" spans="1:10">
      <c r="A14" s="93">
        <f t="shared" ca="1" si="0"/>
        <v>1</v>
      </c>
      <c r="B14" s="93" t="s">
        <v>227</v>
      </c>
      <c r="C14" s="94" t="str">
        <f ca="1">IF(Laskenta!$B12="","",Laskenta!$B12)</f>
        <v>Tuurilla</v>
      </c>
      <c r="D14" s="93">
        <f ca="1">IF($C14="","",Laskenta!$C12)</f>
        <v>0</v>
      </c>
      <c r="E14" s="93">
        <f ca="1">IF($C14="","",Laskenta!$D12)</f>
        <v>0</v>
      </c>
      <c r="F14" s="93">
        <f ca="1">IF($C14="","",Laskenta!$E12)</f>
        <v>0</v>
      </c>
      <c r="G14" s="93">
        <f ca="1">IF($C14="","",Laskenta!$F12)</f>
        <v>0</v>
      </c>
      <c r="H14" s="93">
        <f ca="1">IF($C14="","",Laskenta!$G12)</f>
        <v>0</v>
      </c>
    </row>
    <row r="15" spans="1:10">
      <c r="A15" s="93">
        <f t="shared" ca="1" si="0"/>
        <v>1</v>
      </c>
      <c r="B15" s="93" t="s">
        <v>228</v>
      </c>
      <c r="C15" s="94" t="str">
        <f ca="1">IF(Laskenta!$B13="","",Laskenta!$B13)</f>
        <v>PoHan Pullistus</v>
      </c>
      <c r="D15" s="93">
        <f ca="1">IF($C15="","",Laskenta!$C13)</f>
        <v>0</v>
      </c>
      <c r="E15" s="93">
        <f ca="1">IF($C15="","",Laskenta!$D13)</f>
        <v>0</v>
      </c>
      <c r="F15" s="93">
        <f ca="1">IF($C15="","",Laskenta!$E13)</f>
        <v>0</v>
      </c>
      <c r="G15" s="93">
        <f ca="1">IF($C15="","",Laskenta!$F13)</f>
        <v>0</v>
      </c>
      <c r="H15" s="93">
        <f ca="1">IF($C15="","",Laskenta!$G13)</f>
        <v>0</v>
      </c>
    </row>
    <row r="16" spans="1:10">
      <c r="A16" s="93">
        <f t="shared" ca="1" si="0"/>
        <v>1</v>
      </c>
      <c r="B16" s="93" t="s">
        <v>229</v>
      </c>
      <c r="C16" s="94" t="str">
        <f ca="1">IF(Laskenta!$B14="","",Laskenta!$B14)</f>
        <v>Profeetta Möttönen</v>
      </c>
      <c r="D16" s="93">
        <f ca="1">IF($C16="","",Laskenta!$C14)</f>
        <v>0</v>
      </c>
      <c r="E16" s="93">
        <f ca="1">IF($C16="","",Laskenta!$D14)</f>
        <v>0</v>
      </c>
      <c r="F16" s="93">
        <f ca="1">IF($C16="","",Laskenta!$E14)</f>
        <v>0</v>
      </c>
      <c r="G16" s="93">
        <f ca="1">IF($C16="","",Laskenta!$F14)</f>
        <v>0</v>
      </c>
      <c r="H16" s="93">
        <f ca="1">IF($C16="","",Laskenta!$G14)</f>
        <v>0</v>
      </c>
    </row>
    <row r="17" spans="1:8">
      <c r="A17" s="93">
        <f t="shared" ca="1" si="0"/>
        <v>1</v>
      </c>
      <c r="B17" s="93" t="s">
        <v>230</v>
      </c>
      <c r="C17" s="94" t="str">
        <f ca="1">IF(Laskenta!$B15="","",Laskenta!$B15)</f>
        <v>Xhakku</v>
      </c>
      <c r="D17" s="93">
        <f ca="1">IF($C17="","",Laskenta!$C15)</f>
        <v>0</v>
      </c>
      <c r="E17" s="93">
        <f ca="1">IF($C17="","",Laskenta!$D15)</f>
        <v>0</v>
      </c>
      <c r="F17" s="93">
        <f ca="1">IF($C17="","",Laskenta!$E15)</f>
        <v>0</v>
      </c>
      <c r="G17" s="93">
        <f ca="1">IF($C17="","",Laskenta!$F15)</f>
        <v>0</v>
      </c>
      <c r="H17" s="93">
        <f ca="1">IF($C17="","",Laskenta!$G15)</f>
        <v>0</v>
      </c>
    </row>
    <row r="18" spans="1:8">
      <c r="A18" s="93">
        <f t="shared" ca="1" si="0"/>
        <v>1</v>
      </c>
      <c r="B18" s="93" t="s">
        <v>231</v>
      </c>
      <c r="C18" s="94" t="str">
        <f ca="1">IF(Laskenta!$B16="","",Laskenta!$B16)</f>
        <v>Ice Cold</v>
      </c>
      <c r="D18" s="93">
        <f ca="1">IF($C18="","",Laskenta!$C16)</f>
        <v>0</v>
      </c>
      <c r="E18" s="93">
        <f ca="1">IF($C18="","",Laskenta!$D16)</f>
        <v>0</v>
      </c>
      <c r="F18" s="93">
        <f ca="1">IF($C18="","",Laskenta!$E16)</f>
        <v>0</v>
      </c>
      <c r="G18" s="93">
        <f ca="1">IF($C18="","",Laskenta!$F16)</f>
        <v>0</v>
      </c>
      <c r="H18" s="93">
        <f ca="1">IF($C18="","",Laskenta!$G16)</f>
        <v>0</v>
      </c>
    </row>
    <row r="19" spans="1:8">
      <c r="A19" s="93">
        <f t="shared" ca="1" si="0"/>
        <v>1</v>
      </c>
      <c r="B19" s="93" t="s">
        <v>232</v>
      </c>
      <c r="C19" s="94" t="str">
        <f ca="1">IF(Laskenta!$B17="","",Laskenta!$B17)</f>
        <v>Eski66</v>
      </c>
      <c r="D19" s="93">
        <f ca="1">IF($C19="","",Laskenta!$C17)</f>
        <v>0</v>
      </c>
      <c r="E19" s="93">
        <f ca="1">IF($C19="","",Laskenta!$D17)</f>
        <v>0</v>
      </c>
      <c r="F19" s="93">
        <f ca="1">IF($C19="","",Laskenta!$E17)</f>
        <v>0</v>
      </c>
      <c r="G19" s="93">
        <f ca="1">IF($C19="","",Laskenta!$F17)</f>
        <v>0</v>
      </c>
      <c r="H19" s="93">
        <f ca="1">IF($C19="","",Laskenta!$G17)</f>
        <v>0</v>
      </c>
    </row>
    <row r="20" spans="1:8">
      <c r="A20" s="93">
        <f t="shared" ca="1" si="0"/>
        <v>1</v>
      </c>
      <c r="B20" s="93" t="s">
        <v>233</v>
      </c>
      <c r="C20" s="94" t="str">
        <f ca="1">IF(Laskenta!$B18="","",Laskenta!$B18)</f>
        <v>Suomaldinho</v>
      </c>
      <c r="D20" s="93">
        <f ca="1">IF($C20="","",Laskenta!$C18)</f>
        <v>0</v>
      </c>
      <c r="E20" s="93">
        <f ca="1">IF($C20="","",Laskenta!$D18)</f>
        <v>0</v>
      </c>
      <c r="F20" s="93">
        <f ca="1">IF($C20="","",Laskenta!$E18)</f>
        <v>0</v>
      </c>
      <c r="G20" s="93">
        <f ca="1">IF($C20="","",Laskenta!$F18)</f>
        <v>0</v>
      </c>
      <c r="H20" s="93">
        <f ca="1">IF($C20="","",Laskenta!$G18)</f>
        <v>0</v>
      </c>
    </row>
    <row r="21" spans="1:8">
      <c r="A21" s="93">
        <f t="shared" ca="1" si="0"/>
        <v>1</v>
      </c>
      <c r="B21" s="93" t="s">
        <v>234</v>
      </c>
      <c r="C21" s="94" t="str">
        <f ca="1">IF(Laskenta!$B19="","",Laskenta!$B19)</f>
        <v>Sipolovic</v>
      </c>
      <c r="D21" s="93">
        <f ca="1">IF($C21="","",Laskenta!$C19)</f>
        <v>0</v>
      </c>
      <c r="E21" s="93">
        <f ca="1">IF($C21="","",Laskenta!$D19)</f>
        <v>0</v>
      </c>
      <c r="F21" s="93">
        <f ca="1">IF($C21="","",Laskenta!$E19)</f>
        <v>0</v>
      </c>
      <c r="G21" s="93">
        <f ca="1">IF($C21="","",Laskenta!$F19)</f>
        <v>0</v>
      </c>
      <c r="H21" s="93">
        <f ca="1">IF($C21="","",Laskenta!$G19)</f>
        <v>0</v>
      </c>
    </row>
    <row r="22" spans="1:8">
      <c r="A22" s="93">
        <f t="shared" ca="1" si="0"/>
        <v>1</v>
      </c>
      <c r="B22" s="93" t="s">
        <v>235</v>
      </c>
      <c r="C22" s="94" t="str">
        <f ca="1">IF(Laskenta!$B20="","",Laskenta!$B20)</f>
        <v>Ibaldo de Lima</v>
      </c>
      <c r="D22" s="93">
        <f ca="1">IF($C22="","",Laskenta!$C20)</f>
        <v>0</v>
      </c>
      <c r="E22" s="93">
        <f ca="1">IF($C22="","",Laskenta!$D20)</f>
        <v>0</v>
      </c>
      <c r="F22" s="93">
        <f ca="1">IF($C22="","",Laskenta!$E20)</f>
        <v>0</v>
      </c>
      <c r="G22" s="93">
        <f ca="1">IF($C22="","",Laskenta!$F20)</f>
        <v>0</v>
      </c>
      <c r="H22" s="93">
        <f ca="1">IF($C22="","",Laskenta!$G20)</f>
        <v>0</v>
      </c>
    </row>
    <row r="23" spans="1:8">
      <c r="A23" s="93">
        <f t="shared" ca="1" si="0"/>
        <v>1</v>
      </c>
      <c r="B23" s="93" t="s">
        <v>236</v>
      </c>
      <c r="C23" s="94" t="str">
        <f ca="1">IF(Laskenta!$B21="","",Laskenta!$B21)</f>
        <v>Teo ja Noel</v>
      </c>
      <c r="D23" s="93">
        <f ca="1">IF($C23="","",Laskenta!$C21)</f>
        <v>0</v>
      </c>
      <c r="E23" s="93">
        <f ca="1">IF($C23="","",Laskenta!$D21)</f>
        <v>0</v>
      </c>
      <c r="F23" s="93">
        <f ca="1">IF($C23="","",Laskenta!$E21)</f>
        <v>0</v>
      </c>
      <c r="G23" s="93">
        <f ca="1">IF($C23="","",Laskenta!$F21)</f>
        <v>0</v>
      </c>
      <c r="H23" s="93">
        <f ca="1">IF($C23="","",Laskenta!$G21)</f>
        <v>0</v>
      </c>
    </row>
    <row r="24" spans="1:8">
      <c r="A24" s="93">
        <f t="shared" ca="1" si="0"/>
        <v>1</v>
      </c>
      <c r="B24" s="93" t="s">
        <v>237</v>
      </c>
      <c r="C24" s="94" t="str">
        <f ca="1">IF(Laskenta!$B22="","",Laskenta!$B22)</f>
        <v>Shampoo</v>
      </c>
      <c r="D24" s="93">
        <f ca="1">IF($C24="","",Laskenta!$C22)</f>
        <v>0</v>
      </c>
      <c r="E24" s="93">
        <f ca="1">IF($C24="","",Laskenta!$D22)</f>
        <v>0</v>
      </c>
      <c r="F24" s="93">
        <f ca="1">IF($C24="","",Laskenta!$E22)</f>
        <v>0</v>
      </c>
      <c r="G24" s="93">
        <f ca="1">IF($C24="","",Laskenta!$F22)</f>
        <v>0</v>
      </c>
      <c r="H24" s="93">
        <f ca="1">IF($C24="","",Laskenta!$G22)</f>
        <v>0</v>
      </c>
    </row>
    <row r="25" spans="1:8">
      <c r="A25" s="93">
        <f t="shared" ca="1" si="0"/>
        <v>1</v>
      </c>
      <c r="B25" s="93" t="s">
        <v>238</v>
      </c>
      <c r="C25" s="94" t="str">
        <f ca="1">IF(Laskenta!$B23="","",Laskenta!$B23)</f>
        <v>Tero H</v>
      </c>
      <c r="D25" s="93">
        <f ca="1">IF($C25="","",Laskenta!$C23)</f>
        <v>0</v>
      </c>
      <c r="E25" s="93">
        <f ca="1">IF($C25="","",Laskenta!$D23)</f>
        <v>0</v>
      </c>
      <c r="F25" s="93">
        <f ca="1">IF($C25="","",Laskenta!$E23)</f>
        <v>0</v>
      </c>
      <c r="G25" s="93">
        <f ca="1">IF($C25="","",Laskenta!$F23)</f>
        <v>0</v>
      </c>
      <c r="H25" s="93">
        <f ca="1">IF($C25="","",Laskenta!$G23)</f>
        <v>0</v>
      </c>
    </row>
    <row r="26" spans="1:8">
      <c r="A26" s="93">
        <f t="shared" ca="1" si="0"/>
        <v>1</v>
      </c>
      <c r="B26" s="93" t="s">
        <v>239</v>
      </c>
      <c r="C26" s="94" t="str">
        <f ca="1">IF(Laskenta!$B24="","",Laskenta!$B24)</f>
        <v>Heinomar</v>
      </c>
      <c r="D26" s="93">
        <f ca="1">IF($C26="","",Laskenta!$C24)</f>
        <v>0</v>
      </c>
      <c r="E26" s="93">
        <f ca="1">IF($C26="","",Laskenta!$D24)</f>
        <v>0</v>
      </c>
      <c r="F26" s="93">
        <f ca="1">IF($C26="","",Laskenta!$E24)</f>
        <v>0</v>
      </c>
      <c r="G26" s="93">
        <f ca="1">IF($C26="","",Laskenta!$F24)</f>
        <v>0</v>
      </c>
      <c r="H26" s="93">
        <f ca="1">IF($C26="","",Laskenta!$G24)</f>
        <v>0</v>
      </c>
    </row>
    <row r="27" spans="1:8">
      <c r="A27" s="93">
        <f t="shared" ca="1" si="0"/>
        <v>1</v>
      </c>
      <c r="B27" s="93" t="s">
        <v>240</v>
      </c>
      <c r="C27" s="94" t="str">
        <f ca="1">IF(Laskenta!$B25="","",Laskenta!$B25)</f>
        <v>Neyney</v>
      </c>
      <c r="D27" s="93">
        <f ca="1">IF($C27="","",Laskenta!$C25)</f>
        <v>0</v>
      </c>
      <c r="E27" s="93">
        <f ca="1">IF($C27="","",Laskenta!$D25)</f>
        <v>0</v>
      </c>
      <c r="F27" s="93">
        <f ca="1">IF($C27="","",Laskenta!$E25)</f>
        <v>0</v>
      </c>
      <c r="G27" s="93">
        <f ca="1">IF($C27="","",Laskenta!$F25)</f>
        <v>0</v>
      </c>
      <c r="H27" s="93">
        <f ca="1">IF($C27="","",Laskenta!$G25)</f>
        <v>0</v>
      </c>
    </row>
    <row r="28" spans="1:8">
      <c r="A28" s="93">
        <f t="shared" ca="1" si="0"/>
        <v>1</v>
      </c>
      <c r="B28" s="93" t="s">
        <v>241</v>
      </c>
      <c r="C28" s="94" t="str">
        <f ca="1">IF(Laskenta!$B26="","",Laskenta!$B26)</f>
        <v>Agueero</v>
      </c>
      <c r="D28" s="93">
        <f ca="1">IF($C28="","",Laskenta!$C26)</f>
        <v>0</v>
      </c>
      <c r="E28" s="93">
        <f ca="1">IF($C28="","",Laskenta!$D26)</f>
        <v>0</v>
      </c>
      <c r="F28" s="93">
        <f ca="1">IF($C28="","",Laskenta!$E26)</f>
        <v>0</v>
      </c>
      <c r="G28" s="93">
        <f ca="1">IF($C28="","",Laskenta!$F26)</f>
        <v>0</v>
      </c>
      <c r="H28" s="93">
        <f ca="1">IF($C28="","",Laskenta!$G26)</f>
        <v>0</v>
      </c>
    </row>
    <row r="29" spans="1:8">
      <c r="A29" s="93">
        <f t="shared" ca="1" si="0"/>
        <v>1</v>
      </c>
      <c r="B29" s="93" t="s">
        <v>242</v>
      </c>
      <c r="C29" s="94" t="str">
        <f ca="1">IF(Laskenta!$B27="","",Laskenta!$B27)</f>
        <v>Rosaldo</v>
      </c>
      <c r="D29" s="93">
        <f ca="1">IF($C29="","",Laskenta!$C27)</f>
        <v>0</v>
      </c>
      <c r="E29" s="93">
        <f ca="1">IF($C29="","",Laskenta!$D27)</f>
        <v>0</v>
      </c>
      <c r="F29" s="93">
        <f ca="1">IF($C29="","",Laskenta!$E27)</f>
        <v>0</v>
      </c>
      <c r="G29" s="93">
        <f ca="1">IF($C29="","",Laskenta!$F27)</f>
        <v>0</v>
      </c>
      <c r="H29" s="93">
        <f ca="1">IF($C29="","",Laskenta!$G27)</f>
        <v>0</v>
      </c>
    </row>
    <row r="30" spans="1:8">
      <c r="A30" s="93" t="str">
        <f t="shared" ca="1" si="0"/>
        <v/>
      </c>
      <c r="B30" s="93" t="s">
        <v>243</v>
      </c>
      <c r="C30" s="94" t="str">
        <f ca="1">IF(Laskenta!$B28="","",Laskenta!$B28)</f>
        <v/>
      </c>
      <c r="D30" s="93" t="str">
        <f ca="1">IF($C30="","",Laskenta!$C28)</f>
        <v/>
      </c>
      <c r="E30" s="93" t="str">
        <f ca="1">IF($C30="","",Laskenta!$D28)</f>
        <v/>
      </c>
      <c r="F30" s="93" t="str">
        <f ca="1">IF($C30="","",Laskenta!$E28)</f>
        <v/>
      </c>
      <c r="G30" s="93" t="str">
        <f ca="1">IF($C30="","",Laskenta!$F28)</f>
        <v/>
      </c>
      <c r="H30" s="93" t="str">
        <f ca="1">IF($C30="","",Laskenta!$G28)</f>
        <v/>
      </c>
    </row>
    <row r="31" spans="1:8">
      <c r="A31" s="93" t="str">
        <f t="shared" ca="1" si="0"/>
        <v/>
      </c>
      <c r="B31" s="93" t="s">
        <v>244</v>
      </c>
      <c r="C31" s="94" t="str">
        <f ca="1">IF(Laskenta!$B29="","",Laskenta!$B29)</f>
        <v/>
      </c>
      <c r="D31" s="93" t="str">
        <f ca="1">IF($C31="","",Laskenta!$C29)</f>
        <v/>
      </c>
      <c r="E31" s="93" t="str">
        <f ca="1">IF($C31="","",Laskenta!$D29)</f>
        <v/>
      </c>
      <c r="F31" s="93" t="str">
        <f ca="1">IF($C31="","",Laskenta!$E29)</f>
        <v/>
      </c>
      <c r="G31" s="93" t="str">
        <f ca="1">IF($C31="","",Laskenta!$F29)</f>
        <v/>
      </c>
      <c r="H31" s="93" t="str">
        <f ca="1">IF($C31="","",Laskenta!$G29)</f>
        <v/>
      </c>
    </row>
    <row r="32" spans="1:8">
      <c r="A32" s="93" t="str">
        <f t="shared" ca="1" si="0"/>
        <v/>
      </c>
      <c r="B32" s="93" t="s">
        <v>245</v>
      </c>
      <c r="C32" s="94" t="str">
        <f ca="1">IF(Laskenta!$B30="","",Laskenta!$B30)</f>
        <v/>
      </c>
      <c r="D32" s="93" t="str">
        <f ca="1">IF($C32="","",Laskenta!$C30)</f>
        <v/>
      </c>
      <c r="E32" s="93" t="str">
        <f ca="1">IF($C32="","",Laskenta!$D30)</f>
        <v/>
      </c>
      <c r="F32" s="93" t="str">
        <f ca="1">IF($C32="","",Laskenta!$E30)</f>
        <v/>
      </c>
      <c r="G32" s="93" t="str">
        <f ca="1">IF($C32="","",Laskenta!$F30)</f>
        <v/>
      </c>
      <c r="H32" s="93" t="str">
        <f ca="1">IF($C32="","",Laskenta!$G30)</f>
        <v/>
      </c>
    </row>
    <row r="33" spans="1:8">
      <c r="A33" s="93" t="str">
        <f t="shared" ca="1" si="0"/>
        <v/>
      </c>
      <c r="B33" s="93" t="s">
        <v>246</v>
      </c>
      <c r="C33" s="94" t="str">
        <f ca="1">IF(Laskenta!$B31="","",Laskenta!$B31)</f>
        <v/>
      </c>
      <c r="D33" s="93" t="str">
        <f ca="1">IF($C33="","",Laskenta!$C31)</f>
        <v/>
      </c>
      <c r="E33" s="93" t="str">
        <f ca="1">IF($C33="","",Laskenta!$D31)</f>
        <v/>
      </c>
      <c r="F33" s="93" t="str">
        <f ca="1">IF($C33="","",Laskenta!$E31)</f>
        <v/>
      </c>
      <c r="G33" s="93" t="str">
        <f ca="1">IF($C33="","",Laskenta!$F31)</f>
        <v/>
      </c>
      <c r="H33" s="93" t="str">
        <f ca="1">IF($C33="","",Laskenta!$G31)</f>
        <v/>
      </c>
    </row>
    <row r="34" spans="1:8">
      <c r="A34" s="93" t="str">
        <f t="shared" ca="1" si="0"/>
        <v/>
      </c>
      <c r="B34" s="93" t="s">
        <v>247</v>
      </c>
      <c r="C34" s="94" t="str">
        <f ca="1">IF(Laskenta!$B32="","",Laskenta!$B32)</f>
        <v/>
      </c>
      <c r="D34" s="93" t="str">
        <f ca="1">IF($C34="","",Laskenta!$C32)</f>
        <v/>
      </c>
      <c r="E34" s="93" t="str">
        <f ca="1">IF($C34="","",Laskenta!$D32)</f>
        <v/>
      </c>
      <c r="F34" s="93" t="str">
        <f ca="1">IF($C34="","",Laskenta!$E32)</f>
        <v/>
      </c>
      <c r="G34" s="93" t="str">
        <f ca="1">IF($C34="","",Laskenta!$F32)</f>
        <v/>
      </c>
      <c r="H34" s="93" t="str">
        <f ca="1">IF($C34="","",Laskenta!$G32)</f>
        <v/>
      </c>
    </row>
    <row r="35" spans="1:8">
      <c r="A35" s="93" t="str">
        <f t="shared" ca="1" si="0"/>
        <v/>
      </c>
      <c r="B35" s="93" t="s">
        <v>248</v>
      </c>
      <c r="C35" s="94" t="str">
        <f ca="1">IF(Laskenta!$B33="","",Laskenta!$B33)</f>
        <v/>
      </c>
      <c r="D35" s="93" t="str">
        <f ca="1">IF($C35="","",Laskenta!$C33)</f>
        <v/>
      </c>
      <c r="E35" s="93" t="str">
        <f ca="1">IF($C35="","",Laskenta!$D33)</f>
        <v/>
      </c>
      <c r="F35" s="93" t="str">
        <f ca="1">IF($C35="","",Laskenta!$E33)</f>
        <v/>
      </c>
      <c r="G35" s="93" t="str">
        <f ca="1">IF($C35="","",Laskenta!$F33)</f>
        <v/>
      </c>
      <c r="H35" s="93" t="str">
        <f ca="1">IF($C35="","",Laskenta!$G33)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D33"/>
  <sheetViews>
    <sheetView workbookViewId="0"/>
  </sheetViews>
  <sheetFormatPr defaultRowHeight="15"/>
  <cols>
    <col min="1" max="7" width="18" customWidth="1"/>
    <col min="8" max="79" width="10" customWidth="1"/>
    <col min="82" max="129" width="9" customWidth="1"/>
    <col min="131" max="134" width="14" customWidth="1"/>
  </cols>
  <sheetData>
    <row r="1" spans="1:134" ht="21">
      <c r="A1" s="88" t="s">
        <v>249</v>
      </c>
      <c r="B1" s="88"/>
      <c r="C1" s="88"/>
      <c r="D1" s="88"/>
      <c r="E1" s="88"/>
      <c r="F1" s="88"/>
      <c r="G1" s="88"/>
    </row>
    <row r="2" spans="1:134" ht="210">
      <c r="A2" s="79" t="s">
        <v>250</v>
      </c>
      <c r="B2" s="79"/>
      <c r="C2" s="79"/>
      <c r="D2" s="79"/>
      <c r="E2" s="79"/>
      <c r="F2" s="79"/>
      <c r="G2" s="79"/>
    </row>
    <row r="3" spans="1:134">
      <c r="A3" s="89" t="s">
        <v>204</v>
      </c>
      <c r="B3" s="89" t="s">
        <v>205</v>
      </c>
      <c r="C3" s="89" t="s">
        <v>206</v>
      </c>
      <c r="D3" s="89" t="s">
        <v>207</v>
      </c>
      <c r="E3" s="89" t="s">
        <v>251</v>
      </c>
      <c r="F3" s="89" t="s">
        <v>209</v>
      </c>
      <c r="G3" s="89" t="s">
        <v>210</v>
      </c>
      <c r="H3" s="89" t="s">
        <v>252</v>
      </c>
      <c r="I3" s="89" t="s">
        <v>253</v>
      </c>
      <c r="J3" s="89" t="s">
        <v>254</v>
      </c>
      <c r="K3" s="89" t="s">
        <v>255</v>
      </c>
      <c r="L3" s="89" t="s">
        <v>256</v>
      </c>
      <c r="M3" s="89" t="s">
        <v>257</v>
      </c>
      <c r="N3" s="89" t="s">
        <v>258</v>
      </c>
      <c r="O3" s="89" t="s">
        <v>259</v>
      </c>
      <c r="P3" s="89" t="s">
        <v>260</v>
      </c>
      <c r="Q3" s="89" t="s">
        <v>261</v>
      </c>
      <c r="R3" s="89" t="s">
        <v>262</v>
      </c>
      <c r="S3" s="89" t="s">
        <v>263</v>
      </c>
      <c r="T3" s="89" t="s">
        <v>264</v>
      </c>
      <c r="U3" s="89" t="s">
        <v>265</v>
      </c>
      <c r="V3" s="89" t="s">
        <v>266</v>
      </c>
      <c r="W3" s="89" t="s">
        <v>267</v>
      </c>
      <c r="X3" s="89" t="s">
        <v>268</v>
      </c>
      <c r="Y3" s="89" t="s">
        <v>269</v>
      </c>
      <c r="Z3" s="89" t="s">
        <v>270</v>
      </c>
      <c r="AA3" s="89" t="s">
        <v>271</v>
      </c>
      <c r="AB3" s="89" t="s">
        <v>272</v>
      </c>
      <c r="AC3" s="89" t="s">
        <v>273</v>
      </c>
      <c r="AD3" s="89" t="s">
        <v>274</v>
      </c>
      <c r="AE3" s="89" t="s">
        <v>275</v>
      </c>
      <c r="AF3" s="89" t="s">
        <v>276</v>
      </c>
      <c r="AG3" s="89" t="s">
        <v>277</v>
      </c>
      <c r="AH3" s="89" t="s">
        <v>278</v>
      </c>
      <c r="AI3" s="89" t="s">
        <v>279</v>
      </c>
      <c r="AJ3" s="89" t="s">
        <v>280</v>
      </c>
      <c r="AK3" s="89" t="s">
        <v>281</v>
      </c>
      <c r="AL3" s="89" t="s">
        <v>282</v>
      </c>
      <c r="AM3" s="89" t="s">
        <v>283</v>
      </c>
      <c r="AN3" s="89" t="s">
        <v>284</v>
      </c>
      <c r="AO3" s="89" t="s">
        <v>285</v>
      </c>
      <c r="AP3" s="89" t="s">
        <v>286</v>
      </c>
      <c r="AQ3" s="89" t="s">
        <v>287</v>
      </c>
      <c r="AR3" s="89" t="s">
        <v>288</v>
      </c>
      <c r="AS3" s="89" t="s">
        <v>289</v>
      </c>
      <c r="AT3" s="89" t="s">
        <v>290</v>
      </c>
      <c r="AU3" s="89" t="s">
        <v>291</v>
      </c>
      <c r="AV3" s="89" t="s">
        <v>292</v>
      </c>
      <c r="AW3" s="89" t="s">
        <v>293</v>
      </c>
      <c r="AX3" s="89" t="s">
        <v>294</v>
      </c>
      <c r="AY3" s="89" t="s">
        <v>295</v>
      </c>
      <c r="AZ3" s="89" t="s">
        <v>296</v>
      </c>
      <c r="BA3" s="89" t="s">
        <v>297</v>
      </c>
      <c r="BB3" s="89" t="s">
        <v>298</v>
      </c>
      <c r="BC3" s="89" t="s">
        <v>299</v>
      </c>
      <c r="BD3" s="89" t="s">
        <v>300</v>
      </c>
      <c r="BE3" s="89" t="s">
        <v>301</v>
      </c>
      <c r="BF3" s="89" t="s">
        <v>302</v>
      </c>
      <c r="BG3" s="89" t="s">
        <v>303</v>
      </c>
      <c r="BH3" s="89" t="s">
        <v>304</v>
      </c>
      <c r="BI3" s="89" t="s">
        <v>305</v>
      </c>
      <c r="BJ3" s="89" t="s">
        <v>306</v>
      </c>
      <c r="BK3" s="89" t="s">
        <v>307</v>
      </c>
      <c r="BL3" s="89" t="s">
        <v>308</v>
      </c>
      <c r="BM3" s="89" t="s">
        <v>309</v>
      </c>
      <c r="BN3" s="89" t="s">
        <v>310</v>
      </c>
      <c r="BO3" s="89" t="s">
        <v>311</v>
      </c>
      <c r="BP3" s="89" t="s">
        <v>312</v>
      </c>
      <c r="BQ3" s="89" t="s">
        <v>313</v>
      </c>
      <c r="BR3" s="89" t="s">
        <v>314</v>
      </c>
      <c r="BS3" s="89" t="s">
        <v>315</v>
      </c>
      <c r="BT3" s="89" t="s">
        <v>316</v>
      </c>
      <c r="BU3" s="89" t="s">
        <v>317</v>
      </c>
      <c r="BV3" s="89" t="s">
        <v>318</v>
      </c>
      <c r="BW3" s="89" t="s">
        <v>319</v>
      </c>
      <c r="BX3" s="89" t="s">
        <v>320</v>
      </c>
      <c r="BY3" s="89" t="s">
        <v>321</v>
      </c>
      <c r="BZ3" s="89" t="s">
        <v>322</v>
      </c>
      <c r="CA3" s="89" t="s">
        <v>323</v>
      </c>
      <c r="CB3" s="89"/>
      <c r="CC3" s="89" t="s">
        <v>324</v>
      </c>
      <c r="CD3" s="89" t="s">
        <v>325</v>
      </c>
      <c r="CE3" s="89" t="s">
        <v>326</v>
      </c>
      <c r="CF3" s="89" t="s">
        <v>327</v>
      </c>
      <c r="CG3" s="89" t="s">
        <v>328</v>
      </c>
      <c r="CH3" s="89" t="s">
        <v>329</v>
      </c>
      <c r="CI3" s="89" t="s">
        <v>330</v>
      </c>
      <c r="CJ3" s="89" t="s">
        <v>331</v>
      </c>
      <c r="CK3" s="89" t="s">
        <v>332</v>
      </c>
      <c r="CL3" s="89" t="s">
        <v>333</v>
      </c>
      <c r="CM3" s="89" t="s">
        <v>334</v>
      </c>
      <c r="CN3" s="89" t="s">
        <v>335</v>
      </c>
      <c r="CO3" s="89" t="s">
        <v>336</v>
      </c>
      <c r="CP3" s="89" t="s">
        <v>337</v>
      </c>
      <c r="CQ3" s="89" t="s">
        <v>338</v>
      </c>
      <c r="CR3" s="89" t="s">
        <v>339</v>
      </c>
      <c r="CS3" s="89" t="s">
        <v>340</v>
      </c>
      <c r="CT3" s="89" t="s">
        <v>341</v>
      </c>
      <c r="CU3" s="89" t="s">
        <v>342</v>
      </c>
      <c r="CV3" s="89" t="s">
        <v>343</v>
      </c>
      <c r="CW3" s="89" t="s">
        <v>344</v>
      </c>
      <c r="CX3" s="89" t="s">
        <v>345</v>
      </c>
      <c r="CY3" s="89" t="s">
        <v>346</v>
      </c>
      <c r="CZ3" s="89" t="s">
        <v>347</v>
      </c>
      <c r="DA3" s="89" t="s">
        <v>348</v>
      </c>
      <c r="DB3" s="89" t="s">
        <v>349</v>
      </c>
      <c r="DC3" s="89" t="s">
        <v>350</v>
      </c>
      <c r="DD3" s="89" t="s">
        <v>351</v>
      </c>
      <c r="DE3" s="89" t="s">
        <v>352</v>
      </c>
      <c r="DF3" s="89" t="s">
        <v>353</v>
      </c>
      <c r="DG3" s="89" t="s">
        <v>354</v>
      </c>
      <c r="DH3" s="89" t="s">
        <v>355</v>
      </c>
      <c r="DI3" s="89" t="s">
        <v>356</v>
      </c>
      <c r="DJ3" s="89" t="s">
        <v>357</v>
      </c>
      <c r="DK3" s="89" t="s">
        <v>358</v>
      </c>
      <c r="DL3" s="89" t="s">
        <v>359</v>
      </c>
      <c r="DM3" s="89" t="s">
        <v>360</v>
      </c>
      <c r="DN3" s="89" t="s">
        <v>361</v>
      </c>
      <c r="DO3" s="89" t="s">
        <v>362</v>
      </c>
      <c r="DP3" s="89" t="s">
        <v>363</v>
      </c>
      <c r="DQ3" s="89" t="s">
        <v>364</v>
      </c>
      <c r="DR3" s="89" t="s">
        <v>365</v>
      </c>
      <c r="DS3" s="89" t="s">
        <v>366</v>
      </c>
      <c r="DT3" s="89" t="s">
        <v>367</v>
      </c>
      <c r="DU3" s="89" t="s">
        <v>368</v>
      </c>
      <c r="DV3" s="89" t="s">
        <v>369</v>
      </c>
      <c r="DW3" s="89" t="s">
        <v>370</v>
      </c>
      <c r="DX3" s="89" t="s">
        <v>371</v>
      </c>
      <c r="DY3" s="89"/>
      <c r="DZ3" s="89" t="s">
        <v>372</v>
      </c>
      <c r="EA3" s="89" t="s">
        <v>373</v>
      </c>
      <c r="EB3" s="89" t="s">
        <v>374</v>
      </c>
      <c r="EC3" s="89" t="s">
        <v>375</v>
      </c>
    </row>
    <row r="4" spans="1:134">
      <c r="A4" t="s">
        <v>212</v>
      </c>
      <c r="B4" t="str">
        <f t="shared" ref="B4:B33" ca="1" si="0">IF(INDIRECT("'"&amp;$A4&amp;"'!$H$2")="","",INDIRECT("'"&amp;$A4&amp;"'!$H$2"))</f>
        <v>Mike Salmon</v>
      </c>
      <c r="C4" s="95">
        <f t="shared" ref="C4:C33" si="1">SUM(H4:CA4)</f>
        <v>0</v>
      </c>
      <c r="D4" s="95">
        <f t="shared" ref="D4:D33" ca="1" si="2">SUM(CD4:DY4)</f>
        <v>0</v>
      </c>
      <c r="E4" s="95">
        <f t="shared" ref="E4:E33" ca="1" si="3">SUM(EA4:ED4)</f>
        <v>0</v>
      </c>
      <c r="F4" s="95">
        <f t="shared" ref="F4:F33" ca="1" si="4">IF(B4="","",SUM(C4:E4))</f>
        <v>0</v>
      </c>
      <c r="G4" s="95">
        <f t="shared" ref="G4:G33" si="5">COUNTIF(H4:CA4,6)</f>
        <v>0</v>
      </c>
      <c r="H4" t="str">
        <f>IF(OR(Tulokset!$G$6="",Tulokset!$I$6="",'1'!$I$7="",'1'!$K$7=""),"",IF(SIGN('1'!$I$7-'1'!$K$7)&lt;&gt;SIGN(Tulokset!$G$6-Tulokset!$I$6),0,IF(Tulokset!$G$6=Tulokset!$I$6,IF(AND('1'!$I$7=Tulokset!$G$6,'1'!$K$7=Tulokset!$I$6),6,3),MAX(0,6-(ABS('1'!$I$7-Tulokset!$G$6)+ABS('1'!$K$7-Tulokset!$I$6))))))</f>
        <v/>
      </c>
      <c r="I4" t="str">
        <f>IF(OR(Tulokset!$G$7="",Tulokset!$I$7="",'1'!$I$8="",'1'!$K$8=""),"",IF(SIGN('1'!$I$8-'1'!$K$8)&lt;&gt;SIGN(Tulokset!$G$7-Tulokset!$I$7),0,IF(Tulokset!$G$7=Tulokset!$I$7,IF(AND('1'!$I$8=Tulokset!$G$7,'1'!$K$8=Tulokset!$I$7),6,3),MAX(0,6-(ABS('1'!$I$8-Tulokset!$G$7)+ABS('1'!$K$8-Tulokset!$I$7))))))</f>
        <v/>
      </c>
      <c r="J4" t="str">
        <f>IF(OR(Tulokset!$G$8="",Tulokset!$I$8="",'1'!$I$9="",'1'!$K$9=""),"",IF(SIGN('1'!$I$9-'1'!$K$9)&lt;&gt;SIGN(Tulokset!$G$8-Tulokset!$I$8),0,IF(Tulokset!$G$8=Tulokset!$I$8,IF(AND('1'!$I$9=Tulokset!$G$8,'1'!$K$9=Tulokset!$I$8),6,3),MAX(0,6-(ABS('1'!$I$9-Tulokset!$G$8)+ABS('1'!$K$9-Tulokset!$I$8))))))</f>
        <v/>
      </c>
      <c r="K4" t="str">
        <f>IF(OR(Tulokset!$G$9="",Tulokset!$I$9="",'1'!$I$10="",'1'!$K$10=""),"",IF(SIGN('1'!$I$10-'1'!$K$10)&lt;&gt;SIGN(Tulokset!$G$9-Tulokset!$I$9),0,IF(Tulokset!$G$9=Tulokset!$I$9,IF(AND('1'!$I$10=Tulokset!$G$9,'1'!$K$10=Tulokset!$I$9),6,3),MAX(0,6-(ABS('1'!$I$10-Tulokset!$G$9)+ABS('1'!$K$10-Tulokset!$I$9))))))</f>
        <v/>
      </c>
      <c r="L4" t="str">
        <f>IF(OR(Tulokset!$G$10="",Tulokset!$I$10="",'1'!$I$11="",'1'!$K$11=""),"",IF(SIGN('1'!$I$11-'1'!$K$11)&lt;&gt;SIGN(Tulokset!$G$10-Tulokset!$I$10),0,IF(Tulokset!$G$10=Tulokset!$I$10,IF(AND('1'!$I$11=Tulokset!$G$10,'1'!$K$11=Tulokset!$I$10),6,3),MAX(0,6-(ABS('1'!$I$11-Tulokset!$G$10)+ABS('1'!$K$11-Tulokset!$I$10))))))</f>
        <v/>
      </c>
      <c r="M4" t="str">
        <f>IF(OR(Tulokset!$G$11="",Tulokset!$I$11="",'1'!$I$12="",'1'!$K$12=""),"",IF(SIGN('1'!$I$12-'1'!$K$12)&lt;&gt;SIGN(Tulokset!$G$11-Tulokset!$I$11),0,IF(Tulokset!$G$11=Tulokset!$I$11,IF(AND('1'!$I$12=Tulokset!$G$11,'1'!$K$12=Tulokset!$I$11),6,3),MAX(0,6-(ABS('1'!$I$12-Tulokset!$G$11)+ABS('1'!$K$12-Tulokset!$I$11))))))</f>
        <v/>
      </c>
      <c r="N4" t="str">
        <f>IF(OR(Tulokset!$G$12="",Tulokset!$I$12="",'1'!$I$13="",'1'!$K$13=""),"",IF(SIGN('1'!$I$13-'1'!$K$13)&lt;&gt;SIGN(Tulokset!$G$12-Tulokset!$I$12),0,IF(Tulokset!$G$12=Tulokset!$I$12,IF(AND('1'!$I$13=Tulokset!$G$12,'1'!$K$13=Tulokset!$I$12),6,3),MAX(0,6-(ABS('1'!$I$13-Tulokset!$G$12)+ABS('1'!$K$13-Tulokset!$I$12))))))</f>
        <v/>
      </c>
      <c r="O4" t="str">
        <f>IF(OR(Tulokset!$G$13="",Tulokset!$I$13="",'1'!$I$14="",'1'!$K$14=""),"",IF(SIGN('1'!$I$14-'1'!$K$14)&lt;&gt;SIGN(Tulokset!$G$13-Tulokset!$I$13),0,IF(Tulokset!$G$13=Tulokset!$I$13,IF(AND('1'!$I$14=Tulokset!$G$13,'1'!$K$14=Tulokset!$I$13),6,3),MAX(0,6-(ABS('1'!$I$14-Tulokset!$G$13)+ABS('1'!$K$14-Tulokset!$I$13))))))</f>
        <v/>
      </c>
      <c r="P4" t="str">
        <f>IF(OR(Tulokset!$G$14="",Tulokset!$I$14="",'1'!$I$15="",'1'!$K$15=""),"",IF(SIGN('1'!$I$15-'1'!$K$15)&lt;&gt;SIGN(Tulokset!$G$14-Tulokset!$I$14),0,IF(Tulokset!$G$14=Tulokset!$I$14,IF(AND('1'!$I$15=Tulokset!$G$14,'1'!$K$15=Tulokset!$I$14),6,3),MAX(0,6-(ABS('1'!$I$15-Tulokset!$G$14)+ABS('1'!$K$15-Tulokset!$I$14))))))</f>
        <v/>
      </c>
      <c r="Q4" t="str">
        <f>IF(OR(Tulokset!$G$15="",Tulokset!$I$15="",'1'!$I$16="",'1'!$K$16=""),"",IF(SIGN('1'!$I$16-'1'!$K$16)&lt;&gt;SIGN(Tulokset!$G$15-Tulokset!$I$15),0,IF(Tulokset!$G$15=Tulokset!$I$15,IF(AND('1'!$I$16=Tulokset!$G$15,'1'!$K$16=Tulokset!$I$15),6,3),MAX(0,6-(ABS('1'!$I$16-Tulokset!$G$15)+ABS('1'!$K$16-Tulokset!$I$15))))))</f>
        <v/>
      </c>
      <c r="R4" t="str">
        <f>IF(OR(Tulokset!$G$16="",Tulokset!$I$16="",'1'!$I$17="",'1'!$K$17=""),"",IF(SIGN('1'!$I$17-'1'!$K$17)&lt;&gt;SIGN(Tulokset!$G$16-Tulokset!$I$16),0,IF(Tulokset!$G$16=Tulokset!$I$16,IF(AND('1'!$I$17=Tulokset!$G$16,'1'!$K$17=Tulokset!$I$16),6,3),MAX(0,6-(ABS('1'!$I$17-Tulokset!$G$16)+ABS('1'!$K$17-Tulokset!$I$16))))))</f>
        <v/>
      </c>
      <c r="S4" t="str">
        <f>IF(OR(Tulokset!$G$17="",Tulokset!$I$17="",'1'!$I$18="",'1'!$K$18=""),"",IF(SIGN('1'!$I$18-'1'!$K$18)&lt;&gt;SIGN(Tulokset!$G$17-Tulokset!$I$17),0,IF(Tulokset!$G$17=Tulokset!$I$17,IF(AND('1'!$I$18=Tulokset!$G$17,'1'!$K$18=Tulokset!$I$17),6,3),MAX(0,6-(ABS('1'!$I$18-Tulokset!$G$17)+ABS('1'!$K$18-Tulokset!$I$17))))))</f>
        <v/>
      </c>
      <c r="T4" t="str">
        <f>IF(OR(Tulokset!$G$18="",Tulokset!$I$18="",'1'!$I$19="",'1'!$K$19=""),"",IF(SIGN('1'!$I$19-'1'!$K$19)&lt;&gt;SIGN(Tulokset!$G$18-Tulokset!$I$18),0,IF(Tulokset!$G$18=Tulokset!$I$18,IF(AND('1'!$I$19=Tulokset!$G$18,'1'!$K$19=Tulokset!$I$18),6,3),MAX(0,6-(ABS('1'!$I$19-Tulokset!$G$18)+ABS('1'!$K$19-Tulokset!$I$18))))))</f>
        <v/>
      </c>
      <c r="U4" t="str">
        <f>IF(OR(Tulokset!$G$19="",Tulokset!$I$19="",'1'!$I$20="",'1'!$K$20=""),"",IF(SIGN('1'!$I$20-'1'!$K$20)&lt;&gt;SIGN(Tulokset!$G$19-Tulokset!$I$19),0,IF(Tulokset!$G$19=Tulokset!$I$19,IF(AND('1'!$I$20=Tulokset!$G$19,'1'!$K$20=Tulokset!$I$19),6,3),MAX(0,6-(ABS('1'!$I$20-Tulokset!$G$19)+ABS('1'!$K$20-Tulokset!$I$19))))))</f>
        <v/>
      </c>
      <c r="V4" t="str">
        <f>IF(OR(Tulokset!$G$20="",Tulokset!$I$20="",'1'!$I$21="",'1'!$K$21=""),"",IF(SIGN('1'!$I$21-'1'!$K$21)&lt;&gt;SIGN(Tulokset!$G$20-Tulokset!$I$20),0,IF(Tulokset!$G$20=Tulokset!$I$20,IF(AND('1'!$I$21=Tulokset!$G$20,'1'!$K$21=Tulokset!$I$20),6,3),MAX(0,6-(ABS('1'!$I$21-Tulokset!$G$20)+ABS('1'!$K$21-Tulokset!$I$20))))))</f>
        <v/>
      </c>
      <c r="W4" t="str">
        <f>IF(OR(Tulokset!$G$21="",Tulokset!$I$21="",'1'!$I$22="",'1'!$K$22=""),"",IF(SIGN('1'!$I$22-'1'!$K$22)&lt;&gt;SIGN(Tulokset!$G$21-Tulokset!$I$21),0,IF(Tulokset!$G$21=Tulokset!$I$21,IF(AND('1'!$I$22=Tulokset!$G$21,'1'!$K$22=Tulokset!$I$21),6,3),MAX(0,6-(ABS('1'!$I$22-Tulokset!$G$21)+ABS('1'!$K$22-Tulokset!$I$21))))))</f>
        <v/>
      </c>
      <c r="X4" t="str">
        <f>IF(OR(Tulokset!$G$22="",Tulokset!$I$22="",'1'!$I$23="",'1'!$K$23=""),"",IF(SIGN('1'!$I$23-'1'!$K$23)&lt;&gt;SIGN(Tulokset!$G$22-Tulokset!$I$22),0,IF(Tulokset!$G$22=Tulokset!$I$22,IF(AND('1'!$I$23=Tulokset!$G$22,'1'!$K$23=Tulokset!$I$22),6,3),MAX(0,6-(ABS('1'!$I$23-Tulokset!$G$22)+ABS('1'!$K$23-Tulokset!$I$22))))))</f>
        <v/>
      </c>
      <c r="Y4" t="str">
        <f>IF(OR(Tulokset!$G$23="",Tulokset!$I$23="",'1'!$I$24="",'1'!$K$24=""),"",IF(SIGN('1'!$I$24-'1'!$K$24)&lt;&gt;SIGN(Tulokset!$G$23-Tulokset!$I$23),0,IF(Tulokset!$G$23=Tulokset!$I$23,IF(AND('1'!$I$24=Tulokset!$G$23,'1'!$K$24=Tulokset!$I$23),6,3),MAX(0,6-(ABS('1'!$I$24-Tulokset!$G$23)+ABS('1'!$K$24-Tulokset!$I$23))))))</f>
        <v/>
      </c>
      <c r="Z4" t="str">
        <f>IF(OR(Tulokset!$G$24="",Tulokset!$I$24="",'1'!$I$25="",'1'!$K$25=""),"",IF(SIGN('1'!$I$25-'1'!$K$25)&lt;&gt;SIGN(Tulokset!$G$24-Tulokset!$I$24),0,IF(Tulokset!$G$24=Tulokset!$I$24,IF(AND('1'!$I$25=Tulokset!$G$24,'1'!$K$25=Tulokset!$I$24),6,3),MAX(0,6-(ABS('1'!$I$25-Tulokset!$G$24)+ABS('1'!$K$25-Tulokset!$I$24))))))</f>
        <v/>
      </c>
      <c r="AA4" t="str">
        <f>IF(OR(Tulokset!$G$25="",Tulokset!$I$25="",'1'!$I$26="",'1'!$K$26=""),"",IF(SIGN('1'!$I$26-'1'!$K$26)&lt;&gt;SIGN(Tulokset!$G$25-Tulokset!$I$25),0,IF(Tulokset!$G$25=Tulokset!$I$25,IF(AND('1'!$I$26=Tulokset!$G$25,'1'!$K$26=Tulokset!$I$25),6,3),MAX(0,6-(ABS('1'!$I$26-Tulokset!$G$25)+ABS('1'!$K$26-Tulokset!$I$25))))))</f>
        <v/>
      </c>
      <c r="AB4" t="str">
        <f>IF(OR(Tulokset!$G$26="",Tulokset!$I$26="",'1'!$I$27="",'1'!$K$27=""),"",IF(SIGN('1'!$I$27-'1'!$K$27)&lt;&gt;SIGN(Tulokset!$G$26-Tulokset!$I$26),0,IF(Tulokset!$G$26=Tulokset!$I$26,IF(AND('1'!$I$27=Tulokset!$G$26,'1'!$K$27=Tulokset!$I$26),6,3),MAX(0,6-(ABS('1'!$I$27-Tulokset!$G$26)+ABS('1'!$K$27-Tulokset!$I$26))))))</f>
        <v/>
      </c>
      <c r="AC4" t="str">
        <f>IF(OR(Tulokset!$G$27="",Tulokset!$I$27="",'1'!$I$28="",'1'!$K$28=""),"",IF(SIGN('1'!$I$28-'1'!$K$28)&lt;&gt;SIGN(Tulokset!$G$27-Tulokset!$I$27),0,IF(Tulokset!$G$27=Tulokset!$I$27,IF(AND('1'!$I$28=Tulokset!$G$27,'1'!$K$28=Tulokset!$I$27),6,3),MAX(0,6-(ABS('1'!$I$28-Tulokset!$G$27)+ABS('1'!$K$28-Tulokset!$I$27))))))</f>
        <v/>
      </c>
      <c r="AD4" t="str">
        <f>IF(OR(Tulokset!$G$28="",Tulokset!$I$28="",'1'!$I$29="",'1'!$K$29=""),"",IF(SIGN('1'!$I$29-'1'!$K$29)&lt;&gt;SIGN(Tulokset!$G$28-Tulokset!$I$28),0,IF(Tulokset!$G$28=Tulokset!$I$28,IF(AND('1'!$I$29=Tulokset!$G$28,'1'!$K$29=Tulokset!$I$28),6,3),MAX(0,6-(ABS('1'!$I$29-Tulokset!$G$28)+ABS('1'!$K$29-Tulokset!$I$28))))))</f>
        <v/>
      </c>
      <c r="AE4" t="str">
        <f>IF(OR(Tulokset!$G$29="",Tulokset!$I$29="",'1'!$I$30="",'1'!$K$30=""),"",IF(SIGN('1'!$I$30-'1'!$K$30)&lt;&gt;SIGN(Tulokset!$G$29-Tulokset!$I$29),0,IF(Tulokset!$G$29=Tulokset!$I$29,IF(AND('1'!$I$30=Tulokset!$G$29,'1'!$K$30=Tulokset!$I$29),6,3),MAX(0,6-(ABS('1'!$I$30-Tulokset!$G$29)+ABS('1'!$K$30-Tulokset!$I$29))))))</f>
        <v/>
      </c>
      <c r="AF4" t="str">
        <f>IF(OR(Tulokset!$G$30="",Tulokset!$I$30="",'1'!$I$31="",'1'!$K$31=""),"",IF(SIGN('1'!$I$31-'1'!$K$31)&lt;&gt;SIGN(Tulokset!$G$30-Tulokset!$I$30),0,IF(Tulokset!$G$30=Tulokset!$I$30,IF(AND('1'!$I$31=Tulokset!$G$30,'1'!$K$31=Tulokset!$I$30),6,3),MAX(0,6-(ABS('1'!$I$31-Tulokset!$G$30)+ABS('1'!$K$31-Tulokset!$I$30))))))</f>
        <v/>
      </c>
      <c r="AG4" t="str">
        <f>IF(OR(Tulokset!$G$31="",Tulokset!$I$31="",'1'!$I$32="",'1'!$K$32=""),"",IF(SIGN('1'!$I$32-'1'!$K$32)&lt;&gt;SIGN(Tulokset!$G$31-Tulokset!$I$31),0,IF(Tulokset!$G$31=Tulokset!$I$31,IF(AND('1'!$I$32=Tulokset!$G$31,'1'!$K$32=Tulokset!$I$31),6,3),MAX(0,6-(ABS('1'!$I$32-Tulokset!$G$31)+ABS('1'!$K$32-Tulokset!$I$31))))))</f>
        <v/>
      </c>
      <c r="AH4" t="str">
        <f>IF(OR(Tulokset!$G$32="",Tulokset!$I$32="",'1'!$I$33="",'1'!$K$33=""),"",IF(SIGN('1'!$I$33-'1'!$K$33)&lt;&gt;SIGN(Tulokset!$G$32-Tulokset!$I$32),0,IF(Tulokset!$G$32=Tulokset!$I$32,IF(AND('1'!$I$33=Tulokset!$G$32,'1'!$K$33=Tulokset!$I$32),6,3),MAX(0,6-(ABS('1'!$I$33-Tulokset!$G$32)+ABS('1'!$K$33-Tulokset!$I$32))))))</f>
        <v/>
      </c>
      <c r="AI4" t="str">
        <f>IF(OR(Tulokset!$G$33="",Tulokset!$I$33="",'1'!$I$34="",'1'!$K$34=""),"",IF(SIGN('1'!$I$34-'1'!$K$34)&lt;&gt;SIGN(Tulokset!$G$33-Tulokset!$I$33),0,IF(Tulokset!$G$33=Tulokset!$I$33,IF(AND('1'!$I$34=Tulokset!$G$33,'1'!$K$34=Tulokset!$I$33),6,3),MAX(0,6-(ABS('1'!$I$34-Tulokset!$G$33)+ABS('1'!$K$34-Tulokset!$I$33))))))</f>
        <v/>
      </c>
      <c r="AJ4" t="str">
        <f>IF(OR(Tulokset!$G$34="",Tulokset!$I$34="",'1'!$I$35="",'1'!$K$35=""),"",IF(SIGN('1'!$I$35-'1'!$K$35)&lt;&gt;SIGN(Tulokset!$G$34-Tulokset!$I$34),0,IF(Tulokset!$G$34=Tulokset!$I$34,IF(AND('1'!$I$35=Tulokset!$G$34,'1'!$K$35=Tulokset!$I$34),6,3),MAX(0,6-(ABS('1'!$I$35-Tulokset!$G$34)+ABS('1'!$K$35-Tulokset!$I$34))))))</f>
        <v/>
      </c>
      <c r="AK4" t="str">
        <f>IF(OR(Tulokset!$G$35="",Tulokset!$I$35="",'1'!$I$36="",'1'!$K$36=""),"",IF(SIGN('1'!$I$36-'1'!$K$36)&lt;&gt;SIGN(Tulokset!$G$35-Tulokset!$I$35),0,IF(Tulokset!$G$35=Tulokset!$I$35,IF(AND('1'!$I$36=Tulokset!$G$35,'1'!$K$36=Tulokset!$I$35),6,3),MAX(0,6-(ABS('1'!$I$36-Tulokset!$G$35)+ABS('1'!$K$36-Tulokset!$I$35))))))</f>
        <v/>
      </c>
      <c r="AL4" t="str">
        <f>IF(OR(Tulokset!$G$36="",Tulokset!$I$36="",'1'!$I$37="",'1'!$K$37=""),"",IF(SIGN('1'!$I$37-'1'!$K$37)&lt;&gt;SIGN(Tulokset!$G$36-Tulokset!$I$36),0,IF(Tulokset!$G$36=Tulokset!$I$36,IF(AND('1'!$I$37=Tulokset!$G$36,'1'!$K$37=Tulokset!$I$36),6,3),MAX(0,6-(ABS('1'!$I$37-Tulokset!$G$36)+ABS('1'!$K$37-Tulokset!$I$36))))))</f>
        <v/>
      </c>
      <c r="AM4" t="str">
        <f>IF(OR(Tulokset!$G$37="",Tulokset!$I$37="",'1'!$I$38="",'1'!$K$38=""),"",IF(SIGN('1'!$I$38-'1'!$K$38)&lt;&gt;SIGN(Tulokset!$G$37-Tulokset!$I$37),0,IF(Tulokset!$G$37=Tulokset!$I$37,IF(AND('1'!$I$38=Tulokset!$G$37,'1'!$K$38=Tulokset!$I$37),6,3),MAX(0,6-(ABS('1'!$I$38-Tulokset!$G$37)+ABS('1'!$K$38-Tulokset!$I$37))))))</f>
        <v/>
      </c>
      <c r="AN4" t="str">
        <f>IF(OR(Tulokset!$G$38="",Tulokset!$I$38="",'1'!$I$39="",'1'!$K$39=""),"",IF(SIGN('1'!$I$39-'1'!$K$39)&lt;&gt;SIGN(Tulokset!$G$38-Tulokset!$I$38),0,IF(Tulokset!$G$38=Tulokset!$I$38,IF(AND('1'!$I$39=Tulokset!$G$38,'1'!$K$39=Tulokset!$I$38),6,3),MAX(0,6-(ABS('1'!$I$39-Tulokset!$G$38)+ABS('1'!$K$39-Tulokset!$I$38))))))</f>
        <v/>
      </c>
      <c r="AO4" t="str">
        <f>IF(OR(Tulokset!$G$39="",Tulokset!$I$39="",'1'!$I$40="",'1'!$K$40=""),"",IF(SIGN('1'!$I$40-'1'!$K$40)&lt;&gt;SIGN(Tulokset!$G$39-Tulokset!$I$39),0,IF(Tulokset!$G$39=Tulokset!$I$39,IF(AND('1'!$I$40=Tulokset!$G$39,'1'!$K$40=Tulokset!$I$39),6,3),MAX(0,6-(ABS('1'!$I$40-Tulokset!$G$39)+ABS('1'!$K$40-Tulokset!$I$39))))))</f>
        <v/>
      </c>
      <c r="AP4" t="str">
        <f>IF(OR(Tulokset!$G$40="",Tulokset!$I$40="",'1'!$I$41="",'1'!$K$41=""),"",IF(SIGN('1'!$I$41-'1'!$K$41)&lt;&gt;SIGN(Tulokset!$G$40-Tulokset!$I$40),0,IF(Tulokset!$G$40=Tulokset!$I$40,IF(AND('1'!$I$41=Tulokset!$G$40,'1'!$K$41=Tulokset!$I$40),6,3),MAX(0,6-(ABS('1'!$I$41-Tulokset!$G$40)+ABS('1'!$K$41-Tulokset!$I$40))))))</f>
        <v/>
      </c>
      <c r="AQ4" t="str">
        <f>IF(OR(Tulokset!$G$41="",Tulokset!$I$41="",'1'!$I$42="",'1'!$K$42=""),"",IF(SIGN('1'!$I$42-'1'!$K$42)&lt;&gt;SIGN(Tulokset!$G$41-Tulokset!$I$41),0,IF(Tulokset!$G$41=Tulokset!$I$41,IF(AND('1'!$I$42=Tulokset!$G$41,'1'!$K$42=Tulokset!$I$41),6,3),MAX(0,6-(ABS('1'!$I$42-Tulokset!$G$41)+ABS('1'!$K$42-Tulokset!$I$41))))))</f>
        <v/>
      </c>
      <c r="AR4" t="str">
        <f>IF(OR(Tulokset!$G$42="",Tulokset!$I$42="",'1'!$I$43="",'1'!$K$43=""),"",IF(SIGN('1'!$I$43-'1'!$K$43)&lt;&gt;SIGN(Tulokset!$G$42-Tulokset!$I$42),0,IF(Tulokset!$G$42=Tulokset!$I$42,IF(AND('1'!$I$43=Tulokset!$G$42,'1'!$K$43=Tulokset!$I$42),6,3),MAX(0,6-(ABS('1'!$I$43-Tulokset!$G$42)+ABS('1'!$K$43-Tulokset!$I$42))))))</f>
        <v/>
      </c>
      <c r="AS4" t="str">
        <f>IF(OR(Tulokset!$G$43="",Tulokset!$I$43="",'1'!$I$44="",'1'!$K$44=""),"",IF(SIGN('1'!$I$44-'1'!$K$44)&lt;&gt;SIGN(Tulokset!$G$43-Tulokset!$I$43),0,IF(Tulokset!$G$43=Tulokset!$I$43,IF(AND('1'!$I$44=Tulokset!$G$43,'1'!$K$44=Tulokset!$I$43),6,3),MAX(0,6-(ABS('1'!$I$44-Tulokset!$G$43)+ABS('1'!$K$44-Tulokset!$I$43))))))</f>
        <v/>
      </c>
      <c r="AT4" t="str">
        <f>IF(OR(Tulokset!$G$44="",Tulokset!$I$44="",'1'!$I$45="",'1'!$K$45=""),"",IF(SIGN('1'!$I$45-'1'!$K$45)&lt;&gt;SIGN(Tulokset!$G$44-Tulokset!$I$44),0,IF(Tulokset!$G$44=Tulokset!$I$44,IF(AND('1'!$I$45=Tulokset!$G$44,'1'!$K$45=Tulokset!$I$44),6,3),MAX(0,6-(ABS('1'!$I$45-Tulokset!$G$44)+ABS('1'!$K$45-Tulokset!$I$44))))))</f>
        <v/>
      </c>
      <c r="AU4" t="str">
        <f>IF(OR(Tulokset!$G$45="",Tulokset!$I$45="",'1'!$I$46="",'1'!$K$46=""),"",IF(SIGN('1'!$I$46-'1'!$K$46)&lt;&gt;SIGN(Tulokset!$G$45-Tulokset!$I$45),0,IF(Tulokset!$G$45=Tulokset!$I$45,IF(AND('1'!$I$46=Tulokset!$G$45,'1'!$K$46=Tulokset!$I$45),6,3),MAX(0,6-(ABS('1'!$I$46-Tulokset!$G$45)+ABS('1'!$K$46-Tulokset!$I$45))))))</f>
        <v/>
      </c>
      <c r="AV4" t="str">
        <f>IF(OR(Tulokset!$G$46="",Tulokset!$I$46="",'1'!$I$47="",'1'!$K$47=""),"",IF(SIGN('1'!$I$47-'1'!$K$47)&lt;&gt;SIGN(Tulokset!$G$46-Tulokset!$I$46),0,IF(Tulokset!$G$46=Tulokset!$I$46,IF(AND('1'!$I$47=Tulokset!$G$46,'1'!$K$47=Tulokset!$I$46),6,3),MAX(0,6-(ABS('1'!$I$47-Tulokset!$G$46)+ABS('1'!$K$47-Tulokset!$I$46))))))</f>
        <v/>
      </c>
      <c r="AW4" t="str">
        <f>IF(OR(Tulokset!$G$47="",Tulokset!$I$47="",'1'!$I$48="",'1'!$K$48=""),"",IF(SIGN('1'!$I$48-'1'!$K$48)&lt;&gt;SIGN(Tulokset!$G$47-Tulokset!$I$47),0,IF(Tulokset!$G$47=Tulokset!$I$47,IF(AND('1'!$I$48=Tulokset!$G$47,'1'!$K$48=Tulokset!$I$47),6,3),MAX(0,6-(ABS('1'!$I$48-Tulokset!$G$47)+ABS('1'!$K$48-Tulokset!$I$47))))))</f>
        <v/>
      </c>
      <c r="AX4" t="str">
        <f>IF(OR(Tulokset!$G$48="",Tulokset!$I$48="",'1'!$I$49="",'1'!$K$49=""),"",IF(SIGN('1'!$I$49-'1'!$K$49)&lt;&gt;SIGN(Tulokset!$G$48-Tulokset!$I$48),0,IF(Tulokset!$G$48=Tulokset!$I$48,IF(AND('1'!$I$49=Tulokset!$G$48,'1'!$K$49=Tulokset!$I$48),6,3),MAX(0,6-(ABS('1'!$I$49-Tulokset!$G$48)+ABS('1'!$K$49-Tulokset!$I$48))))))</f>
        <v/>
      </c>
      <c r="AY4" t="str">
        <f>IF(OR(Tulokset!$G$49="",Tulokset!$I$49="",'1'!$I$50="",'1'!$K$50=""),"",IF(SIGN('1'!$I$50-'1'!$K$50)&lt;&gt;SIGN(Tulokset!$G$49-Tulokset!$I$49),0,IF(Tulokset!$G$49=Tulokset!$I$49,IF(AND('1'!$I$50=Tulokset!$G$49,'1'!$K$50=Tulokset!$I$49),6,3),MAX(0,6-(ABS('1'!$I$50-Tulokset!$G$49)+ABS('1'!$K$50-Tulokset!$I$49))))))</f>
        <v/>
      </c>
      <c r="AZ4" t="str">
        <f>IF(OR(Tulokset!$G$50="",Tulokset!$I$50="",'1'!$I$51="",'1'!$K$51=""),"",IF(SIGN('1'!$I$51-'1'!$K$51)&lt;&gt;SIGN(Tulokset!$G$50-Tulokset!$I$50),0,IF(Tulokset!$G$50=Tulokset!$I$50,IF(AND('1'!$I$51=Tulokset!$G$50,'1'!$K$51=Tulokset!$I$50),6,3),MAX(0,6-(ABS('1'!$I$51-Tulokset!$G$50)+ABS('1'!$K$51-Tulokset!$I$50))))))</f>
        <v/>
      </c>
      <c r="BA4" t="str">
        <f>IF(OR(Tulokset!$G$51="",Tulokset!$I$51="",'1'!$I$52="",'1'!$K$52=""),"",IF(SIGN('1'!$I$52-'1'!$K$52)&lt;&gt;SIGN(Tulokset!$G$51-Tulokset!$I$51),0,IF(Tulokset!$G$51=Tulokset!$I$51,IF(AND('1'!$I$52=Tulokset!$G$51,'1'!$K$52=Tulokset!$I$51),6,3),MAX(0,6-(ABS('1'!$I$52-Tulokset!$G$51)+ABS('1'!$K$52-Tulokset!$I$51))))))</f>
        <v/>
      </c>
      <c r="BB4" t="str">
        <f>IF(OR(Tulokset!$G$52="",Tulokset!$I$52="",'1'!$I$53="",'1'!$K$53=""),"",IF(SIGN('1'!$I$53-'1'!$K$53)&lt;&gt;SIGN(Tulokset!$G$52-Tulokset!$I$52),0,IF(Tulokset!$G$52=Tulokset!$I$52,IF(AND('1'!$I$53=Tulokset!$G$52,'1'!$K$53=Tulokset!$I$52),6,3),MAX(0,6-(ABS('1'!$I$53-Tulokset!$G$52)+ABS('1'!$K$53-Tulokset!$I$52))))))</f>
        <v/>
      </c>
      <c r="BC4" t="str">
        <f>IF(OR(Tulokset!$G$53="",Tulokset!$I$53="",'1'!$I$54="",'1'!$K$54=""),"",IF(SIGN('1'!$I$54-'1'!$K$54)&lt;&gt;SIGN(Tulokset!$G$53-Tulokset!$I$53),0,IF(Tulokset!$G$53=Tulokset!$I$53,IF(AND('1'!$I$54=Tulokset!$G$53,'1'!$K$54=Tulokset!$I$53),6,3),MAX(0,6-(ABS('1'!$I$54-Tulokset!$G$53)+ABS('1'!$K$54-Tulokset!$I$53))))))</f>
        <v/>
      </c>
      <c r="BD4" t="str">
        <f>IF(OR(Tulokset!$G$54="",Tulokset!$I$54="",'1'!$I$55="",'1'!$K$55=""),"",IF(SIGN('1'!$I$55-'1'!$K$55)&lt;&gt;SIGN(Tulokset!$G$54-Tulokset!$I$54),0,IF(Tulokset!$G$54=Tulokset!$I$54,IF(AND('1'!$I$55=Tulokset!$G$54,'1'!$K$55=Tulokset!$I$54),6,3),MAX(0,6-(ABS('1'!$I$55-Tulokset!$G$54)+ABS('1'!$K$55-Tulokset!$I$54))))))</f>
        <v/>
      </c>
      <c r="BE4" t="str">
        <f>IF(OR(Tulokset!$G$55="",Tulokset!$I$55="",'1'!$I$56="",'1'!$K$56=""),"",IF(SIGN('1'!$I$56-'1'!$K$56)&lt;&gt;SIGN(Tulokset!$G$55-Tulokset!$I$55),0,IF(Tulokset!$G$55=Tulokset!$I$55,IF(AND('1'!$I$56=Tulokset!$G$55,'1'!$K$56=Tulokset!$I$55),6,3),MAX(0,6-(ABS('1'!$I$56-Tulokset!$G$55)+ABS('1'!$K$56-Tulokset!$I$55))))))</f>
        <v/>
      </c>
      <c r="BF4" t="str">
        <f>IF(OR(Tulokset!$G$56="",Tulokset!$I$56="",'1'!$I$57="",'1'!$K$57=""),"",IF(SIGN('1'!$I$57-'1'!$K$57)&lt;&gt;SIGN(Tulokset!$G$56-Tulokset!$I$56),0,IF(Tulokset!$G$56=Tulokset!$I$56,IF(AND('1'!$I$57=Tulokset!$G$56,'1'!$K$57=Tulokset!$I$56),6,3),MAX(0,6-(ABS('1'!$I$57-Tulokset!$G$56)+ABS('1'!$K$57-Tulokset!$I$56))))))</f>
        <v/>
      </c>
      <c r="BG4" t="str">
        <f>IF(OR(Tulokset!$G$57="",Tulokset!$I$57="",'1'!$I$58="",'1'!$K$58=""),"",IF(SIGN('1'!$I$58-'1'!$K$58)&lt;&gt;SIGN(Tulokset!$G$57-Tulokset!$I$57),0,IF(Tulokset!$G$57=Tulokset!$I$57,IF(AND('1'!$I$58=Tulokset!$G$57,'1'!$K$58=Tulokset!$I$57),6,3),MAX(0,6-(ABS('1'!$I$58-Tulokset!$G$57)+ABS('1'!$K$58-Tulokset!$I$57))))))</f>
        <v/>
      </c>
      <c r="BH4" t="str">
        <f>IF(OR(Tulokset!$G$58="",Tulokset!$I$58="",'1'!$I$59="",'1'!$K$59=""),"",IF(SIGN('1'!$I$59-'1'!$K$59)&lt;&gt;SIGN(Tulokset!$G$58-Tulokset!$I$58),0,IF(Tulokset!$G$58=Tulokset!$I$58,IF(AND('1'!$I$59=Tulokset!$G$58,'1'!$K$59=Tulokset!$I$58),6,3),MAX(0,6-(ABS('1'!$I$59-Tulokset!$G$58)+ABS('1'!$K$59-Tulokset!$I$58))))))</f>
        <v/>
      </c>
      <c r="BI4" t="str">
        <f>IF(OR(Tulokset!$G$59="",Tulokset!$I$59="",'1'!$I$60="",'1'!$K$60=""),"",IF(SIGN('1'!$I$60-'1'!$K$60)&lt;&gt;SIGN(Tulokset!$G$59-Tulokset!$I$59),0,IF(Tulokset!$G$59=Tulokset!$I$59,IF(AND('1'!$I$60=Tulokset!$G$59,'1'!$K$60=Tulokset!$I$59),6,3),MAX(0,6-(ABS('1'!$I$60-Tulokset!$G$59)+ABS('1'!$K$60-Tulokset!$I$59))))))</f>
        <v/>
      </c>
      <c r="BJ4" t="str">
        <f>IF(OR(Tulokset!$G$60="",Tulokset!$I$60="",'1'!$I$61="",'1'!$K$61=""),"",IF(SIGN('1'!$I$61-'1'!$K$61)&lt;&gt;SIGN(Tulokset!$G$60-Tulokset!$I$60),0,IF(Tulokset!$G$60=Tulokset!$I$60,IF(AND('1'!$I$61=Tulokset!$G$60,'1'!$K$61=Tulokset!$I$60),6,3),MAX(0,6-(ABS('1'!$I$61-Tulokset!$G$60)+ABS('1'!$K$61-Tulokset!$I$60))))))</f>
        <v/>
      </c>
      <c r="BK4" t="str">
        <f>IF(OR(Tulokset!$G$61="",Tulokset!$I$61="",'1'!$I$62="",'1'!$K$62=""),"",IF(SIGN('1'!$I$62-'1'!$K$62)&lt;&gt;SIGN(Tulokset!$G$61-Tulokset!$I$61),0,IF(Tulokset!$G$61=Tulokset!$I$61,IF(AND('1'!$I$62=Tulokset!$G$61,'1'!$K$62=Tulokset!$I$61),6,3),MAX(0,6-(ABS('1'!$I$62-Tulokset!$G$61)+ABS('1'!$K$62-Tulokset!$I$61))))))</f>
        <v/>
      </c>
      <c r="BL4" t="str">
        <f>IF(OR(Tulokset!$G$62="",Tulokset!$I$62="",'1'!$I$63="",'1'!$K$63=""),"",IF(SIGN('1'!$I$63-'1'!$K$63)&lt;&gt;SIGN(Tulokset!$G$62-Tulokset!$I$62),0,IF(Tulokset!$G$62=Tulokset!$I$62,IF(AND('1'!$I$63=Tulokset!$G$62,'1'!$K$63=Tulokset!$I$62),6,3),MAX(0,6-(ABS('1'!$I$63-Tulokset!$G$62)+ABS('1'!$K$63-Tulokset!$I$62))))))</f>
        <v/>
      </c>
      <c r="BM4" t="str">
        <f>IF(OR(Tulokset!$G$63="",Tulokset!$I$63="",'1'!$I$64="",'1'!$K$64=""),"",IF(SIGN('1'!$I$64-'1'!$K$64)&lt;&gt;SIGN(Tulokset!$G$63-Tulokset!$I$63),0,IF(Tulokset!$G$63=Tulokset!$I$63,IF(AND('1'!$I$64=Tulokset!$G$63,'1'!$K$64=Tulokset!$I$63),6,3),MAX(0,6-(ABS('1'!$I$64-Tulokset!$G$63)+ABS('1'!$K$64-Tulokset!$I$63))))))</f>
        <v/>
      </c>
      <c r="BN4" t="str">
        <f>IF(OR(Tulokset!$G$64="",Tulokset!$I$64="",'1'!$I$65="",'1'!$K$65=""),"",IF(SIGN('1'!$I$65-'1'!$K$65)&lt;&gt;SIGN(Tulokset!$G$64-Tulokset!$I$64),0,IF(Tulokset!$G$64=Tulokset!$I$64,IF(AND('1'!$I$65=Tulokset!$G$64,'1'!$K$65=Tulokset!$I$64),6,3),MAX(0,6-(ABS('1'!$I$65-Tulokset!$G$64)+ABS('1'!$K$65-Tulokset!$I$64))))))</f>
        <v/>
      </c>
      <c r="BO4" t="str">
        <f>IF(OR(Tulokset!$G$65="",Tulokset!$I$65="",'1'!$I$66="",'1'!$K$66=""),"",IF(SIGN('1'!$I$66-'1'!$K$66)&lt;&gt;SIGN(Tulokset!$G$65-Tulokset!$I$65),0,IF(Tulokset!$G$65=Tulokset!$I$65,IF(AND('1'!$I$66=Tulokset!$G$65,'1'!$K$66=Tulokset!$I$65),6,3),MAX(0,6-(ABS('1'!$I$66-Tulokset!$G$65)+ABS('1'!$K$66-Tulokset!$I$65))))))</f>
        <v/>
      </c>
      <c r="BP4" t="str">
        <f>IF(OR(Tulokset!$G$66="",Tulokset!$I$66="",'1'!$I$67="",'1'!$K$67=""),"",IF(SIGN('1'!$I$67-'1'!$K$67)&lt;&gt;SIGN(Tulokset!$G$66-Tulokset!$I$66),0,IF(Tulokset!$G$66=Tulokset!$I$66,IF(AND('1'!$I$67=Tulokset!$G$66,'1'!$K$67=Tulokset!$I$66),6,3),MAX(0,6-(ABS('1'!$I$67-Tulokset!$G$66)+ABS('1'!$K$67-Tulokset!$I$66))))))</f>
        <v/>
      </c>
      <c r="BQ4" t="str">
        <f>IF(OR(Tulokset!$G$67="",Tulokset!$I$67="",'1'!$I$68="",'1'!$K$68=""),"",IF(SIGN('1'!$I$68-'1'!$K$68)&lt;&gt;SIGN(Tulokset!$G$67-Tulokset!$I$67),0,IF(Tulokset!$G$67=Tulokset!$I$67,IF(AND('1'!$I$68=Tulokset!$G$67,'1'!$K$68=Tulokset!$I$67),6,3),MAX(0,6-(ABS('1'!$I$68-Tulokset!$G$67)+ABS('1'!$K$68-Tulokset!$I$67))))))</f>
        <v/>
      </c>
      <c r="BR4" t="str">
        <f>IF(OR(Tulokset!$G$68="",Tulokset!$I$68="",'1'!$I$69="",'1'!$K$69=""),"",IF(SIGN('1'!$I$69-'1'!$K$69)&lt;&gt;SIGN(Tulokset!$G$68-Tulokset!$I$68),0,IF(Tulokset!$G$68=Tulokset!$I$68,IF(AND('1'!$I$69=Tulokset!$G$68,'1'!$K$69=Tulokset!$I$68),6,3),MAX(0,6-(ABS('1'!$I$69-Tulokset!$G$68)+ABS('1'!$K$69-Tulokset!$I$68))))))</f>
        <v/>
      </c>
      <c r="BS4" t="str">
        <f>IF(OR(Tulokset!$G$69="",Tulokset!$I$69="",'1'!$I$70="",'1'!$K$70=""),"",IF(SIGN('1'!$I$70-'1'!$K$70)&lt;&gt;SIGN(Tulokset!$G$69-Tulokset!$I$69),0,IF(Tulokset!$G$69=Tulokset!$I$69,IF(AND('1'!$I$70=Tulokset!$G$69,'1'!$K$70=Tulokset!$I$69),6,3),MAX(0,6-(ABS('1'!$I$70-Tulokset!$G$69)+ABS('1'!$K$70-Tulokset!$I$69))))))</f>
        <v/>
      </c>
      <c r="BT4" t="str">
        <f>IF(OR(Tulokset!$G$70="",Tulokset!$I$70="",'1'!$I$71="",'1'!$K$71=""),"",IF(SIGN('1'!$I$71-'1'!$K$71)&lt;&gt;SIGN(Tulokset!$G$70-Tulokset!$I$70),0,IF(Tulokset!$G$70=Tulokset!$I$70,IF(AND('1'!$I$71=Tulokset!$G$70,'1'!$K$71=Tulokset!$I$70),6,3),MAX(0,6-(ABS('1'!$I$71-Tulokset!$G$70)+ABS('1'!$K$71-Tulokset!$I$70))))))</f>
        <v/>
      </c>
      <c r="BU4" t="str">
        <f>IF(OR(Tulokset!$G$71="",Tulokset!$I$71="",'1'!$I$72="",'1'!$K$72=""),"",IF(SIGN('1'!$I$72-'1'!$K$72)&lt;&gt;SIGN(Tulokset!$G$71-Tulokset!$I$71),0,IF(Tulokset!$G$71=Tulokset!$I$71,IF(AND('1'!$I$72=Tulokset!$G$71,'1'!$K$72=Tulokset!$I$71),6,3),MAX(0,6-(ABS('1'!$I$72-Tulokset!$G$71)+ABS('1'!$K$72-Tulokset!$I$71))))))</f>
        <v/>
      </c>
      <c r="BV4" t="str">
        <f>IF(OR(Tulokset!$G$72="",Tulokset!$I$72="",'1'!$I$73="",'1'!$K$73=""),"",IF(SIGN('1'!$I$73-'1'!$K$73)&lt;&gt;SIGN(Tulokset!$G$72-Tulokset!$I$72),0,IF(Tulokset!$G$72=Tulokset!$I$72,IF(AND('1'!$I$73=Tulokset!$G$72,'1'!$K$73=Tulokset!$I$72),6,3),MAX(0,6-(ABS('1'!$I$73-Tulokset!$G$72)+ABS('1'!$K$73-Tulokset!$I$72))))))</f>
        <v/>
      </c>
      <c r="BW4" t="str">
        <f>IF(OR(Tulokset!$G$73="",Tulokset!$I$73="",'1'!$I$74="",'1'!$K$74=""),"",IF(SIGN('1'!$I$74-'1'!$K$74)&lt;&gt;SIGN(Tulokset!$G$73-Tulokset!$I$73),0,IF(Tulokset!$G$73=Tulokset!$I$73,IF(AND('1'!$I$74=Tulokset!$G$73,'1'!$K$74=Tulokset!$I$73),6,3),MAX(0,6-(ABS('1'!$I$74-Tulokset!$G$73)+ABS('1'!$K$74-Tulokset!$I$73))))))</f>
        <v/>
      </c>
      <c r="BX4" t="str">
        <f>IF(OR(Tulokset!$G$74="",Tulokset!$I$74="",'1'!$I$75="",'1'!$K$75=""),"",IF(SIGN('1'!$I$75-'1'!$K$75)&lt;&gt;SIGN(Tulokset!$G$74-Tulokset!$I$74),0,IF(Tulokset!$G$74=Tulokset!$I$74,IF(AND('1'!$I$75=Tulokset!$G$74,'1'!$K$75=Tulokset!$I$74),6,3),MAX(0,6-(ABS('1'!$I$75-Tulokset!$G$74)+ABS('1'!$K$75-Tulokset!$I$74))))))</f>
        <v/>
      </c>
      <c r="BY4" t="str">
        <f>IF(OR(Tulokset!$G$75="",Tulokset!$I$75="",'1'!$I$76="",'1'!$K$76=""),"",IF(SIGN('1'!$I$76-'1'!$K$76)&lt;&gt;SIGN(Tulokset!$G$75-Tulokset!$I$75),0,IF(Tulokset!$G$75=Tulokset!$I$75,IF(AND('1'!$I$76=Tulokset!$G$75,'1'!$K$76=Tulokset!$I$75),6,3),MAX(0,6-(ABS('1'!$I$76-Tulokset!$G$75)+ABS('1'!$K$76-Tulokset!$I$75))))))</f>
        <v/>
      </c>
      <c r="BZ4" t="str">
        <f>IF(OR(Tulokset!$G$76="",Tulokset!$I$76="",'1'!$I$77="",'1'!$K$77=""),"",IF(SIGN('1'!$I$77-'1'!$K$77)&lt;&gt;SIGN(Tulokset!$G$76-Tulokset!$I$76),0,IF(Tulokset!$G$76=Tulokset!$I$76,IF(AND('1'!$I$77=Tulokset!$G$76,'1'!$K$77=Tulokset!$I$76),6,3),MAX(0,6-(ABS('1'!$I$77-Tulokset!$G$76)+ABS('1'!$K$77-Tulokset!$I$76))))))</f>
        <v/>
      </c>
      <c r="CA4" t="str">
        <f>IF(OR(Tulokset!$G$77="",Tulokset!$I$77="",'1'!$I$78="",'1'!$K$78=""),"",IF(SIGN('1'!$I$78-'1'!$K$78)&lt;&gt;SIGN(Tulokset!$G$77-Tulokset!$I$77),0,IF(Tulokset!$G$77=Tulokset!$I$77,IF(AND('1'!$I$78=Tulokset!$G$77,'1'!$K$78=Tulokset!$I$77),6,3),MAX(0,6-(ABS('1'!$I$78-Tulokset!$G$77)+ABS('1'!$K$78-Tulokset!$I$77))))))</f>
        <v/>
      </c>
      <c r="CD4" t="str">
        <f ca="1">IF(OR(Tulokset!$M$6="",INDIRECT("'"&amp;$A4&amp;"'!$P$8")=""),"",IF(TRIM(INDIRECT("'"&amp;$A4&amp;"'!$P$8"))=TRIM(Tulokset!$M$6),2,0))</f>
        <v/>
      </c>
      <c r="CE4" t="str">
        <f ca="1">IF(OR(Tulokset!$M$7="",INDIRECT("'"&amp;$A4&amp;"'!$P$9")=""),"",IF(TRIM(INDIRECT("'"&amp;$A4&amp;"'!$P$9"))=TRIM(Tulokset!$M$7),2,0))</f>
        <v/>
      </c>
      <c r="CF4" t="str">
        <f ca="1">IF(OR(Tulokset!$M$8="",INDIRECT("'"&amp;$A4&amp;"'!$P$10")=""),"",IF(TRIM(INDIRECT("'"&amp;$A4&amp;"'!$P$10"))=TRIM(Tulokset!$M$8),2,0))</f>
        <v/>
      </c>
      <c r="CG4" t="str">
        <f ca="1">IF(OR(Tulokset!$M$9="",INDIRECT("'"&amp;$A4&amp;"'!$P$11")=""),"",IF(TRIM(INDIRECT("'"&amp;$A4&amp;"'!$P$11"))=TRIM(Tulokset!$M$9),2,0))</f>
        <v/>
      </c>
      <c r="CH4" t="str">
        <f ca="1">IF(OR(Tulokset!$N$6="",INDIRECT("'"&amp;$A4&amp;"'!$Q$8")=""),"",IF(TRIM(INDIRECT("'"&amp;$A4&amp;"'!$Q$8"))=TRIM(Tulokset!$N$6),2,0))</f>
        <v/>
      </c>
      <c r="CI4" t="str">
        <f ca="1">IF(OR(Tulokset!$N$7="",INDIRECT("'"&amp;$A4&amp;"'!$Q$9")=""),"",IF(TRIM(INDIRECT("'"&amp;$A4&amp;"'!$Q$9"))=TRIM(Tulokset!$N$7),2,0))</f>
        <v/>
      </c>
      <c r="CJ4" t="str">
        <f ca="1">IF(OR(Tulokset!$N$8="",INDIRECT("'"&amp;$A4&amp;"'!$Q$10")=""),"",IF(TRIM(INDIRECT("'"&amp;$A4&amp;"'!$Q$10"))=TRIM(Tulokset!$N$8),2,0))</f>
        <v/>
      </c>
      <c r="CK4" t="str">
        <f ca="1">IF(OR(Tulokset!$N$9="",INDIRECT("'"&amp;$A4&amp;"'!$Q$11")=""),"",IF(TRIM(INDIRECT("'"&amp;$A4&amp;"'!$Q$11"))=TRIM(Tulokset!$N$9),2,0))</f>
        <v/>
      </c>
      <c r="CL4" t="str">
        <f ca="1">IF(OR(Tulokset!$O$6="",INDIRECT("'"&amp;$A4&amp;"'!$R$8")=""),"",IF(TRIM(INDIRECT("'"&amp;$A4&amp;"'!$R$8"))=TRIM(Tulokset!$O$6),2,0))</f>
        <v/>
      </c>
      <c r="CM4" t="str">
        <f ca="1">IF(OR(Tulokset!$O$7="",INDIRECT("'"&amp;$A4&amp;"'!$R$9")=""),"",IF(TRIM(INDIRECT("'"&amp;$A4&amp;"'!$R$9"))=TRIM(Tulokset!$O$7),2,0))</f>
        <v/>
      </c>
      <c r="CN4" t="str">
        <f ca="1">IF(OR(Tulokset!$O$8="",INDIRECT("'"&amp;$A4&amp;"'!$R$10")=""),"",IF(TRIM(INDIRECT("'"&amp;$A4&amp;"'!$R$10"))=TRIM(Tulokset!$O$8),2,0))</f>
        <v/>
      </c>
      <c r="CO4" t="str">
        <f ca="1">IF(OR(Tulokset!$O$9="",INDIRECT("'"&amp;$A4&amp;"'!$R$11")=""),"",IF(TRIM(INDIRECT("'"&amp;$A4&amp;"'!$R$11"))=TRIM(Tulokset!$O$9),2,0))</f>
        <v/>
      </c>
      <c r="CP4" t="str">
        <f ca="1">IF(OR(Tulokset!$P$6="",INDIRECT("'"&amp;$A4&amp;"'!$S$8")=""),"",IF(TRIM(INDIRECT("'"&amp;$A4&amp;"'!$S$8"))=TRIM(Tulokset!$P$6),2,0))</f>
        <v/>
      </c>
      <c r="CQ4" t="str">
        <f ca="1">IF(OR(Tulokset!$P$7="",INDIRECT("'"&amp;$A4&amp;"'!$S$9")=""),"",IF(TRIM(INDIRECT("'"&amp;$A4&amp;"'!$S$9"))=TRIM(Tulokset!$P$7),2,0))</f>
        <v/>
      </c>
      <c r="CR4" t="str">
        <f ca="1">IF(OR(Tulokset!$P$8="",INDIRECT("'"&amp;$A4&amp;"'!$S$10")=""),"",IF(TRIM(INDIRECT("'"&amp;$A4&amp;"'!$S$10"))=TRIM(Tulokset!$P$8),2,0))</f>
        <v/>
      </c>
      <c r="CS4" t="str">
        <f ca="1">IF(OR(Tulokset!$P$9="",INDIRECT("'"&amp;$A4&amp;"'!$S$11")=""),"",IF(TRIM(INDIRECT("'"&amp;$A4&amp;"'!$S$11"))=TRIM(Tulokset!$P$9),2,0))</f>
        <v/>
      </c>
      <c r="CT4" t="str">
        <f ca="1">IF(OR(Tulokset!$Q$6="",INDIRECT("'"&amp;$A4&amp;"'!$T$8")=""),"",IF(TRIM(INDIRECT("'"&amp;$A4&amp;"'!$T$8"))=TRIM(Tulokset!$Q$6),2,0))</f>
        <v/>
      </c>
      <c r="CU4" t="str">
        <f ca="1">IF(OR(Tulokset!$Q$7="",INDIRECT("'"&amp;$A4&amp;"'!$T$9")=""),"",IF(TRIM(INDIRECT("'"&amp;$A4&amp;"'!$T$9"))=TRIM(Tulokset!$Q$7),2,0))</f>
        <v/>
      </c>
      <c r="CV4" t="str">
        <f ca="1">IF(OR(Tulokset!$Q$8="",INDIRECT("'"&amp;$A4&amp;"'!$T$10")=""),"",IF(TRIM(INDIRECT("'"&amp;$A4&amp;"'!$T$10"))=TRIM(Tulokset!$Q$8),2,0))</f>
        <v/>
      </c>
      <c r="CW4" t="str">
        <f ca="1">IF(OR(Tulokset!$Q$9="",INDIRECT("'"&amp;$A4&amp;"'!$T$11")=""),"",IF(TRIM(INDIRECT("'"&amp;$A4&amp;"'!$T$11"))=TRIM(Tulokset!$Q$9),2,0))</f>
        <v/>
      </c>
      <c r="CX4" t="str">
        <f ca="1">IF(OR(Tulokset!$R$6="",INDIRECT("'"&amp;$A4&amp;"'!$U$8")=""),"",IF(TRIM(INDIRECT("'"&amp;$A4&amp;"'!$U$8"))=TRIM(Tulokset!$R$6),2,0))</f>
        <v/>
      </c>
      <c r="CY4" t="str">
        <f ca="1">IF(OR(Tulokset!$R$7="",INDIRECT("'"&amp;$A4&amp;"'!$U$9")=""),"",IF(TRIM(INDIRECT("'"&amp;$A4&amp;"'!$U$9"))=TRIM(Tulokset!$R$7),2,0))</f>
        <v/>
      </c>
      <c r="CZ4" t="str">
        <f ca="1">IF(OR(Tulokset!$R$8="",INDIRECT("'"&amp;$A4&amp;"'!$U$10")=""),"",IF(TRIM(INDIRECT("'"&amp;$A4&amp;"'!$U$10"))=TRIM(Tulokset!$R$8),2,0))</f>
        <v/>
      </c>
      <c r="DA4" t="str">
        <f ca="1">IF(OR(Tulokset!$R$9="",INDIRECT("'"&amp;$A4&amp;"'!$U$11")=""),"",IF(TRIM(INDIRECT("'"&amp;$A4&amp;"'!$U$11"))=TRIM(Tulokset!$R$9),2,0))</f>
        <v/>
      </c>
      <c r="DB4" t="str">
        <f ca="1">IF(OR(Tulokset!$M$12="",INDIRECT("'"&amp;$A4&amp;"'!$P$14")=""),"",IF(TRIM(INDIRECT("'"&amp;$A4&amp;"'!$P$14"))=TRIM(Tulokset!$M$12),2,0))</f>
        <v/>
      </c>
      <c r="DC4" t="str">
        <f ca="1">IF(OR(Tulokset!$M$13="",INDIRECT("'"&amp;$A4&amp;"'!$P$15")=""),"",IF(TRIM(INDIRECT("'"&amp;$A4&amp;"'!$P$15"))=TRIM(Tulokset!$M$13),2,0))</f>
        <v/>
      </c>
      <c r="DD4" t="str">
        <f ca="1">IF(OR(Tulokset!$M$14="",INDIRECT("'"&amp;$A4&amp;"'!$P$16")=""),"",IF(TRIM(INDIRECT("'"&amp;$A4&amp;"'!$P$16"))=TRIM(Tulokset!$M$14),2,0))</f>
        <v/>
      </c>
      <c r="DE4" t="str">
        <f ca="1">IF(OR(Tulokset!$M$15="",INDIRECT("'"&amp;$A4&amp;"'!$P$17")=""),"",IF(TRIM(INDIRECT("'"&amp;$A4&amp;"'!$P$17"))=TRIM(Tulokset!$M$15),2,0))</f>
        <v/>
      </c>
      <c r="DF4" t="str">
        <f ca="1">IF(OR(Tulokset!$N$12="",INDIRECT("'"&amp;$A4&amp;"'!$Q$14")=""),"",IF(TRIM(INDIRECT("'"&amp;$A4&amp;"'!$Q$14"))=TRIM(Tulokset!$N$12),2,0))</f>
        <v/>
      </c>
      <c r="DG4" t="str">
        <f ca="1">IF(OR(Tulokset!$N$13="",INDIRECT("'"&amp;$A4&amp;"'!$Q$15")=""),"",IF(TRIM(INDIRECT("'"&amp;$A4&amp;"'!$Q$15"))=TRIM(Tulokset!$N$13),2,0))</f>
        <v/>
      </c>
      <c r="DH4" t="str">
        <f ca="1">IF(OR(Tulokset!$N$14="",INDIRECT("'"&amp;$A4&amp;"'!$Q$16")=""),"",IF(TRIM(INDIRECT("'"&amp;$A4&amp;"'!$Q$16"))=TRIM(Tulokset!$N$14),2,0))</f>
        <v/>
      </c>
      <c r="DI4" t="str">
        <f ca="1">IF(OR(Tulokset!$N$15="",INDIRECT("'"&amp;$A4&amp;"'!$Q$17")=""),"",IF(TRIM(INDIRECT("'"&amp;$A4&amp;"'!$Q$17"))=TRIM(Tulokset!$N$15),2,0))</f>
        <v/>
      </c>
      <c r="DJ4" t="str">
        <f ca="1">IF(OR(Tulokset!$O$12="",INDIRECT("'"&amp;$A4&amp;"'!$R$14")=""),"",IF(TRIM(INDIRECT("'"&amp;$A4&amp;"'!$R$14"))=TRIM(Tulokset!$O$12),2,0))</f>
        <v/>
      </c>
      <c r="DK4" t="str">
        <f ca="1">IF(OR(Tulokset!$O$13="",INDIRECT("'"&amp;$A4&amp;"'!$R$15")=""),"",IF(TRIM(INDIRECT("'"&amp;$A4&amp;"'!$R$15"))=TRIM(Tulokset!$O$13),2,0))</f>
        <v/>
      </c>
      <c r="DL4" t="str">
        <f ca="1">IF(OR(Tulokset!$O$14="",INDIRECT("'"&amp;$A4&amp;"'!$R$16")=""),"",IF(TRIM(INDIRECT("'"&amp;$A4&amp;"'!$R$16"))=TRIM(Tulokset!$O$14),2,0))</f>
        <v/>
      </c>
      <c r="DM4" t="str">
        <f ca="1">IF(OR(Tulokset!$O$15="",INDIRECT("'"&amp;$A4&amp;"'!$R$17")=""),"",IF(TRIM(INDIRECT("'"&amp;$A4&amp;"'!$R$17"))=TRIM(Tulokset!$O$15),2,0))</f>
        <v/>
      </c>
      <c r="DN4" t="str">
        <f ca="1">IF(OR(Tulokset!$P$12="",INDIRECT("'"&amp;$A4&amp;"'!$S$14")=""),"",IF(TRIM(INDIRECT("'"&amp;$A4&amp;"'!$S$14"))=TRIM(Tulokset!$P$12),2,0))</f>
        <v/>
      </c>
      <c r="DO4" t="str">
        <f ca="1">IF(OR(Tulokset!$P$13="",INDIRECT("'"&amp;$A4&amp;"'!$S$15")=""),"",IF(TRIM(INDIRECT("'"&amp;$A4&amp;"'!$S$15"))=TRIM(Tulokset!$P$13),2,0))</f>
        <v/>
      </c>
      <c r="DP4" t="str">
        <f ca="1">IF(OR(Tulokset!$P$14="",INDIRECT("'"&amp;$A4&amp;"'!$S$16")=""),"",IF(TRIM(INDIRECT("'"&amp;$A4&amp;"'!$S$16"))=TRIM(Tulokset!$P$14),2,0))</f>
        <v/>
      </c>
      <c r="DQ4" t="str">
        <f ca="1">IF(OR(Tulokset!$P$15="",INDIRECT("'"&amp;$A4&amp;"'!$S$17")=""),"",IF(TRIM(INDIRECT("'"&amp;$A4&amp;"'!$S$17"))=TRIM(Tulokset!$P$15),2,0))</f>
        <v/>
      </c>
      <c r="DR4" t="str">
        <f ca="1">IF(OR(Tulokset!$Q$12="",INDIRECT("'"&amp;$A4&amp;"'!$T$14")=""),"",IF(TRIM(INDIRECT("'"&amp;$A4&amp;"'!$T$14"))=TRIM(Tulokset!$Q$12),2,0))</f>
        <v/>
      </c>
      <c r="DS4" t="str">
        <f ca="1">IF(OR(Tulokset!$Q$13="",INDIRECT("'"&amp;$A4&amp;"'!$T$15")=""),"",IF(TRIM(INDIRECT("'"&amp;$A4&amp;"'!$T$15"))=TRIM(Tulokset!$Q$13),2,0))</f>
        <v/>
      </c>
      <c r="DT4" t="str">
        <f ca="1">IF(OR(Tulokset!$Q$14="",INDIRECT("'"&amp;$A4&amp;"'!$T$16")=""),"",IF(TRIM(INDIRECT("'"&amp;$A4&amp;"'!$T$16"))=TRIM(Tulokset!$Q$14),2,0))</f>
        <v/>
      </c>
      <c r="DU4" t="str">
        <f ca="1">IF(OR(Tulokset!$Q$15="",INDIRECT("'"&amp;$A4&amp;"'!$T$17")=""),"",IF(TRIM(INDIRECT("'"&amp;$A4&amp;"'!$T$17"))=TRIM(Tulokset!$Q$15),2,0))</f>
        <v/>
      </c>
      <c r="DV4" t="str">
        <f ca="1">IF(OR(Tulokset!$R$12="",INDIRECT("'"&amp;$A4&amp;"'!$U$14")=""),"",IF(TRIM(INDIRECT("'"&amp;$A4&amp;"'!$U$14"))=TRIM(Tulokset!$R$12),2,0))</f>
        <v/>
      </c>
      <c r="DW4" t="str">
        <f ca="1">IF(OR(Tulokset!$R$13="",INDIRECT("'"&amp;$A4&amp;"'!$U$15")=""),"",IF(TRIM(INDIRECT("'"&amp;$A4&amp;"'!$U$15"))=TRIM(Tulokset!$R$13),2,0))</f>
        <v/>
      </c>
      <c r="DX4" t="str">
        <f ca="1">IF(OR(Tulokset!$R$14="",INDIRECT("'"&amp;$A4&amp;"'!$U$16")=""),"",IF(TRIM(INDIRECT("'"&amp;$A4&amp;"'!$U$16"))=TRIM(Tulokset!$R$14),2,0))</f>
        <v/>
      </c>
      <c r="DY4" t="str">
        <f ca="1">IF(OR(Tulokset!$R$15="",INDIRECT("'"&amp;$A4&amp;"'!$U$17")=""),"",IF(TRIM(INDIRECT("'"&amp;$A4&amp;"'!$U$17"))=TRIM(Tulokset!$R$15),2,0))</f>
        <v/>
      </c>
      <c r="EA4" t="str">
        <f ca="1">IF(OR(INDIRECT("'"&amp;$A4&amp;"'!$E$79")="",COUNTA(Tulokset!$M$20:$M$21)=0),"",IF(COUNTIF(Tulokset!$M$20:$M$21,INDIRECT("'"&amp;$A4&amp;"'!$E$79"))&gt;0,2,0))</f>
        <v/>
      </c>
      <c r="EB4" t="str">
        <f ca="1">IF(OR(INDIRECT("'"&amp;$A4&amp;"'!$G$79")="",COUNTA(Tulokset!$M$20:$M$21)=0),"",IF(COUNTIF(Tulokset!$M$20:$M$21,INDIRECT("'"&amp;$A4&amp;"'!$G$79"))&gt;0,2,0))</f>
        <v/>
      </c>
      <c r="EC4" t="str">
        <f ca="1">IF(OR(INDIRECT("'"&amp;$A4&amp;"'!$E$80")="",COUNTA(Tulokset!$M$23:$M$24)=0),"",IF(COUNTIF(Tulokset!$M$23:$M$24,INDIRECT("'"&amp;$A4&amp;"'!$E$80"))&gt;0,2,0))</f>
        <v/>
      </c>
      <c r="ED4" t="str">
        <f ca="1">IF(OR(INDIRECT("'"&amp;$A4&amp;"'!$G$80")="",COUNTA(Tulokset!$M$23:$M$24)=0),"",IF(COUNTIF(Tulokset!$M$23:$M$24,INDIRECT("'"&amp;$A4&amp;"'!$G$80"))&gt;0,2,0))</f>
        <v/>
      </c>
    </row>
    <row r="5" spans="1:134">
      <c r="A5" t="s">
        <v>214</v>
      </c>
      <c r="B5" t="str">
        <f t="shared" ca="1" si="0"/>
        <v>ArtsiKerho</v>
      </c>
      <c r="C5" s="95">
        <f t="shared" si="1"/>
        <v>0</v>
      </c>
      <c r="D5" s="95">
        <f t="shared" ca="1" si="2"/>
        <v>0</v>
      </c>
      <c r="E5" s="95">
        <f t="shared" ca="1" si="3"/>
        <v>0</v>
      </c>
      <c r="F5" s="95">
        <f t="shared" ca="1" si="4"/>
        <v>0</v>
      </c>
      <c r="G5" s="95">
        <f t="shared" si="5"/>
        <v>0</v>
      </c>
      <c r="H5" t="str">
        <f>IF(OR(Tulokset!$G$6="",Tulokset!$I$6="",'2'!$I$7="",'2'!$K$7=""),"",IF(SIGN('2'!$I$7-'2'!$K$7)&lt;&gt;SIGN(Tulokset!$G$6-Tulokset!$I$6),0,IF(Tulokset!$G$6=Tulokset!$I$6,IF(AND('2'!$I$7=Tulokset!$G$6,'2'!$K$7=Tulokset!$I$6),6,3),MAX(0,6-(ABS('2'!$I$7-Tulokset!$G$6)+ABS('2'!$K$7-Tulokset!$I$6))))))</f>
        <v/>
      </c>
      <c r="I5" t="str">
        <f>IF(OR(Tulokset!$G$7="",Tulokset!$I$7="",'2'!$I$8="",'2'!$K$8=""),"",IF(SIGN('2'!$I$8-'2'!$K$8)&lt;&gt;SIGN(Tulokset!$G$7-Tulokset!$I$7),0,IF(Tulokset!$G$7=Tulokset!$I$7,IF(AND('2'!$I$8=Tulokset!$G$7,'2'!$K$8=Tulokset!$I$7),6,3),MAX(0,6-(ABS('2'!$I$8-Tulokset!$G$7)+ABS('2'!$K$8-Tulokset!$I$7))))))</f>
        <v/>
      </c>
      <c r="J5" t="str">
        <f>IF(OR(Tulokset!$G$8="",Tulokset!$I$8="",'2'!$I$9="",'2'!$K$9=""),"",IF(SIGN('2'!$I$9-'2'!$K$9)&lt;&gt;SIGN(Tulokset!$G$8-Tulokset!$I$8),0,IF(Tulokset!$G$8=Tulokset!$I$8,IF(AND('2'!$I$9=Tulokset!$G$8,'2'!$K$9=Tulokset!$I$8),6,3),MAX(0,6-(ABS('2'!$I$9-Tulokset!$G$8)+ABS('2'!$K$9-Tulokset!$I$8))))))</f>
        <v/>
      </c>
      <c r="K5" t="str">
        <f>IF(OR(Tulokset!$G$9="",Tulokset!$I$9="",'2'!$I$10="",'2'!$K$10=""),"",IF(SIGN('2'!$I$10-'2'!$K$10)&lt;&gt;SIGN(Tulokset!$G$9-Tulokset!$I$9),0,IF(Tulokset!$G$9=Tulokset!$I$9,IF(AND('2'!$I$10=Tulokset!$G$9,'2'!$K$10=Tulokset!$I$9),6,3),MAX(0,6-(ABS('2'!$I$10-Tulokset!$G$9)+ABS('2'!$K$10-Tulokset!$I$9))))))</f>
        <v/>
      </c>
      <c r="L5" t="str">
        <f>IF(OR(Tulokset!$G$10="",Tulokset!$I$10="",'2'!$I$11="",'2'!$K$11=""),"",IF(SIGN('2'!$I$11-'2'!$K$11)&lt;&gt;SIGN(Tulokset!$G$10-Tulokset!$I$10),0,IF(Tulokset!$G$10=Tulokset!$I$10,IF(AND('2'!$I$11=Tulokset!$G$10,'2'!$K$11=Tulokset!$I$10),6,3),MAX(0,6-(ABS('2'!$I$11-Tulokset!$G$10)+ABS('2'!$K$11-Tulokset!$I$10))))))</f>
        <v/>
      </c>
      <c r="M5" t="str">
        <f>IF(OR(Tulokset!$G$11="",Tulokset!$I$11="",'2'!$I$12="",'2'!$K$12=""),"",IF(SIGN('2'!$I$12-'2'!$K$12)&lt;&gt;SIGN(Tulokset!$G$11-Tulokset!$I$11),0,IF(Tulokset!$G$11=Tulokset!$I$11,IF(AND('2'!$I$12=Tulokset!$G$11,'2'!$K$12=Tulokset!$I$11),6,3),MAX(0,6-(ABS('2'!$I$12-Tulokset!$G$11)+ABS('2'!$K$12-Tulokset!$I$11))))))</f>
        <v/>
      </c>
      <c r="N5" t="str">
        <f>IF(OR(Tulokset!$G$12="",Tulokset!$I$12="",'2'!$I$13="",'2'!$K$13=""),"",IF(SIGN('2'!$I$13-'2'!$K$13)&lt;&gt;SIGN(Tulokset!$G$12-Tulokset!$I$12),0,IF(Tulokset!$G$12=Tulokset!$I$12,IF(AND('2'!$I$13=Tulokset!$G$12,'2'!$K$13=Tulokset!$I$12),6,3),MAX(0,6-(ABS('2'!$I$13-Tulokset!$G$12)+ABS('2'!$K$13-Tulokset!$I$12))))))</f>
        <v/>
      </c>
      <c r="O5" t="str">
        <f>IF(OR(Tulokset!$G$13="",Tulokset!$I$13="",'2'!$I$14="",'2'!$K$14=""),"",IF(SIGN('2'!$I$14-'2'!$K$14)&lt;&gt;SIGN(Tulokset!$G$13-Tulokset!$I$13),0,IF(Tulokset!$G$13=Tulokset!$I$13,IF(AND('2'!$I$14=Tulokset!$G$13,'2'!$K$14=Tulokset!$I$13),6,3),MAX(0,6-(ABS('2'!$I$14-Tulokset!$G$13)+ABS('2'!$K$14-Tulokset!$I$13))))))</f>
        <v/>
      </c>
      <c r="P5" t="str">
        <f>IF(OR(Tulokset!$G$14="",Tulokset!$I$14="",'2'!$I$15="",'2'!$K$15=""),"",IF(SIGN('2'!$I$15-'2'!$K$15)&lt;&gt;SIGN(Tulokset!$G$14-Tulokset!$I$14),0,IF(Tulokset!$G$14=Tulokset!$I$14,IF(AND('2'!$I$15=Tulokset!$G$14,'2'!$K$15=Tulokset!$I$14),6,3),MAX(0,6-(ABS('2'!$I$15-Tulokset!$G$14)+ABS('2'!$K$15-Tulokset!$I$14))))))</f>
        <v/>
      </c>
      <c r="Q5" t="str">
        <f>IF(OR(Tulokset!$G$15="",Tulokset!$I$15="",'2'!$I$16="",'2'!$K$16=""),"",IF(SIGN('2'!$I$16-'2'!$K$16)&lt;&gt;SIGN(Tulokset!$G$15-Tulokset!$I$15),0,IF(Tulokset!$G$15=Tulokset!$I$15,IF(AND('2'!$I$16=Tulokset!$G$15,'2'!$K$16=Tulokset!$I$15),6,3),MAX(0,6-(ABS('2'!$I$16-Tulokset!$G$15)+ABS('2'!$K$16-Tulokset!$I$15))))))</f>
        <v/>
      </c>
      <c r="R5" t="str">
        <f>IF(OR(Tulokset!$G$16="",Tulokset!$I$16="",'2'!$I$17="",'2'!$K$17=""),"",IF(SIGN('2'!$I$17-'2'!$K$17)&lt;&gt;SIGN(Tulokset!$G$16-Tulokset!$I$16),0,IF(Tulokset!$G$16=Tulokset!$I$16,IF(AND('2'!$I$17=Tulokset!$G$16,'2'!$K$17=Tulokset!$I$16),6,3),MAX(0,6-(ABS('2'!$I$17-Tulokset!$G$16)+ABS('2'!$K$17-Tulokset!$I$16))))))</f>
        <v/>
      </c>
      <c r="S5" t="str">
        <f>IF(OR(Tulokset!$G$17="",Tulokset!$I$17="",'2'!$I$18="",'2'!$K$18=""),"",IF(SIGN('2'!$I$18-'2'!$K$18)&lt;&gt;SIGN(Tulokset!$G$17-Tulokset!$I$17),0,IF(Tulokset!$G$17=Tulokset!$I$17,IF(AND('2'!$I$18=Tulokset!$G$17,'2'!$K$18=Tulokset!$I$17),6,3),MAX(0,6-(ABS('2'!$I$18-Tulokset!$G$17)+ABS('2'!$K$18-Tulokset!$I$17))))))</f>
        <v/>
      </c>
      <c r="T5" t="str">
        <f>IF(OR(Tulokset!$G$18="",Tulokset!$I$18="",'2'!$I$19="",'2'!$K$19=""),"",IF(SIGN('2'!$I$19-'2'!$K$19)&lt;&gt;SIGN(Tulokset!$G$18-Tulokset!$I$18),0,IF(Tulokset!$G$18=Tulokset!$I$18,IF(AND('2'!$I$19=Tulokset!$G$18,'2'!$K$19=Tulokset!$I$18),6,3),MAX(0,6-(ABS('2'!$I$19-Tulokset!$G$18)+ABS('2'!$K$19-Tulokset!$I$18))))))</f>
        <v/>
      </c>
      <c r="U5" t="str">
        <f>IF(OR(Tulokset!$G$19="",Tulokset!$I$19="",'2'!$I$20="",'2'!$K$20=""),"",IF(SIGN('2'!$I$20-'2'!$K$20)&lt;&gt;SIGN(Tulokset!$G$19-Tulokset!$I$19),0,IF(Tulokset!$G$19=Tulokset!$I$19,IF(AND('2'!$I$20=Tulokset!$G$19,'2'!$K$20=Tulokset!$I$19),6,3),MAX(0,6-(ABS('2'!$I$20-Tulokset!$G$19)+ABS('2'!$K$20-Tulokset!$I$19))))))</f>
        <v/>
      </c>
      <c r="V5" t="str">
        <f>IF(OR(Tulokset!$G$20="",Tulokset!$I$20="",'2'!$I$21="",'2'!$K$21=""),"",IF(SIGN('2'!$I$21-'2'!$K$21)&lt;&gt;SIGN(Tulokset!$G$20-Tulokset!$I$20),0,IF(Tulokset!$G$20=Tulokset!$I$20,IF(AND('2'!$I$21=Tulokset!$G$20,'2'!$K$21=Tulokset!$I$20),6,3),MAX(0,6-(ABS('2'!$I$21-Tulokset!$G$20)+ABS('2'!$K$21-Tulokset!$I$20))))))</f>
        <v/>
      </c>
      <c r="W5" t="str">
        <f>IF(OR(Tulokset!$G$21="",Tulokset!$I$21="",'2'!$I$22="",'2'!$K$22=""),"",IF(SIGN('2'!$I$22-'2'!$K$22)&lt;&gt;SIGN(Tulokset!$G$21-Tulokset!$I$21),0,IF(Tulokset!$G$21=Tulokset!$I$21,IF(AND('2'!$I$22=Tulokset!$G$21,'2'!$K$22=Tulokset!$I$21),6,3),MAX(0,6-(ABS('2'!$I$22-Tulokset!$G$21)+ABS('2'!$K$22-Tulokset!$I$21))))))</f>
        <v/>
      </c>
      <c r="X5" t="str">
        <f>IF(OR(Tulokset!$G$22="",Tulokset!$I$22="",'2'!$I$23="",'2'!$K$23=""),"",IF(SIGN('2'!$I$23-'2'!$K$23)&lt;&gt;SIGN(Tulokset!$G$22-Tulokset!$I$22),0,IF(Tulokset!$G$22=Tulokset!$I$22,IF(AND('2'!$I$23=Tulokset!$G$22,'2'!$K$23=Tulokset!$I$22),6,3),MAX(0,6-(ABS('2'!$I$23-Tulokset!$G$22)+ABS('2'!$K$23-Tulokset!$I$22))))))</f>
        <v/>
      </c>
      <c r="Y5" t="str">
        <f>IF(OR(Tulokset!$G$23="",Tulokset!$I$23="",'2'!$I$24="",'2'!$K$24=""),"",IF(SIGN('2'!$I$24-'2'!$K$24)&lt;&gt;SIGN(Tulokset!$G$23-Tulokset!$I$23),0,IF(Tulokset!$G$23=Tulokset!$I$23,IF(AND('2'!$I$24=Tulokset!$G$23,'2'!$K$24=Tulokset!$I$23),6,3),MAX(0,6-(ABS('2'!$I$24-Tulokset!$G$23)+ABS('2'!$K$24-Tulokset!$I$23))))))</f>
        <v/>
      </c>
      <c r="Z5" t="str">
        <f>IF(OR(Tulokset!$G$24="",Tulokset!$I$24="",'2'!$I$25="",'2'!$K$25=""),"",IF(SIGN('2'!$I$25-'2'!$K$25)&lt;&gt;SIGN(Tulokset!$G$24-Tulokset!$I$24),0,IF(Tulokset!$G$24=Tulokset!$I$24,IF(AND('2'!$I$25=Tulokset!$G$24,'2'!$K$25=Tulokset!$I$24),6,3),MAX(0,6-(ABS('2'!$I$25-Tulokset!$G$24)+ABS('2'!$K$25-Tulokset!$I$24))))))</f>
        <v/>
      </c>
      <c r="AA5" t="str">
        <f>IF(OR(Tulokset!$G$25="",Tulokset!$I$25="",'2'!$I$26="",'2'!$K$26=""),"",IF(SIGN('2'!$I$26-'2'!$K$26)&lt;&gt;SIGN(Tulokset!$G$25-Tulokset!$I$25),0,IF(Tulokset!$G$25=Tulokset!$I$25,IF(AND('2'!$I$26=Tulokset!$G$25,'2'!$K$26=Tulokset!$I$25),6,3),MAX(0,6-(ABS('2'!$I$26-Tulokset!$G$25)+ABS('2'!$K$26-Tulokset!$I$25))))))</f>
        <v/>
      </c>
      <c r="AB5" t="str">
        <f>IF(OR(Tulokset!$G$26="",Tulokset!$I$26="",'2'!$I$27="",'2'!$K$27=""),"",IF(SIGN('2'!$I$27-'2'!$K$27)&lt;&gt;SIGN(Tulokset!$G$26-Tulokset!$I$26),0,IF(Tulokset!$G$26=Tulokset!$I$26,IF(AND('2'!$I$27=Tulokset!$G$26,'2'!$K$27=Tulokset!$I$26),6,3),MAX(0,6-(ABS('2'!$I$27-Tulokset!$G$26)+ABS('2'!$K$27-Tulokset!$I$26))))))</f>
        <v/>
      </c>
      <c r="AC5" t="str">
        <f>IF(OR(Tulokset!$G$27="",Tulokset!$I$27="",'2'!$I$28="",'2'!$K$28=""),"",IF(SIGN('2'!$I$28-'2'!$K$28)&lt;&gt;SIGN(Tulokset!$G$27-Tulokset!$I$27),0,IF(Tulokset!$G$27=Tulokset!$I$27,IF(AND('2'!$I$28=Tulokset!$G$27,'2'!$K$28=Tulokset!$I$27),6,3),MAX(0,6-(ABS('2'!$I$28-Tulokset!$G$27)+ABS('2'!$K$28-Tulokset!$I$27))))))</f>
        <v/>
      </c>
      <c r="AD5" t="str">
        <f>IF(OR(Tulokset!$G$28="",Tulokset!$I$28="",'2'!$I$29="",'2'!$K$29=""),"",IF(SIGN('2'!$I$29-'2'!$K$29)&lt;&gt;SIGN(Tulokset!$G$28-Tulokset!$I$28),0,IF(Tulokset!$G$28=Tulokset!$I$28,IF(AND('2'!$I$29=Tulokset!$G$28,'2'!$K$29=Tulokset!$I$28),6,3),MAX(0,6-(ABS('2'!$I$29-Tulokset!$G$28)+ABS('2'!$K$29-Tulokset!$I$28))))))</f>
        <v/>
      </c>
      <c r="AE5" t="str">
        <f>IF(OR(Tulokset!$G$29="",Tulokset!$I$29="",'2'!$I$30="",'2'!$K$30=""),"",IF(SIGN('2'!$I$30-'2'!$K$30)&lt;&gt;SIGN(Tulokset!$G$29-Tulokset!$I$29),0,IF(Tulokset!$G$29=Tulokset!$I$29,IF(AND('2'!$I$30=Tulokset!$G$29,'2'!$K$30=Tulokset!$I$29),6,3),MAX(0,6-(ABS('2'!$I$30-Tulokset!$G$29)+ABS('2'!$K$30-Tulokset!$I$29))))))</f>
        <v/>
      </c>
      <c r="AF5" t="str">
        <f>IF(OR(Tulokset!$G$30="",Tulokset!$I$30="",'2'!$I$31="",'2'!$K$31=""),"",IF(SIGN('2'!$I$31-'2'!$K$31)&lt;&gt;SIGN(Tulokset!$G$30-Tulokset!$I$30),0,IF(Tulokset!$G$30=Tulokset!$I$30,IF(AND('2'!$I$31=Tulokset!$G$30,'2'!$K$31=Tulokset!$I$30),6,3),MAX(0,6-(ABS('2'!$I$31-Tulokset!$G$30)+ABS('2'!$K$31-Tulokset!$I$30))))))</f>
        <v/>
      </c>
      <c r="AG5" t="str">
        <f>IF(OR(Tulokset!$G$31="",Tulokset!$I$31="",'2'!$I$32="",'2'!$K$32=""),"",IF(SIGN('2'!$I$32-'2'!$K$32)&lt;&gt;SIGN(Tulokset!$G$31-Tulokset!$I$31),0,IF(Tulokset!$G$31=Tulokset!$I$31,IF(AND('2'!$I$32=Tulokset!$G$31,'2'!$K$32=Tulokset!$I$31),6,3),MAX(0,6-(ABS('2'!$I$32-Tulokset!$G$31)+ABS('2'!$K$32-Tulokset!$I$31))))))</f>
        <v/>
      </c>
      <c r="AH5" t="str">
        <f>IF(OR(Tulokset!$G$32="",Tulokset!$I$32="",'2'!$I$33="",'2'!$K$33=""),"",IF(SIGN('2'!$I$33-'2'!$K$33)&lt;&gt;SIGN(Tulokset!$G$32-Tulokset!$I$32),0,IF(Tulokset!$G$32=Tulokset!$I$32,IF(AND('2'!$I$33=Tulokset!$G$32,'2'!$K$33=Tulokset!$I$32),6,3),MAX(0,6-(ABS('2'!$I$33-Tulokset!$G$32)+ABS('2'!$K$33-Tulokset!$I$32))))))</f>
        <v/>
      </c>
      <c r="AI5" t="str">
        <f>IF(OR(Tulokset!$G$33="",Tulokset!$I$33="",'2'!$I$34="",'2'!$K$34=""),"",IF(SIGN('2'!$I$34-'2'!$K$34)&lt;&gt;SIGN(Tulokset!$G$33-Tulokset!$I$33),0,IF(Tulokset!$G$33=Tulokset!$I$33,IF(AND('2'!$I$34=Tulokset!$G$33,'2'!$K$34=Tulokset!$I$33),6,3),MAX(0,6-(ABS('2'!$I$34-Tulokset!$G$33)+ABS('2'!$K$34-Tulokset!$I$33))))))</f>
        <v/>
      </c>
      <c r="AJ5" t="str">
        <f>IF(OR(Tulokset!$G$34="",Tulokset!$I$34="",'2'!$I$35="",'2'!$K$35=""),"",IF(SIGN('2'!$I$35-'2'!$K$35)&lt;&gt;SIGN(Tulokset!$G$34-Tulokset!$I$34),0,IF(Tulokset!$G$34=Tulokset!$I$34,IF(AND('2'!$I$35=Tulokset!$G$34,'2'!$K$35=Tulokset!$I$34),6,3),MAX(0,6-(ABS('2'!$I$35-Tulokset!$G$34)+ABS('2'!$K$35-Tulokset!$I$34))))))</f>
        <v/>
      </c>
      <c r="AK5" t="str">
        <f>IF(OR(Tulokset!$G$35="",Tulokset!$I$35="",'2'!$I$36="",'2'!$K$36=""),"",IF(SIGN('2'!$I$36-'2'!$K$36)&lt;&gt;SIGN(Tulokset!$G$35-Tulokset!$I$35),0,IF(Tulokset!$G$35=Tulokset!$I$35,IF(AND('2'!$I$36=Tulokset!$G$35,'2'!$K$36=Tulokset!$I$35),6,3),MAX(0,6-(ABS('2'!$I$36-Tulokset!$G$35)+ABS('2'!$K$36-Tulokset!$I$35))))))</f>
        <v/>
      </c>
      <c r="AL5" t="str">
        <f>IF(OR(Tulokset!$G$36="",Tulokset!$I$36="",'2'!$I$37="",'2'!$K$37=""),"",IF(SIGN('2'!$I$37-'2'!$K$37)&lt;&gt;SIGN(Tulokset!$G$36-Tulokset!$I$36),0,IF(Tulokset!$G$36=Tulokset!$I$36,IF(AND('2'!$I$37=Tulokset!$G$36,'2'!$K$37=Tulokset!$I$36),6,3),MAX(0,6-(ABS('2'!$I$37-Tulokset!$G$36)+ABS('2'!$K$37-Tulokset!$I$36))))))</f>
        <v/>
      </c>
      <c r="AM5" t="str">
        <f>IF(OR(Tulokset!$G$37="",Tulokset!$I$37="",'2'!$I$38="",'2'!$K$38=""),"",IF(SIGN('2'!$I$38-'2'!$K$38)&lt;&gt;SIGN(Tulokset!$G$37-Tulokset!$I$37),0,IF(Tulokset!$G$37=Tulokset!$I$37,IF(AND('2'!$I$38=Tulokset!$G$37,'2'!$K$38=Tulokset!$I$37),6,3),MAX(0,6-(ABS('2'!$I$38-Tulokset!$G$37)+ABS('2'!$K$38-Tulokset!$I$37))))))</f>
        <v/>
      </c>
      <c r="AN5" t="str">
        <f>IF(OR(Tulokset!$G$38="",Tulokset!$I$38="",'2'!$I$39="",'2'!$K$39=""),"",IF(SIGN('2'!$I$39-'2'!$K$39)&lt;&gt;SIGN(Tulokset!$G$38-Tulokset!$I$38),0,IF(Tulokset!$G$38=Tulokset!$I$38,IF(AND('2'!$I$39=Tulokset!$G$38,'2'!$K$39=Tulokset!$I$38),6,3),MAX(0,6-(ABS('2'!$I$39-Tulokset!$G$38)+ABS('2'!$K$39-Tulokset!$I$38))))))</f>
        <v/>
      </c>
      <c r="AO5" t="str">
        <f>IF(OR(Tulokset!$G$39="",Tulokset!$I$39="",'2'!$I$40="",'2'!$K$40=""),"",IF(SIGN('2'!$I$40-'2'!$K$40)&lt;&gt;SIGN(Tulokset!$G$39-Tulokset!$I$39),0,IF(Tulokset!$G$39=Tulokset!$I$39,IF(AND('2'!$I$40=Tulokset!$G$39,'2'!$K$40=Tulokset!$I$39),6,3),MAX(0,6-(ABS('2'!$I$40-Tulokset!$G$39)+ABS('2'!$K$40-Tulokset!$I$39))))))</f>
        <v/>
      </c>
      <c r="AP5" t="str">
        <f>IF(OR(Tulokset!$G$40="",Tulokset!$I$40="",'2'!$I$41="",'2'!$K$41=""),"",IF(SIGN('2'!$I$41-'2'!$K$41)&lt;&gt;SIGN(Tulokset!$G$40-Tulokset!$I$40),0,IF(Tulokset!$G$40=Tulokset!$I$40,IF(AND('2'!$I$41=Tulokset!$G$40,'2'!$K$41=Tulokset!$I$40),6,3),MAX(0,6-(ABS('2'!$I$41-Tulokset!$G$40)+ABS('2'!$K$41-Tulokset!$I$40))))))</f>
        <v/>
      </c>
      <c r="AQ5" t="str">
        <f>IF(OR(Tulokset!$G$41="",Tulokset!$I$41="",'2'!$I$42="",'2'!$K$42=""),"",IF(SIGN('2'!$I$42-'2'!$K$42)&lt;&gt;SIGN(Tulokset!$G$41-Tulokset!$I$41),0,IF(Tulokset!$G$41=Tulokset!$I$41,IF(AND('2'!$I$42=Tulokset!$G$41,'2'!$K$42=Tulokset!$I$41),6,3),MAX(0,6-(ABS('2'!$I$42-Tulokset!$G$41)+ABS('2'!$K$42-Tulokset!$I$41))))))</f>
        <v/>
      </c>
      <c r="AR5" t="str">
        <f>IF(OR(Tulokset!$G$42="",Tulokset!$I$42="",'2'!$I$43="",'2'!$K$43=""),"",IF(SIGN('2'!$I$43-'2'!$K$43)&lt;&gt;SIGN(Tulokset!$G$42-Tulokset!$I$42),0,IF(Tulokset!$G$42=Tulokset!$I$42,IF(AND('2'!$I$43=Tulokset!$G$42,'2'!$K$43=Tulokset!$I$42),6,3),MAX(0,6-(ABS('2'!$I$43-Tulokset!$G$42)+ABS('2'!$K$43-Tulokset!$I$42))))))</f>
        <v/>
      </c>
      <c r="AS5" t="str">
        <f>IF(OR(Tulokset!$G$43="",Tulokset!$I$43="",'2'!$I$44="",'2'!$K$44=""),"",IF(SIGN('2'!$I$44-'2'!$K$44)&lt;&gt;SIGN(Tulokset!$G$43-Tulokset!$I$43),0,IF(Tulokset!$G$43=Tulokset!$I$43,IF(AND('2'!$I$44=Tulokset!$G$43,'2'!$K$44=Tulokset!$I$43),6,3),MAX(0,6-(ABS('2'!$I$44-Tulokset!$G$43)+ABS('2'!$K$44-Tulokset!$I$43))))))</f>
        <v/>
      </c>
      <c r="AT5" t="str">
        <f>IF(OR(Tulokset!$G$44="",Tulokset!$I$44="",'2'!$I$45="",'2'!$K$45=""),"",IF(SIGN('2'!$I$45-'2'!$K$45)&lt;&gt;SIGN(Tulokset!$G$44-Tulokset!$I$44),0,IF(Tulokset!$G$44=Tulokset!$I$44,IF(AND('2'!$I$45=Tulokset!$G$44,'2'!$K$45=Tulokset!$I$44),6,3),MAX(0,6-(ABS('2'!$I$45-Tulokset!$G$44)+ABS('2'!$K$45-Tulokset!$I$44))))))</f>
        <v/>
      </c>
      <c r="AU5" t="str">
        <f>IF(OR(Tulokset!$G$45="",Tulokset!$I$45="",'2'!$I$46="",'2'!$K$46=""),"",IF(SIGN('2'!$I$46-'2'!$K$46)&lt;&gt;SIGN(Tulokset!$G$45-Tulokset!$I$45),0,IF(Tulokset!$G$45=Tulokset!$I$45,IF(AND('2'!$I$46=Tulokset!$G$45,'2'!$K$46=Tulokset!$I$45),6,3),MAX(0,6-(ABS('2'!$I$46-Tulokset!$G$45)+ABS('2'!$K$46-Tulokset!$I$45))))))</f>
        <v/>
      </c>
      <c r="AV5" t="str">
        <f>IF(OR(Tulokset!$G$46="",Tulokset!$I$46="",'2'!$I$47="",'2'!$K$47=""),"",IF(SIGN('2'!$I$47-'2'!$K$47)&lt;&gt;SIGN(Tulokset!$G$46-Tulokset!$I$46),0,IF(Tulokset!$G$46=Tulokset!$I$46,IF(AND('2'!$I$47=Tulokset!$G$46,'2'!$K$47=Tulokset!$I$46),6,3),MAX(0,6-(ABS('2'!$I$47-Tulokset!$G$46)+ABS('2'!$K$47-Tulokset!$I$46))))))</f>
        <v/>
      </c>
      <c r="AW5" t="str">
        <f>IF(OR(Tulokset!$G$47="",Tulokset!$I$47="",'2'!$I$48="",'2'!$K$48=""),"",IF(SIGN('2'!$I$48-'2'!$K$48)&lt;&gt;SIGN(Tulokset!$G$47-Tulokset!$I$47),0,IF(Tulokset!$G$47=Tulokset!$I$47,IF(AND('2'!$I$48=Tulokset!$G$47,'2'!$K$48=Tulokset!$I$47),6,3),MAX(0,6-(ABS('2'!$I$48-Tulokset!$G$47)+ABS('2'!$K$48-Tulokset!$I$47))))))</f>
        <v/>
      </c>
      <c r="AX5" t="str">
        <f>IF(OR(Tulokset!$G$48="",Tulokset!$I$48="",'2'!$I$49="",'2'!$K$49=""),"",IF(SIGN('2'!$I$49-'2'!$K$49)&lt;&gt;SIGN(Tulokset!$G$48-Tulokset!$I$48),0,IF(Tulokset!$G$48=Tulokset!$I$48,IF(AND('2'!$I$49=Tulokset!$G$48,'2'!$K$49=Tulokset!$I$48),6,3),MAX(0,6-(ABS('2'!$I$49-Tulokset!$G$48)+ABS('2'!$K$49-Tulokset!$I$48))))))</f>
        <v/>
      </c>
      <c r="AY5" t="str">
        <f>IF(OR(Tulokset!$G$49="",Tulokset!$I$49="",'2'!$I$50="",'2'!$K$50=""),"",IF(SIGN('2'!$I$50-'2'!$K$50)&lt;&gt;SIGN(Tulokset!$G$49-Tulokset!$I$49),0,IF(Tulokset!$G$49=Tulokset!$I$49,IF(AND('2'!$I$50=Tulokset!$G$49,'2'!$K$50=Tulokset!$I$49),6,3),MAX(0,6-(ABS('2'!$I$50-Tulokset!$G$49)+ABS('2'!$K$50-Tulokset!$I$49))))))</f>
        <v/>
      </c>
      <c r="AZ5" t="str">
        <f>IF(OR(Tulokset!$G$50="",Tulokset!$I$50="",'2'!$I$51="",'2'!$K$51=""),"",IF(SIGN('2'!$I$51-'2'!$K$51)&lt;&gt;SIGN(Tulokset!$G$50-Tulokset!$I$50),0,IF(Tulokset!$G$50=Tulokset!$I$50,IF(AND('2'!$I$51=Tulokset!$G$50,'2'!$K$51=Tulokset!$I$50),6,3),MAX(0,6-(ABS('2'!$I$51-Tulokset!$G$50)+ABS('2'!$K$51-Tulokset!$I$50))))))</f>
        <v/>
      </c>
      <c r="BA5" t="str">
        <f>IF(OR(Tulokset!$G$51="",Tulokset!$I$51="",'2'!$I$52="",'2'!$K$52=""),"",IF(SIGN('2'!$I$52-'2'!$K$52)&lt;&gt;SIGN(Tulokset!$G$51-Tulokset!$I$51),0,IF(Tulokset!$G$51=Tulokset!$I$51,IF(AND('2'!$I$52=Tulokset!$G$51,'2'!$K$52=Tulokset!$I$51),6,3),MAX(0,6-(ABS('2'!$I$52-Tulokset!$G$51)+ABS('2'!$K$52-Tulokset!$I$51))))))</f>
        <v/>
      </c>
      <c r="BB5" t="str">
        <f>IF(OR(Tulokset!$G$52="",Tulokset!$I$52="",'2'!$I$53="",'2'!$K$53=""),"",IF(SIGN('2'!$I$53-'2'!$K$53)&lt;&gt;SIGN(Tulokset!$G$52-Tulokset!$I$52),0,IF(Tulokset!$G$52=Tulokset!$I$52,IF(AND('2'!$I$53=Tulokset!$G$52,'2'!$K$53=Tulokset!$I$52),6,3),MAX(0,6-(ABS('2'!$I$53-Tulokset!$G$52)+ABS('2'!$K$53-Tulokset!$I$52))))))</f>
        <v/>
      </c>
      <c r="BC5" t="str">
        <f>IF(OR(Tulokset!$G$53="",Tulokset!$I$53="",'2'!$I$54="",'2'!$K$54=""),"",IF(SIGN('2'!$I$54-'2'!$K$54)&lt;&gt;SIGN(Tulokset!$G$53-Tulokset!$I$53),0,IF(Tulokset!$G$53=Tulokset!$I$53,IF(AND('2'!$I$54=Tulokset!$G$53,'2'!$K$54=Tulokset!$I$53),6,3),MAX(0,6-(ABS('2'!$I$54-Tulokset!$G$53)+ABS('2'!$K$54-Tulokset!$I$53))))))</f>
        <v/>
      </c>
      <c r="BD5" t="str">
        <f>IF(OR(Tulokset!$G$54="",Tulokset!$I$54="",'2'!$I$55="",'2'!$K$55=""),"",IF(SIGN('2'!$I$55-'2'!$K$55)&lt;&gt;SIGN(Tulokset!$G$54-Tulokset!$I$54),0,IF(Tulokset!$G$54=Tulokset!$I$54,IF(AND('2'!$I$55=Tulokset!$G$54,'2'!$K$55=Tulokset!$I$54),6,3),MAX(0,6-(ABS('2'!$I$55-Tulokset!$G$54)+ABS('2'!$K$55-Tulokset!$I$54))))))</f>
        <v/>
      </c>
      <c r="BE5" t="str">
        <f>IF(OR(Tulokset!$G$55="",Tulokset!$I$55="",'2'!$I$56="",'2'!$K$56=""),"",IF(SIGN('2'!$I$56-'2'!$K$56)&lt;&gt;SIGN(Tulokset!$G$55-Tulokset!$I$55),0,IF(Tulokset!$G$55=Tulokset!$I$55,IF(AND('2'!$I$56=Tulokset!$G$55,'2'!$K$56=Tulokset!$I$55),6,3),MAX(0,6-(ABS('2'!$I$56-Tulokset!$G$55)+ABS('2'!$K$56-Tulokset!$I$55))))))</f>
        <v/>
      </c>
      <c r="BF5" t="str">
        <f>IF(OR(Tulokset!$G$56="",Tulokset!$I$56="",'2'!$I$57="",'2'!$K$57=""),"",IF(SIGN('2'!$I$57-'2'!$K$57)&lt;&gt;SIGN(Tulokset!$G$56-Tulokset!$I$56),0,IF(Tulokset!$G$56=Tulokset!$I$56,IF(AND('2'!$I$57=Tulokset!$G$56,'2'!$K$57=Tulokset!$I$56),6,3),MAX(0,6-(ABS('2'!$I$57-Tulokset!$G$56)+ABS('2'!$K$57-Tulokset!$I$56))))))</f>
        <v/>
      </c>
      <c r="BG5" t="str">
        <f>IF(OR(Tulokset!$G$57="",Tulokset!$I$57="",'2'!$I$58="",'2'!$K$58=""),"",IF(SIGN('2'!$I$58-'2'!$K$58)&lt;&gt;SIGN(Tulokset!$G$57-Tulokset!$I$57),0,IF(Tulokset!$G$57=Tulokset!$I$57,IF(AND('2'!$I$58=Tulokset!$G$57,'2'!$K$58=Tulokset!$I$57),6,3),MAX(0,6-(ABS('2'!$I$58-Tulokset!$G$57)+ABS('2'!$K$58-Tulokset!$I$57))))))</f>
        <v/>
      </c>
      <c r="BH5" t="str">
        <f>IF(OR(Tulokset!$G$58="",Tulokset!$I$58="",'2'!$I$59="",'2'!$K$59=""),"",IF(SIGN('2'!$I$59-'2'!$K$59)&lt;&gt;SIGN(Tulokset!$G$58-Tulokset!$I$58),0,IF(Tulokset!$G$58=Tulokset!$I$58,IF(AND('2'!$I$59=Tulokset!$G$58,'2'!$K$59=Tulokset!$I$58),6,3),MAX(0,6-(ABS('2'!$I$59-Tulokset!$G$58)+ABS('2'!$K$59-Tulokset!$I$58))))))</f>
        <v/>
      </c>
      <c r="BI5" t="str">
        <f>IF(OR(Tulokset!$G$59="",Tulokset!$I$59="",'2'!$I$60="",'2'!$K$60=""),"",IF(SIGN('2'!$I$60-'2'!$K$60)&lt;&gt;SIGN(Tulokset!$G$59-Tulokset!$I$59),0,IF(Tulokset!$G$59=Tulokset!$I$59,IF(AND('2'!$I$60=Tulokset!$G$59,'2'!$K$60=Tulokset!$I$59),6,3),MAX(0,6-(ABS('2'!$I$60-Tulokset!$G$59)+ABS('2'!$K$60-Tulokset!$I$59))))))</f>
        <v/>
      </c>
      <c r="BJ5" t="str">
        <f>IF(OR(Tulokset!$G$60="",Tulokset!$I$60="",'2'!$I$61="",'2'!$K$61=""),"",IF(SIGN('2'!$I$61-'2'!$K$61)&lt;&gt;SIGN(Tulokset!$G$60-Tulokset!$I$60),0,IF(Tulokset!$G$60=Tulokset!$I$60,IF(AND('2'!$I$61=Tulokset!$G$60,'2'!$K$61=Tulokset!$I$60),6,3),MAX(0,6-(ABS('2'!$I$61-Tulokset!$G$60)+ABS('2'!$K$61-Tulokset!$I$60))))))</f>
        <v/>
      </c>
      <c r="BK5" t="str">
        <f>IF(OR(Tulokset!$G$61="",Tulokset!$I$61="",'2'!$I$62="",'2'!$K$62=""),"",IF(SIGN('2'!$I$62-'2'!$K$62)&lt;&gt;SIGN(Tulokset!$G$61-Tulokset!$I$61),0,IF(Tulokset!$G$61=Tulokset!$I$61,IF(AND('2'!$I$62=Tulokset!$G$61,'2'!$K$62=Tulokset!$I$61),6,3),MAX(0,6-(ABS('2'!$I$62-Tulokset!$G$61)+ABS('2'!$K$62-Tulokset!$I$61))))))</f>
        <v/>
      </c>
      <c r="BL5" t="str">
        <f>IF(OR(Tulokset!$G$62="",Tulokset!$I$62="",'2'!$I$63="",'2'!$K$63=""),"",IF(SIGN('2'!$I$63-'2'!$K$63)&lt;&gt;SIGN(Tulokset!$G$62-Tulokset!$I$62),0,IF(Tulokset!$G$62=Tulokset!$I$62,IF(AND('2'!$I$63=Tulokset!$G$62,'2'!$K$63=Tulokset!$I$62),6,3),MAX(0,6-(ABS('2'!$I$63-Tulokset!$G$62)+ABS('2'!$K$63-Tulokset!$I$62))))))</f>
        <v/>
      </c>
      <c r="BM5" t="str">
        <f>IF(OR(Tulokset!$G$63="",Tulokset!$I$63="",'2'!$I$64="",'2'!$K$64=""),"",IF(SIGN('2'!$I$64-'2'!$K$64)&lt;&gt;SIGN(Tulokset!$G$63-Tulokset!$I$63),0,IF(Tulokset!$G$63=Tulokset!$I$63,IF(AND('2'!$I$64=Tulokset!$G$63,'2'!$K$64=Tulokset!$I$63),6,3),MAX(0,6-(ABS('2'!$I$64-Tulokset!$G$63)+ABS('2'!$K$64-Tulokset!$I$63))))))</f>
        <v/>
      </c>
      <c r="BN5" t="str">
        <f>IF(OR(Tulokset!$G$64="",Tulokset!$I$64="",'2'!$I$65="",'2'!$K$65=""),"",IF(SIGN('2'!$I$65-'2'!$K$65)&lt;&gt;SIGN(Tulokset!$G$64-Tulokset!$I$64),0,IF(Tulokset!$G$64=Tulokset!$I$64,IF(AND('2'!$I$65=Tulokset!$G$64,'2'!$K$65=Tulokset!$I$64),6,3),MAX(0,6-(ABS('2'!$I$65-Tulokset!$G$64)+ABS('2'!$K$65-Tulokset!$I$64))))))</f>
        <v/>
      </c>
      <c r="BO5" t="str">
        <f>IF(OR(Tulokset!$G$65="",Tulokset!$I$65="",'2'!$I$66="",'2'!$K$66=""),"",IF(SIGN('2'!$I$66-'2'!$K$66)&lt;&gt;SIGN(Tulokset!$G$65-Tulokset!$I$65),0,IF(Tulokset!$G$65=Tulokset!$I$65,IF(AND('2'!$I$66=Tulokset!$G$65,'2'!$K$66=Tulokset!$I$65),6,3),MAX(0,6-(ABS('2'!$I$66-Tulokset!$G$65)+ABS('2'!$K$66-Tulokset!$I$65))))))</f>
        <v/>
      </c>
      <c r="BP5" t="str">
        <f>IF(OR(Tulokset!$G$66="",Tulokset!$I$66="",'2'!$I$67="",'2'!$K$67=""),"",IF(SIGN('2'!$I$67-'2'!$K$67)&lt;&gt;SIGN(Tulokset!$G$66-Tulokset!$I$66),0,IF(Tulokset!$G$66=Tulokset!$I$66,IF(AND('2'!$I$67=Tulokset!$G$66,'2'!$K$67=Tulokset!$I$66),6,3),MAX(0,6-(ABS('2'!$I$67-Tulokset!$G$66)+ABS('2'!$K$67-Tulokset!$I$66))))))</f>
        <v/>
      </c>
      <c r="BQ5" t="str">
        <f>IF(OR(Tulokset!$G$67="",Tulokset!$I$67="",'2'!$I$68="",'2'!$K$68=""),"",IF(SIGN('2'!$I$68-'2'!$K$68)&lt;&gt;SIGN(Tulokset!$G$67-Tulokset!$I$67),0,IF(Tulokset!$G$67=Tulokset!$I$67,IF(AND('2'!$I$68=Tulokset!$G$67,'2'!$K$68=Tulokset!$I$67),6,3),MAX(0,6-(ABS('2'!$I$68-Tulokset!$G$67)+ABS('2'!$K$68-Tulokset!$I$67))))))</f>
        <v/>
      </c>
      <c r="BR5" t="str">
        <f>IF(OR(Tulokset!$G$68="",Tulokset!$I$68="",'2'!$I$69="",'2'!$K$69=""),"",IF(SIGN('2'!$I$69-'2'!$K$69)&lt;&gt;SIGN(Tulokset!$G$68-Tulokset!$I$68),0,IF(Tulokset!$G$68=Tulokset!$I$68,IF(AND('2'!$I$69=Tulokset!$G$68,'2'!$K$69=Tulokset!$I$68),6,3),MAX(0,6-(ABS('2'!$I$69-Tulokset!$G$68)+ABS('2'!$K$69-Tulokset!$I$68))))))</f>
        <v/>
      </c>
      <c r="BS5" t="str">
        <f>IF(OR(Tulokset!$G$69="",Tulokset!$I$69="",'2'!$I$70="",'2'!$K$70=""),"",IF(SIGN('2'!$I$70-'2'!$K$70)&lt;&gt;SIGN(Tulokset!$G$69-Tulokset!$I$69),0,IF(Tulokset!$G$69=Tulokset!$I$69,IF(AND('2'!$I$70=Tulokset!$G$69,'2'!$K$70=Tulokset!$I$69),6,3),MAX(0,6-(ABS('2'!$I$70-Tulokset!$G$69)+ABS('2'!$K$70-Tulokset!$I$69))))))</f>
        <v/>
      </c>
      <c r="BT5" t="str">
        <f>IF(OR(Tulokset!$G$70="",Tulokset!$I$70="",'2'!$I$71="",'2'!$K$71=""),"",IF(SIGN('2'!$I$71-'2'!$K$71)&lt;&gt;SIGN(Tulokset!$G$70-Tulokset!$I$70),0,IF(Tulokset!$G$70=Tulokset!$I$70,IF(AND('2'!$I$71=Tulokset!$G$70,'2'!$K$71=Tulokset!$I$70),6,3),MAX(0,6-(ABS('2'!$I$71-Tulokset!$G$70)+ABS('2'!$K$71-Tulokset!$I$70))))))</f>
        <v/>
      </c>
      <c r="BU5" t="str">
        <f>IF(OR(Tulokset!$G$71="",Tulokset!$I$71="",'2'!$I$72="",'2'!$K$72=""),"",IF(SIGN('2'!$I$72-'2'!$K$72)&lt;&gt;SIGN(Tulokset!$G$71-Tulokset!$I$71),0,IF(Tulokset!$G$71=Tulokset!$I$71,IF(AND('2'!$I$72=Tulokset!$G$71,'2'!$K$72=Tulokset!$I$71),6,3),MAX(0,6-(ABS('2'!$I$72-Tulokset!$G$71)+ABS('2'!$K$72-Tulokset!$I$71))))))</f>
        <v/>
      </c>
      <c r="BV5" t="str">
        <f>IF(OR(Tulokset!$G$72="",Tulokset!$I$72="",'2'!$I$73="",'2'!$K$73=""),"",IF(SIGN('2'!$I$73-'2'!$K$73)&lt;&gt;SIGN(Tulokset!$G$72-Tulokset!$I$72),0,IF(Tulokset!$G$72=Tulokset!$I$72,IF(AND('2'!$I$73=Tulokset!$G$72,'2'!$K$73=Tulokset!$I$72),6,3),MAX(0,6-(ABS('2'!$I$73-Tulokset!$G$72)+ABS('2'!$K$73-Tulokset!$I$72))))))</f>
        <v/>
      </c>
      <c r="BW5" t="str">
        <f>IF(OR(Tulokset!$G$73="",Tulokset!$I$73="",'2'!$I$74="",'2'!$K$74=""),"",IF(SIGN('2'!$I$74-'2'!$K$74)&lt;&gt;SIGN(Tulokset!$G$73-Tulokset!$I$73),0,IF(Tulokset!$G$73=Tulokset!$I$73,IF(AND('2'!$I$74=Tulokset!$G$73,'2'!$K$74=Tulokset!$I$73),6,3),MAX(0,6-(ABS('2'!$I$74-Tulokset!$G$73)+ABS('2'!$K$74-Tulokset!$I$73))))))</f>
        <v/>
      </c>
      <c r="BX5" t="str">
        <f>IF(OR(Tulokset!$G$74="",Tulokset!$I$74="",'2'!$I$75="",'2'!$K$75=""),"",IF(SIGN('2'!$I$75-'2'!$K$75)&lt;&gt;SIGN(Tulokset!$G$74-Tulokset!$I$74),0,IF(Tulokset!$G$74=Tulokset!$I$74,IF(AND('2'!$I$75=Tulokset!$G$74,'2'!$K$75=Tulokset!$I$74),6,3),MAX(0,6-(ABS('2'!$I$75-Tulokset!$G$74)+ABS('2'!$K$75-Tulokset!$I$74))))))</f>
        <v/>
      </c>
      <c r="BY5" t="str">
        <f>IF(OR(Tulokset!$G$75="",Tulokset!$I$75="",'2'!$I$76="",'2'!$K$76=""),"",IF(SIGN('2'!$I$76-'2'!$K$76)&lt;&gt;SIGN(Tulokset!$G$75-Tulokset!$I$75),0,IF(Tulokset!$G$75=Tulokset!$I$75,IF(AND('2'!$I$76=Tulokset!$G$75,'2'!$K$76=Tulokset!$I$75),6,3),MAX(0,6-(ABS('2'!$I$76-Tulokset!$G$75)+ABS('2'!$K$76-Tulokset!$I$75))))))</f>
        <v/>
      </c>
      <c r="BZ5" t="str">
        <f>IF(OR(Tulokset!$G$76="",Tulokset!$I$76="",'2'!$I$77="",'2'!$K$77=""),"",IF(SIGN('2'!$I$77-'2'!$K$77)&lt;&gt;SIGN(Tulokset!$G$76-Tulokset!$I$76),0,IF(Tulokset!$G$76=Tulokset!$I$76,IF(AND('2'!$I$77=Tulokset!$G$76,'2'!$K$77=Tulokset!$I$76),6,3),MAX(0,6-(ABS('2'!$I$77-Tulokset!$G$76)+ABS('2'!$K$77-Tulokset!$I$76))))))</f>
        <v/>
      </c>
      <c r="CA5" t="str">
        <f>IF(OR(Tulokset!$G$77="",Tulokset!$I$77="",'2'!$I$78="",'2'!$K$78=""),"",IF(SIGN('2'!$I$78-'2'!$K$78)&lt;&gt;SIGN(Tulokset!$G$77-Tulokset!$I$77),0,IF(Tulokset!$G$77=Tulokset!$I$77,IF(AND('2'!$I$78=Tulokset!$G$77,'2'!$K$78=Tulokset!$I$77),6,3),MAX(0,6-(ABS('2'!$I$78-Tulokset!$G$77)+ABS('2'!$K$78-Tulokset!$I$77))))))</f>
        <v/>
      </c>
      <c r="CD5" t="str">
        <f ca="1">IF(OR(Tulokset!$M$6="",INDIRECT("'"&amp;$A5&amp;"'!$P$8")=""),"",IF(TRIM(INDIRECT("'"&amp;$A5&amp;"'!$P$8"))=TRIM(Tulokset!$M$6),2,0))</f>
        <v/>
      </c>
      <c r="CE5" t="str">
        <f ca="1">IF(OR(Tulokset!$M$7="",INDIRECT("'"&amp;$A5&amp;"'!$P$9")=""),"",IF(TRIM(INDIRECT("'"&amp;$A5&amp;"'!$P$9"))=TRIM(Tulokset!$M$7),2,0))</f>
        <v/>
      </c>
      <c r="CF5" t="str">
        <f ca="1">IF(OR(Tulokset!$M$8="",INDIRECT("'"&amp;$A5&amp;"'!$P$10")=""),"",IF(TRIM(INDIRECT("'"&amp;$A5&amp;"'!$P$10"))=TRIM(Tulokset!$M$8),2,0))</f>
        <v/>
      </c>
      <c r="CG5" t="str">
        <f ca="1">IF(OR(Tulokset!$M$9="",INDIRECT("'"&amp;$A5&amp;"'!$P$11")=""),"",IF(TRIM(INDIRECT("'"&amp;$A5&amp;"'!$P$11"))=TRIM(Tulokset!$M$9),2,0))</f>
        <v/>
      </c>
      <c r="CH5" t="str">
        <f ca="1">IF(OR(Tulokset!$N$6="",INDIRECT("'"&amp;$A5&amp;"'!$Q$8")=""),"",IF(TRIM(INDIRECT("'"&amp;$A5&amp;"'!$Q$8"))=TRIM(Tulokset!$N$6),2,0))</f>
        <v/>
      </c>
      <c r="CI5" t="str">
        <f ca="1">IF(OR(Tulokset!$N$7="",INDIRECT("'"&amp;$A5&amp;"'!$Q$9")=""),"",IF(TRIM(INDIRECT("'"&amp;$A5&amp;"'!$Q$9"))=TRIM(Tulokset!$N$7),2,0))</f>
        <v/>
      </c>
      <c r="CJ5" t="str">
        <f ca="1">IF(OR(Tulokset!$N$8="",INDIRECT("'"&amp;$A5&amp;"'!$Q$10")=""),"",IF(TRIM(INDIRECT("'"&amp;$A5&amp;"'!$Q$10"))=TRIM(Tulokset!$N$8),2,0))</f>
        <v/>
      </c>
      <c r="CK5" t="str">
        <f ca="1">IF(OR(Tulokset!$N$9="",INDIRECT("'"&amp;$A5&amp;"'!$Q$11")=""),"",IF(TRIM(INDIRECT("'"&amp;$A5&amp;"'!$Q$11"))=TRIM(Tulokset!$N$9),2,0))</f>
        <v/>
      </c>
      <c r="CL5" t="str">
        <f ca="1">IF(OR(Tulokset!$O$6="",INDIRECT("'"&amp;$A5&amp;"'!$R$8")=""),"",IF(TRIM(INDIRECT("'"&amp;$A5&amp;"'!$R$8"))=TRIM(Tulokset!$O$6),2,0))</f>
        <v/>
      </c>
      <c r="CM5" t="str">
        <f ca="1">IF(OR(Tulokset!$O$7="",INDIRECT("'"&amp;$A5&amp;"'!$R$9")=""),"",IF(TRIM(INDIRECT("'"&amp;$A5&amp;"'!$R$9"))=TRIM(Tulokset!$O$7),2,0))</f>
        <v/>
      </c>
      <c r="CN5" t="str">
        <f ca="1">IF(OR(Tulokset!$O$8="",INDIRECT("'"&amp;$A5&amp;"'!$R$10")=""),"",IF(TRIM(INDIRECT("'"&amp;$A5&amp;"'!$R$10"))=TRIM(Tulokset!$O$8),2,0))</f>
        <v/>
      </c>
      <c r="CO5" t="str">
        <f ca="1">IF(OR(Tulokset!$O$9="",INDIRECT("'"&amp;$A5&amp;"'!$R$11")=""),"",IF(TRIM(INDIRECT("'"&amp;$A5&amp;"'!$R$11"))=TRIM(Tulokset!$O$9),2,0))</f>
        <v/>
      </c>
      <c r="CP5" t="str">
        <f ca="1">IF(OR(Tulokset!$P$6="",INDIRECT("'"&amp;$A5&amp;"'!$S$8")=""),"",IF(TRIM(INDIRECT("'"&amp;$A5&amp;"'!$S$8"))=TRIM(Tulokset!$P$6),2,0))</f>
        <v/>
      </c>
      <c r="CQ5" t="str">
        <f ca="1">IF(OR(Tulokset!$P$7="",INDIRECT("'"&amp;$A5&amp;"'!$S$9")=""),"",IF(TRIM(INDIRECT("'"&amp;$A5&amp;"'!$S$9"))=TRIM(Tulokset!$P$7),2,0))</f>
        <v/>
      </c>
      <c r="CR5" t="str">
        <f ca="1">IF(OR(Tulokset!$P$8="",INDIRECT("'"&amp;$A5&amp;"'!$S$10")=""),"",IF(TRIM(INDIRECT("'"&amp;$A5&amp;"'!$S$10"))=TRIM(Tulokset!$P$8),2,0))</f>
        <v/>
      </c>
      <c r="CS5" t="str">
        <f ca="1">IF(OR(Tulokset!$P$9="",INDIRECT("'"&amp;$A5&amp;"'!$S$11")=""),"",IF(TRIM(INDIRECT("'"&amp;$A5&amp;"'!$S$11"))=TRIM(Tulokset!$P$9),2,0))</f>
        <v/>
      </c>
      <c r="CT5" t="str">
        <f ca="1">IF(OR(Tulokset!$Q$6="",INDIRECT("'"&amp;$A5&amp;"'!$T$8")=""),"",IF(TRIM(INDIRECT("'"&amp;$A5&amp;"'!$T$8"))=TRIM(Tulokset!$Q$6),2,0))</f>
        <v/>
      </c>
      <c r="CU5" t="str">
        <f ca="1">IF(OR(Tulokset!$Q$7="",INDIRECT("'"&amp;$A5&amp;"'!$T$9")=""),"",IF(TRIM(INDIRECT("'"&amp;$A5&amp;"'!$T$9"))=TRIM(Tulokset!$Q$7),2,0))</f>
        <v/>
      </c>
      <c r="CV5" t="str">
        <f ca="1">IF(OR(Tulokset!$Q$8="",INDIRECT("'"&amp;$A5&amp;"'!$T$10")=""),"",IF(TRIM(INDIRECT("'"&amp;$A5&amp;"'!$T$10"))=TRIM(Tulokset!$Q$8),2,0))</f>
        <v/>
      </c>
      <c r="CW5" t="str">
        <f ca="1">IF(OR(Tulokset!$Q$9="",INDIRECT("'"&amp;$A5&amp;"'!$T$11")=""),"",IF(TRIM(INDIRECT("'"&amp;$A5&amp;"'!$T$11"))=TRIM(Tulokset!$Q$9),2,0))</f>
        <v/>
      </c>
      <c r="CX5" t="str">
        <f ca="1">IF(OR(Tulokset!$R$6="",INDIRECT("'"&amp;$A5&amp;"'!$U$8")=""),"",IF(TRIM(INDIRECT("'"&amp;$A5&amp;"'!$U$8"))=TRIM(Tulokset!$R$6),2,0))</f>
        <v/>
      </c>
      <c r="CY5" t="str">
        <f ca="1">IF(OR(Tulokset!$R$7="",INDIRECT("'"&amp;$A5&amp;"'!$U$9")=""),"",IF(TRIM(INDIRECT("'"&amp;$A5&amp;"'!$U$9"))=TRIM(Tulokset!$R$7),2,0))</f>
        <v/>
      </c>
      <c r="CZ5" t="str">
        <f ca="1">IF(OR(Tulokset!$R$8="",INDIRECT("'"&amp;$A5&amp;"'!$U$10")=""),"",IF(TRIM(INDIRECT("'"&amp;$A5&amp;"'!$U$10"))=TRIM(Tulokset!$R$8),2,0))</f>
        <v/>
      </c>
      <c r="DA5" t="str">
        <f ca="1">IF(OR(Tulokset!$R$9="",INDIRECT("'"&amp;$A5&amp;"'!$U$11")=""),"",IF(TRIM(INDIRECT("'"&amp;$A5&amp;"'!$U$11"))=TRIM(Tulokset!$R$9),2,0))</f>
        <v/>
      </c>
      <c r="DB5" t="str">
        <f ca="1">IF(OR(Tulokset!$M$12="",INDIRECT("'"&amp;$A5&amp;"'!$P$14")=""),"",IF(TRIM(INDIRECT("'"&amp;$A5&amp;"'!$P$14"))=TRIM(Tulokset!$M$12),2,0))</f>
        <v/>
      </c>
      <c r="DC5" t="str">
        <f ca="1">IF(OR(Tulokset!$M$13="",INDIRECT("'"&amp;$A5&amp;"'!$P$15")=""),"",IF(TRIM(INDIRECT("'"&amp;$A5&amp;"'!$P$15"))=TRIM(Tulokset!$M$13),2,0))</f>
        <v/>
      </c>
      <c r="DD5" t="str">
        <f ca="1">IF(OR(Tulokset!$M$14="",INDIRECT("'"&amp;$A5&amp;"'!$P$16")=""),"",IF(TRIM(INDIRECT("'"&amp;$A5&amp;"'!$P$16"))=TRIM(Tulokset!$M$14),2,0))</f>
        <v/>
      </c>
      <c r="DE5" t="str">
        <f ca="1">IF(OR(Tulokset!$M$15="",INDIRECT("'"&amp;$A5&amp;"'!$P$17")=""),"",IF(TRIM(INDIRECT("'"&amp;$A5&amp;"'!$P$17"))=TRIM(Tulokset!$M$15),2,0))</f>
        <v/>
      </c>
      <c r="DF5" t="str">
        <f ca="1">IF(OR(Tulokset!$N$12="",INDIRECT("'"&amp;$A5&amp;"'!$Q$14")=""),"",IF(TRIM(INDIRECT("'"&amp;$A5&amp;"'!$Q$14"))=TRIM(Tulokset!$N$12),2,0))</f>
        <v/>
      </c>
      <c r="DG5" t="str">
        <f ca="1">IF(OR(Tulokset!$N$13="",INDIRECT("'"&amp;$A5&amp;"'!$Q$15")=""),"",IF(TRIM(INDIRECT("'"&amp;$A5&amp;"'!$Q$15"))=TRIM(Tulokset!$N$13),2,0))</f>
        <v/>
      </c>
      <c r="DH5" t="str">
        <f ca="1">IF(OR(Tulokset!$N$14="",INDIRECT("'"&amp;$A5&amp;"'!$Q$16")=""),"",IF(TRIM(INDIRECT("'"&amp;$A5&amp;"'!$Q$16"))=TRIM(Tulokset!$N$14),2,0))</f>
        <v/>
      </c>
      <c r="DI5" t="str">
        <f ca="1">IF(OR(Tulokset!$N$15="",INDIRECT("'"&amp;$A5&amp;"'!$Q$17")=""),"",IF(TRIM(INDIRECT("'"&amp;$A5&amp;"'!$Q$17"))=TRIM(Tulokset!$N$15),2,0))</f>
        <v/>
      </c>
      <c r="DJ5" t="str">
        <f ca="1">IF(OR(Tulokset!$O$12="",INDIRECT("'"&amp;$A5&amp;"'!$R$14")=""),"",IF(TRIM(INDIRECT("'"&amp;$A5&amp;"'!$R$14"))=TRIM(Tulokset!$O$12),2,0))</f>
        <v/>
      </c>
      <c r="DK5" t="str">
        <f ca="1">IF(OR(Tulokset!$O$13="",INDIRECT("'"&amp;$A5&amp;"'!$R$15")=""),"",IF(TRIM(INDIRECT("'"&amp;$A5&amp;"'!$R$15"))=TRIM(Tulokset!$O$13),2,0))</f>
        <v/>
      </c>
      <c r="DL5" t="str">
        <f ca="1">IF(OR(Tulokset!$O$14="",INDIRECT("'"&amp;$A5&amp;"'!$R$16")=""),"",IF(TRIM(INDIRECT("'"&amp;$A5&amp;"'!$R$16"))=TRIM(Tulokset!$O$14),2,0))</f>
        <v/>
      </c>
      <c r="DM5" t="str">
        <f ca="1">IF(OR(Tulokset!$O$15="",INDIRECT("'"&amp;$A5&amp;"'!$R$17")=""),"",IF(TRIM(INDIRECT("'"&amp;$A5&amp;"'!$R$17"))=TRIM(Tulokset!$O$15),2,0))</f>
        <v/>
      </c>
      <c r="DN5" t="str">
        <f ca="1">IF(OR(Tulokset!$P$12="",INDIRECT("'"&amp;$A5&amp;"'!$S$14")=""),"",IF(TRIM(INDIRECT("'"&amp;$A5&amp;"'!$S$14"))=TRIM(Tulokset!$P$12),2,0))</f>
        <v/>
      </c>
      <c r="DO5" t="str">
        <f ca="1">IF(OR(Tulokset!$P$13="",INDIRECT("'"&amp;$A5&amp;"'!$S$15")=""),"",IF(TRIM(INDIRECT("'"&amp;$A5&amp;"'!$S$15"))=TRIM(Tulokset!$P$13),2,0))</f>
        <v/>
      </c>
      <c r="DP5" t="str">
        <f ca="1">IF(OR(Tulokset!$P$14="",INDIRECT("'"&amp;$A5&amp;"'!$S$16")=""),"",IF(TRIM(INDIRECT("'"&amp;$A5&amp;"'!$S$16"))=TRIM(Tulokset!$P$14),2,0))</f>
        <v/>
      </c>
      <c r="DQ5" t="str">
        <f ca="1">IF(OR(Tulokset!$P$15="",INDIRECT("'"&amp;$A5&amp;"'!$S$17")=""),"",IF(TRIM(INDIRECT("'"&amp;$A5&amp;"'!$S$17"))=TRIM(Tulokset!$P$15),2,0))</f>
        <v/>
      </c>
      <c r="DR5" t="str">
        <f ca="1">IF(OR(Tulokset!$Q$12="",INDIRECT("'"&amp;$A5&amp;"'!$T$14")=""),"",IF(TRIM(INDIRECT("'"&amp;$A5&amp;"'!$T$14"))=TRIM(Tulokset!$Q$12),2,0))</f>
        <v/>
      </c>
      <c r="DS5" t="str">
        <f ca="1">IF(OR(Tulokset!$Q$13="",INDIRECT("'"&amp;$A5&amp;"'!$T$15")=""),"",IF(TRIM(INDIRECT("'"&amp;$A5&amp;"'!$T$15"))=TRIM(Tulokset!$Q$13),2,0))</f>
        <v/>
      </c>
      <c r="DT5" t="str">
        <f ca="1">IF(OR(Tulokset!$Q$14="",INDIRECT("'"&amp;$A5&amp;"'!$T$16")=""),"",IF(TRIM(INDIRECT("'"&amp;$A5&amp;"'!$T$16"))=TRIM(Tulokset!$Q$14),2,0))</f>
        <v/>
      </c>
      <c r="DU5" t="str">
        <f ca="1">IF(OR(Tulokset!$Q$15="",INDIRECT("'"&amp;$A5&amp;"'!$T$17")=""),"",IF(TRIM(INDIRECT("'"&amp;$A5&amp;"'!$T$17"))=TRIM(Tulokset!$Q$15),2,0))</f>
        <v/>
      </c>
      <c r="DV5" t="str">
        <f ca="1">IF(OR(Tulokset!$R$12="",INDIRECT("'"&amp;$A5&amp;"'!$U$14")=""),"",IF(TRIM(INDIRECT("'"&amp;$A5&amp;"'!$U$14"))=TRIM(Tulokset!$R$12),2,0))</f>
        <v/>
      </c>
      <c r="DW5" t="str">
        <f ca="1">IF(OR(Tulokset!$R$13="",INDIRECT("'"&amp;$A5&amp;"'!$U$15")=""),"",IF(TRIM(INDIRECT("'"&amp;$A5&amp;"'!$U$15"))=TRIM(Tulokset!$R$13),2,0))</f>
        <v/>
      </c>
      <c r="DX5" t="str">
        <f ca="1">IF(OR(Tulokset!$R$14="",INDIRECT("'"&amp;$A5&amp;"'!$U$16")=""),"",IF(TRIM(INDIRECT("'"&amp;$A5&amp;"'!$U$16"))=TRIM(Tulokset!$R$14),2,0))</f>
        <v/>
      </c>
      <c r="DY5" t="str">
        <f ca="1">IF(OR(Tulokset!$R$15="",INDIRECT("'"&amp;$A5&amp;"'!$U$17")=""),"",IF(TRIM(INDIRECT("'"&amp;$A5&amp;"'!$U$17"))=TRIM(Tulokset!$R$15),2,0))</f>
        <v/>
      </c>
      <c r="EA5" t="str">
        <f ca="1">IF(OR(INDIRECT("'"&amp;$A5&amp;"'!$E$79")="",COUNTA(Tulokset!$M$20:$M$21)=0),"",IF(COUNTIF(Tulokset!$M$20:$M$21,INDIRECT("'"&amp;$A5&amp;"'!$E$79"))&gt;0,2,0))</f>
        <v/>
      </c>
      <c r="EB5" t="str">
        <f ca="1">IF(OR(INDIRECT("'"&amp;$A5&amp;"'!$G$79")="",COUNTA(Tulokset!$M$20:$M$21)=0),"",IF(COUNTIF(Tulokset!$M$20:$M$21,INDIRECT("'"&amp;$A5&amp;"'!$G$79"))&gt;0,2,0))</f>
        <v/>
      </c>
      <c r="EC5" t="str">
        <f ca="1">IF(OR(INDIRECT("'"&amp;$A5&amp;"'!$E$80")="",COUNTA(Tulokset!$M$23:$M$24)=0),"",IF(COUNTIF(Tulokset!$M$23:$M$24,INDIRECT("'"&amp;$A5&amp;"'!$E$80"))&gt;0,2,0))</f>
        <v/>
      </c>
      <c r="ED5" t="str">
        <f ca="1">IF(OR(INDIRECT("'"&amp;$A5&amp;"'!$G$80")="",COUNTA(Tulokset!$M$23:$M$24)=0),"",IF(COUNTIF(Tulokset!$M$23:$M$24,INDIRECT("'"&amp;$A5&amp;"'!$G$80"))&gt;0,2,0))</f>
        <v/>
      </c>
    </row>
    <row r="6" spans="1:134">
      <c r="A6" t="s">
        <v>215</v>
      </c>
      <c r="B6" t="str">
        <f t="shared" ca="1" si="0"/>
        <v>Johnny Rotten</v>
      </c>
      <c r="C6" s="95">
        <f t="shared" si="1"/>
        <v>0</v>
      </c>
      <c r="D6" s="95">
        <f t="shared" ca="1" si="2"/>
        <v>0</v>
      </c>
      <c r="E6" s="95">
        <f t="shared" ca="1" si="3"/>
        <v>0</v>
      </c>
      <c r="F6" s="95">
        <f t="shared" ca="1" si="4"/>
        <v>0</v>
      </c>
      <c r="G6" s="95">
        <f t="shared" si="5"/>
        <v>0</v>
      </c>
      <c r="H6" t="str">
        <f>IF(OR(Tulokset!$G$6="",Tulokset!$I$6="",'3'!$I$7="",'3'!$K$7=""),"",IF(SIGN('3'!$I$7-'3'!$K$7)&lt;&gt;SIGN(Tulokset!$G$6-Tulokset!$I$6),0,IF(Tulokset!$G$6=Tulokset!$I$6,IF(AND('3'!$I$7=Tulokset!$G$6,'3'!$K$7=Tulokset!$I$6),6,3),MAX(0,6-(ABS('3'!$I$7-Tulokset!$G$6)+ABS('3'!$K$7-Tulokset!$I$6))))))</f>
        <v/>
      </c>
      <c r="I6" t="str">
        <f>IF(OR(Tulokset!$G$7="",Tulokset!$I$7="",'3'!$I$8="",'3'!$K$8=""),"",IF(SIGN('3'!$I$8-'3'!$K$8)&lt;&gt;SIGN(Tulokset!$G$7-Tulokset!$I$7),0,IF(Tulokset!$G$7=Tulokset!$I$7,IF(AND('3'!$I$8=Tulokset!$G$7,'3'!$K$8=Tulokset!$I$7),6,3),MAX(0,6-(ABS('3'!$I$8-Tulokset!$G$7)+ABS('3'!$K$8-Tulokset!$I$7))))))</f>
        <v/>
      </c>
      <c r="J6" t="str">
        <f>IF(OR(Tulokset!$G$8="",Tulokset!$I$8="",'3'!$I$9="",'3'!$K$9=""),"",IF(SIGN('3'!$I$9-'3'!$K$9)&lt;&gt;SIGN(Tulokset!$G$8-Tulokset!$I$8),0,IF(Tulokset!$G$8=Tulokset!$I$8,IF(AND('3'!$I$9=Tulokset!$G$8,'3'!$K$9=Tulokset!$I$8),6,3),MAX(0,6-(ABS('3'!$I$9-Tulokset!$G$8)+ABS('3'!$K$9-Tulokset!$I$8))))))</f>
        <v/>
      </c>
      <c r="K6" t="str">
        <f>IF(OR(Tulokset!$G$9="",Tulokset!$I$9="",'3'!$I$10="",'3'!$K$10=""),"",IF(SIGN('3'!$I$10-'3'!$K$10)&lt;&gt;SIGN(Tulokset!$G$9-Tulokset!$I$9),0,IF(Tulokset!$G$9=Tulokset!$I$9,IF(AND('3'!$I$10=Tulokset!$G$9,'3'!$K$10=Tulokset!$I$9),6,3),MAX(0,6-(ABS('3'!$I$10-Tulokset!$G$9)+ABS('3'!$K$10-Tulokset!$I$9))))))</f>
        <v/>
      </c>
      <c r="L6" t="str">
        <f>IF(OR(Tulokset!$G$10="",Tulokset!$I$10="",'3'!$I$11="",'3'!$K$11=""),"",IF(SIGN('3'!$I$11-'3'!$K$11)&lt;&gt;SIGN(Tulokset!$G$10-Tulokset!$I$10),0,IF(Tulokset!$G$10=Tulokset!$I$10,IF(AND('3'!$I$11=Tulokset!$G$10,'3'!$K$11=Tulokset!$I$10),6,3),MAX(0,6-(ABS('3'!$I$11-Tulokset!$G$10)+ABS('3'!$K$11-Tulokset!$I$10))))))</f>
        <v/>
      </c>
      <c r="M6" t="str">
        <f>IF(OR(Tulokset!$G$11="",Tulokset!$I$11="",'3'!$I$12="",'3'!$K$12=""),"",IF(SIGN('3'!$I$12-'3'!$K$12)&lt;&gt;SIGN(Tulokset!$G$11-Tulokset!$I$11),0,IF(Tulokset!$G$11=Tulokset!$I$11,IF(AND('3'!$I$12=Tulokset!$G$11,'3'!$K$12=Tulokset!$I$11),6,3),MAX(0,6-(ABS('3'!$I$12-Tulokset!$G$11)+ABS('3'!$K$12-Tulokset!$I$11))))))</f>
        <v/>
      </c>
      <c r="N6" t="str">
        <f>IF(OR(Tulokset!$G$12="",Tulokset!$I$12="",'3'!$I$13="",'3'!$K$13=""),"",IF(SIGN('3'!$I$13-'3'!$K$13)&lt;&gt;SIGN(Tulokset!$G$12-Tulokset!$I$12),0,IF(Tulokset!$G$12=Tulokset!$I$12,IF(AND('3'!$I$13=Tulokset!$G$12,'3'!$K$13=Tulokset!$I$12),6,3),MAX(0,6-(ABS('3'!$I$13-Tulokset!$G$12)+ABS('3'!$K$13-Tulokset!$I$12))))))</f>
        <v/>
      </c>
      <c r="O6" t="str">
        <f>IF(OR(Tulokset!$G$13="",Tulokset!$I$13="",'3'!$I$14="",'3'!$K$14=""),"",IF(SIGN('3'!$I$14-'3'!$K$14)&lt;&gt;SIGN(Tulokset!$G$13-Tulokset!$I$13),0,IF(Tulokset!$G$13=Tulokset!$I$13,IF(AND('3'!$I$14=Tulokset!$G$13,'3'!$K$14=Tulokset!$I$13),6,3),MAX(0,6-(ABS('3'!$I$14-Tulokset!$G$13)+ABS('3'!$K$14-Tulokset!$I$13))))))</f>
        <v/>
      </c>
      <c r="P6" t="str">
        <f>IF(OR(Tulokset!$G$14="",Tulokset!$I$14="",'3'!$I$15="",'3'!$K$15=""),"",IF(SIGN('3'!$I$15-'3'!$K$15)&lt;&gt;SIGN(Tulokset!$G$14-Tulokset!$I$14),0,IF(Tulokset!$G$14=Tulokset!$I$14,IF(AND('3'!$I$15=Tulokset!$G$14,'3'!$K$15=Tulokset!$I$14),6,3),MAX(0,6-(ABS('3'!$I$15-Tulokset!$G$14)+ABS('3'!$K$15-Tulokset!$I$14))))))</f>
        <v/>
      </c>
      <c r="Q6" t="str">
        <f>IF(OR(Tulokset!$G$15="",Tulokset!$I$15="",'3'!$I$16="",'3'!$K$16=""),"",IF(SIGN('3'!$I$16-'3'!$K$16)&lt;&gt;SIGN(Tulokset!$G$15-Tulokset!$I$15),0,IF(Tulokset!$G$15=Tulokset!$I$15,IF(AND('3'!$I$16=Tulokset!$G$15,'3'!$K$16=Tulokset!$I$15),6,3),MAX(0,6-(ABS('3'!$I$16-Tulokset!$G$15)+ABS('3'!$K$16-Tulokset!$I$15))))))</f>
        <v/>
      </c>
      <c r="R6" t="str">
        <f>IF(OR(Tulokset!$G$16="",Tulokset!$I$16="",'3'!$I$17="",'3'!$K$17=""),"",IF(SIGN('3'!$I$17-'3'!$K$17)&lt;&gt;SIGN(Tulokset!$G$16-Tulokset!$I$16),0,IF(Tulokset!$G$16=Tulokset!$I$16,IF(AND('3'!$I$17=Tulokset!$G$16,'3'!$K$17=Tulokset!$I$16),6,3),MAX(0,6-(ABS('3'!$I$17-Tulokset!$G$16)+ABS('3'!$K$17-Tulokset!$I$16))))))</f>
        <v/>
      </c>
      <c r="S6" t="str">
        <f>IF(OR(Tulokset!$G$17="",Tulokset!$I$17="",'3'!$I$18="",'3'!$K$18=""),"",IF(SIGN('3'!$I$18-'3'!$K$18)&lt;&gt;SIGN(Tulokset!$G$17-Tulokset!$I$17),0,IF(Tulokset!$G$17=Tulokset!$I$17,IF(AND('3'!$I$18=Tulokset!$G$17,'3'!$K$18=Tulokset!$I$17),6,3),MAX(0,6-(ABS('3'!$I$18-Tulokset!$G$17)+ABS('3'!$K$18-Tulokset!$I$17))))))</f>
        <v/>
      </c>
      <c r="T6" t="str">
        <f>IF(OR(Tulokset!$G$18="",Tulokset!$I$18="",'3'!$I$19="",'3'!$K$19=""),"",IF(SIGN('3'!$I$19-'3'!$K$19)&lt;&gt;SIGN(Tulokset!$G$18-Tulokset!$I$18),0,IF(Tulokset!$G$18=Tulokset!$I$18,IF(AND('3'!$I$19=Tulokset!$G$18,'3'!$K$19=Tulokset!$I$18),6,3),MAX(0,6-(ABS('3'!$I$19-Tulokset!$G$18)+ABS('3'!$K$19-Tulokset!$I$18))))))</f>
        <v/>
      </c>
      <c r="U6" t="str">
        <f>IF(OR(Tulokset!$G$19="",Tulokset!$I$19="",'3'!$I$20="",'3'!$K$20=""),"",IF(SIGN('3'!$I$20-'3'!$K$20)&lt;&gt;SIGN(Tulokset!$G$19-Tulokset!$I$19),0,IF(Tulokset!$G$19=Tulokset!$I$19,IF(AND('3'!$I$20=Tulokset!$G$19,'3'!$K$20=Tulokset!$I$19),6,3),MAX(0,6-(ABS('3'!$I$20-Tulokset!$G$19)+ABS('3'!$K$20-Tulokset!$I$19))))))</f>
        <v/>
      </c>
      <c r="V6" t="str">
        <f>IF(OR(Tulokset!$G$20="",Tulokset!$I$20="",'3'!$I$21="",'3'!$K$21=""),"",IF(SIGN('3'!$I$21-'3'!$K$21)&lt;&gt;SIGN(Tulokset!$G$20-Tulokset!$I$20),0,IF(Tulokset!$G$20=Tulokset!$I$20,IF(AND('3'!$I$21=Tulokset!$G$20,'3'!$K$21=Tulokset!$I$20),6,3),MAX(0,6-(ABS('3'!$I$21-Tulokset!$G$20)+ABS('3'!$K$21-Tulokset!$I$20))))))</f>
        <v/>
      </c>
      <c r="W6" t="str">
        <f>IF(OR(Tulokset!$G$21="",Tulokset!$I$21="",'3'!$I$22="",'3'!$K$22=""),"",IF(SIGN('3'!$I$22-'3'!$K$22)&lt;&gt;SIGN(Tulokset!$G$21-Tulokset!$I$21),0,IF(Tulokset!$G$21=Tulokset!$I$21,IF(AND('3'!$I$22=Tulokset!$G$21,'3'!$K$22=Tulokset!$I$21),6,3),MAX(0,6-(ABS('3'!$I$22-Tulokset!$G$21)+ABS('3'!$K$22-Tulokset!$I$21))))))</f>
        <v/>
      </c>
      <c r="X6" t="str">
        <f>IF(OR(Tulokset!$G$22="",Tulokset!$I$22="",'3'!$I$23="",'3'!$K$23=""),"",IF(SIGN('3'!$I$23-'3'!$K$23)&lt;&gt;SIGN(Tulokset!$G$22-Tulokset!$I$22),0,IF(Tulokset!$G$22=Tulokset!$I$22,IF(AND('3'!$I$23=Tulokset!$G$22,'3'!$K$23=Tulokset!$I$22),6,3),MAX(0,6-(ABS('3'!$I$23-Tulokset!$G$22)+ABS('3'!$K$23-Tulokset!$I$22))))))</f>
        <v/>
      </c>
      <c r="Y6" t="str">
        <f>IF(OR(Tulokset!$G$23="",Tulokset!$I$23="",'3'!$I$24="",'3'!$K$24=""),"",IF(SIGN('3'!$I$24-'3'!$K$24)&lt;&gt;SIGN(Tulokset!$G$23-Tulokset!$I$23),0,IF(Tulokset!$G$23=Tulokset!$I$23,IF(AND('3'!$I$24=Tulokset!$G$23,'3'!$K$24=Tulokset!$I$23),6,3),MAX(0,6-(ABS('3'!$I$24-Tulokset!$G$23)+ABS('3'!$K$24-Tulokset!$I$23))))))</f>
        <v/>
      </c>
      <c r="Z6" t="str">
        <f>IF(OR(Tulokset!$G$24="",Tulokset!$I$24="",'3'!$I$25="",'3'!$K$25=""),"",IF(SIGN('3'!$I$25-'3'!$K$25)&lt;&gt;SIGN(Tulokset!$G$24-Tulokset!$I$24),0,IF(Tulokset!$G$24=Tulokset!$I$24,IF(AND('3'!$I$25=Tulokset!$G$24,'3'!$K$25=Tulokset!$I$24),6,3),MAX(0,6-(ABS('3'!$I$25-Tulokset!$G$24)+ABS('3'!$K$25-Tulokset!$I$24))))))</f>
        <v/>
      </c>
      <c r="AA6" t="str">
        <f>IF(OR(Tulokset!$G$25="",Tulokset!$I$25="",'3'!$I$26="",'3'!$K$26=""),"",IF(SIGN('3'!$I$26-'3'!$K$26)&lt;&gt;SIGN(Tulokset!$G$25-Tulokset!$I$25),0,IF(Tulokset!$G$25=Tulokset!$I$25,IF(AND('3'!$I$26=Tulokset!$G$25,'3'!$K$26=Tulokset!$I$25),6,3),MAX(0,6-(ABS('3'!$I$26-Tulokset!$G$25)+ABS('3'!$K$26-Tulokset!$I$25))))))</f>
        <v/>
      </c>
      <c r="AB6" t="str">
        <f>IF(OR(Tulokset!$G$26="",Tulokset!$I$26="",'3'!$I$27="",'3'!$K$27=""),"",IF(SIGN('3'!$I$27-'3'!$K$27)&lt;&gt;SIGN(Tulokset!$G$26-Tulokset!$I$26),0,IF(Tulokset!$G$26=Tulokset!$I$26,IF(AND('3'!$I$27=Tulokset!$G$26,'3'!$K$27=Tulokset!$I$26),6,3),MAX(0,6-(ABS('3'!$I$27-Tulokset!$G$26)+ABS('3'!$K$27-Tulokset!$I$26))))))</f>
        <v/>
      </c>
      <c r="AC6" t="str">
        <f>IF(OR(Tulokset!$G$27="",Tulokset!$I$27="",'3'!$I$28="",'3'!$K$28=""),"",IF(SIGN('3'!$I$28-'3'!$K$28)&lt;&gt;SIGN(Tulokset!$G$27-Tulokset!$I$27),0,IF(Tulokset!$G$27=Tulokset!$I$27,IF(AND('3'!$I$28=Tulokset!$G$27,'3'!$K$28=Tulokset!$I$27),6,3),MAX(0,6-(ABS('3'!$I$28-Tulokset!$G$27)+ABS('3'!$K$28-Tulokset!$I$27))))))</f>
        <v/>
      </c>
      <c r="AD6" t="str">
        <f>IF(OR(Tulokset!$G$28="",Tulokset!$I$28="",'3'!$I$29="",'3'!$K$29=""),"",IF(SIGN('3'!$I$29-'3'!$K$29)&lt;&gt;SIGN(Tulokset!$G$28-Tulokset!$I$28),0,IF(Tulokset!$G$28=Tulokset!$I$28,IF(AND('3'!$I$29=Tulokset!$G$28,'3'!$K$29=Tulokset!$I$28),6,3),MAX(0,6-(ABS('3'!$I$29-Tulokset!$G$28)+ABS('3'!$K$29-Tulokset!$I$28))))))</f>
        <v/>
      </c>
      <c r="AE6" t="str">
        <f>IF(OR(Tulokset!$G$29="",Tulokset!$I$29="",'3'!$I$30="",'3'!$K$30=""),"",IF(SIGN('3'!$I$30-'3'!$K$30)&lt;&gt;SIGN(Tulokset!$G$29-Tulokset!$I$29),0,IF(Tulokset!$G$29=Tulokset!$I$29,IF(AND('3'!$I$30=Tulokset!$G$29,'3'!$K$30=Tulokset!$I$29),6,3),MAX(0,6-(ABS('3'!$I$30-Tulokset!$G$29)+ABS('3'!$K$30-Tulokset!$I$29))))))</f>
        <v/>
      </c>
      <c r="AF6" t="str">
        <f>IF(OR(Tulokset!$G$30="",Tulokset!$I$30="",'3'!$I$31="",'3'!$K$31=""),"",IF(SIGN('3'!$I$31-'3'!$K$31)&lt;&gt;SIGN(Tulokset!$G$30-Tulokset!$I$30),0,IF(Tulokset!$G$30=Tulokset!$I$30,IF(AND('3'!$I$31=Tulokset!$G$30,'3'!$K$31=Tulokset!$I$30),6,3),MAX(0,6-(ABS('3'!$I$31-Tulokset!$G$30)+ABS('3'!$K$31-Tulokset!$I$30))))))</f>
        <v/>
      </c>
      <c r="AG6" t="str">
        <f>IF(OR(Tulokset!$G$31="",Tulokset!$I$31="",'3'!$I$32="",'3'!$K$32=""),"",IF(SIGN('3'!$I$32-'3'!$K$32)&lt;&gt;SIGN(Tulokset!$G$31-Tulokset!$I$31),0,IF(Tulokset!$G$31=Tulokset!$I$31,IF(AND('3'!$I$32=Tulokset!$G$31,'3'!$K$32=Tulokset!$I$31),6,3),MAX(0,6-(ABS('3'!$I$32-Tulokset!$G$31)+ABS('3'!$K$32-Tulokset!$I$31))))))</f>
        <v/>
      </c>
      <c r="AH6" t="str">
        <f>IF(OR(Tulokset!$G$32="",Tulokset!$I$32="",'3'!$I$33="",'3'!$K$33=""),"",IF(SIGN('3'!$I$33-'3'!$K$33)&lt;&gt;SIGN(Tulokset!$G$32-Tulokset!$I$32),0,IF(Tulokset!$G$32=Tulokset!$I$32,IF(AND('3'!$I$33=Tulokset!$G$32,'3'!$K$33=Tulokset!$I$32),6,3),MAX(0,6-(ABS('3'!$I$33-Tulokset!$G$32)+ABS('3'!$K$33-Tulokset!$I$32))))))</f>
        <v/>
      </c>
      <c r="AI6" t="str">
        <f>IF(OR(Tulokset!$G$33="",Tulokset!$I$33="",'3'!$I$34="",'3'!$K$34=""),"",IF(SIGN('3'!$I$34-'3'!$K$34)&lt;&gt;SIGN(Tulokset!$G$33-Tulokset!$I$33),0,IF(Tulokset!$G$33=Tulokset!$I$33,IF(AND('3'!$I$34=Tulokset!$G$33,'3'!$K$34=Tulokset!$I$33),6,3),MAX(0,6-(ABS('3'!$I$34-Tulokset!$G$33)+ABS('3'!$K$34-Tulokset!$I$33))))))</f>
        <v/>
      </c>
      <c r="AJ6" t="str">
        <f>IF(OR(Tulokset!$G$34="",Tulokset!$I$34="",'3'!$I$35="",'3'!$K$35=""),"",IF(SIGN('3'!$I$35-'3'!$K$35)&lt;&gt;SIGN(Tulokset!$G$34-Tulokset!$I$34),0,IF(Tulokset!$G$34=Tulokset!$I$34,IF(AND('3'!$I$35=Tulokset!$G$34,'3'!$K$35=Tulokset!$I$34),6,3),MAX(0,6-(ABS('3'!$I$35-Tulokset!$G$34)+ABS('3'!$K$35-Tulokset!$I$34))))))</f>
        <v/>
      </c>
      <c r="AK6" t="str">
        <f>IF(OR(Tulokset!$G$35="",Tulokset!$I$35="",'3'!$I$36="",'3'!$K$36=""),"",IF(SIGN('3'!$I$36-'3'!$K$36)&lt;&gt;SIGN(Tulokset!$G$35-Tulokset!$I$35),0,IF(Tulokset!$G$35=Tulokset!$I$35,IF(AND('3'!$I$36=Tulokset!$G$35,'3'!$K$36=Tulokset!$I$35),6,3),MAX(0,6-(ABS('3'!$I$36-Tulokset!$G$35)+ABS('3'!$K$36-Tulokset!$I$35))))))</f>
        <v/>
      </c>
      <c r="AL6" t="str">
        <f>IF(OR(Tulokset!$G$36="",Tulokset!$I$36="",'3'!$I$37="",'3'!$K$37=""),"",IF(SIGN('3'!$I$37-'3'!$K$37)&lt;&gt;SIGN(Tulokset!$G$36-Tulokset!$I$36),0,IF(Tulokset!$G$36=Tulokset!$I$36,IF(AND('3'!$I$37=Tulokset!$G$36,'3'!$K$37=Tulokset!$I$36),6,3),MAX(0,6-(ABS('3'!$I$37-Tulokset!$G$36)+ABS('3'!$K$37-Tulokset!$I$36))))))</f>
        <v/>
      </c>
      <c r="AM6" t="str">
        <f>IF(OR(Tulokset!$G$37="",Tulokset!$I$37="",'3'!$I$38="",'3'!$K$38=""),"",IF(SIGN('3'!$I$38-'3'!$K$38)&lt;&gt;SIGN(Tulokset!$G$37-Tulokset!$I$37),0,IF(Tulokset!$G$37=Tulokset!$I$37,IF(AND('3'!$I$38=Tulokset!$G$37,'3'!$K$38=Tulokset!$I$37),6,3),MAX(0,6-(ABS('3'!$I$38-Tulokset!$G$37)+ABS('3'!$K$38-Tulokset!$I$37))))))</f>
        <v/>
      </c>
      <c r="AN6" t="str">
        <f>IF(OR(Tulokset!$G$38="",Tulokset!$I$38="",'3'!$I$39="",'3'!$K$39=""),"",IF(SIGN('3'!$I$39-'3'!$K$39)&lt;&gt;SIGN(Tulokset!$G$38-Tulokset!$I$38),0,IF(Tulokset!$G$38=Tulokset!$I$38,IF(AND('3'!$I$39=Tulokset!$G$38,'3'!$K$39=Tulokset!$I$38),6,3),MAX(0,6-(ABS('3'!$I$39-Tulokset!$G$38)+ABS('3'!$K$39-Tulokset!$I$38))))))</f>
        <v/>
      </c>
      <c r="AO6" t="str">
        <f>IF(OR(Tulokset!$G$39="",Tulokset!$I$39="",'3'!$I$40="",'3'!$K$40=""),"",IF(SIGN('3'!$I$40-'3'!$K$40)&lt;&gt;SIGN(Tulokset!$G$39-Tulokset!$I$39),0,IF(Tulokset!$G$39=Tulokset!$I$39,IF(AND('3'!$I$40=Tulokset!$G$39,'3'!$K$40=Tulokset!$I$39),6,3),MAX(0,6-(ABS('3'!$I$40-Tulokset!$G$39)+ABS('3'!$K$40-Tulokset!$I$39))))))</f>
        <v/>
      </c>
      <c r="AP6" t="str">
        <f>IF(OR(Tulokset!$G$40="",Tulokset!$I$40="",'3'!$I$41="",'3'!$K$41=""),"",IF(SIGN('3'!$I$41-'3'!$K$41)&lt;&gt;SIGN(Tulokset!$G$40-Tulokset!$I$40),0,IF(Tulokset!$G$40=Tulokset!$I$40,IF(AND('3'!$I$41=Tulokset!$G$40,'3'!$K$41=Tulokset!$I$40),6,3),MAX(0,6-(ABS('3'!$I$41-Tulokset!$G$40)+ABS('3'!$K$41-Tulokset!$I$40))))))</f>
        <v/>
      </c>
      <c r="AQ6" t="str">
        <f>IF(OR(Tulokset!$G$41="",Tulokset!$I$41="",'3'!$I$42="",'3'!$K$42=""),"",IF(SIGN('3'!$I$42-'3'!$K$42)&lt;&gt;SIGN(Tulokset!$G$41-Tulokset!$I$41),0,IF(Tulokset!$G$41=Tulokset!$I$41,IF(AND('3'!$I$42=Tulokset!$G$41,'3'!$K$42=Tulokset!$I$41),6,3),MAX(0,6-(ABS('3'!$I$42-Tulokset!$G$41)+ABS('3'!$K$42-Tulokset!$I$41))))))</f>
        <v/>
      </c>
      <c r="AR6" t="str">
        <f>IF(OR(Tulokset!$G$42="",Tulokset!$I$42="",'3'!$I$43="",'3'!$K$43=""),"",IF(SIGN('3'!$I$43-'3'!$K$43)&lt;&gt;SIGN(Tulokset!$G$42-Tulokset!$I$42),0,IF(Tulokset!$G$42=Tulokset!$I$42,IF(AND('3'!$I$43=Tulokset!$G$42,'3'!$K$43=Tulokset!$I$42),6,3),MAX(0,6-(ABS('3'!$I$43-Tulokset!$G$42)+ABS('3'!$K$43-Tulokset!$I$42))))))</f>
        <v/>
      </c>
      <c r="AS6" t="str">
        <f>IF(OR(Tulokset!$G$43="",Tulokset!$I$43="",'3'!$I$44="",'3'!$K$44=""),"",IF(SIGN('3'!$I$44-'3'!$K$44)&lt;&gt;SIGN(Tulokset!$G$43-Tulokset!$I$43),0,IF(Tulokset!$G$43=Tulokset!$I$43,IF(AND('3'!$I$44=Tulokset!$G$43,'3'!$K$44=Tulokset!$I$43),6,3),MAX(0,6-(ABS('3'!$I$44-Tulokset!$G$43)+ABS('3'!$K$44-Tulokset!$I$43))))))</f>
        <v/>
      </c>
      <c r="AT6" t="str">
        <f>IF(OR(Tulokset!$G$44="",Tulokset!$I$44="",'3'!$I$45="",'3'!$K$45=""),"",IF(SIGN('3'!$I$45-'3'!$K$45)&lt;&gt;SIGN(Tulokset!$G$44-Tulokset!$I$44),0,IF(Tulokset!$G$44=Tulokset!$I$44,IF(AND('3'!$I$45=Tulokset!$G$44,'3'!$K$45=Tulokset!$I$44),6,3),MAX(0,6-(ABS('3'!$I$45-Tulokset!$G$44)+ABS('3'!$K$45-Tulokset!$I$44))))))</f>
        <v/>
      </c>
      <c r="AU6" t="str">
        <f>IF(OR(Tulokset!$G$45="",Tulokset!$I$45="",'3'!$I$46="",'3'!$K$46=""),"",IF(SIGN('3'!$I$46-'3'!$K$46)&lt;&gt;SIGN(Tulokset!$G$45-Tulokset!$I$45),0,IF(Tulokset!$G$45=Tulokset!$I$45,IF(AND('3'!$I$46=Tulokset!$G$45,'3'!$K$46=Tulokset!$I$45),6,3),MAX(0,6-(ABS('3'!$I$46-Tulokset!$G$45)+ABS('3'!$K$46-Tulokset!$I$45))))))</f>
        <v/>
      </c>
      <c r="AV6" t="str">
        <f>IF(OR(Tulokset!$G$46="",Tulokset!$I$46="",'3'!$I$47="",'3'!$K$47=""),"",IF(SIGN('3'!$I$47-'3'!$K$47)&lt;&gt;SIGN(Tulokset!$G$46-Tulokset!$I$46),0,IF(Tulokset!$G$46=Tulokset!$I$46,IF(AND('3'!$I$47=Tulokset!$G$46,'3'!$K$47=Tulokset!$I$46),6,3),MAX(0,6-(ABS('3'!$I$47-Tulokset!$G$46)+ABS('3'!$K$47-Tulokset!$I$46))))))</f>
        <v/>
      </c>
      <c r="AW6" t="str">
        <f>IF(OR(Tulokset!$G$47="",Tulokset!$I$47="",'3'!$I$48="",'3'!$K$48=""),"",IF(SIGN('3'!$I$48-'3'!$K$48)&lt;&gt;SIGN(Tulokset!$G$47-Tulokset!$I$47),0,IF(Tulokset!$G$47=Tulokset!$I$47,IF(AND('3'!$I$48=Tulokset!$G$47,'3'!$K$48=Tulokset!$I$47),6,3),MAX(0,6-(ABS('3'!$I$48-Tulokset!$G$47)+ABS('3'!$K$48-Tulokset!$I$47))))))</f>
        <v/>
      </c>
      <c r="AX6" t="str">
        <f>IF(OR(Tulokset!$G$48="",Tulokset!$I$48="",'3'!$I$49="",'3'!$K$49=""),"",IF(SIGN('3'!$I$49-'3'!$K$49)&lt;&gt;SIGN(Tulokset!$G$48-Tulokset!$I$48),0,IF(Tulokset!$G$48=Tulokset!$I$48,IF(AND('3'!$I$49=Tulokset!$G$48,'3'!$K$49=Tulokset!$I$48),6,3),MAX(0,6-(ABS('3'!$I$49-Tulokset!$G$48)+ABS('3'!$K$49-Tulokset!$I$48))))))</f>
        <v/>
      </c>
      <c r="AY6" t="str">
        <f>IF(OR(Tulokset!$G$49="",Tulokset!$I$49="",'3'!$I$50="",'3'!$K$50=""),"",IF(SIGN('3'!$I$50-'3'!$K$50)&lt;&gt;SIGN(Tulokset!$G$49-Tulokset!$I$49),0,IF(Tulokset!$G$49=Tulokset!$I$49,IF(AND('3'!$I$50=Tulokset!$G$49,'3'!$K$50=Tulokset!$I$49),6,3),MAX(0,6-(ABS('3'!$I$50-Tulokset!$G$49)+ABS('3'!$K$50-Tulokset!$I$49))))))</f>
        <v/>
      </c>
      <c r="AZ6" t="str">
        <f>IF(OR(Tulokset!$G$50="",Tulokset!$I$50="",'3'!$I$51="",'3'!$K$51=""),"",IF(SIGN('3'!$I$51-'3'!$K$51)&lt;&gt;SIGN(Tulokset!$G$50-Tulokset!$I$50),0,IF(Tulokset!$G$50=Tulokset!$I$50,IF(AND('3'!$I$51=Tulokset!$G$50,'3'!$K$51=Tulokset!$I$50),6,3),MAX(0,6-(ABS('3'!$I$51-Tulokset!$G$50)+ABS('3'!$K$51-Tulokset!$I$50))))))</f>
        <v/>
      </c>
      <c r="BA6" t="str">
        <f>IF(OR(Tulokset!$G$51="",Tulokset!$I$51="",'3'!$I$52="",'3'!$K$52=""),"",IF(SIGN('3'!$I$52-'3'!$K$52)&lt;&gt;SIGN(Tulokset!$G$51-Tulokset!$I$51),0,IF(Tulokset!$G$51=Tulokset!$I$51,IF(AND('3'!$I$52=Tulokset!$G$51,'3'!$K$52=Tulokset!$I$51),6,3),MAX(0,6-(ABS('3'!$I$52-Tulokset!$G$51)+ABS('3'!$K$52-Tulokset!$I$51))))))</f>
        <v/>
      </c>
      <c r="BB6" t="str">
        <f>IF(OR(Tulokset!$G$52="",Tulokset!$I$52="",'3'!$I$53="",'3'!$K$53=""),"",IF(SIGN('3'!$I$53-'3'!$K$53)&lt;&gt;SIGN(Tulokset!$G$52-Tulokset!$I$52),0,IF(Tulokset!$G$52=Tulokset!$I$52,IF(AND('3'!$I$53=Tulokset!$G$52,'3'!$K$53=Tulokset!$I$52),6,3),MAX(0,6-(ABS('3'!$I$53-Tulokset!$G$52)+ABS('3'!$K$53-Tulokset!$I$52))))))</f>
        <v/>
      </c>
      <c r="BC6" t="str">
        <f>IF(OR(Tulokset!$G$53="",Tulokset!$I$53="",'3'!$I$54="",'3'!$K$54=""),"",IF(SIGN('3'!$I$54-'3'!$K$54)&lt;&gt;SIGN(Tulokset!$G$53-Tulokset!$I$53),0,IF(Tulokset!$G$53=Tulokset!$I$53,IF(AND('3'!$I$54=Tulokset!$G$53,'3'!$K$54=Tulokset!$I$53),6,3),MAX(0,6-(ABS('3'!$I$54-Tulokset!$G$53)+ABS('3'!$K$54-Tulokset!$I$53))))))</f>
        <v/>
      </c>
      <c r="BD6" t="str">
        <f>IF(OR(Tulokset!$G$54="",Tulokset!$I$54="",'3'!$I$55="",'3'!$K$55=""),"",IF(SIGN('3'!$I$55-'3'!$K$55)&lt;&gt;SIGN(Tulokset!$G$54-Tulokset!$I$54),0,IF(Tulokset!$G$54=Tulokset!$I$54,IF(AND('3'!$I$55=Tulokset!$G$54,'3'!$K$55=Tulokset!$I$54),6,3),MAX(0,6-(ABS('3'!$I$55-Tulokset!$G$54)+ABS('3'!$K$55-Tulokset!$I$54))))))</f>
        <v/>
      </c>
      <c r="BE6" t="str">
        <f>IF(OR(Tulokset!$G$55="",Tulokset!$I$55="",'3'!$I$56="",'3'!$K$56=""),"",IF(SIGN('3'!$I$56-'3'!$K$56)&lt;&gt;SIGN(Tulokset!$G$55-Tulokset!$I$55),0,IF(Tulokset!$G$55=Tulokset!$I$55,IF(AND('3'!$I$56=Tulokset!$G$55,'3'!$K$56=Tulokset!$I$55),6,3),MAX(0,6-(ABS('3'!$I$56-Tulokset!$G$55)+ABS('3'!$K$56-Tulokset!$I$55))))))</f>
        <v/>
      </c>
      <c r="BF6" t="str">
        <f>IF(OR(Tulokset!$G$56="",Tulokset!$I$56="",'3'!$I$57="",'3'!$K$57=""),"",IF(SIGN('3'!$I$57-'3'!$K$57)&lt;&gt;SIGN(Tulokset!$G$56-Tulokset!$I$56),0,IF(Tulokset!$G$56=Tulokset!$I$56,IF(AND('3'!$I$57=Tulokset!$G$56,'3'!$K$57=Tulokset!$I$56),6,3),MAX(0,6-(ABS('3'!$I$57-Tulokset!$G$56)+ABS('3'!$K$57-Tulokset!$I$56))))))</f>
        <v/>
      </c>
      <c r="BG6" t="str">
        <f>IF(OR(Tulokset!$G$57="",Tulokset!$I$57="",'3'!$I$58="",'3'!$K$58=""),"",IF(SIGN('3'!$I$58-'3'!$K$58)&lt;&gt;SIGN(Tulokset!$G$57-Tulokset!$I$57),0,IF(Tulokset!$G$57=Tulokset!$I$57,IF(AND('3'!$I$58=Tulokset!$G$57,'3'!$K$58=Tulokset!$I$57),6,3),MAX(0,6-(ABS('3'!$I$58-Tulokset!$G$57)+ABS('3'!$K$58-Tulokset!$I$57))))))</f>
        <v/>
      </c>
      <c r="BH6" t="str">
        <f>IF(OR(Tulokset!$G$58="",Tulokset!$I$58="",'3'!$I$59="",'3'!$K$59=""),"",IF(SIGN('3'!$I$59-'3'!$K$59)&lt;&gt;SIGN(Tulokset!$G$58-Tulokset!$I$58),0,IF(Tulokset!$G$58=Tulokset!$I$58,IF(AND('3'!$I$59=Tulokset!$G$58,'3'!$K$59=Tulokset!$I$58),6,3),MAX(0,6-(ABS('3'!$I$59-Tulokset!$G$58)+ABS('3'!$K$59-Tulokset!$I$58))))))</f>
        <v/>
      </c>
      <c r="BI6" t="str">
        <f>IF(OR(Tulokset!$G$59="",Tulokset!$I$59="",'3'!$I$60="",'3'!$K$60=""),"",IF(SIGN('3'!$I$60-'3'!$K$60)&lt;&gt;SIGN(Tulokset!$G$59-Tulokset!$I$59),0,IF(Tulokset!$G$59=Tulokset!$I$59,IF(AND('3'!$I$60=Tulokset!$G$59,'3'!$K$60=Tulokset!$I$59),6,3),MAX(0,6-(ABS('3'!$I$60-Tulokset!$G$59)+ABS('3'!$K$60-Tulokset!$I$59))))))</f>
        <v/>
      </c>
      <c r="BJ6" t="str">
        <f>IF(OR(Tulokset!$G$60="",Tulokset!$I$60="",'3'!$I$61="",'3'!$K$61=""),"",IF(SIGN('3'!$I$61-'3'!$K$61)&lt;&gt;SIGN(Tulokset!$G$60-Tulokset!$I$60),0,IF(Tulokset!$G$60=Tulokset!$I$60,IF(AND('3'!$I$61=Tulokset!$G$60,'3'!$K$61=Tulokset!$I$60),6,3),MAX(0,6-(ABS('3'!$I$61-Tulokset!$G$60)+ABS('3'!$K$61-Tulokset!$I$60))))))</f>
        <v/>
      </c>
      <c r="BK6" t="str">
        <f>IF(OR(Tulokset!$G$61="",Tulokset!$I$61="",'3'!$I$62="",'3'!$K$62=""),"",IF(SIGN('3'!$I$62-'3'!$K$62)&lt;&gt;SIGN(Tulokset!$G$61-Tulokset!$I$61),0,IF(Tulokset!$G$61=Tulokset!$I$61,IF(AND('3'!$I$62=Tulokset!$G$61,'3'!$K$62=Tulokset!$I$61),6,3),MAX(0,6-(ABS('3'!$I$62-Tulokset!$G$61)+ABS('3'!$K$62-Tulokset!$I$61))))))</f>
        <v/>
      </c>
      <c r="BL6" t="str">
        <f>IF(OR(Tulokset!$G$62="",Tulokset!$I$62="",'3'!$I$63="",'3'!$K$63=""),"",IF(SIGN('3'!$I$63-'3'!$K$63)&lt;&gt;SIGN(Tulokset!$G$62-Tulokset!$I$62),0,IF(Tulokset!$G$62=Tulokset!$I$62,IF(AND('3'!$I$63=Tulokset!$G$62,'3'!$K$63=Tulokset!$I$62),6,3),MAX(0,6-(ABS('3'!$I$63-Tulokset!$G$62)+ABS('3'!$K$63-Tulokset!$I$62))))))</f>
        <v/>
      </c>
      <c r="BM6" t="str">
        <f>IF(OR(Tulokset!$G$63="",Tulokset!$I$63="",'3'!$I$64="",'3'!$K$64=""),"",IF(SIGN('3'!$I$64-'3'!$K$64)&lt;&gt;SIGN(Tulokset!$G$63-Tulokset!$I$63),0,IF(Tulokset!$G$63=Tulokset!$I$63,IF(AND('3'!$I$64=Tulokset!$G$63,'3'!$K$64=Tulokset!$I$63),6,3),MAX(0,6-(ABS('3'!$I$64-Tulokset!$G$63)+ABS('3'!$K$64-Tulokset!$I$63))))))</f>
        <v/>
      </c>
      <c r="BN6" t="str">
        <f>IF(OR(Tulokset!$G$64="",Tulokset!$I$64="",'3'!$I$65="",'3'!$K$65=""),"",IF(SIGN('3'!$I$65-'3'!$K$65)&lt;&gt;SIGN(Tulokset!$G$64-Tulokset!$I$64),0,IF(Tulokset!$G$64=Tulokset!$I$64,IF(AND('3'!$I$65=Tulokset!$G$64,'3'!$K$65=Tulokset!$I$64),6,3),MAX(0,6-(ABS('3'!$I$65-Tulokset!$G$64)+ABS('3'!$K$65-Tulokset!$I$64))))))</f>
        <v/>
      </c>
      <c r="BO6" t="str">
        <f>IF(OR(Tulokset!$G$65="",Tulokset!$I$65="",'3'!$I$66="",'3'!$K$66=""),"",IF(SIGN('3'!$I$66-'3'!$K$66)&lt;&gt;SIGN(Tulokset!$G$65-Tulokset!$I$65),0,IF(Tulokset!$G$65=Tulokset!$I$65,IF(AND('3'!$I$66=Tulokset!$G$65,'3'!$K$66=Tulokset!$I$65),6,3),MAX(0,6-(ABS('3'!$I$66-Tulokset!$G$65)+ABS('3'!$K$66-Tulokset!$I$65))))))</f>
        <v/>
      </c>
      <c r="BP6" t="str">
        <f>IF(OR(Tulokset!$G$66="",Tulokset!$I$66="",'3'!$I$67="",'3'!$K$67=""),"",IF(SIGN('3'!$I$67-'3'!$K$67)&lt;&gt;SIGN(Tulokset!$G$66-Tulokset!$I$66),0,IF(Tulokset!$G$66=Tulokset!$I$66,IF(AND('3'!$I$67=Tulokset!$G$66,'3'!$K$67=Tulokset!$I$66),6,3),MAX(0,6-(ABS('3'!$I$67-Tulokset!$G$66)+ABS('3'!$K$67-Tulokset!$I$66))))))</f>
        <v/>
      </c>
      <c r="BQ6" t="str">
        <f>IF(OR(Tulokset!$G$67="",Tulokset!$I$67="",'3'!$I$68="",'3'!$K$68=""),"",IF(SIGN('3'!$I$68-'3'!$K$68)&lt;&gt;SIGN(Tulokset!$G$67-Tulokset!$I$67),0,IF(Tulokset!$G$67=Tulokset!$I$67,IF(AND('3'!$I$68=Tulokset!$G$67,'3'!$K$68=Tulokset!$I$67),6,3),MAX(0,6-(ABS('3'!$I$68-Tulokset!$G$67)+ABS('3'!$K$68-Tulokset!$I$67))))))</f>
        <v/>
      </c>
      <c r="BR6" t="str">
        <f>IF(OR(Tulokset!$G$68="",Tulokset!$I$68="",'3'!$I$69="",'3'!$K$69=""),"",IF(SIGN('3'!$I$69-'3'!$K$69)&lt;&gt;SIGN(Tulokset!$G$68-Tulokset!$I$68),0,IF(Tulokset!$G$68=Tulokset!$I$68,IF(AND('3'!$I$69=Tulokset!$G$68,'3'!$K$69=Tulokset!$I$68),6,3),MAX(0,6-(ABS('3'!$I$69-Tulokset!$G$68)+ABS('3'!$K$69-Tulokset!$I$68))))))</f>
        <v/>
      </c>
      <c r="BS6" t="str">
        <f>IF(OR(Tulokset!$G$69="",Tulokset!$I$69="",'3'!$I$70="",'3'!$K$70=""),"",IF(SIGN('3'!$I$70-'3'!$K$70)&lt;&gt;SIGN(Tulokset!$G$69-Tulokset!$I$69),0,IF(Tulokset!$G$69=Tulokset!$I$69,IF(AND('3'!$I$70=Tulokset!$G$69,'3'!$K$70=Tulokset!$I$69),6,3),MAX(0,6-(ABS('3'!$I$70-Tulokset!$G$69)+ABS('3'!$K$70-Tulokset!$I$69))))))</f>
        <v/>
      </c>
      <c r="BT6" t="str">
        <f>IF(OR(Tulokset!$G$70="",Tulokset!$I$70="",'3'!$I$71="",'3'!$K$71=""),"",IF(SIGN('3'!$I$71-'3'!$K$71)&lt;&gt;SIGN(Tulokset!$G$70-Tulokset!$I$70),0,IF(Tulokset!$G$70=Tulokset!$I$70,IF(AND('3'!$I$71=Tulokset!$G$70,'3'!$K$71=Tulokset!$I$70),6,3),MAX(0,6-(ABS('3'!$I$71-Tulokset!$G$70)+ABS('3'!$K$71-Tulokset!$I$70))))))</f>
        <v/>
      </c>
      <c r="BU6" t="str">
        <f>IF(OR(Tulokset!$G$71="",Tulokset!$I$71="",'3'!$I$72="",'3'!$K$72=""),"",IF(SIGN('3'!$I$72-'3'!$K$72)&lt;&gt;SIGN(Tulokset!$G$71-Tulokset!$I$71),0,IF(Tulokset!$G$71=Tulokset!$I$71,IF(AND('3'!$I$72=Tulokset!$G$71,'3'!$K$72=Tulokset!$I$71),6,3),MAX(0,6-(ABS('3'!$I$72-Tulokset!$G$71)+ABS('3'!$K$72-Tulokset!$I$71))))))</f>
        <v/>
      </c>
      <c r="BV6" t="str">
        <f>IF(OR(Tulokset!$G$72="",Tulokset!$I$72="",'3'!$I$73="",'3'!$K$73=""),"",IF(SIGN('3'!$I$73-'3'!$K$73)&lt;&gt;SIGN(Tulokset!$G$72-Tulokset!$I$72),0,IF(Tulokset!$G$72=Tulokset!$I$72,IF(AND('3'!$I$73=Tulokset!$G$72,'3'!$K$73=Tulokset!$I$72),6,3),MAX(0,6-(ABS('3'!$I$73-Tulokset!$G$72)+ABS('3'!$K$73-Tulokset!$I$72))))))</f>
        <v/>
      </c>
      <c r="BW6" t="str">
        <f>IF(OR(Tulokset!$G$73="",Tulokset!$I$73="",'3'!$I$74="",'3'!$K$74=""),"",IF(SIGN('3'!$I$74-'3'!$K$74)&lt;&gt;SIGN(Tulokset!$G$73-Tulokset!$I$73),0,IF(Tulokset!$G$73=Tulokset!$I$73,IF(AND('3'!$I$74=Tulokset!$G$73,'3'!$K$74=Tulokset!$I$73),6,3),MAX(0,6-(ABS('3'!$I$74-Tulokset!$G$73)+ABS('3'!$K$74-Tulokset!$I$73))))))</f>
        <v/>
      </c>
      <c r="BX6" t="str">
        <f>IF(OR(Tulokset!$G$74="",Tulokset!$I$74="",'3'!$I$75="",'3'!$K$75=""),"",IF(SIGN('3'!$I$75-'3'!$K$75)&lt;&gt;SIGN(Tulokset!$G$74-Tulokset!$I$74),0,IF(Tulokset!$G$74=Tulokset!$I$74,IF(AND('3'!$I$75=Tulokset!$G$74,'3'!$K$75=Tulokset!$I$74),6,3),MAX(0,6-(ABS('3'!$I$75-Tulokset!$G$74)+ABS('3'!$K$75-Tulokset!$I$74))))))</f>
        <v/>
      </c>
      <c r="BY6" t="str">
        <f>IF(OR(Tulokset!$G$75="",Tulokset!$I$75="",'3'!$I$76="",'3'!$K$76=""),"",IF(SIGN('3'!$I$76-'3'!$K$76)&lt;&gt;SIGN(Tulokset!$G$75-Tulokset!$I$75),0,IF(Tulokset!$G$75=Tulokset!$I$75,IF(AND('3'!$I$76=Tulokset!$G$75,'3'!$K$76=Tulokset!$I$75),6,3),MAX(0,6-(ABS('3'!$I$76-Tulokset!$G$75)+ABS('3'!$K$76-Tulokset!$I$75))))))</f>
        <v/>
      </c>
      <c r="BZ6" t="str">
        <f>IF(OR(Tulokset!$G$76="",Tulokset!$I$76="",'3'!$I$77="",'3'!$K$77=""),"",IF(SIGN('3'!$I$77-'3'!$K$77)&lt;&gt;SIGN(Tulokset!$G$76-Tulokset!$I$76),0,IF(Tulokset!$G$76=Tulokset!$I$76,IF(AND('3'!$I$77=Tulokset!$G$76,'3'!$K$77=Tulokset!$I$76),6,3),MAX(0,6-(ABS('3'!$I$77-Tulokset!$G$76)+ABS('3'!$K$77-Tulokset!$I$76))))))</f>
        <v/>
      </c>
      <c r="CA6" t="str">
        <f>IF(OR(Tulokset!$G$77="",Tulokset!$I$77="",'3'!$I$78="",'3'!$K$78=""),"",IF(SIGN('3'!$I$78-'3'!$K$78)&lt;&gt;SIGN(Tulokset!$G$77-Tulokset!$I$77),0,IF(Tulokset!$G$77=Tulokset!$I$77,IF(AND('3'!$I$78=Tulokset!$G$77,'3'!$K$78=Tulokset!$I$77),6,3),MAX(0,6-(ABS('3'!$I$78-Tulokset!$G$77)+ABS('3'!$K$78-Tulokset!$I$77))))))</f>
        <v/>
      </c>
      <c r="CD6" t="str">
        <f ca="1">IF(OR(Tulokset!$M$6="",INDIRECT("'"&amp;$A6&amp;"'!$P$8")=""),"",IF(TRIM(INDIRECT("'"&amp;$A6&amp;"'!$P$8"))=TRIM(Tulokset!$M$6),2,0))</f>
        <v/>
      </c>
      <c r="CE6" t="str">
        <f ca="1">IF(OR(Tulokset!$M$7="",INDIRECT("'"&amp;$A6&amp;"'!$P$9")=""),"",IF(TRIM(INDIRECT("'"&amp;$A6&amp;"'!$P$9"))=TRIM(Tulokset!$M$7),2,0))</f>
        <v/>
      </c>
      <c r="CF6" t="str">
        <f ca="1">IF(OR(Tulokset!$M$8="",INDIRECT("'"&amp;$A6&amp;"'!$P$10")=""),"",IF(TRIM(INDIRECT("'"&amp;$A6&amp;"'!$P$10"))=TRIM(Tulokset!$M$8),2,0))</f>
        <v/>
      </c>
      <c r="CG6" t="str">
        <f ca="1">IF(OR(Tulokset!$M$9="",INDIRECT("'"&amp;$A6&amp;"'!$P$11")=""),"",IF(TRIM(INDIRECT("'"&amp;$A6&amp;"'!$P$11"))=TRIM(Tulokset!$M$9),2,0))</f>
        <v/>
      </c>
      <c r="CH6" t="str">
        <f ca="1">IF(OR(Tulokset!$N$6="",INDIRECT("'"&amp;$A6&amp;"'!$Q$8")=""),"",IF(TRIM(INDIRECT("'"&amp;$A6&amp;"'!$Q$8"))=TRIM(Tulokset!$N$6),2,0))</f>
        <v/>
      </c>
      <c r="CI6" t="str">
        <f ca="1">IF(OR(Tulokset!$N$7="",INDIRECT("'"&amp;$A6&amp;"'!$Q$9")=""),"",IF(TRIM(INDIRECT("'"&amp;$A6&amp;"'!$Q$9"))=TRIM(Tulokset!$N$7),2,0))</f>
        <v/>
      </c>
      <c r="CJ6" t="str">
        <f ca="1">IF(OR(Tulokset!$N$8="",INDIRECT("'"&amp;$A6&amp;"'!$Q$10")=""),"",IF(TRIM(INDIRECT("'"&amp;$A6&amp;"'!$Q$10"))=TRIM(Tulokset!$N$8),2,0))</f>
        <v/>
      </c>
      <c r="CK6" t="str">
        <f ca="1">IF(OR(Tulokset!$N$9="",INDIRECT("'"&amp;$A6&amp;"'!$Q$11")=""),"",IF(TRIM(INDIRECT("'"&amp;$A6&amp;"'!$Q$11"))=TRIM(Tulokset!$N$9),2,0))</f>
        <v/>
      </c>
      <c r="CL6" t="str">
        <f ca="1">IF(OR(Tulokset!$O$6="",INDIRECT("'"&amp;$A6&amp;"'!$R$8")=""),"",IF(TRIM(INDIRECT("'"&amp;$A6&amp;"'!$R$8"))=TRIM(Tulokset!$O$6),2,0))</f>
        <v/>
      </c>
      <c r="CM6" t="str">
        <f ca="1">IF(OR(Tulokset!$O$7="",INDIRECT("'"&amp;$A6&amp;"'!$R$9")=""),"",IF(TRIM(INDIRECT("'"&amp;$A6&amp;"'!$R$9"))=TRIM(Tulokset!$O$7),2,0))</f>
        <v/>
      </c>
      <c r="CN6" t="str">
        <f ca="1">IF(OR(Tulokset!$O$8="",INDIRECT("'"&amp;$A6&amp;"'!$R$10")=""),"",IF(TRIM(INDIRECT("'"&amp;$A6&amp;"'!$R$10"))=TRIM(Tulokset!$O$8),2,0))</f>
        <v/>
      </c>
      <c r="CO6" t="str">
        <f ca="1">IF(OR(Tulokset!$O$9="",INDIRECT("'"&amp;$A6&amp;"'!$R$11")=""),"",IF(TRIM(INDIRECT("'"&amp;$A6&amp;"'!$R$11"))=TRIM(Tulokset!$O$9),2,0))</f>
        <v/>
      </c>
      <c r="CP6" t="str">
        <f ca="1">IF(OR(Tulokset!$P$6="",INDIRECT("'"&amp;$A6&amp;"'!$S$8")=""),"",IF(TRIM(INDIRECT("'"&amp;$A6&amp;"'!$S$8"))=TRIM(Tulokset!$P$6),2,0))</f>
        <v/>
      </c>
      <c r="CQ6" t="str">
        <f ca="1">IF(OR(Tulokset!$P$7="",INDIRECT("'"&amp;$A6&amp;"'!$S$9")=""),"",IF(TRIM(INDIRECT("'"&amp;$A6&amp;"'!$S$9"))=TRIM(Tulokset!$P$7),2,0))</f>
        <v/>
      </c>
      <c r="CR6" t="str">
        <f ca="1">IF(OR(Tulokset!$P$8="",INDIRECT("'"&amp;$A6&amp;"'!$S$10")=""),"",IF(TRIM(INDIRECT("'"&amp;$A6&amp;"'!$S$10"))=TRIM(Tulokset!$P$8),2,0))</f>
        <v/>
      </c>
      <c r="CS6" t="str">
        <f ca="1">IF(OR(Tulokset!$P$9="",INDIRECT("'"&amp;$A6&amp;"'!$S$11")=""),"",IF(TRIM(INDIRECT("'"&amp;$A6&amp;"'!$S$11"))=TRIM(Tulokset!$P$9),2,0))</f>
        <v/>
      </c>
      <c r="CT6" t="str">
        <f ca="1">IF(OR(Tulokset!$Q$6="",INDIRECT("'"&amp;$A6&amp;"'!$T$8")=""),"",IF(TRIM(INDIRECT("'"&amp;$A6&amp;"'!$T$8"))=TRIM(Tulokset!$Q$6),2,0))</f>
        <v/>
      </c>
      <c r="CU6" t="str">
        <f ca="1">IF(OR(Tulokset!$Q$7="",INDIRECT("'"&amp;$A6&amp;"'!$T$9")=""),"",IF(TRIM(INDIRECT("'"&amp;$A6&amp;"'!$T$9"))=TRIM(Tulokset!$Q$7),2,0))</f>
        <v/>
      </c>
      <c r="CV6" t="str">
        <f ca="1">IF(OR(Tulokset!$Q$8="",INDIRECT("'"&amp;$A6&amp;"'!$T$10")=""),"",IF(TRIM(INDIRECT("'"&amp;$A6&amp;"'!$T$10"))=TRIM(Tulokset!$Q$8),2,0))</f>
        <v/>
      </c>
      <c r="CW6" t="str">
        <f ca="1">IF(OR(Tulokset!$Q$9="",INDIRECT("'"&amp;$A6&amp;"'!$T$11")=""),"",IF(TRIM(INDIRECT("'"&amp;$A6&amp;"'!$T$11"))=TRIM(Tulokset!$Q$9),2,0))</f>
        <v/>
      </c>
      <c r="CX6" t="str">
        <f ca="1">IF(OR(Tulokset!$R$6="",INDIRECT("'"&amp;$A6&amp;"'!$U$8")=""),"",IF(TRIM(INDIRECT("'"&amp;$A6&amp;"'!$U$8"))=TRIM(Tulokset!$R$6),2,0))</f>
        <v/>
      </c>
      <c r="CY6" t="str">
        <f ca="1">IF(OR(Tulokset!$R$7="",INDIRECT("'"&amp;$A6&amp;"'!$U$9")=""),"",IF(TRIM(INDIRECT("'"&amp;$A6&amp;"'!$U$9"))=TRIM(Tulokset!$R$7),2,0))</f>
        <v/>
      </c>
      <c r="CZ6" t="str">
        <f ca="1">IF(OR(Tulokset!$R$8="",INDIRECT("'"&amp;$A6&amp;"'!$U$10")=""),"",IF(TRIM(INDIRECT("'"&amp;$A6&amp;"'!$U$10"))=TRIM(Tulokset!$R$8),2,0))</f>
        <v/>
      </c>
      <c r="DA6" t="str">
        <f ca="1">IF(OR(Tulokset!$R$9="",INDIRECT("'"&amp;$A6&amp;"'!$U$11")=""),"",IF(TRIM(INDIRECT("'"&amp;$A6&amp;"'!$U$11"))=TRIM(Tulokset!$R$9),2,0))</f>
        <v/>
      </c>
      <c r="DB6" t="str">
        <f ca="1">IF(OR(Tulokset!$M$12="",INDIRECT("'"&amp;$A6&amp;"'!$P$14")=""),"",IF(TRIM(INDIRECT("'"&amp;$A6&amp;"'!$P$14"))=TRIM(Tulokset!$M$12),2,0))</f>
        <v/>
      </c>
      <c r="DC6" t="str">
        <f ca="1">IF(OR(Tulokset!$M$13="",INDIRECT("'"&amp;$A6&amp;"'!$P$15")=""),"",IF(TRIM(INDIRECT("'"&amp;$A6&amp;"'!$P$15"))=TRIM(Tulokset!$M$13),2,0))</f>
        <v/>
      </c>
      <c r="DD6" t="str">
        <f ca="1">IF(OR(Tulokset!$M$14="",INDIRECT("'"&amp;$A6&amp;"'!$P$16")=""),"",IF(TRIM(INDIRECT("'"&amp;$A6&amp;"'!$P$16"))=TRIM(Tulokset!$M$14),2,0))</f>
        <v/>
      </c>
      <c r="DE6" t="str">
        <f ca="1">IF(OR(Tulokset!$M$15="",INDIRECT("'"&amp;$A6&amp;"'!$P$17")=""),"",IF(TRIM(INDIRECT("'"&amp;$A6&amp;"'!$P$17"))=TRIM(Tulokset!$M$15),2,0))</f>
        <v/>
      </c>
      <c r="DF6" t="str">
        <f ca="1">IF(OR(Tulokset!$N$12="",INDIRECT("'"&amp;$A6&amp;"'!$Q$14")=""),"",IF(TRIM(INDIRECT("'"&amp;$A6&amp;"'!$Q$14"))=TRIM(Tulokset!$N$12),2,0))</f>
        <v/>
      </c>
      <c r="DG6" t="str">
        <f ca="1">IF(OR(Tulokset!$N$13="",INDIRECT("'"&amp;$A6&amp;"'!$Q$15")=""),"",IF(TRIM(INDIRECT("'"&amp;$A6&amp;"'!$Q$15"))=TRIM(Tulokset!$N$13),2,0))</f>
        <v/>
      </c>
      <c r="DH6" t="str">
        <f ca="1">IF(OR(Tulokset!$N$14="",INDIRECT("'"&amp;$A6&amp;"'!$Q$16")=""),"",IF(TRIM(INDIRECT("'"&amp;$A6&amp;"'!$Q$16"))=TRIM(Tulokset!$N$14),2,0))</f>
        <v/>
      </c>
      <c r="DI6" t="str">
        <f ca="1">IF(OR(Tulokset!$N$15="",INDIRECT("'"&amp;$A6&amp;"'!$Q$17")=""),"",IF(TRIM(INDIRECT("'"&amp;$A6&amp;"'!$Q$17"))=TRIM(Tulokset!$N$15),2,0))</f>
        <v/>
      </c>
      <c r="DJ6" t="str">
        <f ca="1">IF(OR(Tulokset!$O$12="",INDIRECT("'"&amp;$A6&amp;"'!$R$14")=""),"",IF(TRIM(INDIRECT("'"&amp;$A6&amp;"'!$R$14"))=TRIM(Tulokset!$O$12),2,0))</f>
        <v/>
      </c>
      <c r="DK6" t="str">
        <f ca="1">IF(OR(Tulokset!$O$13="",INDIRECT("'"&amp;$A6&amp;"'!$R$15")=""),"",IF(TRIM(INDIRECT("'"&amp;$A6&amp;"'!$R$15"))=TRIM(Tulokset!$O$13),2,0))</f>
        <v/>
      </c>
      <c r="DL6" t="str">
        <f ca="1">IF(OR(Tulokset!$O$14="",INDIRECT("'"&amp;$A6&amp;"'!$R$16")=""),"",IF(TRIM(INDIRECT("'"&amp;$A6&amp;"'!$R$16"))=TRIM(Tulokset!$O$14),2,0))</f>
        <v/>
      </c>
      <c r="DM6" t="str">
        <f ca="1">IF(OR(Tulokset!$O$15="",INDIRECT("'"&amp;$A6&amp;"'!$R$17")=""),"",IF(TRIM(INDIRECT("'"&amp;$A6&amp;"'!$R$17"))=TRIM(Tulokset!$O$15),2,0))</f>
        <v/>
      </c>
      <c r="DN6" t="str">
        <f ca="1">IF(OR(Tulokset!$P$12="",INDIRECT("'"&amp;$A6&amp;"'!$S$14")=""),"",IF(TRIM(INDIRECT("'"&amp;$A6&amp;"'!$S$14"))=TRIM(Tulokset!$P$12),2,0))</f>
        <v/>
      </c>
      <c r="DO6" t="str">
        <f ca="1">IF(OR(Tulokset!$P$13="",INDIRECT("'"&amp;$A6&amp;"'!$S$15")=""),"",IF(TRIM(INDIRECT("'"&amp;$A6&amp;"'!$S$15"))=TRIM(Tulokset!$P$13),2,0))</f>
        <v/>
      </c>
      <c r="DP6" t="str">
        <f ca="1">IF(OR(Tulokset!$P$14="",INDIRECT("'"&amp;$A6&amp;"'!$S$16")=""),"",IF(TRIM(INDIRECT("'"&amp;$A6&amp;"'!$S$16"))=TRIM(Tulokset!$P$14),2,0))</f>
        <v/>
      </c>
      <c r="DQ6" t="str">
        <f ca="1">IF(OR(Tulokset!$P$15="",INDIRECT("'"&amp;$A6&amp;"'!$S$17")=""),"",IF(TRIM(INDIRECT("'"&amp;$A6&amp;"'!$S$17"))=TRIM(Tulokset!$P$15),2,0))</f>
        <v/>
      </c>
      <c r="DR6" t="str">
        <f ca="1">IF(OR(Tulokset!$Q$12="",INDIRECT("'"&amp;$A6&amp;"'!$T$14")=""),"",IF(TRIM(INDIRECT("'"&amp;$A6&amp;"'!$T$14"))=TRIM(Tulokset!$Q$12),2,0))</f>
        <v/>
      </c>
      <c r="DS6" t="str">
        <f ca="1">IF(OR(Tulokset!$Q$13="",INDIRECT("'"&amp;$A6&amp;"'!$T$15")=""),"",IF(TRIM(INDIRECT("'"&amp;$A6&amp;"'!$T$15"))=TRIM(Tulokset!$Q$13),2,0))</f>
        <v/>
      </c>
      <c r="DT6" t="str">
        <f ca="1">IF(OR(Tulokset!$Q$14="",INDIRECT("'"&amp;$A6&amp;"'!$T$16")=""),"",IF(TRIM(INDIRECT("'"&amp;$A6&amp;"'!$T$16"))=TRIM(Tulokset!$Q$14),2,0))</f>
        <v/>
      </c>
      <c r="DU6" t="str">
        <f ca="1">IF(OR(Tulokset!$Q$15="",INDIRECT("'"&amp;$A6&amp;"'!$T$17")=""),"",IF(TRIM(INDIRECT("'"&amp;$A6&amp;"'!$T$17"))=TRIM(Tulokset!$Q$15),2,0))</f>
        <v/>
      </c>
      <c r="DV6" t="str">
        <f ca="1">IF(OR(Tulokset!$R$12="",INDIRECT("'"&amp;$A6&amp;"'!$U$14")=""),"",IF(TRIM(INDIRECT("'"&amp;$A6&amp;"'!$U$14"))=TRIM(Tulokset!$R$12),2,0))</f>
        <v/>
      </c>
      <c r="DW6" t="str">
        <f ca="1">IF(OR(Tulokset!$R$13="",INDIRECT("'"&amp;$A6&amp;"'!$U$15")=""),"",IF(TRIM(INDIRECT("'"&amp;$A6&amp;"'!$U$15"))=TRIM(Tulokset!$R$13),2,0))</f>
        <v/>
      </c>
      <c r="DX6" t="str">
        <f ca="1">IF(OR(Tulokset!$R$14="",INDIRECT("'"&amp;$A6&amp;"'!$U$16")=""),"",IF(TRIM(INDIRECT("'"&amp;$A6&amp;"'!$U$16"))=TRIM(Tulokset!$R$14),2,0))</f>
        <v/>
      </c>
      <c r="DY6" t="str">
        <f ca="1">IF(OR(Tulokset!$R$15="",INDIRECT("'"&amp;$A6&amp;"'!$U$17")=""),"",IF(TRIM(INDIRECT("'"&amp;$A6&amp;"'!$U$17"))=TRIM(Tulokset!$R$15),2,0))</f>
        <v/>
      </c>
      <c r="EA6" t="str">
        <f ca="1">IF(OR(INDIRECT("'"&amp;$A6&amp;"'!$E$79")="",COUNTA(Tulokset!$M$20:$M$21)=0),"",IF(COUNTIF(Tulokset!$M$20:$M$21,INDIRECT("'"&amp;$A6&amp;"'!$E$79"))&gt;0,2,0))</f>
        <v/>
      </c>
      <c r="EB6" t="str">
        <f ca="1">IF(OR(INDIRECT("'"&amp;$A6&amp;"'!$G$79")="",COUNTA(Tulokset!$M$20:$M$21)=0),"",IF(COUNTIF(Tulokset!$M$20:$M$21,INDIRECT("'"&amp;$A6&amp;"'!$G$79"))&gt;0,2,0))</f>
        <v/>
      </c>
      <c r="EC6" t="str">
        <f ca="1">IF(OR(INDIRECT("'"&amp;$A6&amp;"'!$E$80")="",COUNTA(Tulokset!$M$23:$M$24)=0),"",IF(COUNTIF(Tulokset!$M$23:$M$24,INDIRECT("'"&amp;$A6&amp;"'!$E$80"))&gt;0,2,0))</f>
        <v/>
      </c>
      <c r="ED6" t="str">
        <f ca="1">IF(OR(INDIRECT("'"&amp;$A6&amp;"'!$G$80")="",COUNTA(Tulokset!$M$23:$M$24)=0),"",IF(COUNTIF(Tulokset!$M$23:$M$24,INDIRECT("'"&amp;$A6&amp;"'!$G$80"))&gt;0,2,0))</f>
        <v/>
      </c>
    </row>
    <row r="7" spans="1:134">
      <c r="A7" t="s">
        <v>217</v>
      </c>
      <c r="B7" t="str">
        <f t="shared" ca="1" si="0"/>
        <v>The Moka</v>
      </c>
      <c r="C7" s="95">
        <f t="shared" si="1"/>
        <v>0</v>
      </c>
      <c r="D7" s="95">
        <f t="shared" ca="1" si="2"/>
        <v>0</v>
      </c>
      <c r="E7" s="95">
        <f t="shared" ca="1" si="3"/>
        <v>0</v>
      </c>
      <c r="F7" s="95">
        <f t="shared" ca="1" si="4"/>
        <v>0</v>
      </c>
      <c r="G7" s="95">
        <f t="shared" si="5"/>
        <v>0</v>
      </c>
      <c r="H7" t="str">
        <f>IF(OR(Tulokset!$G$6="",Tulokset!$I$6="",'4'!$I$7="",'4'!$K$7=""),"",IF(SIGN('4'!$I$7-'4'!$K$7)&lt;&gt;SIGN(Tulokset!$G$6-Tulokset!$I$6),0,IF(Tulokset!$G$6=Tulokset!$I$6,IF(AND('4'!$I$7=Tulokset!$G$6,'4'!$K$7=Tulokset!$I$6),6,3),MAX(0,6-(ABS('4'!$I$7-Tulokset!$G$6)+ABS('4'!$K$7-Tulokset!$I$6))))))</f>
        <v/>
      </c>
      <c r="I7" t="str">
        <f>IF(OR(Tulokset!$G$7="",Tulokset!$I$7="",'4'!$I$8="",'4'!$K$8=""),"",IF(SIGN('4'!$I$8-'4'!$K$8)&lt;&gt;SIGN(Tulokset!$G$7-Tulokset!$I$7),0,IF(Tulokset!$G$7=Tulokset!$I$7,IF(AND('4'!$I$8=Tulokset!$G$7,'4'!$K$8=Tulokset!$I$7),6,3),MAX(0,6-(ABS('4'!$I$8-Tulokset!$G$7)+ABS('4'!$K$8-Tulokset!$I$7))))))</f>
        <v/>
      </c>
      <c r="J7" t="str">
        <f>IF(OR(Tulokset!$G$8="",Tulokset!$I$8="",'4'!$I$9="",'4'!$K$9=""),"",IF(SIGN('4'!$I$9-'4'!$K$9)&lt;&gt;SIGN(Tulokset!$G$8-Tulokset!$I$8),0,IF(Tulokset!$G$8=Tulokset!$I$8,IF(AND('4'!$I$9=Tulokset!$G$8,'4'!$K$9=Tulokset!$I$8),6,3),MAX(0,6-(ABS('4'!$I$9-Tulokset!$G$8)+ABS('4'!$K$9-Tulokset!$I$8))))))</f>
        <v/>
      </c>
      <c r="K7" t="str">
        <f>IF(OR(Tulokset!$G$9="",Tulokset!$I$9="",'4'!$I$10="",'4'!$K$10=""),"",IF(SIGN('4'!$I$10-'4'!$K$10)&lt;&gt;SIGN(Tulokset!$G$9-Tulokset!$I$9),0,IF(Tulokset!$G$9=Tulokset!$I$9,IF(AND('4'!$I$10=Tulokset!$G$9,'4'!$K$10=Tulokset!$I$9),6,3),MAX(0,6-(ABS('4'!$I$10-Tulokset!$G$9)+ABS('4'!$K$10-Tulokset!$I$9))))))</f>
        <v/>
      </c>
      <c r="L7" t="str">
        <f>IF(OR(Tulokset!$G$10="",Tulokset!$I$10="",'4'!$I$11="",'4'!$K$11=""),"",IF(SIGN('4'!$I$11-'4'!$K$11)&lt;&gt;SIGN(Tulokset!$G$10-Tulokset!$I$10),0,IF(Tulokset!$G$10=Tulokset!$I$10,IF(AND('4'!$I$11=Tulokset!$G$10,'4'!$K$11=Tulokset!$I$10),6,3),MAX(0,6-(ABS('4'!$I$11-Tulokset!$G$10)+ABS('4'!$K$11-Tulokset!$I$10))))))</f>
        <v/>
      </c>
      <c r="M7" t="str">
        <f>IF(OR(Tulokset!$G$11="",Tulokset!$I$11="",'4'!$I$12="",'4'!$K$12=""),"",IF(SIGN('4'!$I$12-'4'!$K$12)&lt;&gt;SIGN(Tulokset!$G$11-Tulokset!$I$11),0,IF(Tulokset!$G$11=Tulokset!$I$11,IF(AND('4'!$I$12=Tulokset!$G$11,'4'!$K$12=Tulokset!$I$11),6,3),MAX(0,6-(ABS('4'!$I$12-Tulokset!$G$11)+ABS('4'!$K$12-Tulokset!$I$11))))))</f>
        <v/>
      </c>
      <c r="N7" t="str">
        <f>IF(OR(Tulokset!$G$12="",Tulokset!$I$12="",'4'!$I$13="",'4'!$K$13=""),"",IF(SIGN('4'!$I$13-'4'!$K$13)&lt;&gt;SIGN(Tulokset!$G$12-Tulokset!$I$12),0,IF(Tulokset!$G$12=Tulokset!$I$12,IF(AND('4'!$I$13=Tulokset!$G$12,'4'!$K$13=Tulokset!$I$12),6,3),MAX(0,6-(ABS('4'!$I$13-Tulokset!$G$12)+ABS('4'!$K$13-Tulokset!$I$12))))))</f>
        <v/>
      </c>
      <c r="O7" t="str">
        <f>IF(OR(Tulokset!$G$13="",Tulokset!$I$13="",'4'!$I$14="",'4'!$K$14=""),"",IF(SIGN('4'!$I$14-'4'!$K$14)&lt;&gt;SIGN(Tulokset!$G$13-Tulokset!$I$13),0,IF(Tulokset!$G$13=Tulokset!$I$13,IF(AND('4'!$I$14=Tulokset!$G$13,'4'!$K$14=Tulokset!$I$13),6,3),MAX(0,6-(ABS('4'!$I$14-Tulokset!$G$13)+ABS('4'!$K$14-Tulokset!$I$13))))))</f>
        <v/>
      </c>
      <c r="P7" t="str">
        <f>IF(OR(Tulokset!$G$14="",Tulokset!$I$14="",'4'!$I$15="",'4'!$K$15=""),"",IF(SIGN('4'!$I$15-'4'!$K$15)&lt;&gt;SIGN(Tulokset!$G$14-Tulokset!$I$14),0,IF(Tulokset!$G$14=Tulokset!$I$14,IF(AND('4'!$I$15=Tulokset!$G$14,'4'!$K$15=Tulokset!$I$14),6,3),MAX(0,6-(ABS('4'!$I$15-Tulokset!$G$14)+ABS('4'!$K$15-Tulokset!$I$14))))))</f>
        <v/>
      </c>
      <c r="Q7" t="str">
        <f>IF(OR(Tulokset!$G$15="",Tulokset!$I$15="",'4'!$I$16="",'4'!$K$16=""),"",IF(SIGN('4'!$I$16-'4'!$K$16)&lt;&gt;SIGN(Tulokset!$G$15-Tulokset!$I$15),0,IF(Tulokset!$G$15=Tulokset!$I$15,IF(AND('4'!$I$16=Tulokset!$G$15,'4'!$K$16=Tulokset!$I$15),6,3),MAX(0,6-(ABS('4'!$I$16-Tulokset!$G$15)+ABS('4'!$K$16-Tulokset!$I$15))))))</f>
        <v/>
      </c>
      <c r="R7" t="str">
        <f>IF(OR(Tulokset!$G$16="",Tulokset!$I$16="",'4'!$I$17="",'4'!$K$17=""),"",IF(SIGN('4'!$I$17-'4'!$K$17)&lt;&gt;SIGN(Tulokset!$G$16-Tulokset!$I$16),0,IF(Tulokset!$G$16=Tulokset!$I$16,IF(AND('4'!$I$17=Tulokset!$G$16,'4'!$K$17=Tulokset!$I$16),6,3),MAX(0,6-(ABS('4'!$I$17-Tulokset!$G$16)+ABS('4'!$K$17-Tulokset!$I$16))))))</f>
        <v/>
      </c>
      <c r="S7" t="str">
        <f>IF(OR(Tulokset!$G$17="",Tulokset!$I$17="",'4'!$I$18="",'4'!$K$18=""),"",IF(SIGN('4'!$I$18-'4'!$K$18)&lt;&gt;SIGN(Tulokset!$G$17-Tulokset!$I$17),0,IF(Tulokset!$G$17=Tulokset!$I$17,IF(AND('4'!$I$18=Tulokset!$G$17,'4'!$K$18=Tulokset!$I$17),6,3),MAX(0,6-(ABS('4'!$I$18-Tulokset!$G$17)+ABS('4'!$K$18-Tulokset!$I$17))))))</f>
        <v/>
      </c>
      <c r="T7" t="str">
        <f>IF(OR(Tulokset!$G$18="",Tulokset!$I$18="",'4'!$I$19="",'4'!$K$19=""),"",IF(SIGN('4'!$I$19-'4'!$K$19)&lt;&gt;SIGN(Tulokset!$G$18-Tulokset!$I$18),0,IF(Tulokset!$G$18=Tulokset!$I$18,IF(AND('4'!$I$19=Tulokset!$G$18,'4'!$K$19=Tulokset!$I$18),6,3),MAX(0,6-(ABS('4'!$I$19-Tulokset!$G$18)+ABS('4'!$K$19-Tulokset!$I$18))))))</f>
        <v/>
      </c>
      <c r="U7" t="str">
        <f>IF(OR(Tulokset!$G$19="",Tulokset!$I$19="",'4'!$I$20="",'4'!$K$20=""),"",IF(SIGN('4'!$I$20-'4'!$K$20)&lt;&gt;SIGN(Tulokset!$G$19-Tulokset!$I$19),0,IF(Tulokset!$G$19=Tulokset!$I$19,IF(AND('4'!$I$20=Tulokset!$G$19,'4'!$K$20=Tulokset!$I$19),6,3),MAX(0,6-(ABS('4'!$I$20-Tulokset!$G$19)+ABS('4'!$K$20-Tulokset!$I$19))))))</f>
        <v/>
      </c>
      <c r="V7" t="str">
        <f>IF(OR(Tulokset!$G$20="",Tulokset!$I$20="",'4'!$I$21="",'4'!$K$21=""),"",IF(SIGN('4'!$I$21-'4'!$K$21)&lt;&gt;SIGN(Tulokset!$G$20-Tulokset!$I$20),0,IF(Tulokset!$G$20=Tulokset!$I$20,IF(AND('4'!$I$21=Tulokset!$G$20,'4'!$K$21=Tulokset!$I$20),6,3),MAX(0,6-(ABS('4'!$I$21-Tulokset!$G$20)+ABS('4'!$K$21-Tulokset!$I$20))))))</f>
        <v/>
      </c>
      <c r="W7" t="str">
        <f>IF(OR(Tulokset!$G$21="",Tulokset!$I$21="",'4'!$I$22="",'4'!$K$22=""),"",IF(SIGN('4'!$I$22-'4'!$K$22)&lt;&gt;SIGN(Tulokset!$G$21-Tulokset!$I$21),0,IF(Tulokset!$G$21=Tulokset!$I$21,IF(AND('4'!$I$22=Tulokset!$G$21,'4'!$K$22=Tulokset!$I$21),6,3),MAX(0,6-(ABS('4'!$I$22-Tulokset!$G$21)+ABS('4'!$K$22-Tulokset!$I$21))))))</f>
        <v/>
      </c>
      <c r="X7" t="str">
        <f>IF(OR(Tulokset!$G$22="",Tulokset!$I$22="",'4'!$I$23="",'4'!$K$23=""),"",IF(SIGN('4'!$I$23-'4'!$K$23)&lt;&gt;SIGN(Tulokset!$G$22-Tulokset!$I$22),0,IF(Tulokset!$G$22=Tulokset!$I$22,IF(AND('4'!$I$23=Tulokset!$G$22,'4'!$K$23=Tulokset!$I$22),6,3),MAX(0,6-(ABS('4'!$I$23-Tulokset!$G$22)+ABS('4'!$K$23-Tulokset!$I$22))))))</f>
        <v/>
      </c>
      <c r="Y7" t="str">
        <f>IF(OR(Tulokset!$G$23="",Tulokset!$I$23="",'4'!$I$24="",'4'!$K$24=""),"",IF(SIGN('4'!$I$24-'4'!$K$24)&lt;&gt;SIGN(Tulokset!$G$23-Tulokset!$I$23),0,IF(Tulokset!$G$23=Tulokset!$I$23,IF(AND('4'!$I$24=Tulokset!$G$23,'4'!$K$24=Tulokset!$I$23),6,3),MAX(0,6-(ABS('4'!$I$24-Tulokset!$G$23)+ABS('4'!$K$24-Tulokset!$I$23))))))</f>
        <v/>
      </c>
      <c r="Z7" t="str">
        <f>IF(OR(Tulokset!$G$24="",Tulokset!$I$24="",'4'!$I$25="",'4'!$K$25=""),"",IF(SIGN('4'!$I$25-'4'!$K$25)&lt;&gt;SIGN(Tulokset!$G$24-Tulokset!$I$24),0,IF(Tulokset!$G$24=Tulokset!$I$24,IF(AND('4'!$I$25=Tulokset!$G$24,'4'!$K$25=Tulokset!$I$24),6,3),MAX(0,6-(ABS('4'!$I$25-Tulokset!$G$24)+ABS('4'!$K$25-Tulokset!$I$24))))))</f>
        <v/>
      </c>
      <c r="AA7" t="str">
        <f>IF(OR(Tulokset!$G$25="",Tulokset!$I$25="",'4'!$I$26="",'4'!$K$26=""),"",IF(SIGN('4'!$I$26-'4'!$K$26)&lt;&gt;SIGN(Tulokset!$G$25-Tulokset!$I$25),0,IF(Tulokset!$G$25=Tulokset!$I$25,IF(AND('4'!$I$26=Tulokset!$G$25,'4'!$K$26=Tulokset!$I$25),6,3),MAX(0,6-(ABS('4'!$I$26-Tulokset!$G$25)+ABS('4'!$K$26-Tulokset!$I$25))))))</f>
        <v/>
      </c>
      <c r="AB7" t="str">
        <f>IF(OR(Tulokset!$G$26="",Tulokset!$I$26="",'4'!$I$27="",'4'!$K$27=""),"",IF(SIGN('4'!$I$27-'4'!$K$27)&lt;&gt;SIGN(Tulokset!$G$26-Tulokset!$I$26),0,IF(Tulokset!$G$26=Tulokset!$I$26,IF(AND('4'!$I$27=Tulokset!$G$26,'4'!$K$27=Tulokset!$I$26),6,3),MAX(0,6-(ABS('4'!$I$27-Tulokset!$G$26)+ABS('4'!$K$27-Tulokset!$I$26))))))</f>
        <v/>
      </c>
      <c r="AC7" t="str">
        <f>IF(OR(Tulokset!$G$27="",Tulokset!$I$27="",'4'!$I$28="",'4'!$K$28=""),"",IF(SIGN('4'!$I$28-'4'!$K$28)&lt;&gt;SIGN(Tulokset!$G$27-Tulokset!$I$27),0,IF(Tulokset!$G$27=Tulokset!$I$27,IF(AND('4'!$I$28=Tulokset!$G$27,'4'!$K$28=Tulokset!$I$27),6,3),MAX(0,6-(ABS('4'!$I$28-Tulokset!$G$27)+ABS('4'!$K$28-Tulokset!$I$27))))))</f>
        <v/>
      </c>
      <c r="AD7" t="str">
        <f>IF(OR(Tulokset!$G$28="",Tulokset!$I$28="",'4'!$I$29="",'4'!$K$29=""),"",IF(SIGN('4'!$I$29-'4'!$K$29)&lt;&gt;SIGN(Tulokset!$G$28-Tulokset!$I$28),0,IF(Tulokset!$G$28=Tulokset!$I$28,IF(AND('4'!$I$29=Tulokset!$G$28,'4'!$K$29=Tulokset!$I$28),6,3),MAX(0,6-(ABS('4'!$I$29-Tulokset!$G$28)+ABS('4'!$K$29-Tulokset!$I$28))))))</f>
        <v/>
      </c>
      <c r="AE7" t="str">
        <f>IF(OR(Tulokset!$G$29="",Tulokset!$I$29="",'4'!$I$30="",'4'!$K$30=""),"",IF(SIGN('4'!$I$30-'4'!$K$30)&lt;&gt;SIGN(Tulokset!$G$29-Tulokset!$I$29),0,IF(Tulokset!$G$29=Tulokset!$I$29,IF(AND('4'!$I$30=Tulokset!$G$29,'4'!$K$30=Tulokset!$I$29),6,3),MAX(0,6-(ABS('4'!$I$30-Tulokset!$G$29)+ABS('4'!$K$30-Tulokset!$I$29))))))</f>
        <v/>
      </c>
      <c r="AF7" t="str">
        <f>IF(OR(Tulokset!$G$30="",Tulokset!$I$30="",'4'!$I$31="",'4'!$K$31=""),"",IF(SIGN('4'!$I$31-'4'!$K$31)&lt;&gt;SIGN(Tulokset!$G$30-Tulokset!$I$30),0,IF(Tulokset!$G$30=Tulokset!$I$30,IF(AND('4'!$I$31=Tulokset!$G$30,'4'!$K$31=Tulokset!$I$30),6,3),MAX(0,6-(ABS('4'!$I$31-Tulokset!$G$30)+ABS('4'!$K$31-Tulokset!$I$30))))))</f>
        <v/>
      </c>
      <c r="AG7" t="str">
        <f>IF(OR(Tulokset!$G$31="",Tulokset!$I$31="",'4'!$I$32="",'4'!$K$32=""),"",IF(SIGN('4'!$I$32-'4'!$K$32)&lt;&gt;SIGN(Tulokset!$G$31-Tulokset!$I$31),0,IF(Tulokset!$G$31=Tulokset!$I$31,IF(AND('4'!$I$32=Tulokset!$G$31,'4'!$K$32=Tulokset!$I$31),6,3),MAX(0,6-(ABS('4'!$I$32-Tulokset!$G$31)+ABS('4'!$K$32-Tulokset!$I$31))))))</f>
        <v/>
      </c>
      <c r="AH7" t="str">
        <f>IF(OR(Tulokset!$G$32="",Tulokset!$I$32="",'4'!$I$33="",'4'!$K$33=""),"",IF(SIGN('4'!$I$33-'4'!$K$33)&lt;&gt;SIGN(Tulokset!$G$32-Tulokset!$I$32),0,IF(Tulokset!$G$32=Tulokset!$I$32,IF(AND('4'!$I$33=Tulokset!$G$32,'4'!$K$33=Tulokset!$I$32),6,3),MAX(0,6-(ABS('4'!$I$33-Tulokset!$G$32)+ABS('4'!$K$33-Tulokset!$I$32))))))</f>
        <v/>
      </c>
      <c r="AI7" t="str">
        <f>IF(OR(Tulokset!$G$33="",Tulokset!$I$33="",'4'!$I$34="",'4'!$K$34=""),"",IF(SIGN('4'!$I$34-'4'!$K$34)&lt;&gt;SIGN(Tulokset!$G$33-Tulokset!$I$33),0,IF(Tulokset!$G$33=Tulokset!$I$33,IF(AND('4'!$I$34=Tulokset!$G$33,'4'!$K$34=Tulokset!$I$33),6,3),MAX(0,6-(ABS('4'!$I$34-Tulokset!$G$33)+ABS('4'!$K$34-Tulokset!$I$33))))))</f>
        <v/>
      </c>
      <c r="AJ7" t="str">
        <f>IF(OR(Tulokset!$G$34="",Tulokset!$I$34="",'4'!$I$35="",'4'!$K$35=""),"",IF(SIGN('4'!$I$35-'4'!$K$35)&lt;&gt;SIGN(Tulokset!$G$34-Tulokset!$I$34),0,IF(Tulokset!$G$34=Tulokset!$I$34,IF(AND('4'!$I$35=Tulokset!$G$34,'4'!$K$35=Tulokset!$I$34),6,3),MAX(0,6-(ABS('4'!$I$35-Tulokset!$G$34)+ABS('4'!$K$35-Tulokset!$I$34))))))</f>
        <v/>
      </c>
      <c r="AK7" t="str">
        <f>IF(OR(Tulokset!$G$35="",Tulokset!$I$35="",'4'!$I$36="",'4'!$K$36=""),"",IF(SIGN('4'!$I$36-'4'!$K$36)&lt;&gt;SIGN(Tulokset!$G$35-Tulokset!$I$35),0,IF(Tulokset!$G$35=Tulokset!$I$35,IF(AND('4'!$I$36=Tulokset!$G$35,'4'!$K$36=Tulokset!$I$35),6,3),MAX(0,6-(ABS('4'!$I$36-Tulokset!$G$35)+ABS('4'!$K$36-Tulokset!$I$35))))))</f>
        <v/>
      </c>
      <c r="AL7" t="str">
        <f>IF(OR(Tulokset!$G$36="",Tulokset!$I$36="",'4'!$I$37="",'4'!$K$37=""),"",IF(SIGN('4'!$I$37-'4'!$K$37)&lt;&gt;SIGN(Tulokset!$G$36-Tulokset!$I$36),0,IF(Tulokset!$G$36=Tulokset!$I$36,IF(AND('4'!$I$37=Tulokset!$G$36,'4'!$K$37=Tulokset!$I$36),6,3),MAX(0,6-(ABS('4'!$I$37-Tulokset!$G$36)+ABS('4'!$K$37-Tulokset!$I$36))))))</f>
        <v/>
      </c>
      <c r="AM7" t="str">
        <f>IF(OR(Tulokset!$G$37="",Tulokset!$I$37="",'4'!$I$38="",'4'!$K$38=""),"",IF(SIGN('4'!$I$38-'4'!$K$38)&lt;&gt;SIGN(Tulokset!$G$37-Tulokset!$I$37),0,IF(Tulokset!$G$37=Tulokset!$I$37,IF(AND('4'!$I$38=Tulokset!$G$37,'4'!$K$38=Tulokset!$I$37),6,3),MAX(0,6-(ABS('4'!$I$38-Tulokset!$G$37)+ABS('4'!$K$38-Tulokset!$I$37))))))</f>
        <v/>
      </c>
      <c r="AN7" t="str">
        <f>IF(OR(Tulokset!$G$38="",Tulokset!$I$38="",'4'!$I$39="",'4'!$K$39=""),"",IF(SIGN('4'!$I$39-'4'!$K$39)&lt;&gt;SIGN(Tulokset!$G$38-Tulokset!$I$38),0,IF(Tulokset!$G$38=Tulokset!$I$38,IF(AND('4'!$I$39=Tulokset!$G$38,'4'!$K$39=Tulokset!$I$38),6,3),MAX(0,6-(ABS('4'!$I$39-Tulokset!$G$38)+ABS('4'!$K$39-Tulokset!$I$38))))))</f>
        <v/>
      </c>
      <c r="AO7" t="str">
        <f>IF(OR(Tulokset!$G$39="",Tulokset!$I$39="",'4'!$I$40="",'4'!$K$40=""),"",IF(SIGN('4'!$I$40-'4'!$K$40)&lt;&gt;SIGN(Tulokset!$G$39-Tulokset!$I$39),0,IF(Tulokset!$G$39=Tulokset!$I$39,IF(AND('4'!$I$40=Tulokset!$G$39,'4'!$K$40=Tulokset!$I$39),6,3),MAX(0,6-(ABS('4'!$I$40-Tulokset!$G$39)+ABS('4'!$K$40-Tulokset!$I$39))))))</f>
        <v/>
      </c>
      <c r="AP7" t="str">
        <f>IF(OR(Tulokset!$G$40="",Tulokset!$I$40="",'4'!$I$41="",'4'!$K$41=""),"",IF(SIGN('4'!$I$41-'4'!$K$41)&lt;&gt;SIGN(Tulokset!$G$40-Tulokset!$I$40),0,IF(Tulokset!$G$40=Tulokset!$I$40,IF(AND('4'!$I$41=Tulokset!$G$40,'4'!$K$41=Tulokset!$I$40),6,3),MAX(0,6-(ABS('4'!$I$41-Tulokset!$G$40)+ABS('4'!$K$41-Tulokset!$I$40))))))</f>
        <v/>
      </c>
      <c r="AQ7" t="str">
        <f>IF(OR(Tulokset!$G$41="",Tulokset!$I$41="",'4'!$I$42="",'4'!$K$42=""),"",IF(SIGN('4'!$I$42-'4'!$K$42)&lt;&gt;SIGN(Tulokset!$G$41-Tulokset!$I$41),0,IF(Tulokset!$G$41=Tulokset!$I$41,IF(AND('4'!$I$42=Tulokset!$G$41,'4'!$K$42=Tulokset!$I$41),6,3),MAX(0,6-(ABS('4'!$I$42-Tulokset!$G$41)+ABS('4'!$K$42-Tulokset!$I$41))))))</f>
        <v/>
      </c>
      <c r="AR7" t="str">
        <f>IF(OR(Tulokset!$G$42="",Tulokset!$I$42="",'4'!$I$43="",'4'!$K$43=""),"",IF(SIGN('4'!$I$43-'4'!$K$43)&lt;&gt;SIGN(Tulokset!$G$42-Tulokset!$I$42),0,IF(Tulokset!$G$42=Tulokset!$I$42,IF(AND('4'!$I$43=Tulokset!$G$42,'4'!$K$43=Tulokset!$I$42),6,3),MAX(0,6-(ABS('4'!$I$43-Tulokset!$G$42)+ABS('4'!$K$43-Tulokset!$I$42))))))</f>
        <v/>
      </c>
      <c r="AS7" t="str">
        <f>IF(OR(Tulokset!$G$43="",Tulokset!$I$43="",'4'!$I$44="",'4'!$K$44=""),"",IF(SIGN('4'!$I$44-'4'!$K$44)&lt;&gt;SIGN(Tulokset!$G$43-Tulokset!$I$43),0,IF(Tulokset!$G$43=Tulokset!$I$43,IF(AND('4'!$I$44=Tulokset!$G$43,'4'!$K$44=Tulokset!$I$43),6,3),MAX(0,6-(ABS('4'!$I$44-Tulokset!$G$43)+ABS('4'!$K$44-Tulokset!$I$43))))))</f>
        <v/>
      </c>
      <c r="AT7" t="str">
        <f>IF(OR(Tulokset!$G$44="",Tulokset!$I$44="",'4'!$I$45="",'4'!$K$45=""),"",IF(SIGN('4'!$I$45-'4'!$K$45)&lt;&gt;SIGN(Tulokset!$G$44-Tulokset!$I$44),0,IF(Tulokset!$G$44=Tulokset!$I$44,IF(AND('4'!$I$45=Tulokset!$G$44,'4'!$K$45=Tulokset!$I$44),6,3),MAX(0,6-(ABS('4'!$I$45-Tulokset!$G$44)+ABS('4'!$K$45-Tulokset!$I$44))))))</f>
        <v/>
      </c>
      <c r="AU7" t="str">
        <f>IF(OR(Tulokset!$G$45="",Tulokset!$I$45="",'4'!$I$46="",'4'!$K$46=""),"",IF(SIGN('4'!$I$46-'4'!$K$46)&lt;&gt;SIGN(Tulokset!$G$45-Tulokset!$I$45),0,IF(Tulokset!$G$45=Tulokset!$I$45,IF(AND('4'!$I$46=Tulokset!$G$45,'4'!$K$46=Tulokset!$I$45),6,3),MAX(0,6-(ABS('4'!$I$46-Tulokset!$G$45)+ABS('4'!$K$46-Tulokset!$I$45))))))</f>
        <v/>
      </c>
      <c r="AV7" t="str">
        <f>IF(OR(Tulokset!$G$46="",Tulokset!$I$46="",'4'!$I$47="",'4'!$K$47=""),"",IF(SIGN('4'!$I$47-'4'!$K$47)&lt;&gt;SIGN(Tulokset!$G$46-Tulokset!$I$46),0,IF(Tulokset!$G$46=Tulokset!$I$46,IF(AND('4'!$I$47=Tulokset!$G$46,'4'!$K$47=Tulokset!$I$46),6,3),MAX(0,6-(ABS('4'!$I$47-Tulokset!$G$46)+ABS('4'!$K$47-Tulokset!$I$46))))))</f>
        <v/>
      </c>
      <c r="AW7" t="str">
        <f>IF(OR(Tulokset!$G$47="",Tulokset!$I$47="",'4'!$I$48="",'4'!$K$48=""),"",IF(SIGN('4'!$I$48-'4'!$K$48)&lt;&gt;SIGN(Tulokset!$G$47-Tulokset!$I$47),0,IF(Tulokset!$G$47=Tulokset!$I$47,IF(AND('4'!$I$48=Tulokset!$G$47,'4'!$K$48=Tulokset!$I$47),6,3),MAX(0,6-(ABS('4'!$I$48-Tulokset!$G$47)+ABS('4'!$K$48-Tulokset!$I$47))))))</f>
        <v/>
      </c>
      <c r="AX7" t="str">
        <f>IF(OR(Tulokset!$G$48="",Tulokset!$I$48="",'4'!$I$49="",'4'!$K$49=""),"",IF(SIGN('4'!$I$49-'4'!$K$49)&lt;&gt;SIGN(Tulokset!$G$48-Tulokset!$I$48),0,IF(Tulokset!$G$48=Tulokset!$I$48,IF(AND('4'!$I$49=Tulokset!$G$48,'4'!$K$49=Tulokset!$I$48),6,3),MAX(0,6-(ABS('4'!$I$49-Tulokset!$G$48)+ABS('4'!$K$49-Tulokset!$I$48))))))</f>
        <v/>
      </c>
      <c r="AY7" t="str">
        <f>IF(OR(Tulokset!$G$49="",Tulokset!$I$49="",'4'!$I$50="",'4'!$K$50=""),"",IF(SIGN('4'!$I$50-'4'!$K$50)&lt;&gt;SIGN(Tulokset!$G$49-Tulokset!$I$49),0,IF(Tulokset!$G$49=Tulokset!$I$49,IF(AND('4'!$I$50=Tulokset!$G$49,'4'!$K$50=Tulokset!$I$49),6,3),MAX(0,6-(ABS('4'!$I$50-Tulokset!$G$49)+ABS('4'!$K$50-Tulokset!$I$49))))))</f>
        <v/>
      </c>
      <c r="AZ7" t="str">
        <f>IF(OR(Tulokset!$G$50="",Tulokset!$I$50="",'4'!$I$51="",'4'!$K$51=""),"",IF(SIGN('4'!$I$51-'4'!$K$51)&lt;&gt;SIGN(Tulokset!$G$50-Tulokset!$I$50),0,IF(Tulokset!$G$50=Tulokset!$I$50,IF(AND('4'!$I$51=Tulokset!$G$50,'4'!$K$51=Tulokset!$I$50),6,3),MAX(0,6-(ABS('4'!$I$51-Tulokset!$G$50)+ABS('4'!$K$51-Tulokset!$I$50))))))</f>
        <v/>
      </c>
      <c r="BA7" t="str">
        <f>IF(OR(Tulokset!$G$51="",Tulokset!$I$51="",'4'!$I$52="",'4'!$K$52=""),"",IF(SIGN('4'!$I$52-'4'!$K$52)&lt;&gt;SIGN(Tulokset!$G$51-Tulokset!$I$51),0,IF(Tulokset!$G$51=Tulokset!$I$51,IF(AND('4'!$I$52=Tulokset!$G$51,'4'!$K$52=Tulokset!$I$51),6,3),MAX(0,6-(ABS('4'!$I$52-Tulokset!$G$51)+ABS('4'!$K$52-Tulokset!$I$51))))))</f>
        <v/>
      </c>
      <c r="BB7" t="str">
        <f>IF(OR(Tulokset!$G$52="",Tulokset!$I$52="",'4'!$I$53="",'4'!$K$53=""),"",IF(SIGN('4'!$I$53-'4'!$K$53)&lt;&gt;SIGN(Tulokset!$G$52-Tulokset!$I$52),0,IF(Tulokset!$G$52=Tulokset!$I$52,IF(AND('4'!$I$53=Tulokset!$G$52,'4'!$K$53=Tulokset!$I$52),6,3),MAX(0,6-(ABS('4'!$I$53-Tulokset!$G$52)+ABS('4'!$K$53-Tulokset!$I$52))))))</f>
        <v/>
      </c>
      <c r="BC7" t="str">
        <f>IF(OR(Tulokset!$G$53="",Tulokset!$I$53="",'4'!$I$54="",'4'!$K$54=""),"",IF(SIGN('4'!$I$54-'4'!$K$54)&lt;&gt;SIGN(Tulokset!$G$53-Tulokset!$I$53),0,IF(Tulokset!$G$53=Tulokset!$I$53,IF(AND('4'!$I$54=Tulokset!$G$53,'4'!$K$54=Tulokset!$I$53),6,3),MAX(0,6-(ABS('4'!$I$54-Tulokset!$G$53)+ABS('4'!$K$54-Tulokset!$I$53))))))</f>
        <v/>
      </c>
      <c r="BD7" t="str">
        <f>IF(OR(Tulokset!$G$54="",Tulokset!$I$54="",'4'!$I$55="",'4'!$K$55=""),"",IF(SIGN('4'!$I$55-'4'!$K$55)&lt;&gt;SIGN(Tulokset!$G$54-Tulokset!$I$54),0,IF(Tulokset!$G$54=Tulokset!$I$54,IF(AND('4'!$I$55=Tulokset!$G$54,'4'!$K$55=Tulokset!$I$54),6,3),MAX(0,6-(ABS('4'!$I$55-Tulokset!$G$54)+ABS('4'!$K$55-Tulokset!$I$54))))))</f>
        <v/>
      </c>
      <c r="BE7" t="str">
        <f>IF(OR(Tulokset!$G$55="",Tulokset!$I$55="",'4'!$I$56="",'4'!$K$56=""),"",IF(SIGN('4'!$I$56-'4'!$K$56)&lt;&gt;SIGN(Tulokset!$G$55-Tulokset!$I$55),0,IF(Tulokset!$G$55=Tulokset!$I$55,IF(AND('4'!$I$56=Tulokset!$G$55,'4'!$K$56=Tulokset!$I$55),6,3),MAX(0,6-(ABS('4'!$I$56-Tulokset!$G$55)+ABS('4'!$K$56-Tulokset!$I$55))))))</f>
        <v/>
      </c>
      <c r="BF7" t="str">
        <f>IF(OR(Tulokset!$G$56="",Tulokset!$I$56="",'4'!$I$57="",'4'!$K$57=""),"",IF(SIGN('4'!$I$57-'4'!$K$57)&lt;&gt;SIGN(Tulokset!$G$56-Tulokset!$I$56),0,IF(Tulokset!$G$56=Tulokset!$I$56,IF(AND('4'!$I$57=Tulokset!$G$56,'4'!$K$57=Tulokset!$I$56),6,3),MAX(0,6-(ABS('4'!$I$57-Tulokset!$G$56)+ABS('4'!$K$57-Tulokset!$I$56))))))</f>
        <v/>
      </c>
      <c r="BG7" t="str">
        <f>IF(OR(Tulokset!$G$57="",Tulokset!$I$57="",'4'!$I$58="",'4'!$K$58=""),"",IF(SIGN('4'!$I$58-'4'!$K$58)&lt;&gt;SIGN(Tulokset!$G$57-Tulokset!$I$57),0,IF(Tulokset!$G$57=Tulokset!$I$57,IF(AND('4'!$I$58=Tulokset!$G$57,'4'!$K$58=Tulokset!$I$57),6,3),MAX(0,6-(ABS('4'!$I$58-Tulokset!$G$57)+ABS('4'!$K$58-Tulokset!$I$57))))))</f>
        <v/>
      </c>
      <c r="BH7" t="str">
        <f>IF(OR(Tulokset!$G$58="",Tulokset!$I$58="",'4'!$I$59="",'4'!$K$59=""),"",IF(SIGN('4'!$I$59-'4'!$K$59)&lt;&gt;SIGN(Tulokset!$G$58-Tulokset!$I$58),0,IF(Tulokset!$G$58=Tulokset!$I$58,IF(AND('4'!$I$59=Tulokset!$G$58,'4'!$K$59=Tulokset!$I$58),6,3),MAX(0,6-(ABS('4'!$I$59-Tulokset!$G$58)+ABS('4'!$K$59-Tulokset!$I$58))))))</f>
        <v/>
      </c>
      <c r="BI7" t="str">
        <f>IF(OR(Tulokset!$G$59="",Tulokset!$I$59="",'4'!$I$60="",'4'!$K$60=""),"",IF(SIGN('4'!$I$60-'4'!$K$60)&lt;&gt;SIGN(Tulokset!$G$59-Tulokset!$I$59),0,IF(Tulokset!$G$59=Tulokset!$I$59,IF(AND('4'!$I$60=Tulokset!$G$59,'4'!$K$60=Tulokset!$I$59),6,3),MAX(0,6-(ABS('4'!$I$60-Tulokset!$G$59)+ABS('4'!$K$60-Tulokset!$I$59))))))</f>
        <v/>
      </c>
      <c r="BJ7" t="str">
        <f>IF(OR(Tulokset!$G$60="",Tulokset!$I$60="",'4'!$I$61="",'4'!$K$61=""),"",IF(SIGN('4'!$I$61-'4'!$K$61)&lt;&gt;SIGN(Tulokset!$G$60-Tulokset!$I$60),0,IF(Tulokset!$G$60=Tulokset!$I$60,IF(AND('4'!$I$61=Tulokset!$G$60,'4'!$K$61=Tulokset!$I$60),6,3),MAX(0,6-(ABS('4'!$I$61-Tulokset!$G$60)+ABS('4'!$K$61-Tulokset!$I$60))))))</f>
        <v/>
      </c>
      <c r="BK7" t="str">
        <f>IF(OR(Tulokset!$G$61="",Tulokset!$I$61="",'4'!$I$62="",'4'!$K$62=""),"",IF(SIGN('4'!$I$62-'4'!$K$62)&lt;&gt;SIGN(Tulokset!$G$61-Tulokset!$I$61),0,IF(Tulokset!$G$61=Tulokset!$I$61,IF(AND('4'!$I$62=Tulokset!$G$61,'4'!$K$62=Tulokset!$I$61),6,3),MAX(0,6-(ABS('4'!$I$62-Tulokset!$G$61)+ABS('4'!$K$62-Tulokset!$I$61))))))</f>
        <v/>
      </c>
      <c r="BL7" t="str">
        <f>IF(OR(Tulokset!$G$62="",Tulokset!$I$62="",'4'!$I$63="",'4'!$K$63=""),"",IF(SIGN('4'!$I$63-'4'!$K$63)&lt;&gt;SIGN(Tulokset!$G$62-Tulokset!$I$62),0,IF(Tulokset!$G$62=Tulokset!$I$62,IF(AND('4'!$I$63=Tulokset!$G$62,'4'!$K$63=Tulokset!$I$62),6,3),MAX(0,6-(ABS('4'!$I$63-Tulokset!$G$62)+ABS('4'!$K$63-Tulokset!$I$62))))))</f>
        <v/>
      </c>
      <c r="BM7" t="str">
        <f>IF(OR(Tulokset!$G$63="",Tulokset!$I$63="",'4'!$I$64="",'4'!$K$64=""),"",IF(SIGN('4'!$I$64-'4'!$K$64)&lt;&gt;SIGN(Tulokset!$G$63-Tulokset!$I$63),0,IF(Tulokset!$G$63=Tulokset!$I$63,IF(AND('4'!$I$64=Tulokset!$G$63,'4'!$K$64=Tulokset!$I$63),6,3),MAX(0,6-(ABS('4'!$I$64-Tulokset!$G$63)+ABS('4'!$K$64-Tulokset!$I$63))))))</f>
        <v/>
      </c>
      <c r="BN7" t="str">
        <f>IF(OR(Tulokset!$G$64="",Tulokset!$I$64="",'4'!$I$65="",'4'!$K$65=""),"",IF(SIGN('4'!$I$65-'4'!$K$65)&lt;&gt;SIGN(Tulokset!$G$64-Tulokset!$I$64),0,IF(Tulokset!$G$64=Tulokset!$I$64,IF(AND('4'!$I$65=Tulokset!$G$64,'4'!$K$65=Tulokset!$I$64),6,3),MAX(0,6-(ABS('4'!$I$65-Tulokset!$G$64)+ABS('4'!$K$65-Tulokset!$I$64))))))</f>
        <v/>
      </c>
      <c r="BO7" t="str">
        <f>IF(OR(Tulokset!$G$65="",Tulokset!$I$65="",'4'!$I$66="",'4'!$K$66=""),"",IF(SIGN('4'!$I$66-'4'!$K$66)&lt;&gt;SIGN(Tulokset!$G$65-Tulokset!$I$65),0,IF(Tulokset!$G$65=Tulokset!$I$65,IF(AND('4'!$I$66=Tulokset!$G$65,'4'!$K$66=Tulokset!$I$65),6,3),MAX(0,6-(ABS('4'!$I$66-Tulokset!$G$65)+ABS('4'!$K$66-Tulokset!$I$65))))))</f>
        <v/>
      </c>
      <c r="BP7" t="str">
        <f>IF(OR(Tulokset!$G$66="",Tulokset!$I$66="",'4'!$I$67="",'4'!$K$67=""),"",IF(SIGN('4'!$I$67-'4'!$K$67)&lt;&gt;SIGN(Tulokset!$G$66-Tulokset!$I$66),0,IF(Tulokset!$G$66=Tulokset!$I$66,IF(AND('4'!$I$67=Tulokset!$G$66,'4'!$K$67=Tulokset!$I$66),6,3),MAX(0,6-(ABS('4'!$I$67-Tulokset!$G$66)+ABS('4'!$K$67-Tulokset!$I$66))))))</f>
        <v/>
      </c>
      <c r="BQ7" t="str">
        <f>IF(OR(Tulokset!$G$67="",Tulokset!$I$67="",'4'!$I$68="",'4'!$K$68=""),"",IF(SIGN('4'!$I$68-'4'!$K$68)&lt;&gt;SIGN(Tulokset!$G$67-Tulokset!$I$67),0,IF(Tulokset!$G$67=Tulokset!$I$67,IF(AND('4'!$I$68=Tulokset!$G$67,'4'!$K$68=Tulokset!$I$67),6,3),MAX(0,6-(ABS('4'!$I$68-Tulokset!$G$67)+ABS('4'!$K$68-Tulokset!$I$67))))))</f>
        <v/>
      </c>
      <c r="BR7" t="str">
        <f>IF(OR(Tulokset!$G$68="",Tulokset!$I$68="",'4'!$I$69="",'4'!$K$69=""),"",IF(SIGN('4'!$I$69-'4'!$K$69)&lt;&gt;SIGN(Tulokset!$G$68-Tulokset!$I$68),0,IF(Tulokset!$G$68=Tulokset!$I$68,IF(AND('4'!$I$69=Tulokset!$G$68,'4'!$K$69=Tulokset!$I$68),6,3),MAX(0,6-(ABS('4'!$I$69-Tulokset!$G$68)+ABS('4'!$K$69-Tulokset!$I$68))))))</f>
        <v/>
      </c>
      <c r="BS7" t="str">
        <f>IF(OR(Tulokset!$G$69="",Tulokset!$I$69="",'4'!$I$70="",'4'!$K$70=""),"",IF(SIGN('4'!$I$70-'4'!$K$70)&lt;&gt;SIGN(Tulokset!$G$69-Tulokset!$I$69),0,IF(Tulokset!$G$69=Tulokset!$I$69,IF(AND('4'!$I$70=Tulokset!$G$69,'4'!$K$70=Tulokset!$I$69),6,3),MAX(0,6-(ABS('4'!$I$70-Tulokset!$G$69)+ABS('4'!$K$70-Tulokset!$I$69))))))</f>
        <v/>
      </c>
      <c r="BT7" t="str">
        <f>IF(OR(Tulokset!$G$70="",Tulokset!$I$70="",'4'!$I$71="",'4'!$K$71=""),"",IF(SIGN('4'!$I$71-'4'!$K$71)&lt;&gt;SIGN(Tulokset!$G$70-Tulokset!$I$70),0,IF(Tulokset!$G$70=Tulokset!$I$70,IF(AND('4'!$I$71=Tulokset!$G$70,'4'!$K$71=Tulokset!$I$70),6,3),MAX(0,6-(ABS('4'!$I$71-Tulokset!$G$70)+ABS('4'!$K$71-Tulokset!$I$70))))))</f>
        <v/>
      </c>
      <c r="BU7" t="str">
        <f>IF(OR(Tulokset!$G$71="",Tulokset!$I$71="",'4'!$I$72="",'4'!$K$72=""),"",IF(SIGN('4'!$I$72-'4'!$K$72)&lt;&gt;SIGN(Tulokset!$G$71-Tulokset!$I$71),0,IF(Tulokset!$G$71=Tulokset!$I$71,IF(AND('4'!$I$72=Tulokset!$G$71,'4'!$K$72=Tulokset!$I$71),6,3),MAX(0,6-(ABS('4'!$I$72-Tulokset!$G$71)+ABS('4'!$K$72-Tulokset!$I$71))))))</f>
        <v/>
      </c>
      <c r="BV7" t="str">
        <f>IF(OR(Tulokset!$G$72="",Tulokset!$I$72="",'4'!$I$73="",'4'!$K$73=""),"",IF(SIGN('4'!$I$73-'4'!$K$73)&lt;&gt;SIGN(Tulokset!$G$72-Tulokset!$I$72),0,IF(Tulokset!$G$72=Tulokset!$I$72,IF(AND('4'!$I$73=Tulokset!$G$72,'4'!$K$73=Tulokset!$I$72),6,3),MAX(0,6-(ABS('4'!$I$73-Tulokset!$G$72)+ABS('4'!$K$73-Tulokset!$I$72))))))</f>
        <v/>
      </c>
      <c r="BW7" t="str">
        <f>IF(OR(Tulokset!$G$73="",Tulokset!$I$73="",'4'!$I$74="",'4'!$K$74=""),"",IF(SIGN('4'!$I$74-'4'!$K$74)&lt;&gt;SIGN(Tulokset!$G$73-Tulokset!$I$73),0,IF(Tulokset!$G$73=Tulokset!$I$73,IF(AND('4'!$I$74=Tulokset!$G$73,'4'!$K$74=Tulokset!$I$73),6,3),MAX(0,6-(ABS('4'!$I$74-Tulokset!$G$73)+ABS('4'!$K$74-Tulokset!$I$73))))))</f>
        <v/>
      </c>
      <c r="BX7" t="str">
        <f>IF(OR(Tulokset!$G$74="",Tulokset!$I$74="",'4'!$I$75="",'4'!$K$75=""),"",IF(SIGN('4'!$I$75-'4'!$K$75)&lt;&gt;SIGN(Tulokset!$G$74-Tulokset!$I$74),0,IF(Tulokset!$G$74=Tulokset!$I$74,IF(AND('4'!$I$75=Tulokset!$G$74,'4'!$K$75=Tulokset!$I$74),6,3),MAX(0,6-(ABS('4'!$I$75-Tulokset!$G$74)+ABS('4'!$K$75-Tulokset!$I$74))))))</f>
        <v/>
      </c>
      <c r="BY7" t="str">
        <f>IF(OR(Tulokset!$G$75="",Tulokset!$I$75="",'4'!$I$76="",'4'!$K$76=""),"",IF(SIGN('4'!$I$76-'4'!$K$76)&lt;&gt;SIGN(Tulokset!$G$75-Tulokset!$I$75),0,IF(Tulokset!$G$75=Tulokset!$I$75,IF(AND('4'!$I$76=Tulokset!$G$75,'4'!$K$76=Tulokset!$I$75),6,3),MAX(0,6-(ABS('4'!$I$76-Tulokset!$G$75)+ABS('4'!$K$76-Tulokset!$I$75))))))</f>
        <v/>
      </c>
      <c r="BZ7" t="str">
        <f>IF(OR(Tulokset!$G$76="",Tulokset!$I$76="",'4'!$I$77="",'4'!$K$77=""),"",IF(SIGN('4'!$I$77-'4'!$K$77)&lt;&gt;SIGN(Tulokset!$G$76-Tulokset!$I$76),0,IF(Tulokset!$G$76=Tulokset!$I$76,IF(AND('4'!$I$77=Tulokset!$G$76,'4'!$K$77=Tulokset!$I$76),6,3),MAX(0,6-(ABS('4'!$I$77-Tulokset!$G$76)+ABS('4'!$K$77-Tulokset!$I$76))))))</f>
        <v/>
      </c>
      <c r="CA7" t="str">
        <f>IF(OR(Tulokset!$G$77="",Tulokset!$I$77="",'4'!$I$78="",'4'!$K$78=""),"",IF(SIGN('4'!$I$78-'4'!$K$78)&lt;&gt;SIGN(Tulokset!$G$77-Tulokset!$I$77),0,IF(Tulokset!$G$77=Tulokset!$I$77,IF(AND('4'!$I$78=Tulokset!$G$77,'4'!$K$78=Tulokset!$I$77),6,3),MAX(0,6-(ABS('4'!$I$78-Tulokset!$G$77)+ABS('4'!$K$78-Tulokset!$I$77))))))</f>
        <v/>
      </c>
      <c r="CD7" t="str">
        <f ca="1">IF(OR(Tulokset!$M$6="",INDIRECT("'"&amp;$A7&amp;"'!$P$8")=""),"",IF(TRIM(INDIRECT("'"&amp;$A7&amp;"'!$P$8"))=TRIM(Tulokset!$M$6),2,0))</f>
        <v/>
      </c>
      <c r="CE7" t="str">
        <f ca="1">IF(OR(Tulokset!$M$7="",INDIRECT("'"&amp;$A7&amp;"'!$P$9")=""),"",IF(TRIM(INDIRECT("'"&amp;$A7&amp;"'!$P$9"))=TRIM(Tulokset!$M$7),2,0))</f>
        <v/>
      </c>
      <c r="CF7" t="str">
        <f ca="1">IF(OR(Tulokset!$M$8="",INDIRECT("'"&amp;$A7&amp;"'!$P$10")=""),"",IF(TRIM(INDIRECT("'"&amp;$A7&amp;"'!$P$10"))=TRIM(Tulokset!$M$8),2,0))</f>
        <v/>
      </c>
      <c r="CG7" t="str">
        <f ca="1">IF(OR(Tulokset!$M$9="",INDIRECT("'"&amp;$A7&amp;"'!$P$11")=""),"",IF(TRIM(INDIRECT("'"&amp;$A7&amp;"'!$P$11"))=TRIM(Tulokset!$M$9),2,0))</f>
        <v/>
      </c>
      <c r="CH7" t="str">
        <f ca="1">IF(OR(Tulokset!$N$6="",INDIRECT("'"&amp;$A7&amp;"'!$Q$8")=""),"",IF(TRIM(INDIRECT("'"&amp;$A7&amp;"'!$Q$8"))=TRIM(Tulokset!$N$6),2,0))</f>
        <v/>
      </c>
      <c r="CI7" t="str">
        <f ca="1">IF(OR(Tulokset!$N$7="",INDIRECT("'"&amp;$A7&amp;"'!$Q$9")=""),"",IF(TRIM(INDIRECT("'"&amp;$A7&amp;"'!$Q$9"))=TRIM(Tulokset!$N$7),2,0))</f>
        <v/>
      </c>
      <c r="CJ7" t="str">
        <f ca="1">IF(OR(Tulokset!$N$8="",INDIRECT("'"&amp;$A7&amp;"'!$Q$10")=""),"",IF(TRIM(INDIRECT("'"&amp;$A7&amp;"'!$Q$10"))=TRIM(Tulokset!$N$8),2,0))</f>
        <v/>
      </c>
      <c r="CK7" t="str">
        <f ca="1">IF(OR(Tulokset!$N$9="",INDIRECT("'"&amp;$A7&amp;"'!$Q$11")=""),"",IF(TRIM(INDIRECT("'"&amp;$A7&amp;"'!$Q$11"))=TRIM(Tulokset!$N$9),2,0))</f>
        <v/>
      </c>
      <c r="CL7" t="str">
        <f ca="1">IF(OR(Tulokset!$O$6="",INDIRECT("'"&amp;$A7&amp;"'!$R$8")=""),"",IF(TRIM(INDIRECT("'"&amp;$A7&amp;"'!$R$8"))=TRIM(Tulokset!$O$6),2,0))</f>
        <v/>
      </c>
      <c r="CM7" t="str">
        <f ca="1">IF(OR(Tulokset!$O$7="",INDIRECT("'"&amp;$A7&amp;"'!$R$9")=""),"",IF(TRIM(INDIRECT("'"&amp;$A7&amp;"'!$R$9"))=TRIM(Tulokset!$O$7),2,0))</f>
        <v/>
      </c>
      <c r="CN7" t="str">
        <f ca="1">IF(OR(Tulokset!$O$8="",INDIRECT("'"&amp;$A7&amp;"'!$R$10")=""),"",IF(TRIM(INDIRECT("'"&amp;$A7&amp;"'!$R$10"))=TRIM(Tulokset!$O$8),2,0))</f>
        <v/>
      </c>
      <c r="CO7" t="str">
        <f ca="1">IF(OR(Tulokset!$O$9="",INDIRECT("'"&amp;$A7&amp;"'!$R$11")=""),"",IF(TRIM(INDIRECT("'"&amp;$A7&amp;"'!$R$11"))=TRIM(Tulokset!$O$9),2,0))</f>
        <v/>
      </c>
      <c r="CP7" t="str">
        <f ca="1">IF(OR(Tulokset!$P$6="",INDIRECT("'"&amp;$A7&amp;"'!$S$8")=""),"",IF(TRIM(INDIRECT("'"&amp;$A7&amp;"'!$S$8"))=TRIM(Tulokset!$P$6),2,0))</f>
        <v/>
      </c>
      <c r="CQ7" t="str">
        <f ca="1">IF(OR(Tulokset!$P$7="",INDIRECT("'"&amp;$A7&amp;"'!$S$9")=""),"",IF(TRIM(INDIRECT("'"&amp;$A7&amp;"'!$S$9"))=TRIM(Tulokset!$P$7),2,0))</f>
        <v/>
      </c>
      <c r="CR7" t="str">
        <f ca="1">IF(OR(Tulokset!$P$8="",INDIRECT("'"&amp;$A7&amp;"'!$S$10")=""),"",IF(TRIM(INDIRECT("'"&amp;$A7&amp;"'!$S$10"))=TRIM(Tulokset!$P$8),2,0))</f>
        <v/>
      </c>
      <c r="CS7" t="str">
        <f ca="1">IF(OR(Tulokset!$P$9="",INDIRECT("'"&amp;$A7&amp;"'!$S$11")=""),"",IF(TRIM(INDIRECT("'"&amp;$A7&amp;"'!$S$11"))=TRIM(Tulokset!$P$9),2,0))</f>
        <v/>
      </c>
      <c r="CT7" t="str">
        <f ca="1">IF(OR(Tulokset!$Q$6="",INDIRECT("'"&amp;$A7&amp;"'!$T$8")=""),"",IF(TRIM(INDIRECT("'"&amp;$A7&amp;"'!$T$8"))=TRIM(Tulokset!$Q$6),2,0))</f>
        <v/>
      </c>
      <c r="CU7" t="str">
        <f ca="1">IF(OR(Tulokset!$Q$7="",INDIRECT("'"&amp;$A7&amp;"'!$T$9")=""),"",IF(TRIM(INDIRECT("'"&amp;$A7&amp;"'!$T$9"))=TRIM(Tulokset!$Q$7),2,0))</f>
        <v/>
      </c>
      <c r="CV7" t="str">
        <f ca="1">IF(OR(Tulokset!$Q$8="",INDIRECT("'"&amp;$A7&amp;"'!$T$10")=""),"",IF(TRIM(INDIRECT("'"&amp;$A7&amp;"'!$T$10"))=TRIM(Tulokset!$Q$8),2,0))</f>
        <v/>
      </c>
      <c r="CW7" t="str">
        <f ca="1">IF(OR(Tulokset!$Q$9="",INDIRECT("'"&amp;$A7&amp;"'!$T$11")=""),"",IF(TRIM(INDIRECT("'"&amp;$A7&amp;"'!$T$11"))=TRIM(Tulokset!$Q$9),2,0))</f>
        <v/>
      </c>
      <c r="CX7" t="str">
        <f ca="1">IF(OR(Tulokset!$R$6="",INDIRECT("'"&amp;$A7&amp;"'!$U$8")=""),"",IF(TRIM(INDIRECT("'"&amp;$A7&amp;"'!$U$8"))=TRIM(Tulokset!$R$6),2,0))</f>
        <v/>
      </c>
      <c r="CY7" t="str">
        <f ca="1">IF(OR(Tulokset!$R$7="",INDIRECT("'"&amp;$A7&amp;"'!$U$9")=""),"",IF(TRIM(INDIRECT("'"&amp;$A7&amp;"'!$U$9"))=TRIM(Tulokset!$R$7),2,0))</f>
        <v/>
      </c>
      <c r="CZ7" t="str">
        <f ca="1">IF(OR(Tulokset!$R$8="",INDIRECT("'"&amp;$A7&amp;"'!$U$10")=""),"",IF(TRIM(INDIRECT("'"&amp;$A7&amp;"'!$U$10"))=TRIM(Tulokset!$R$8),2,0))</f>
        <v/>
      </c>
      <c r="DA7" t="str">
        <f ca="1">IF(OR(Tulokset!$R$9="",INDIRECT("'"&amp;$A7&amp;"'!$U$11")=""),"",IF(TRIM(INDIRECT("'"&amp;$A7&amp;"'!$U$11"))=TRIM(Tulokset!$R$9),2,0))</f>
        <v/>
      </c>
      <c r="DB7" t="str">
        <f ca="1">IF(OR(Tulokset!$M$12="",INDIRECT("'"&amp;$A7&amp;"'!$P$14")=""),"",IF(TRIM(INDIRECT("'"&amp;$A7&amp;"'!$P$14"))=TRIM(Tulokset!$M$12),2,0))</f>
        <v/>
      </c>
      <c r="DC7" t="str">
        <f ca="1">IF(OR(Tulokset!$M$13="",INDIRECT("'"&amp;$A7&amp;"'!$P$15")=""),"",IF(TRIM(INDIRECT("'"&amp;$A7&amp;"'!$P$15"))=TRIM(Tulokset!$M$13),2,0))</f>
        <v/>
      </c>
      <c r="DD7" t="str">
        <f ca="1">IF(OR(Tulokset!$M$14="",INDIRECT("'"&amp;$A7&amp;"'!$P$16")=""),"",IF(TRIM(INDIRECT("'"&amp;$A7&amp;"'!$P$16"))=TRIM(Tulokset!$M$14),2,0))</f>
        <v/>
      </c>
      <c r="DE7" t="str">
        <f ca="1">IF(OR(Tulokset!$M$15="",INDIRECT("'"&amp;$A7&amp;"'!$P$17")=""),"",IF(TRIM(INDIRECT("'"&amp;$A7&amp;"'!$P$17"))=TRIM(Tulokset!$M$15),2,0))</f>
        <v/>
      </c>
      <c r="DF7" t="str">
        <f ca="1">IF(OR(Tulokset!$N$12="",INDIRECT("'"&amp;$A7&amp;"'!$Q$14")=""),"",IF(TRIM(INDIRECT("'"&amp;$A7&amp;"'!$Q$14"))=TRIM(Tulokset!$N$12),2,0))</f>
        <v/>
      </c>
      <c r="DG7" t="str">
        <f ca="1">IF(OR(Tulokset!$N$13="",INDIRECT("'"&amp;$A7&amp;"'!$Q$15")=""),"",IF(TRIM(INDIRECT("'"&amp;$A7&amp;"'!$Q$15"))=TRIM(Tulokset!$N$13),2,0))</f>
        <v/>
      </c>
      <c r="DH7" t="str">
        <f ca="1">IF(OR(Tulokset!$N$14="",INDIRECT("'"&amp;$A7&amp;"'!$Q$16")=""),"",IF(TRIM(INDIRECT("'"&amp;$A7&amp;"'!$Q$16"))=TRIM(Tulokset!$N$14),2,0))</f>
        <v/>
      </c>
      <c r="DI7" t="str">
        <f ca="1">IF(OR(Tulokset!$N$15="",INDIRECT("'"&amp;$A7&amp;"'!$Q$17")=""),"",IF(TRIM(INDIRECT("'"&amp;$A7&amp;"'!$Q$17"))=TRIM(Tulokset!$N$15),2,0))</f>
        <v/>
      </c>
      <c r="DJ7" t="str">
        <f ca="1">IF(OR(Tulokset!$O$12="",INDIRECT("'"&amp;$A7&amp;"'!$R$14")=""),"",IF(TRIM(INDIRECT("'"&amp;$A7&amp;"'!$R$14"))=TRIM(Tulokset!$O$12),2,0))</f>
        <v/>
      </c>
      <c r="DK7" t="str">
        <f ca="1">IF(OR(Tulokset!$O$13="",INDIRECT("'"&amp;$A7&amp;"'!$R$15")=""),"",IF(TRIM(INDIRECT("'"&amp;$A7&amp;"'!$R$15"))=TRIM(Tulokset!$O$13),2,0))</f>
        <v/>
      </c>
      <c r="DL7" t="str">
        <f ca="1">IF(OR(Tulokset!$O$14="",INDIRECT("'"&amp;$A7&amp;"'!$R$16")=""),"",IF(TRIM(INDIRECT("'"&amp;$A7&amp;"'!$R$16"))=TRIM(Tulokset!$O$14),2,0))</f>
        <v/>
      </c>
      <c r="DM7" t="str">
        <f ca="1">IF(OR(Tulokset!$O$15="",INDIRECT("'"&amp;$A7&amp;"'!$R$17")=""),"",IF(TRIM(INDIRECT("'"&amp;$A7&amp;"'!$R$17"))=TRIM(Tulokset!$O$15),2,0))</f>
        <v/>
      </c>
      <c r="DN7" t="str">
        <f ca="1">IF(OR(Tulokset!$P$12="",INDIRECT("'"&amp;$A7&amp;"'!$S$14")=""),"",IF(TRIM(INDIRECT("'"&amp;$A7&amp;"'!$S$14"))=TRIM(Tulokset!$P$12),2,0))</f>
        <v/>
      </c>
      <c r="DO7" t="str">
        <f ca="1">IF(OR(Tulokset!$P$13="",INDIRECT("'"&amp;$A7&amp;"'!$S$15")=""),"",IF(TRIM(INDIRECT("'"&amp;$A7&amp;"'!$S$15"))=TRIM(Tulokset!$P$13),2,0))</f>
        <v/>
      </c>
      <c r="DP7" t="str">
        <f ca="1">IF(OR(Tulokset!$P$14="",INDIRECT("'"&amp;$A7&amp;"'!$S$16")=""),"",IF(TRIM(INDIRECT("'"&amp;$A7&amp;"'!$S$16"))=TRIM(Tulokset!$P$14),2,0))</f>
        <v/>
      </c>
      <c r="DQ7" t="str">
        <f ca="1">IF(OR(Tulokset!$P$15="",INDIRECT("'"&amp;$A7&amp;"'!$S$17")=""),"",IF(TRIM(INDIRECT("'"&amp;$A7&amp;"'!$S$17"))=TRIM(Tulokset!$P$15),2,0))</f>
        <v/>
      </c>
      <c r="DR7" t="str">
        <f ca="1">IF(OR(Tulokset!$Q$12="",INDIRECT("'"&amp;$A7&amp;"'!$T$14")=""),"",IF(TRIM(INDIRECT("'"&amp;$A7&amp;"'!$T$14"))=TRIM(Tulokset!$Q$12),2,0))</f>
        <v/>
      </c>
      <c r="DS7" t="str">
        <f ca="1">IF(OR(Tulokset!$Q$13="",INDIRECT("'"&amp;$A7&amp;"'!$T$15")=""),"",IF(TRIM(INDIRECT("'"&amp;$A7&amp;"'!$T$15"))=TRIM(Tulokset!$Q$13),2,0))</f>
        <v/>
      </c>
      <c r="DT7" t="str">
        <f ca="1">IF(OR(Tulokset!$Q$14="",INDIRECT("'"&amp;$A7&amp;"'!$T$16")=""),"",IF(TRIM(INDIRECT("'"&amp;$A7&amp;"'!$T$16"))=TRIM(Tulokset!$Q$14),2,0))</f>
        <v/>
      </c>
      <c r="DU7" t="str">
        <f ca="1">IF(OR(Tulokset!$Q$15="",INDIRECT("'"&amp;$A7&amp;"'!$T$17")=""),"",IF(TRIM(INDIRECT("'"&amp;$A7&amp;"'!$T$17"))=TRIM(Tulokset!$Q$15),2,0))</f>
        <v/>
      </c>
      <c r="DV7" t="str">
        <f ca="1">IF(OR(Tulokset!$R$12="",INDIRECT("'"&amp;$A7&amp;"'!$U$14")=""),"",IF(TRIM(INDIRECT("'"&amp;$A7&amp;"'!$U$14"))=TRIM(Tulokset!$R$12),2,0))</f>
        <v/>
      </c>
      <c r="DW7" t="str">
        <f ca="1">IF(OR(Tulokset!$R$13="",INDIRECT("'"&amp;$A7&amp;"'!$U$15")=""),"",IF(TRIM(INDIRECT("'"&amp;$A7&amp;"'!$U$15"))=TRIM(Tulokset!$R$13),2,0))</f>
        <v/>
      </c>
      <c r="DX7" t="str">
        <f ca="1">IF(OR(Tulokset!$R$14="",INDIRECT("'"&amp;$A7&amp;"'!$U$16")=""),"",IF(TRIM(INDIRECT("'"&amp;$A7&amp;"'!$U$16"))=TRIM(Tulokset!$R$14),2,0))</f>
        <v/>
      </c>
      <c r="DY7" t="str">
        <f ca="1">IF(OR(Tulokset!$R$15="",INDIRECT("'"&amp;$A7&amp;"'!$U$17")=""),"",IF(TRIM(INDIRECT("'"&amp;$A7&amp;"'!$U$17"))=TRIM(Tulokset!$R$15),2,0))</f>
        <v/>
      </c>
      <c r="EA7" t="str">
        <f ca="1">IF(OR(INDIRECT("'"&amp;$A7&amp;"'!$E$79")="",COUNTA(Tulokset!$M$20:$M$21)=0),"",IF(COUNTIF(Tulokset!$M$20:$M$21,INDIRECT("'"&amp;$A7&amp;"'!$E$79"))&gt;0,2,0))</f>
        <v/>
      </c>
      <c r="EB7" t="str">
        <f ca="1">IF(OR(INDIRECT("'"&amp;$A7&amp;"'!$G$79")="",COUNTA(Tulokset!$M$20:$M$21)=0),"",IF(COUNTIF(Tulokset!$M$20:$M$21,INDIRECT("'"&amp;$A7&amp;"'!$G$79"))&gt;0,2,0))</f>
        <v/>
      </c>
      <c r="EC7" t="str">
        <f ca="1">IF(OR(INDIRECT("'"&amp;$A7&amp;"'!$E$80")="",COUNTA(Tulokset!$M$23:$M$24)=0),"",IF(COUNTIF(Tulokset!$M$23:$M$24,INDIRECT("'"&amp;$A7&amp;"'!$E$80"))&gt;0,2,0))</f>
        <v/>
      </c>
      <c r="ED7" t="str">
        <f ca="1">IF(OR(INDIRECT("'"&amp;$A7&amp;"'!$G$80")="",COUNTA(Tulokset!$M$23:$M$24)=0),"",IF(COUNTIF(Tulokset!$M$23:$M$24,INDIRECT("'"&amp;$A7&amp;"'!$G$80"))&gt;0,2,0))</f>
        <v/>
      </c>
    </row>
    <row r="8" spans="1:134">
      <c r="A8" t="s">
        <v>219</v>
      </c>
      <c r="B8" t="str">
        <f t="shared" ca="1" si="0"/>
        <v>Sedu</v>
      </c>
      <c r="C8" s="95">
        <f t="shared" si="1"/>
        <v>0</v>
      </c>
      <c r="D8" s="95">
        <f t="shared" ca="1" si="2"/>
        <v>0</v>
      </c>
      <c r="E8" s="95">
        <f t="shared" ca="1" si="3"/>
        <v>0</v>
      </c>
      <c r="F8" s="95">
        <f t="shared" ca="1" si="4"/>
        <v>0</v>
      </c>
      <c r="G8" s="95">
        <f t="shared" si="5"/>
        <v>0</v>
      </c>
      <c r="H8" t="str">
        <f>IF(OR(Tulokset!$G$6="",Tulokset!$I$6="",'5'!$I$7="",'5'!$K$7=""),"",IF(SIGN('5'!$I$7-'5'!$K$7)&lt;&gt;SIGN(Tulokset!$G$6-Tulokset!$I$6),0,IF(Tulokset!$G$6=Tulokset!$I$6,IF(AND('5'!$I$7=Tulokset!$G$6,'5'!$K$7=Tulokset!$I$6),6,3),MAX(0,6-(ABS('5'!$I$7-Tulokset!$G$6)+ABS('5'!$K$7-Tulokset!$I$6))))))</f>
        <v/>
      </c>
      <c r="I8" t="str">
        <f>IF(OR(Tulokset!$G$7="",Tulokset!$I$7="",'5'!$I$8="",'5'!$K$8=""),"",IF(SIGN('5'!$I$8-'5'!$K$8)&lt;&gt;SIGN(Tulokset!$G$7-Tulokset!$I$7),0,IF(Tulokset!$G$7=Tulokset!$I$7,IF(AND('5'!$I$8=Tulokset!$G$7,'5'!$K$8=Tulokset!$I$7),6,3),MAX(0,6-(ABS('5'!$I$8-Tulokset!$G$7)+ABS('5'!$K$8-Tulokset!$I$7))))))</f>
        <v/>
      </c>
      <c r="J8" t="str">
        <f>IF(OR(Tulokset!$G$8="",Tulokset!$I$8="",'5'!$I$9="",'5'!$K$9=""),"",IF(SIGN('5'!$I$9-'5'!$K$9)&lt;&gt;SIGN(Tulokset!$G$8-Tulokset!$I$8),0,IF(Tulokset!$G$8=Tulokset!$I$8,IF(AND('5'!$I$9=Tulokset!$G$8,'5'!$K$9=Tulokset!$I$8),6,3),MAX(0,6-(ABS('5'!$I$9-Tulokset!$G$8)+ABS('5'!$K$9-Tulokset!$I$8))))))</f>
        <v/>
      </c>
      <c r="K8" t="str">
        <f>IF(OR(Tulokset!$G$9="",Tulokset!$I$9="",'5'!$I$10="",'5'!$K$10=""),"",IF(SIGN('5'!$I$10-'5'!$K$10)&lt;&gt;SIGN(Tulokset!$G$9-Tulokset!$I$9),0,IF(Tulokset!$G$9=Tulokset!$I$9,IF(AND('5'!$I$10=Tulokset!$G$9,'5'!$K$10=Tulokset!$I$9),6,3),MAX(0,6-(ABS('5'!$I$10-Tulokset!$G$9)+ABS('5'!$K$10-Tulokset!$I$9))))))</f>
        <v/>
      </c>
      <c r="L8" t="str">
        <f>IF(OR(Tulokset!$G$10="",Tulokset!$I$10="",'5'!$I$11="",'5'!$K$11=""),"",IF(SIGN('5'!$I$11-'5'!$K$11)&lt;&gt;SIGN(Tulokset!$G$10-Tulokset!$I$10),0,IF(Tulokset!$G$10=Tulokset!$I$10,IF(AND('5'!$I$11=Tulokset!$G$10,'5'!$K$11=Tulokset!$I$10),6,3),MAX(0,6-(ABS('5'!$I$11-Tulokset!$G$10)+ABS('5'!$K$11-Tulokset!$I$10))))))</f>
        <v/>
      </c>
      <c r="M8" t="str">
        <f>IF(OR(Tulokset!$G$11="",Tulokset!$I$11="",'5'!$I$12="",'5'!$K$12=""),"",IF(SIGN('5'!$I$12-'5'!$K$12)&lt;&gt;SIGN(Tulokset!$G$11-Tulokset!$I$11),0,IF(Tulokset!$G$11=Tulokset!$I$11,IF(AND('5'!$I$12=Tulokset!$G$11,'5'!$K$12=Tulokset!$I$11),6,3),MAX(0,6-(ABS('5'!$I$12-Tulokset!$G$11)+ABS('5'!$K$12-Tulokset!$I$11))))))</f>
        <v/>
      </c>
      <c r="N8" t="str">
        <f>IF(OR(Tulokset!$G$12="",Tulokset!$I$12="",'5'!$I$13="",'5'!$K$13=""),"",IF(SIGN('5'!$I$13-'5'!$K$13)&lt;&gt;SIGN(Tulokset!$G$12-Tulokset!$I$12),0,IF(Tulokset!$G$12=Tulokset!$I$12,IF(AND('5'!$I$13=Tulokset!$G$12,'5'!$K$13=Tulokset!$I$12),6,3),MAX(0,6-(ABS('5'!$I$13-Tulokset!$G$12)+ABS('5'!$K$13-Tulokset!$I$12))))))</f>
        <v/>
      </c>
      <c r="O8" t="str">
        <f>IF(OR(Tulokset!$G$13="",Tulokset!$I$13="",'5'!$I$14="",'5'!$K$14=""),"",IF(SIGN('5'!$I$14-'5'!$K$14)&lt;&gt;SIGN(Tulokset!$G$13-Tulokset!$I$13),0,IF(Tulokset!$G$13=Tulokset!$I$13,IF(AND('5'!$I$14=Tulokset!$G$13,'5'!$K$14=Tulokset!$I$13),6,3),MAX(0,6-(ABS('5'!$I$14-Tulokset!$G$13)+ABS('5'!$K$14-Tulokset!$I$13))))))</f>
        <v/>
      </c>
      <c r="P8" t="str">
        <f>IF(OR(Tulokset!$G$14="",Tulokset!$I$14="",'5'!$I$15="",'5'!$K$15=""),"",IF(SIGN('5'!$I$15-'5'!$K$15)&lt;&gt;SIGN(Tulokset!$G$14-Tulokset!$I$14),0,IF(Tulokset!$G$14=Tulokset!$I$14,IF(AND('5'!$I$15=Tulokset!$G$14,'5'!$K$15=Tulokset!$I$14),6,3),MAX(0,6-(ABS('5'!$I$15-Tulokset!$G$14)+ABS('5'!$K$15-Tulokset!$I$14))))))</f>
        <v/>
      </c>
      <c r="Q8" t="str">
        <f>IF(OR(Tulokset!$G$15="",Tulokset!$I$15="",'5'!$I$16="",'5'!$K$16=""),"",IF(SIGN('5'!$I$16-'5'!$K$16)&lt;&gt;SIGN(Tulokset!$G$15-Tulokset!$I$15),0,IF(Tulokset!$G$15=Tulokset!$I$15,IF(AND('5'!$I$16=Tulokset!$G$15,'5'!$K$16=Tulokset!$I$15),6,3),MAX(0,6-(ABS('5'!$I$16-Tulokset!$G$15)+ABS('5'!$K$16-Tulokset!$I$15))))))</f>
        <v/>
      </c>
      <c r="R8" t="str">
        <f>IF(OR(Tulokset!$G$16="",Tulokset!$I$16="",'5'!$I$17="",'5'!$K$17=""),"",IF(SIGN('5'!$I$17-'5'!$K$17)&lt;&gt;SIGN(Tulokset!$G$16-Tulokset!$I$16),0,IF(Tulokset!$G$16=Tulokset!$I$16,IF(AND('5'!$I$17=Tulokset!$G$16,'5'!$K$17=Tulokset!$I$16),6,3),MAX(0,6-(ABS('5'!$I$17-Tulokset!$G$16)+ABS('5'!$K$17-Tulokset!$I$16))))))</f>
        <v/>
      </c>
      <c r="S8" t="str">
        <f>IF(OR(Tulokset!$G$17="",Tulokset!$I$17="",'5'!$I$18="",'5'!$K$18=""),"",IF(SIGN('5'!$I$18-'5'!$K$18)&lt;&gt;SIGN(Tulokset!$G$17-Tulokset!$I$17),0,IF(Tulokset!$G$17=Tulokset!$I$17,IF(AND('5'!$I$18=Tulokset!$G$17,'5'!$K$18=Tulokset!$I$17),6,3),MAX(0,6-(ABS('5'!$I$18-Tulokset!$G$17)+ABS('5'!$K$18-Tulokset!$I$17))))))</f>
        <v/>
      </c>
      <c r="T8" t="str">
        <f>IF(OR(Tulokset!$G$18="",Tulokset!$I$18="",'5'!$I$19="",'5'!$K$19=""),"",IF(SIGN('5'!$I$19-'5'!$K$19)&lt;&gt;SIGN(Tulokset!$G$18-Tulokset!$I$18),0,IF(Tulokset!$G$18=Tulokset!$I$18,IF(AND('5'!$I$19=Tulokset!$G$18,'5'!$K$19=Tulokset!$I$18),6,3),MAX(0,6-(ABS('5'!$I$19-Tulokset!$G$18)+ABS('5'!$K$19-Tulokset!$I$18))))))</f>
        <v/>
      </c>
      <c r="U8" t="str">
        <f>IF(OR(Tulokset!$G$19="",Tulokset!$I$19="",'5'!$I$20="",'5'!$K$20=""),"",IF(SIGN('5'!$I$20-'5'!$K$20)&lt;&gt;SIGN(Tulokset!$G$19-Tulokset!$I$19),0,IF(Tulokset!$G$19=Tulokset!$I$19,IF(AND('5'!$I$20=Tulokset!$G$19,'5'!$K$20=Tulokset!$I$19),6,3),MAX(0,6-(ABS('5'!$I$20-Tulokset!$G$19)+ABS('5'!$K$20-Tulokset!$I$19))))))</f>
        <v/>
      </c>
      <c r="V8" t="str">
        <f>IF(OR(Tulokset!$G$20="",Tulokset!$I$20="",'5'!$I$21="",'5'!$K$21=""),"",IF(SIGN('5'!$I$21-'5'!$K$21)&lt;&gt;SIGN(Tulokset!$G$20-Tulokset!$I$20),0,IF(Tulokset!$G$20=Tulokset!$I$20,IF(AND('5'!$I$21=Tulokset!$G$20,'5'!$K$21=Tulokset!$I$20),6,3),MAX(0,6-(ABS('5'!$I$21-Tulokset!$G$20)+ABS('5'!$K$21-Tulokset!$I$20))))))</f>
        <v/>
      </c>
      <c r="W8" t="str">
        <f>IF(OR(Tulokset!$G$21="",Tulokset!$I$21="",'5'!$I$22="",'5'!$K$22=""),"",IF(SIGN('5'!$I$22-'5'!$K$22)&lt;&gt;SIGN(Tulokset!$G$21-Tulokset!$I$21),0,IF(Tulokset!$G$21=Tulokset!$I$21,IF(AND('5'!$I$22=Tulokset!$G$21,'5'!$K$22=Tulokset!$I$21),6,3),MAX(0,6-(ABS('5'!$I$22-Tulokset!$G$21)+ABS('5'!$K$22-Tulokset!$I$21))))))</f>
        <v/>
      </c>
      <c r="X8" t="str">
        <f>IF(OR(Tulokset!$G$22="",Tulokset!$I$22="",'5'!$I$23="",'5'!$K$23=""),"",IF(SIGN('5'!$I$23-'5'!$K$23)&lt;&gt;SIGN(Tulokset!$G$22-Tulokset!$I$22),0,IF(Tulokset!$G$22=Tulokset!$I$22,IF(AND('5'!$I$23=Tulokset!$G$22,'5'!$K$23=Tulokset!$I$22),6,3),MAX(0,6-(ABS('5'!$I$23-Tulokset!$G$22)+ABS('5'!$K$23-Tulokset!$I$22))))))</f>
        <v/>
      </c>
      <c r="Y8" t="str">
        <f>IF(OR(Tulokset!$G$23="",Tulokset!$I$23="",'5'!$I$24="",'5'!$K$24=""),"",IF(SIGN('5'!$I$24-'5'!$K$24)&lt;&gt;SIGN(Tulokset!$G$23-Tulokset!$I$23),0,IF(Tulokset!$G$23=Tulokset!$I$23,IF(AND('5'!$I$24=Tulokset!$G$23,'5'!$K$24=Tulokset!$I$23),6,3),MAX(0,6-(ABS('5'!$I$24-Tulokset!$G$23)+ABS('5'!$K$24-Tulokset!$I$23))))))</f>
        <v/>
      </c>
      <c r="Z8" t="str">
        <f>IF(OR(Tulokset!$G$24="",Tulokset!$I$24="",'5'!$I$25="",'5'!$K$25=""),"",IF(SIGN('5'!$I$25-'5'!$K$25)&lt;&gt;SIGN(Tulokset!$G$24-Tulokset!$I$24),0,IF(Tulokset!$G$24=Tulokset!$I$24,IF(AND('5'!$I$25=Tulokset!$G$24,'5'!$K$25=Tulokset!$I$24),6,3),MAX(0,6-(ABS('5'!$I$25-Tulokset!$G$24)+ABS('5'!$K$25-Tulokset!$I$24))))))</f>
        <v/>
      </c>
      <c r="AA8" t="str">
        <f>IF(OR(Tulokset!$G$25="",Tulokset!$I$25="",'5'!$I$26="",'5'!$K$26=""),"",IF(SIGN('5'!$I$26-'5'!$K$26)&lt;&gt;SIGN(Tulokset!$G$25-Tulokset!$I$25),0,IF(Tulokset!$G$25=Tulokset!$I$25,IF(AND('5'!$I$26=Tulokset!$G$25,'5'!$K$26=Tulokset!$I$25),6,3),MAX(0,6-(ABS('5'!$I$26-Tulokset!$G$25)+ABS('5'!$K$26-Tulokset!$I$25))))))</f>
        <v/>
      </c>
      <c r="AB8" t="str">
        <f>IF(OR(Tulokset!$G$26="",Tulokset!$I$26="",'5'!$I$27="",'5'!$K$27=""),"",IF(SIGN('5'!$I$27-'5'!$K$27)&lt;&gt;SIGN(Tulokset!$G$26-Tulokset!$I$26),0,IF(Tulokset!$G$26=Tulokset!$I$26,IF(AND('5'!$I$27=Tulokset!$G$26,'5'!$K$27=Tulokset!$I$26),6,3),MAX(0,6-(ABS('5'!$I$27-Tulokset!$G$26)+ABS('5'!$K$27-Tulokset!$I$26))))))</f>
        <v/>
      </c>
      <c r="AC8" t="str">
        <f>IF(OR(Tulokset!$G$27="",Tulokset!$I$27="",'5'!$I$28="",'5'!$K$28=""),"",IF(SIGN('5'!$I$28-'5'!$K$28)&lt;&gt;SIGN(Tulokset!$G$27-Tulokset!$I$27),0,IF(Tulokset!$G$27=Tulokset!$I$27,IF(AND('5'!$I$28=Tulokset!$G$27,'5'!$K$28=Tulokset!$I$27),6,3),MAX(0,6-(ABS('5'!$I$28-Tulokset!$G$27)+ABS('5'!$K$28-Tulokset!$I$27))))))</f>
        <v/>
      </c>
      <c r="AD8" t="str">
        <f>IF(OR(Tulokset!$G$28="",Tulokset!$I$28="",'5'!$I$29="",'5'!$K$29=""),"",IF(SIGN('5'!$I$29-'5'!$K$29)&lt;&gt;SIGN(Tulokset!$G$28-Tulokset!$I$28),0,IF(Tulokset!$G$28=Tulokset!$I$28,IF(AND('5'!$I$29=Tulokset!$G$28,'5'!$K$29=Tulokset!$I$28),6,3),MAX(0,6-(ABS('5'!$I$29-Tulokset!$G$28)+ABS('5'!$K$29-Tulokset!$I$28))))))</f>
        <v/>
      </c>
      <c r="AE8" t="str">
        <f>IF(OR(Tulokset!$G$29="",Tulokset!$I$29="",'5'!$I$30="",'5'!$K$30=""),"",IF(SIGN('5'!$I$30-'5'!$K$30)&lt;&gt;SIGN(Tulokset!$G$29-Tulokset!$I$29),0,IF(Tulokset!$G$29=Tulokset!$I$29,IF(AND('5'!$I$30=Tulokset!$G$29,'5'!$K$30=Tulokset!$I$29),6,3),MAX(0,6-(ABS('5'!$I$30-Tulokset!$G$29)+ABS('5'!$K$30-Tulokset!$I$29))))))</f>
        <v/>
      </c>
      <c r="AF8" t="str">
        <f>IF(OR(Tulokset!$G$30="",Tulokset!$I$30="",'5'!$I$31="",'5'!$K$31=""),"",IF(SIGN('5'!$I$31-'5'!$K$31)&lt;&gt;SIGN(Tulokset!$G$30-Tulokset!$I$30),0,IF(Tulokset!$G$30=Tulokset!$I$30,IF(AND('5'!$I$31=Tulokset!$G$30,'5'!$K$31=Tulokset!$I$30),6,3),MAX(0,6-(ABS('5'!$I$31-Tulokset!$G$30)+ABS('5'!$K$31-Tulokset!$I$30))))))</f>
        <v/>
      </c>
      <c r="AG8" t="str">
        <f>IF(OR(Tulokset!$G$31="",Tulokset!$I$31="",'5'!$I$32="",'5'!$K$32=""),"",IF(SIGN('5'!$I$32-'5'!$K$32)&lt;&gt;SIGN(Tulokset!$G$31-Tulokset!$I$31),0,IF(Tulokset!$G$31=Tulokset!$I$31,IF(AND('5'!$I$32=Tulokset!$G$31,'5'!$K$32=Tulokset!$I$31),6,3),MAX(0,6-(ABS('5'!$I$32-Tulokset!$G$31)+ABS('5'!$K$32-Tulokset!$I$31))))))</f>
        <v/>
      </c>
      <c r="AH8" t="str">
        <f>IF(OR(Tulokset!$G$32="",Tulokset!$I$32="",'5'!$I$33="",'5'!$K$33=""),"",IF(SIGN('5'!$I$33-'5'!$K$33)&lt;&gt;SIGN(Tulokset!$G$32-Tulokset!$I$32),0,IF(Tulokset!$G$32=Tulokset!$I$32,IF(AND('5'!$I$33=Tulokset!$G$32,'5'!$K$33=Tulokset!$I$32),6,3),MAX(0,6-(ABS('5'!$I$33-Tulokset!$G$32)+ABS('5'!$K$33-Tulokset!$I$32))))))</f>
        <v/>
      </c>
      <c r="AI8" t="str">
        <f>IF(OR(Tulokset!$G$33="",Tulokset!$I$33="",'5'!$I$34="",'5'!$K$34=""),"",IF(SIGN('5'!$I$34-'5'!$K$34)&lt;&gt;SIGN(Tulokset!$G$33-Tulokset!$I$33),0,IF(Tulokset!$G$33=Tulokset!$I$33,IF(AND('5'!$I$34=Tulokset!$G$33,'5'!$K$34=Tulokset!$I$33),6,3),MAX(0,6-(ABS('5'!$I$34-Tulokset!$G$33)+ABS('5'!$K$34-Tulokset!$I$33))))))</f>
        <v/>
      </c>
      <c r="AJ8" t="str">
        <f>IF(OR(Tulokset!$G$34="",Tulokset!$I$34="",'5'!$I$35="",'5'!$K$35=""),"",IF(SIGN('5'!$I$35-'5'!$K$35)&lt;&gt;SIGN(Tulokset!$G$34-Tulokset!$I$34),0,IF(Tulokset!$G$34=Tulokset!$I$34,IF(AND('5'!$I$35=Tulokset!$G$34,'5'!$K$35=Tulokset!$I$34),6,3),MAX(0,6-(ABS('5'!$I$35-Tulokset!$G$34)+ABS('5'!$K$35-Tulokset!$I$34))))))</f>
        <v/>
      </c>
      <c r="AK8" t="str">
        <f>IF(OR(Tulokset!$G$35="",Tulokset!$I$35="",'5'!$I$36="",'5'!$K$36=""),"",IF(SIGN('5'!$I$36-'5'!$K$36)&lt;&gt;SIGN(Tulokset!$G$35-Tulokset!$I$35),0,IF(Tulokset!$G$35=Tulokset!$I$35,IF(AND('5'!$I$36=Tulokset!$G$35,'5'!$K$36=Tulokset!$I$35),6,3),MAX(0,6-(ABS('5'!$I$36-Tulokset!$G$35)+ABS('5'!$K$36-Tulokset!$I$35))))))</f>
        <v/>
      </c>
      <c r="AL8" t="str">
        <f>IF(OR(Tulokset!$G$36="",Tulokset!$I$36="",'5'!$I$37="",'5'!$K$37=""),"",IF(SIGN('5'!$I$37-'5'!$K$37)&lt;&gt;SIGN(Tulokset!$G$36-Tulokset!$I$36),0,IF(Tulokset!$G$36=Tulokset!$I$36,IF(AND('5'!$I$37=Tulokset!$G$36,'5'!$K$37=Tulokset!$I$36),6,3),MAX(0,6-(ABS('5'!$I$37-Tulokset!$G$36)+ABS('5'!$K$37-Tulokset!$I$36))))))</f>
        <v/>
      </c>
      <c r="AM8" t="str">
        <f>IF(OR(Tulokset!$G$37="",Tulokset!$I$37="",'5'!$I$38="",'5'!$K$38=""),"",IF(SIGN('5'!$I$38-'5'!$K$38)&lt;&gt;SIGN(Tulokset!$G$37-Tulokset!$I$37),0,IF(Tulokset!$G$37=Tulokset!$I$37,IF(AND('5'!$I$38=Tulokset!$G$37,'5'!$K$38=Tulokset!$I$37),6,3),MAX(0,6-(ABS('5'!$I$38-Tulokset!$G$37)+ABS('5'!$K$38-Tulokset!$I$37))))))</f>
        <v/>
      </c>
      <c r="AN8" t="str">
        <f>IF(OR(Tulokset!$G$38="",Tulokset!$I$38="",'5'!$I$39="",'5'!$K$39=""),"",IF(SIGN('5'!$I$39-'5'!$K$39)&lt;&gt;SIGN(Tulokset!$G$38-Tulokset!$I$38),0,IF(Tulokset!$G$38=Tulokset!$I$38,IF(AND('5'!$I$39=Tulokset!$G$38,'5'!$K$39=Tulokset!$I$38),6,3),MAX(0,6-(ABS('5'!$I$39-Tulokset!$G$38)+ABS('5'!$K$39-Tulokset!$I$38))))))</f>
        <v/>
      </c>
      <c r="AO8" t="str">
        <f>IF(OR(Tulokset!$G$39="",Tulokset!$I$39="",'5'!$I$40="",'5'!$K$40=""),"",IF(SIGN('5'!$I$40-'5'!$K$40)&lt;&gt;SIGN(Tulokset!$G$39-Tulokset!$I$39),0,IF(Tulokset!$G$39=Tulokset!$I$39,IF(AND('5'!$I$40=Tulokset!$G$39,'5'!$K$40=Tulokset!$I$39),6,3),MAX(0,6-(ABS('5'!$I$40-Tulokset!$G$39)+ABS('5'!$K$40-Tulokset!$I$39))))))</f>
        <v/>
      </c>
      <c r="AP8" t="str">
        <f>IF(OR(Tulokset!$G$40="",Tulokset!$I$40="",'5'!$I$41="",'5'!$K$41=""),"",IF(SIGN('5'!$I$41-'5'!$K$41)&lt;&gt;SIGN(Tulokset!$G$40-Tulokset!$I$40),0,IF(Tulokset!$G$40=Tulokset!$I$40,IF(AND('5'!$I$41=Tulokset!$G$40,'5'!$K$41=Tulokset!$I$40),6,3),MAX(0,6-(ABS('5'!$I$41-Tulokset!$G$40)+ABS('5'!$K$41-Tulokset!$I$40))))))</f>
        <v/>
      </c>
      <c r="AQ8" t="str">
        <f>IF(OR(Tulokset!$G$41="",Tulokset!$I$41="",'5'!$I$42="",'5'!$K$42=""),"",IF(SIGN('5'!$I$42-'5'!$K$42)&lt;&gt;SIGN(Tulokset!$G$41-Tulokset!$I$41),0,IF(Tulokset!$G$41=Tulokset!$I$41,IF(AND('5'!$I$42=Tulokset!$G$41,'5'!$K$42=Tulokset!$I$41),6,3),MAX(0,6-(ABS('5'!$I$42-Tulokset!$G$41)+ABS('5'!$K$42-Tulokset!$I$41))))))</f>
        <v/>
      </c>
      <c r="AR8" t="str">
        <f>IF(OR(Tulokset!$G$42="",Tulokset!$I$42="",'5'!$I$43="",'5'!$K$43=""),"",IF(SIGN('5'!$I$43-'5'!$K$43)&lt;&gt;SIGN(Tulokset!$G$42-Tulokset!$I$42),0,IF(Tulokset!$G$42=Tulokset!$I$42,IF(AND('5'!$I$43=Tulokset!$G$42,'5'!$K$43=Tulokset!$I$42),6,3),MAX(0,6-(ABS('5'!$I$43-Tulokset!$G$42)+ABS('5'!$K$43-Tulokset!$I$42))))))</f>
        <v/>
      </c>
      <c r="AS8" t="str">
        <f>IF(OR(Tulokset!$G$43="",Tulokset!$I$43="",'5'!$I$44="",'5'!$K$44=""),"",IF(SIGN('5'!$I$44-'5'!$K$44)&lt;&gt;SIGN(Tulokset!$G$43-Tulokset!$I$43),0,IF(Tulokset!$G$43=Tulokset!$I$43,IF(AND('5'!$I$44=Tulokset!$G$43,'5'!$K$44=Tulokset!$I$43),6,3),MAX(0,6-(ABS('5'!$I$44-Tulokset!$G$43)+ABS('5'!$K$44-Tulokset!$I$43))))))</f>
        <v/>
      </c>
      <c r="AT8" t="str">
        <f>IF(OR(Tulokset!$G$44="",Tulokset!$I$44="",'5'!$I$45="",'5'!$K$45=""),"",IF(SIGN('5'!$I$45-'5'!$K$45)&lt;&gt;SIGN(Tulokset!$G$44-Tulokset!$I$44),0,IF(Tulokset!$G$44=Tulokset!$I$44,IF(AND('5'!$I$45=Tulokset!$G$44,'5'!$K$45=Tulokset!$I$44),6,3),MAX(0,6-(ABS('5'!$I$45-Tulokset!$G$44)+ABS('5'!$K$45-Tulokset!$I$44))))))</f>
        <v/>
      </c>
      <c r="AU8" t="str">
        <f>IF(OR(Tulokset!$G$45="",Tulokset!$I$45="",'5'!$I$46="",'5'!$K$46=""),"",IF(SIGN('5'!$I$46-'5'!$K$46)&lt;&gt;SIGN(Tulokset!$G$45-Tulokset!$I$45),0,IF(Tulokset!$G$45=Tulokset!$I$45,IF(AND('5'!$I$46=Tulokset!$G$45,'5'!$K$46=Tulokset!$I$45),6,3),MAX(0,6-(ABS('5'!$I$46-Tulokset!$G$45)+ABS('5'!$K$46-Tulokset!$I$45))))))</f>
        <v/>
      </c>
      <c r="AV8" t="str">
        <f>IF(OR(Tulokset!$G$46="",Tulokset!$I$46="",'5'!$I$47="",'5'!$K$47=""),"",IF(SIGN('5'!$I$47-'5'!$K$47)&lt;&gt;SIGN(Tulokset!$G$46-Tulokset!$I$46),0,IF(Tulokset!$G$46=Tulokset!$I$46,IF(AND('5'!$I$47=Tulokset!$G$46,'5'!$K$47=Tulokset!$I$46),6,3),MAX(0,6-(ABS('5'!$I$47-Tulokset!$G$46)+ABS('5'!$K$47-Tulokset!$I$46))))))</f>
        <v/>
      </c>
      <c r="AW8" t="str">
        <f>IF(OR(Tulokset!$G$47="",Tulokset!$I$47="",'5'!$I$48="",'5'!$K$48=""),"",IF(SIGN('5'!$I$48-'5'!$K$48)&lt;&gt;SIGN(Tulokset!$G$47-Tulokset!$I$47),0,IF(Tulokset!$G$47=Tulokset!$I$47,IF(AND('5'!$I$48=Tulokset!$G$47,'5'!$K$48=Tulokset!$I$47),6,3),MAX(0,6-(ABS('5'!$I$48-Tulokset!$G$47)+ABS('5'!$K$48-Tulokset!$I$47))))))</f>
        <v/>
      </c>
      <c r="AX8" t="str">
        <f>IF(OR(Tulokset!$G$48="",Tulokset!$I$48="",'5'!$I$49="",'5'!$K$49=""),"",IF(SIGN('5'!$I$49-'5'!$K$49)&lt;&gt;SIGN(Tulokset!$G$48-Tulokset!$I$48),0,IF(Tulokset!$G$48=Tulokset!$I$48,IF(AND('5'!$I$49=Tulokset!$G$48,'5'!$K$49=Tulokset!$I$48),6,3),MAX(0,6-(ABS('5'!$I$49-Tulokset!$G$48)+ABS('5'!$K$49-Tulokset!$I$48))))))</f>
        <v/>
      </c>
      <c r="AY8" t="str">
        <f>IF(OR(Tulokset!$G$49="",Tulokset!$I$49="",'5'!$I$50="",'5'!$K$50=""),"",IF(SIGN('5'!$I$50-'5'!$K$50)&lt;&gt;SIGN(Tulokset!$G$49-Tulokset!$I$49),0,IF(Tulokset!$G$49=Tulokset!$I$49,IF(AND('5'!$I$50=Tulokset!$G$49,'5'!$K$50=Tulokset!$I$49),6,3),MAX(0,6-(ABS('5'!$I$50-Tulokset!$G$49)+ABS('5'!$K$50-Tulokset!$I$49))))))</f>
        <v/>
      </c>
      <c r="AZ8" t="str">
        <f>IF(OR(Tulokset!$G$50="",Tulokset!$I$50="",'5'!$I$51="",'5'!$K$51=""),"",IF(SIGN('5'!$I$51-'5'!$K$51)&lt;&gt;SIGN(Tulokset!$G$50-Tulokset!$I$50),0,IF(Tulokset!$G$50=Tulokset!$I$50,IF(AND('5'!$I$51=Tulokset!$G$50,'5'!$K$51=Tulokset!$I$50),6,3),MAX(0,6-(ABS('5'!$I$51-Tulokset!$G$50)+ABS('5'!$K$51-Tulokset!$I$50))))))</f>
        <v/>
      </c>
      <c r="BA8" t="str">
        <f>IF(OR(Tulokset!$G$51="",Tulokset!$I$51="",'5'!$I$52="",'5'!$K$52=""),"",IF(SIGN('5'!$I$52-'5'!$K$52)&lt;&gt;SIGN(Tulokset!$G$51-Tulokset!$I$51),0,IF(Tulokset!$G$51=Tulokset!$I$51,IF(AND('5'!$I$52=Tulokset!$G$51,'5'!$K$52=Tulokset!$I$51),6,3),MAX(0,6-(ABS('5'!$I$52-Tulokset!$G$51)+ABS('5'!$K$52-Tulokset!$I$51))))))</f>
        <v/>
      </c>
      <c r="BB8" t="str">
        <f>IF(OR(Tulokset!$G$52="",Tulokset!$I$52="",'5'!$I$53="",'5'!$K$53=""),"",IF(SIGN('5'!$I$53-'5'!$K$53)&lt;&gt;SIGN(Tulokset!$G$52-Tulokset!$I$52),0,IF(Tulokset!$G$52=Tulokset!$I$52,IF(AND('5'!$I$53=Tulokset!$G$52,'5'!$K$53=Tulokset!$I$52),6,3),MAX(0,6-(ABS('5'!$I$53-Tulokset!$G$52)+ABS('5'!$K$53-Tulokset!$I$52))))))</f>
        <v/>
      </c>
      <c r="BC8" t="str">
        <f>IF(OR(Tulokset!$G$53="",Tulokset!$I$53="",'5'!$I$54="",'5'!$K$54=""),"",IF(SIGN('5'!$I$54-'5'!$K$54)&lt;&gt;SIGN(Tulokset!$G$53-Tulokset!$I$53),0,IF(Tulokset!$G$53=Tulokset!$I$53,IF(AND('5'!$I$54=Tulokset!$G$53,'5'!$K$54=Tulokset!$I$53),6,3),MAX(0,6-(ABS('5'!$I$54-Tulokset!$G$53)+ABS('5'!$K$54-Tulokset!$I$53))))))</f>
        <v/>
      </c>
      <c r="BD8" t="str">
        <f>IF(OR(Tulokset!$G$54="",Tulokset!$I$54="",'5'!$I$55="",'5'!$K$55=""),"",IF(SIGN('5'!$I$55-'5'!$K$55)&lt;&gt;SIGN(Tulokset!$G$54-Tulokset!$I$54),0,IF(Tulokset!$G$54=Tulokset!$I$54,IF(AND('5'!$I$55=Tulokset!$G$54,'5'!$K$55=Tulokset!$I$54),6,3),MAX(0,6-(ABS('5'!$I$55-Tulokset!$G$54)+ABS('5'!$K$55-Tulokset!$I$54))))))</f>
        <v/>
      </c>
      <c r="BE8" t="str">
        <f>IF(OR(Tulokset!$G$55="",Tulokset!$I$55="",'5'!$I$56="",'5'!$K$56=""),"",IF(SIGN('5'!$I$56-'5'!$K$56)&lt;&gt;SIGN(Tulokset!$G$55-Tulokset!$I$55),0,IF(Tulokset!$G$55=Tulokset!$I$55,IF(AND('5'!$I$56=Tulokset!$G$55,'5'!$K$56=Tulokset!$I$55),6,3),MAX(0,6-(ABS('5'!$I$56-Tulokset!$G$55)+ABS('5'!$K$56-Tulokset!$I$55))))))</f>
        <v/>
      </c>
      <c r="BF8" t="str">
        <f>IF(OR(Tulokset!$G$56="",Tulokset!$I$56="",'5'!$I$57="",'5'!$K$57=""),"",IF(SIGN('5'!$I$57-'5'!$K$57)&lt;&gt;SIGN(Tulokset!$G$56-Tulokset!$I$56),0,IF(Tulokset!$G$56=Tulokset!$I$56,IF(AND('5'!$I$57=Tulokset!$G$56,'5'!$K$57=Tulokset!$I$56),6,3),MAX(0,6-(ABS('5'!$I$57-Tulokset!$G$56)+ABS('5'!$K$57-Tulokset!$I$56))))))</f>
        <v/>
      </c>
      <c r="BG8" t="str">
        <f>IF(OR(Tulokset!$G$57="",Tulokset!$I$57="",'5'!$I$58="",'5'!$K$58=""),"",IF(SIGN('5'!$I$58-'5'!$K$58)&lt;&gt;SIGN(Tulokset!$G$57-Tulokset!$I$57),0,IF(Tulokset!$G$57=Tulokset!$I$57,IF(AND('5'!$I$58=Tulokset!$G$57,'5'!$K$58=Tulokset!$I$57),6,3),MAX(0,6-(ABS('5'!$I$58-Tulokset!$G$57)+ABS('5'!$K$58-Tulokset!$I$57))))))</f>
        <v/>
      </c>
      <c r="BH8" t="str">
        <f>IF(OR(Tulokset!$G$58="",Tulokset!$I$58="",'5'!$I$59="",'5'!$K$59=""),"",IF(SIGN('5'!$I$59-'5'!$K$59)&lt;&gt;SIGN(Tulokset!$G$58-Tulokset!$I$58),0,IF(Tulokset!$G$58=Tulokset!$I$58,IF(AND('5'!$I$59=Tulokset!$G$58,'5'!$K$59=Tulokset!$I$58),6,3),MAX(0,6-(ABS('5'!$I$59-Tulokset!$G$58)+ABS('5'!$K$59-Tulokset!$I$58))))))</f>
        <v/>
      </c>
      <c r="BI8" t="str">
        <f>IF(OR(Tulokset!$G$59="",Tulokset!$I$59="",'5'!$I$60="",'5'!$K$60=""),"",IF(SIGN('5'!$I$60-'5'!$K$60)&lt;&gt;SIGN(Tulokset!$G$59-Tulokset!$I$59),0,IF(Tulokset!$G$59=Tulokset!$I$59,IF(AND('5'!$I$60=Tulokset!$G$59,'5'!$K$60=Tulokset!$I$59),6,3),MAX(0,6-(ABS('5'!$I$60-Tulokset!$G$59)+ABS('5'!$K$60-Tulokset!$I$59))))))</f>
        <v/>
      </c>
      <c r="BJ8" t="str">
        <f>IF(OR(Tulokset!$G$60="",Tulokset!$I$60="",'5'!$I$61="",'5'!$K$61=""),"",IF(SIGN('5'!$I$61-'5'!$K$61)&lt;&gt;SIGN(Tulokset!$G$60-Tulokset!$I$60),0,IF(Tulokset!$G$60=Tulokset!$I$60,IF(AND('5'!$I$61=Tulokset!$G$60,'5'!$K$61=Tulokset!$I$60),6,3),MAX(0,6-(ABS('5'!$I$61-Tulokset!$G$60)+ABS('5'!$K$61-Tulokset!$I$60))))))</f>
        <v/>
      </c>
      <c r="BK8" t="str">
        <f>IF(OR(Tulokset!$G$61="",Tulokset!$I$61="",'5'!$I$62="",'5'!$K$62=""),"",IF(SIGN('5'!$I$62-'5'!$K$62)&lt;&gt;SIGN(Tulokset!$G$61-Tulokset!$I$61),0,IF(Tulokset!$G$61=Tulokset!$I$61,IF(AND('5'!$I$62=Tulokset!$G$61,'5'!$K$62=Tulokset!$I$61),6,3),MAX(0,6-(ABS('5'!$I$62-Tulokset!$G$61)+ABS('5'!$K$62-Tulokset!$I$61))))))</f>
        <v/>
      </c>
      <c r="BL8" t="str">
        <f>IF(OR(Tulokset!$G$62="",Tulokset!$I$62="",'5'!$I$63="",'5'!$K$63=""),"",IF(SIGN('5'!$I$63-'5'!$K$63)&lt;&gt;SIGN(Tulokset!$G$62-Tulokset!$I$62),0,IF(Tulokset!$G$62=Tulokset!$I$62,IF(AND('5'!$I$63=Tulokset!$G$62,'5'!$K$63=Tulokset!$I$62),6,3),MAX(0,6-(ABS('5'!$I$63-Tulokset!$G$62)+ABS('5'!$K$63-Tulokset!$I$62))))))</f>
        <v/>
      </c>
      <c r="BM8" t="str">
        <f>IF(OR(Tulokset!$G$63="",Tulokset!$I$63="",'5'!$I$64="",'5'!$K$64=""),"",IF(SIGN('5'!$I$64-'5'!$K$64)&lt;&gt;SIGN(Tulokset!$G$63-Tulokset!$I$63),0,IF(Tulokset!$G$63=Tulokset!$I$63,IF(AND('5'!$I$64=Tulokset!$G$63,'5'!$K$64=Tulokset!$I$63),6,3),MAX(0,6-(ABS('5'!$I$64-Tulokset!$G$63)+ABS('5'!$K$64-Tulokset!$I$63))))))</f>
        <v/>
      </c>
      <c r="BN8" t="str">
        <f>IF(OR(Tulokset!$G$64="",Tulokset!$I$64="",'5'!$I$65="",'5'!$K$65=""),"",IF(SIGN('5'!$I$65-'5'!$K$65)&lt;&gt;SIGN(Tulokset!$G$64-Tulokset!$I$64),0,IF(Tulokset!$G$64=Tulokset!$I$64,IF(AND('5'!$I$65=Tulokset!$G$64,'5'!$K$65=Tulokset!$I$64),6,3),MAX(0,6-(ABS('5'!$I$65-Tulokset!$G$64)+ABS('5'!$K$65-Tulokset!$I$64))))))</f>
        <v/>
      </c>
      <c r="BO8" t="str">
        <f>IF(OR(Tulokset!$G$65="",Tulokset!$I$65="",'5'!$I$66="",'5'!$K$66=""),"",IF(SIGN('5'!$I$66-'5'!$K$66)&lt;&gt;SIGN(Tulokset!$G$65-Tulokset!$I$65),0,IF(Tulokset!$G$65=Tulokset!$I$65,IF(AND('5'!$I$66=Tulokset!$G$65,'5'!$K$66=Tulokset!$I$65),6,3),MAX(0,6-(ABS('5'!$I$66-Tulokset!$G$65)+ABS('5'!$K$66-Tulokset!$I$65))))))</f>
        <v/>
      </c>
      <c r="BP8" t="str">
        <f>IF(OR(Tulokset!$G$66="",Tulokset!$I$66="",'5'!$I$67="",'5'!$K$67=""),"",IF(SIGN('5'!$I$67-'5'!$K$67)&lt;&gt;SIGN(Tulokset!$G$66-Tulokset!$I$66),0,IF(Tulokset!$G$66=Tulokset!$I$66,IF(AND('5'!$I$67=Tulokset!$G$66,'5'!$K$67=Tulokset!$I$66),6,3),MAX(0,6-(ABS('5'!$I$67-Tulokset!$G$66)+ABS('5'!$K$67-Tulokset!$I$66))))))</f>
        <v/>
      </c>
      <c r="BQ8" t="str">
        <f>IF(OR(Tulokset!$G$67="",Tulokset!$I$67="",'5'!$I$68="",'5'!$K$68=""),"",IF(SIGN('5'!$I$68-'5'!$K$68)&lt;&gt;SIGN(Tulokset!$G$67-Tulokset!$I$67),0,IF(Tulokset!$G$67=Tulokset!$I$67,IF(AND('5'!$I$68=Tulokset!$G$67,'5'!$K$68=Tulokset!$I$67),6,3),MAX(0,6-(ABS('5'!$I$68-Tulokset!$G$67)+ABS('5'!$K$68-Tulokset!$I$67))))))</f>
        <v/>
      </c>
      <c r="BR8" t="str">
        <f>IF(OR(Tulokset!$G$68="",Tulokset!$I$68="",'5'!$I$69="",'5'!$K$69=""),"",IF(SIGN('5'!$I$69-'5'!$K$69)&lt;&gt;SIGN(Tulokset!$G$68-Tulokset!$I$68),0,IF(Tulokset!$G$68=Tulokset!$I$68,IF(AND('5'!$I$69=Tulokset!$G$68,'5'!$K$69=Tulokset!$I$68),6,3),MAX(0,6-(ABS('5'!$I$69-Tulokset!$G$68)+ABS('5'!$K$69-Tulokset!$I$68))))))</f>
        <v/>
      </c>
      <c r="BS8" t="str">
        <f>IF(OR(Tulokset!$G$69="",Tulokset!$I$69="",'5'!$I$70="",'5'!$K$70=""),"",IF(SIGN('5'!$I$70-'5'!$K$70)&lt;&gt;SIGN(Tulokset!$G$69-Tulokset!$I$69),0,IF(Tulokset!$G$69=Tulokset!$I$69,IF(AND('5'!$I$70=Tulokset!$G$69,'5'!$K$70=Tulokset!$I$69),6,3),MAX(0,6-(ABS('5'!$I$70-Tulokset!$G$69)+ABS('5'!$K$70-Tulokset!$I$69))))))</f>
        <v/>
      </c>
      <c r="BT8" t="str">
        <f>IF(OR(Tulokset!$G$70="",Tulokset!$I$70="",'5'!$I$71="",'5'!$K$71=""),"",IF(SIGN('5'!$I$71-'5'!$K$71)&lt;&gt;SIGN(Tulokset!$G$70-Tulokset!$I$70),0,IF(Tulokset!$G$70=Tulokset!$I$70,IF(AND('5'!$I$71=Tulokset!$G$70,'5'!$K$71=Tulokset!$I$70),6,3),MAX(0,6-(ABS('5'!$I$71-Tulokset!$G$70)+ABS('5'!$K$71-Tulokset!$I$70))))))</f>
        <v/>
      </c>
      <c r="BU8" t="str">
        <f>IF(OR(Tulokset!$G$71="",Tulokset!$I$71="",'5'!$I$72="",'5'!$K$72=""),"",IF(SIGN('5'!$I$72-'5'!$K$72)&lt;&gt;SIGN(Tulokset!$G$71-Tulokset!$I$71),0,IF(Tulokset!$G$71=Tulokset!$I$71,IF(AND('5'!$I$72=Tulokset!$G$71,'5'!$K$72=Tulokset!$I$71),6,3),MAX(0,6-(ABS('5'!$I$72-Tulokset!$G$71)+ABS('5'!$K$72-Tulokset!$I$71))))))</f>
        <v/>
      </c>
      <c r="BV8" t="str">
        <f>IF(OR(Tulokset!$G$72="",Tulokset!$I$72="",'5'!$I$73="",'5'!$K$73=""),"",IF(SIGN('5'!$I$73-'5'!$K$73)&lt;&gt;SIGN(Tulokset!$G$72-Tulokset!$I$72),0,IF(Tulokset!$G$72=Tulokset!$I$72,IF(AND('5'!$I$73=Tulokset!$G$72,'5'!$K$73=Tulokset!$I$72),6,3),MAX(0,6-(ABS('5'!$I$73-Tulokset!$G$72)+ABS('5'!$K$73-Tulokset!$I$72))))))</f>
        <v/>
      </c>
      <c r="BW8" t="str">
        <f>IF(OR(Tulokset!$G$73="",Tulokset!$I$73="",'5'!$I$74="",'5'!$K$74=""),"",IF(SIGN('5'!$I$74-'5'!$K$74)&lt;&gt;SIGN(Tulokset!$G$73-Tulokset!$I$73),0,IF(Tulokset!$G$73=Tulokset!$I$73,IF(AND('5'!$I$74=Tulokset!$G$73,'5'!$K$74=Tulokset!$I$73),6,3),MAX(0,6-(ABS('5'!$I$74-Tulokset!$G$73)+ABS('5'!$K$74-Tulokset!$I$73))))))</f>
        <v/>
      </c>
      <c r="BX8" t="str">
        <f>IF(OR(Tulokset!$G$74="",Tulokset!$I$74="",'5'!$I$75="",'5'!$K$75=""),"",IF(SIGN('5'!$I$75-'5'!$K$75)&lt;&gt;SIGN(Tulokset!$G$74-Tulokset!$I$74),0,IF(Tulokset!$G$74=Tulokset!$I$74,IF(AND('5'!$I$75=Tulokset!$G$74,'5'!$K$75=Tulokset!$I$74),6,3),MAX(0,6-(ABS('5'!$I$75-Tulokset!$G$74)+ABS('5'!$K$75-Tulokset!$I$74))))))</f>
        <v/>
      </c>
      <c r="BY8" t="str">
        <f>IF(OR(Tulokset!$G$75="",Tulokset!$I$75="",'5'!$I$76="",'5'!$K$76=""),"",IF(SIGN('5'!$I$76-'5'!$K$76)&lt;&gt;SIGN(Tulokset!$G$75-Tulokset!$I$75),0,IF(Tulokset!$G$75=Tulokset!$I$75,IF(AND('5'!$I$76=Tulokset!$G$75,'5'!$K$76=Tulokset!$I$75),6,3),MAX(0,6-(ABS('5'!$I$76-Tulokset!$G$75)+ABS('5'!$K$76-Tulokset!$I$75))))))</f>
        <v/>
      </c>
      <c r="BZ8" t="str">
        <f>IF(OR(Tulokset!$G$76="",Tulokset!$I$76="",'5'!$I$77="",'5'!$K$77=""),"",IF(SIGN('5'!$I$77-'5'!$K$77)&lt;&gt;SIGN(Tulokset!$G$76-Tulokset!$I$76),0,IF(Tulokset!$G$76=Tulokset!$I$76,IF(AND('5'!$I$77=Tulokset!$G$76,'5'!$K$77=Tulokset!$I$76),6,3),MAX(0,6-(ABS('5'!$I$77-Tulokset!$G$76)+ABS('5'!$K$77-Tulokset!$I$76))))))</f>
        <v/>
      </c>
      <c r="CA8" t="str">
        <f>IF(OR(Tulokset!$G$77="",Tulokset!$I$77="",'5'!$I$78="",'5'!$K$78=""),"",IF(SIGN('5'!$I$78-'5'!$K$78)&lt;&gt;SIGN(Tulokset!$G$77-Tulokset!$I$77),0,IF(Tulokset!$G$77=Tulokset!$I$77,IF(AND('5'!$I$78=Tulokset!$G$77,'5'!$K$78=Tulokset!$I$77),6,3),MAX(0,6-(ABS('5'!$I$78-Tulokset!$G$77)+ABS('5'!$K$78-Tulokset!$I$77))))))</f>
        <v/>
      </c>
      <c r="CD8" t="str">
        <f ca="1">IF(OR(Tulokset!$M$6="",INDIRECT("'"&amp;$A8&amp;"'!$P$8")=""),"",IF(TRIM(INDIRECT("'"&amp;$A8&amp;"'!$P$8"))=TRIM(Tulokset!$M$6),2,0))</f>
        <v/>
      </c>
      <c r="CE8" t="str">
        <f ca="1">IF(OR(Tulokset!$M$7="",INDIRECT("'"&amp;$A8&amp;"'!$P$9")=""),"",IF(TRIM(INDIRECT("'"&amp;$A8&amp;"'!$P$9"))=TRIM(Tulokset!$M$7),2,0))</f>
        <v/>
      </c>
      <c r="CF8" t="str">
        <f ca="1">IF(OR(Tulokset!$M$8="",INDIRECT("'"&amp;$A8&amp;"'!$P$10")=""),"",IF(TRIM(INDIRECT("'"&amp;$A8&amp;"'!$P$10"))=TRIM(Tulokset!$M$8),2,0))</f>
        <v/>
      </c>
      <c r="CG8" t="str">
        <f ca="1">IF(OR(Tulokset!$M$9="",INDIRECT("'"&amp;$A8&amp;"'!$P$11")=""),"",IF(TRIM(INDIRECT("'"&amp;$A8&amp;"'!$P$11"))=TRIM(Tulokset!$M$9),2,0))</f>
        <v/>
      </c>
      <c r="CH8" t="str">
        <f ca="1">IF(OR(Tulokset!$N$6="",INDIRECT("'"&amp;$A8&amp;"'!$Q$8")=""),"",IF(TRIM(INDIRECT("'"&amp;$A8&amp;"'!$Q$8"))=TRIM(Tulokset!$N$6),2,0))</f>
        <v/>
      </c>
      <c r="CI8" t="str">
        <f ca="1">IF(OR(Tulokset!$N$7="",INDIRECT("'"&amp;$A8&amp;"'!$Q$9")=""),"",IF(TRIM(INDIRECT("'"&amp;$A8&amp;"'!$Q$9"))=TRIM(Tulokset!$N$7),2,0))</f>
        <v/>
      </c>
      <c r="CJ8" t="str">
        <f ca="1">IF(OR(Tulokset!$N$8="",INDIRECT("'"&amp;$A8&amp;"'!$Q$10")=""),"",IF(TRIM(INDIRECT("'"&amp;$A8&amp;"'!$Q$10"))=TRIM(Tulokset!$N$8),2,0))</f>
        <v/>
      </c>
      <c r="CK8" t="str">
        <f ca="1">IF(OR(Tulokset!$N$9="",INDIRECT("'"&amp;$A8&amp;"'!$Q$11")=""),"",IF(TRIM(INDIRECT("'"&amp;$A8&amp;"'!$Q$11"))=TRIM(Tulokset!$N$9),2,0))</f>
        <v/>
      </c>
      <c r="CL8" t="str">
        <f ca="1">IF(OR(Tulokset!$O$6="",INDIRECT("'"&amp;$A8&amp;"'!$R$8")=""),"",IF(TRIM(INDIRECT("'"&amp;$A8&amp;"'!$R$8"))=TRIM(Tulokset!$O$6),2,0))</f>
        <v/>
      </c>
      <c r="CM8" t="str">
        <f ca="1">IF(OR(Tulokset!$O$7="",INDIRECT("'"&amp;$A8&amp;"'!$R$9")=""),"",IF(TRIM(INDIRECT("'"&amp;$A8&amp;"'!$R$9"))=TRIM(Tulokset!$O$7),2,0))</f>
        <v/>
      </c>
      <c r="CN8" t="str">
        <f ca="1">IF(OR(Tulokset!$O$8="",INDIRECT("'"&amp;$A8&amp;"'!$R$10")=""),"",IF(TRIM(INDIRECT("'"&amp;$A8&amp;"'!$R$10"))=TRIM(Tulokset!$O$8),2,0))</f>
        <v/>
      </c>
      <c r="CO8" t="str">
        <f ca="1">IF(OR(Tulokset!$O$9="",INDIRECT("'"&amp;$A8&amp;"'!$R$11")=""),"",IF(TRIM(INDIRECT("'"&amp;$A8&amp;"'!$R$11"))=TRIM(Tulokset!$O$9),2,0))</f>
        <v/>
      </c>
      <c r="CP8" t="str">
        <f ca="1">IF(OR(Tulokset!$P$6="",INDIRECT("'"&amp;$A8&amp;"'!$S$8")=""),"",IF(TRIM(INDIRECT("'"&amp;$A8&amp;"'!$S$8"))=TRIM(Tulokset!$P$6),2,0))</f>
        <v/>
      </c>
      <c r="CQ8" t="str">
        <f ca="1">IF(OR(Tulokset!$P$7="",INDIRECT("'"&amp;$A8&amp;"'!$S$9")=""),"",IF(TRIM(INDIRECT("'"&amp;$A8&amp;"'!$S$9"))=TRIM(Tulokset!$P$7),2,0))</f>
        <v/>
      </c>
      <c r="CR8" t="str">
        <f ca="1">IF(OR(Tulokset!$P$8="",INDIRECT("'"&amp;$A8&amp;"'!$S$10")=""),"",IF(TRIM(INDIRECT("'"&amp;$A8&amp;"'!$S$10"))=TRIM(Tulokset!$P$8),2,0))</f>
        <v/>
      </c>
      <c r="CS8" t="str">
        <f ca="1">IF(OR(Tulokset!$P$9="",INDIRECT("'"&amp;$A8&amp;"'!$S$11")=""),"",IF(TRIM(INDIRECT("'"&amp;$A8&amp;"'!$S$11"))=TRIM(Tulokset!$P$9),2,0))</f>
        <v/>
      </c>
      <c r="CT8" t="str">
        <f ca="1">IF(OR(Tulokset!$Q$6="",INDIRECT("'"&amp;$A8&amp;"'!$T$8")=""),"",IF(TRIM(INDIRECT("'"&amp;$A8&amp;"'!$T$8"))=TRIM(Tulokset!$Q$6),2,0))</f>
        <v/>
      </c>
      <c r="CU8" t="str">
        <f ca="1">IF(OR(Tulokset!$Q$7="",INDIRECT("'"&amp;$A8&amp;"'!$T$9")=""),"",IF(TRIM(INDIRECT("'"&amp;$A8&amp;"'!$T$9"))=TRIM(Tulokset!$Q$7),2,0))</f>
        <v/>
      </c>
      <c r="CV8" t="str">
        <f ca="1">IF(OR(Tulokset!$Q$8="",INDIRECT("'"&amp;$A8&amp;"'!$T$10")=""),"",IF(TRIM(INDIRECT("'"&amp;$A8&amp;"'!$T$10"))=TRIM(Tulokset!$Q$8),2,0))</f>
        <v/>
      </c>
      <c r="CW8" t="str">
        <f ca="1">IF(OR(Tulokset!$Q$9="",INDIRECT("'"&amp;$A8&amp;"'!$T$11")=""),"",IF(TRIM(INDIRECT("'"&amp;$A8&amp;"'!$T$11"))=TRIM(Tulokset!$Q$9),2,0))</f>
        <v/>
      </c>
      <c r="CX8" t="str">
        <f ca="1">IF(OR(Tulokset!$R$6="",INDIRECT("'"&amp;$A8&amp;"'!$U$8")=""),"",IF(TRIM(INDIRECT("'"&amp;$A8&amp;"'!$U$8"))=TRIM(Tulokset!$R$6),2,0))</f>
        <v/>
      </c>
      <c r="CY8" t="str">
        <f ca="1">IF(OR(Tulokset!$R$7="",INDIRECT("'"&amp;$A8&amp;"'!$U$9")=""),"",IF(TRIM(INDIRECT("'"&amp;$A8&amp;"'!$U$9"))=TRIM(Tulokset!$R$7),2,0))</f>
        <v/>
      </c>
      <c r="CZ8" t="str">
        <f ca="1">IF(OR(Tulokset!$R$8="",INDIRECT("'"&amp;$A8&amp;"'!$U$10")=""),"",IF(TRIM(INDIRECT("'"&amp;$A8&amp;"'!$U$10"))=TRIM(Tulokset!$R$8),2,0))</f>
        <v/>
      </c>
      <c r="DA8" t="str">
        <f ca="1">IF(OR(Tulokset!$R$9="",INDIRECT("'"&amp;$A8&amp;"'!$U$11")=""),"",IF(TRIM(INDIRECT("'"&amp;$A8&amp;"'!$U$11"))=TRIM(Tulokset!$R$9),2,0))</f>
        <v/>
      </c>
      <c r="DB8" t="str">
        <f ca="1">IF(OR(Tulokset!$M$12="",INDIRECT("'"&amp;$A8&amp;"'!$P$14")=""),"",IF(TRIM(INDIRECT("'"&amp;$A8&amp;"'!$P$14"))=TRIM(Tulokset!$M$12),2,0))</f>
        <v/>
      </c>
      <c r="DC8" t="str">
        <f ca="1">IF(OR(Tulokset!$M$13="",INDIRECT("'"&amp;$A8&amp;"'!$P$15")=""),"",IF(TRIM(INDIRECT("'"&amp;$A8&amp;"'!$P$15"))=TRIM(Tulokset!$M$13),2,0))</f>
        <v/>
      </c>
      <c r="DD8" t="str">
        <f ca="1">IF(OR(Tulokset!$M$14="",INDIRECT("'"&amp;$A8&amp;"'!$P$16")=""),"",IF(TRIM(INDIRECT("'"&amp;$A8&amp;"'!$P$16"))=TRIM(Tulokset!$M$14),2,0))</f>
        <v/>
      </c>
      <c r="DE8" t="str">
        <f ca="1">IF(OR(Tulokset!$M$15="",INDIRECT("'"&amp;$A8&amp;"'!$P$17")=""),"",IF(TRIM(INDIRECT("'"&amp;$A8&amp;"'!$P$17"))=TRIM(Tulokset!$M$15),2,0))</f>
        <v/>
      </c>
      <c r="DF8" t="str">
        <f ca="1">IF(OR(Tulokset!$N$12="",INDIRECT("'"&amp;$A8&amp;"'!$Q$14")=""),"",IF(TRIM(INDIRECT("'"&amp;$A8&amp;"'!$Q$14"))=TRIM(Tulokset!$N$12),2,0))</f>
        <v/>
      </c>
      <c r="DG8" t="str">
        <f ca="1">IF(OR(Tulokset!$N$13="",INDIRECT("'"&amp;$A8&amp;"'!$Q$15")=""),"",IF(TRIM(INDIRECT("'"&amp;$A8&amp;"'!$Q$15"))=TRIM(Tulokset!$N$13),2,0))</f>
        <v/>
      </c>
      <c r="DH8" t="str">
        <f ca="1">IF(OR(Tulokset!$N$14="",INDIRECT("'"&amp;$A8&amp;"'!$Q$16")=""),"",IF(TRIM(INDIRECT("'"&amp;$A8&amp;"'!$Q$16"))=TRIM(Tulokset!$N$14),2,0))</f>
        <v/>
      </c>
      <c r="DI8" t="str">
        <f ca="1">IF(OR(Tulokset!$N$15="",INDIRECT("'"&amp;$A8&amp;"'!$Q$17")=""),"",IF(TRIM(INDIRECT("'"&amp;$A8&amp;"'!$Q$17"))=TRIM(Tulokset!$N$15),2,0))</f>
        <v/>
      </c>
      <c r="DJ8" t="str">
        <f ca="1">IF(OR(Tulokset!$O$12="",INDIRECT("'"&amp;$A8&amp;"'!$R$14")=""),"",IF(TRIM(INDIRECT("'"&amp;$A8&amp;"'!$R$14"))=TRIM(Tulokset!$O$12),2,0))</f>
        <v/>
      </c>
      <c r="DK8" t="str">
        <f ca="1">IF(OR(Tulokset!$O$13="",INDIRECT("'"&amp;$A8&amp;"'!$R$15")=""),"",IF(TRIM(INDIRECT("'"&amp;$A8&amp;"'!$R$15"))=TRIM(Tulokset!$O$13),2,0))</f>
        <v/>
      </c>
      <c r="DL8" t="str">
        <f ca="1">IF(OR(Tulokset!$O$14="",INDIRECT("'"&amp;$A8&amp;"'!$R$16")=""),"",IF(TRIM(INDIRECT("'"&amp;$A8&amp;"'!$R$16"))=TRIM(Tulokset!$O$14),2,0))</f>
        <v/>
      </c>
      <c r="DM8" t="str">
        <f ca="1">IF(OR(Tulokset!$O$15="",INDIRECT("'"&amp;$A8&amp;"'!$R$17")=""),"",IF(TRIM(INDIRECT("'"&amp;$A8&amp;"'!$R$17"))=TRIM(Tulokset!$O$15),2,0))</f>
        <v/>
      </c>
      <c r="DN8" t="str">
        <f ca="1">IF(OR(Tulokset!$P$12="",INDIRECT("'"&amp;$A8&amp;"'!$S$14")=""),"",IF(TRIM(INDIRECT("'"&amp;$A8&amp;"'!$S$14"))=TRIM(Tulokset!$P$12),2,0))</f>
        <v/>
      </c>
      <c r="DO8" t="str">
        <f ca="1">IF(OR(Tulokset!$P$13="",INDIRECT("'"&amp;$A8&amp;"'!$S$15")=""),"",IF(TRIM(INDIRECT("'"&amp;$A8&amp;"'!$S$15"))=TRIM(Tulokset!$P$13),2,0))</f>
        <v/>
      </c>
      <c r="DP8" t="str">
        <f ca="1">IF(OR(Tulokset!$P$14="",INDIRECT("'"&amp;$A8&amp;"'!$S$16")=""),"",IF(TRIM(INDIRECT("'"&amp;$A8&amp;"'!$S$16"))=TRIM(Tulokset!$P$14),2,0))</f>
        <v/>
      </c>
      <c r="DQ8" t="str">
        <f ca="1">IF(OR(Tulokset!$P$15="",INDIRECT("'"&amp;$A8&amp;"'!$S$17")=""),"",IF(TRIM(INDIRECT("'"&amp;$A8&amp;"'!$S$17"))=TRIM(Tulokset!$P$15),2,0))</f>
        <v/>
      </c>
      <c r="DR8" t="str">
        <f ca="1">IF(OR(Tulokset!$Q$12="",INDIRECT("'"&amp;$A8&amp;"'!$T$14")=""),"",IF(TRIM(INDIRECT("'"&amp;$A8&amp;"'!$T$14"))=TRIM(Tulokset!$Q$12),2,0))</f>
        <v/>
      </c>
      <c r="DS8" t="str">
        <f ca="1">IF(OR(Tulokset!$Q$13="",INDIRECT("'"&amp;$A8&amp;"'!$T$15")=""),"",IF(TRIM(INDIRECT("'"&amp;$A8&amp;"'!$T$15"))=TRIM(Tulokset!$Q$13),2,0))</f>
        <v/>
      </c>
      <c r="DT8" t="str">
        <f ca="1">IF(OR(Tulokset!$Q$14="",INDIRECT("'"&amp;$A8&amp;"'!$T$16")=""),"",IF(TRIM(INDIRECT("'"&amp;$A8&amp;"'!$T$16"))=TRIM(Tulokset!$Q$14),2,0))</f>
        <v/>
      </c>
      <c r="DU8" t="str">
        <f ca="1">IF(OR(Tulokset!$Q$15="",INDIRECT("'"&amp;$A8&amp;"'!$T$17")=""),"",IF(TRIM(INDIRECT("'"&amp;$A8&amp;"'!$T$17"))=TRIM(Tulokset!$Q$15),2,0))</f>
        <v/>
      </c>
      <c r="DV8" t="str">
        <f ca="1">IF(OR(Tulokset!$R$12="",INDIRECT("'"&amp;$A8&amp;"'!$U$14")=""),"",IF(TRIM(INDIRECT("'"&amp;$A8&amp;"'!$U$14"))=TRIM(Tulokset!$R$12),2,0))</f>
        <v/>
      </c>
      <c r="DW8" t="str">
        <f ca="1">IF(OR(Tulokset!$R$13="",INDIRECT("'"&amp;$A8&amp;"'!$U$15")=""),"",IF(TRIM(INDIRECT("'"&amp;$A8&amp;"'!$U$15"))=TRIM(Tulokset!$R$13),2,0))</f>
        <v/>
      </c>
      <c r="DX8" t="str">
        <f ca="1">IF(OR(Tulokset!$R$14="",INDIRECT("'"&amp;$A8&amp;"'!$U$16")=""),"",IF(TRIM(INDIRECT("'"&amp;$A8&amp;"'!$U$16"))=TRIM(Tulokset!$R$14),2,0))</f>
        <v/>
      </c>
      <c r="DY8" t="str">
        <f ca="1">IF(OR(Tulokset!$R$15="",INDIRECT("'"&amp;$A8&amp;"'!$U$17")=""),"",IF(TRIM(INDIRECT("'"&amp;$A8&amp;"'!$U$17"))=TRIM(Tulokset!$R$15),2,0))</f>
        <v/>
      </c>
      <c r="EA8" t="str">
        <f ca="1">IF(OR(INDIRECT("'"&amp;$A8&amp;"'!$E$79")="",COUNTA(Tulokset!$M$20:$M$21)=0),"",IF(COUNTIF(Tulokset!$M$20:$M$21,INDIRECT("'"&amp;$A8&amp;"'!$E$79"))&gt;0,2,0))</f>
        <v/>
      </c>
      <c r="EB8" t="str">
        <f ca="1">IF(OR(INDIRECT("'"&amp;$A8&amp;"'!$G$79")="",COUNTA(Tulokset!$M$20:$M$21)=0),"",IF(COUNTIF(Tulokset!$M$20:$M$21,INDIRECT("'"&amp;$A8&amp;"'!$G$79"))&gt;0,2,0))</f>
        <v/>
      </c>
      <c r="EC8" t="str">
        <f ca="1">IF(OR(INDIRECT("'"&amp;$A8&amp;"'!$E$80")="",COUNTA(Tulokset!$M$23:$M$24)=0),"",IF(COUNTIF(Tulokset!$M$23:$M$24,INDIRECT("'"&amp;$A8&amp;"'!$E$80"))&gt;0,2,0))</f>
        <v/>
      </c>
      <c r="ED8" t="str">
        <f ca="1">IF(OR(INDIRECT("'"&amp;$A8&amp;"'!$G$80")="",COUNTA(Tulokset!$M$23:$M$24)=0),"",IF(COUNTIF(Tulokset!$M$23:$M$24,INDIRECT("'"&amp;$A8&amp;"'!$G$80"))&gt;0,2,0))</f>
        <v/>
      </c>
    </row>
    <row r="9" spans="1:134">
      <c r="A9" t="s">
        <v>221</v>
      </c>
      <c r="B9" t="str">
        <f t="shared" ca="1" si="0"/>
        <v>Pauli Koponen</v>
      </c>
      <c r="C9" s="95">
        <f t="shared" si="1"/>
        <v>0</v>
      </c>
      <c r="D9" s="95">
        <f t="shared" ca="1" si="2"/>
        <v>0</v>
      </c>
      <c r="E9" s="95">
        <f t="shared" ca="1" si="3"/>
        <v>0</v>
      </c>
      <c r="F9" s="95">
        <f t="shared" ca="1" si="4"/>
        <v>0</v>
      </c>
      <c r="G9" s="95">
        <f t="shared" si="5"/>
        <v>0</v>
      </c>
      <c r="H9" t="str">
        <f>IF(OR(Tulokset!$G$6="",Tulokset!$I$6="",'6'!$I$7="",'6'!$K$7=""),"",IF(SIGN('6'!$I$7-'6'!$K$7)&lt;&gt;SIGN(Tulokset!$G$6-Tulokset!$I$6),0,IF(Tulokset!$G$6=Tulokset!$I$6,IF(AND('6'!$I$7=Tulokset!$G$6,'6'!$K$7=Tulokset!$I$6),6,3),MAX(0,6-(ABS('6'!$I$7-Tulokset!$G$6)+ABS('6'!$K$7-Tulokset!$I$6))))))</f>
        <v/>
      </c>
      <c r="I9" t="str">
        <f>IF(OR(Tulokset!$G$7="",Tulokset!$I$7="",'6'!$I$8="",'6'!$K$8=""),"",IF(SIGN('6'!$I$8-'6'!$K$8)&lt;&gt;SIGN(Tulokset!$G$7-Tulokset!$I$7),0,IF(Tulokset!$G$7=Tulokset!$I$7,IF(AND('6'!$I$8=Tulokset!$G$7,'6'!$K$8=Tulokset!$I$7),6,3),MAX(0,6-(ABS('6'!$I$8-Tulokset!$G$7)+ABS('6'!$K$8-Tulokset!$I$7))))))</f>
        <v/>
      </c>
      <c r="J9" t="str">
        <f>IF(OR(Tulokset!$G$8="",Tulokset!$I$8="",'6'!$I$9="",'6'!$K$9=""),"",IF(SIGN('6'!$I$9-'6'!$K$9)&lt;&gt;SIGN(Tulokset!$G$8-Tulokset!$I$8),0,IF(Tulokset!$G$8=Tulokset!$I$8,IF(AND('6'!$I$9=Tulokset!$G$8,'6'!$K$9=Tulokset!$I$8),6,3),MAX(0,6-(ABS('6'!$I$9-Tulokset!$G$8)+ABS('6'!$K$9-Tulokset!$I$8))))))</f>
        <v/>
      </c>
      <c r="K9" t="str">
        <f>IF(OR(Tulokset!$G$9="",Tulokset!$I$9="",'6'!$I$10="",'6'!$K$10=""),"",IF(SIGN('6'!$I$10-'6'!$K$10)&lt;&gt;SIGN(Tulokset!$G$9-Tulokset!$I$9),0,IF(Tulokset!$G$9=Tulokset!$I$9,IF(AND('6'!$I$10=Tulokset!$G$9,'6'!$K$10=Tulokset!$I$9),6,3),MAX(0,6-(ABS('6'!$I$10-Tulokset!$G$9)+ABS('6'!$K$10-Tulokset!$I$9))))))</f>
        <v/>
      </c>
      <c r="L9" t="str">
        <f>IF(OR(Tulokset!$G$10="",Tulokset!$I$10="",'6'!$I$11="",'6'!$K$11=""),"",IF(SIGN('6'!$I$11-'6'!$K$11)&lt;&gt;SIGN(Tulokset!$G$10-Tulokset!$I$10),0,IF(Tulokset!$G$10=Tulokset!$I$10,IF(AND('6'!$I$11=Tulokset!$G$10,'6'!$K$11=Tulokset!$I$10),6,3),MAX(0,6-(ABS('6'!$I$11-Tulokset!$G$10)+ABS('6'!$K$11-Tulokset!$I$10))))))</f>
        <v/>
      </c>
      <c r="M9" t="str">
        <f>IF(OR(Tulokset!$G$11="",Tulokset!$I$11="",'6'!$I$12="",'6'!$K$12=""),"",IF(SIGN('6'!$I$12-'6'!$K$12)&lt;&gt;SIGN(Tulokset!$G$11-Tulokset!$I$11),0,IF(Tulokset!$G$11=Tulokset!$I$11,IF(AND('6'!$I$12=Tulokset!$G$11,'6'!$K$12=Tulokset!$I$11),6,3),MAX(0,6-(ABS('6'!$I$12-Tulokset!$G$11)+ABS('6'!$K$12-Tulokset!$I$11))))))</f>
        <v/>
      </c>
      <c r="N9" t="str">
        <f>IF(OR(Tulokset!$G$12="",Tulokset!$I$12="",'6'!$I$13="",'6'!$K$13=""),"",IF(SIGN('6'!$I$13-'6'!$K$13)&lt;&gt;SIGN(Tulokset!$G$12-Tulokset!$I$12),0,IF(Tulokset!$G$12=Tulokset!$I$12,IF(AND('6'!$I$13=Tulokset!$G$12,'6'!$K$13=Tulokset!$I$12),6,3),MAX(0,6-(ABS('6'!$I$13-Tulokset!$G$12)+ABS('6'!$K$13-Tulokset!$I$12))))))</f>
        <v/>
      </c>
      <c r="O9" t="str">
        <f>IF(OR(Tulokset!$G$13="",Tulokset!$I$13="",'6'!$I$14="",'6'!$K$14=""),"",IF(SIGN('6'!$I$14-'6'!$K$14)&lt;&gt;SIGN(Tulokset!$G$13-Tulokset!$I$13),0,IF(Tulokset!$G$13=Tulokset!$I$13,IF(AND('6'!$I$14=Tulokset!$G$13,'6'!$K$14=Tulokset!$I$13),6,3),MAX(0,6-(ABS('6'!$I$14-Tulokset!$G$13)+ABS('6'!$K$14-Tulokset!$I$13))))))</f>
        <v/>
      </c>
      <c r="P9" t="str">
        <f>IF(OR(Tulokset!$G$14="",Tulokset!$I$14="",'6'!$I$15="",'6'!$K$15=""),"",IF(SIGN('6'!$I$15-'6'!$K$15)&lt;&gt;SIGN(Tulokset!$G$14-Tulokset!$I$14),0,IF(Tulokset!$G$14=Tulokset!$I$14,IF(AND('6'!$I$15=Tulokset!$G$14,'6'!$K$15=Tulokset!$I$14),6,3),MAX(0,6-(ABS('6'!$I$15-Tulokset!$G$14)+ABS('6'!$K$15-Tulokset!$I$14))))))</f>
        <v/>
      </c>
      <c r="Q9" t="str">
        <f>IF(OR(Tulokset!$G$15="",Tulokset!$I$15="",'6'!$I$16="",'6'!$K$16=""),"",IF(SIGN('6'!$I$16-'6'!$K$16)&lt;&gt;SIGN(Tulokset!$G$15-Tulokset!$I$15),0,IF(Tulokset!$G$15=Tulokset!$I$15,IF(AND('6'!$I$16=Tulokset!$G$15,'6'!$K$16=Tulokset!$I$15),6,3),MAX(0,6-(ABS('6'!$I$16-Tulokset!$G$15)+ABS('6'!$K$16-Tulokset!$I$15))))))</f>
        <v/>
      </c>
      <c r="R9" t="str">
        <f>IF(OR(Tulokset!$G$16="",Tulokset!$I$16="",'6'!$I$17="",'6'!$K$17=""),"",IF(SIGN('6'!$I$17-'6'!$K$17)&lt;&gt;SIGN(Tulokset!$G$16-Tulokset!$I$16),0,IF(Tulokset!$G$16=Tulokset!$I$16,IF(AND('6'!$I$17=Tulokset!$G$16,'6'!$K$17=Tulokset!$I$16),6,3),MAX(0,6-(ABS('6'!$I$17-Tulokset!$G$16)+ABS('6'!$K$17-Tulokset!$I$16))))))</f>
        <v/>
      </c>
      <c r="S9" t="str">
        <f>IF(OR(Tulokset!$G$17="",Tulokset!$I$17="",'6'!$I$18="",'6'!$K$18=""),"",IF(SIGN('6'!$I$18-'6'!$K$18)&lt;&gt;SIGN(Tulokset!$G$17-Tulokset!$I$17),0,IF(Tulokset!$G$17=Tulokset!$I$17,IF(AND('6'!$I$18=Tulokset!$G$17,'6'!$K$18=Tulokset!$I$17),6,3),MAX(0,6-(ABS('6'!$I$18-Tulokset!$G$17)+ABS('6'!$K$18-Tulokset!$I$17))))))</f>
        <v/>
      </c>
      <c r="T9" t="str">
        <f>IF(OR(Tulokset!$G$18="",Tulokset!$I$18="",'6'!$I$19="",'6'!$K$19=""),"",IF(SIGN('6'!$I$19-'6'!$K$19)&lt;&gt;SIGN(Tulokset!$G$18-Tulokset!$I$18),0,IF(Tulokset!$G$18=Tulokset!$I$18,IF(AND('6'!$I$19=Tulokset!$G$18,'6'!$K$19=Tulokset!$I$18),6,3),MAX(0,6-(ABS('6'!$I$19-Tulokset!$G$18)+ABS('6'!$K$19-Tulokset!$I$18))))))</f>
        <v/>
      </c>
      <c r="U9" t="str">
        <f>IF(OR(Tulokset!$G$19="",Tulokset!$I$19="",'6'!$I$20="",'6'!$K$20=""),"",IF(SIGN('6'!$I$20-'6'!$K$20)&lt;&gt;SIGN(Tulokset!$G$19-Tulokset!$I$19),0,IF(Tulokset!$G$19=Tulokset!$I$19,IF(AND('6'!$I$20=Tulokset!$G$19,'6'!$K$20=Tulokset!$I$19),6,3),MAX(0,6-(ABS('6'!$I$20-Tulokset!$G$19)+ABS('6'!$K$20-Tulokset!$I$19))))))</f>
        <v/>
      </c>
      <c r="V9" t="str">
        <f>IF(OR(Tulokset!$G$20="",Tulokset!$I$20="",'6'!$I$21="",'6'!$K$21=""),"",IF(SIGN('6'!$I$21-'6'!$K$21)&lt;&gt;SIGN(Tulokset!$G$20-Tulokset!$I$20),0,IF(Tulokset!$G$20=Tulokset!$I$20,IF(AND('6'!$I$21=Tulokset!$G$20,'6'!$K$21=Tulokset!$I$20),6,3),MAX(0,6-(ABS('6'!$I$21-Tulokset!$G$20)+ABS('6'!$K$21-Tulokset!$I$20))))))</f>
        <v/>
      </c>
      <c r="W9" t="str">
        <f>IF(OR(Tulokset!$G$21="",Tulokset!$I$21="",'6'!$I$22="",'6'!$K$22=""),"",IF(SIGN('6'!$I$22-'6'!$K$22)&lt;&gt;SIGN(Tulokset!$G$21-Tulokset!$I$21),0,IF(Tulokset!$G$21=Tulokset!$I$21,IF(AND('6'!$I$22=Tulokset!$G$21,'6'!$K$22=Tulokset!$I$21),6,3),MAX(0,6-(ABS('6'!$I$22-Tulokset!$G$21)+ABS('6'!$K$22-Tulokset!$I$21))))))</f>
        <v/>
      </c>
      <c r="X9" t="str">
        <f>IF(OR(Tulokset!$G$22="",Tulokset!$I$22="",'6'!$I$23="",'6'!$K$23=""),"",IF(SIGN('6'!$I$23-'6'!$K$23)&lt;&gt;SIGN(Tulokset!$G$22-Tulokset!$I$22),0,IF(Tulokset!$G$22=Tulokset!$I$22,IF(AND('6'!$I$23=Tulokset!$G$22,'6'!$K$23=Tulokset!$I$22),6,3),MAX(0,6-(ABS('6'!$I$23-Tulokset!$G$22)+ABS('6'!$K$23-Tulokset!$I$22))))))</f>
        <v/>
      </c>
      <c r="Y9" t="str">
        <f>IF(OR(Tulokset!$G$23="",Tulokset!$I$23="",'6'!$I$24="",'6'!$K$24=""),"",IF(SIGN('6'!$I$24-'6'!$K$24)&lt;&gt;SIGN(Tulokset!$G$23-Tulokset!$I$23),0,IF(Tulokset!$G$23=Tulokset!$I$23,IF(AND('6'!$I$24=Tulokset!$G$23,'6'!$K$24=Tulokset!$I$23),6,3),MAX(0,6-(ABS('6'!$I$24-Tulokset!$G$23)+ABS('6'!$K$24-Tulokset!$I$23))))))</f>
        <v/>
      </c>
      <c r="Z9" t="str">
        <f>IF(OR(Tulokset!$G$24="",Tulokset!$I$24="",'6'!$I$25="",'6'!$K$25=""),"",IF(SIGN('6'!$I$25-'6'!$K$25)&lt;&gt;SIGN(Tulokset!$G$24-Tulokset!$I$24),0,IF(Tulokset!$G$24=Tulokset!$I$24,IF(AND('6'!$I$25=Tulokset!$G$24,'6'!$K$25=Tulokset!$I$24),6,3),MAX(0,6-(ABS('6'!$I$25-Tulokset!$G$24)+ABS('6'!$K$25-Tulokset!$I$24))))))</f>
        <v/>
      </c>
      <c r="AA9" t="str">
        <f>IF(OR(Tulokset!$G$25="",Tulokset!$I$25="",'6'!$I$26="",'6'!$K$26=""),"",IF(SIGN('6'!$I$26-'6'!$K$26)&lt;&gt;SIGN(Tulokset!$G$25-Tulokset!$I$25),0,IF(Tulokset!$G$25=Tulokset!$I$25,IF(AND('6'!$I$26=Tulokset!$G$25,'6'!$K$26=Tulokset!$I$25),6,3),MAX(0,6-(ABS('6'!$I$26-Tulokset!$G$25)+ABS('6'!$K$26-Tulokset!$I$25))))))</f>
        <v/>
      </c>
      <c r="AB9" t="str">
        <f>IF(OR(Tulokset!$G$26="",Tulokset!$I$26="",'6'!$I$27="",'6'!$K$27=""),"",IF(SIGN('6'!$I$27-'6'!$K$27)&lt;&gt;SIGN(Tulokset!$G$26-Tulokset!$I$26),0,IF(Tulokset!$G$26=Tulokset!$I$26,IF(AND('6'!$I$27=Tulokset!$G$26,'6'!$K$27=Tulokset!$I$26),6,3),MAX(0,6-(ABS('6'!$I$27-Tulokset!$G$26)+ABS('6'!$K$27-Tulokset!$I$26))))))</f>
        <v/>
      </c>
      <c r="AC9" t="str">
        <f>IF(OR(Tulokset!$G$27="",Tulokset!$I$27="",'6'!$I$28="",'6'!$K$28=""),"",IF(SIGN('6'!$I$28-'6'!$K$28)&lt;&gt;SIGN(Tulokset!$G$27-Tulokset!$I$27),0,IF(Tulokset!$G$27=Tulokset!$I$27,IF(AND('6'!$I$28=Tulokset!$G$27,'6'!$K$28=Tulokset!$I$27),6,3),MAX(0,6-(ABS('6'!$I$28-Tulokset!$G$27)+ABS('6'!$K$28-Tulokset!$I$27))))))</f>
        <v/>
      </c>
      <c r="AD9" t="str">
        <f>IF(OR(Tulokset!$G$28="",Tulokset!$I$28="",'6'!$I$29="",'6'!$K$29=""),"",IF(SIGN('6'!$I$29-'6'!$K$29)&lt;&gt;SIGN(Tulokset!$G$28-Tulokset!$I$28),0,IF(Tulokset!$G$28=Tulokset!$I$28,IF(AND('6'!$I$29=Tulokset!$G$28,'6'!$K$29=Tulokset!$I$28),6,3),MAX(0,6-(ABS('6'!$I$29-Tulokset!$G$28)+ABS('6'!$K$29-Tulokset!$I$28))))))</f>
        <v/>
      </c>
      <c r="AE9" t="str">
        <f>IF(OR(Tulokset!$G$29="",Tulokset!$I$29="",'6'!$I$30="",'6'!$K$30=""),"",IF(SIGN('6'!$I$30-'6'!$K$30)&lt;&gt;SIGN(Tulokset!$G$29-Tulokset!$I$29),0,IF(Tulokset!$G$29=Tulokset!$I$29,IF(AND('6'!$I$30=Tulokset!$G$29,'6'!$K$30=Tulokset!$I$29),6,3),MAX(0,6-(ABS('6'!$I$30-Tulokset!$G$29)+ABS('6'!$K$30-Tulokset!$I$29))))))</f>
        <v/>
      </c>
      <c r="AF9" t="str">
        <f>IF(OR(Tulokset!$G$30="",Tulokset!$I$30="",'6'!$I$31="",'6'!$K$31=""),"",IF(SIGN('6'!$I$31-'6'!$K$31)&lt;&gt;SIGN(Tulokset!$G$30-Tulokset!$I$30),0,IF(Tulokset!$G$30=Tulokset!$I$30,IF(AND('6'!$I$31=Tulokset!$G$30,'6'!$K$31=Tulokset!$I$30),6,3),MAX(0,6-(ABS('6'!$I$31-Tulokset!$G$30)+ABS('6'!$K$31-Tulokset!$I$30))))))</f>
        <v/>
      </c>
      <c r="AG9" t="str">
        <f>IF(OR(Tulokset!$G$31="",Tulokset!$I$31="",'6'!$I$32="",'6'!$K$32=""),"",IF(SIGN('6'!$I$32-'6'!$K$32)&lt;&gt;SIGN(Tulokset!$G$31-Tulokset!$I$31),0,IF(Tulokset!$G$31=Tulokset!$I$31,IF(AND('6'!$I$32=Tulokset!$G$31,'6'!$K$32=Tulokset!$I$31),6,3),MAX(0,6-(ABS('6'!$I$32-Tulokset!$G$31)+ABS('6'!$K$32-Tulokset!$I$31))))))</f>
        <v/>
      </c>
      <c r="AH9" t="str">
        <f>IF(OR(Tulokset!$G$32="",Tulokset!$I$32="",'6'!$I$33="",'6'!$K$33=""),"",IF(SIGN('6'!$I$33-'6'!$K$33)&lt;&gt;SIGN(Tulokset!$G$32-Tulokset!$I$32),0,IF(Tulokset!$G$32=Tulokset!$I$32,IF(AND('6'!$I$33=Tulokset!$G$32,'6'!$K$33=Tulokset!$I$32),6,3),MAX(0,6-(ABS('6'!$I$33-Tulokset!$G$32)+ABS('6'!$K$33-Tulokset!$I$32))))))</f>
        <v/>
      </c>
      <c r="AI9" t="str">
        <f>IF(OR(Tulokset!$G$33="",Tulokset!$I$33="",'6'!$I$34="",'6'!$K$34=""),"",IF(SIGN('6'!$I$34-'6'!$K$34)&lt;&gt;SIGN(Tulokset!$G$33-Tulokset!$I$33),0,IF(Tulokset!$G$33=Tulokset!$I$33,IF(AND('6'!$I$34=Tulokset!$G$33,'6'!$K$34=Tulokset!$I$33),6,3),MAX(0,6-(ABS('6'!$I$34-Tulokset!$G$33)+ABS('6'!$K$34-Tulokset!$I$33))))))</f>
        <v/>
      </c>
      <c r="AJ9" t="str">
        <f>IF(OR(Tulokset!$G$34="",Tulokset!$I$34="",'6'!$I$35="",'6'!$K$35=""),"",IF(SIGN('6'!$I$35-'6'!$K$35)&lt;&gt;SIGN(Tulokset!$G$34-Tulokset!$I$34),0,IF(Tulokset!$G$34=Tulokset!$I$34,IF(AND('6'!$I$35=Tulokset!$G$34,'6'!$K$35=Tulokset!$I$34),6,3),MAX(0,6-(ABS('6'!$I$35-Tulokset!$G$34)+ABS('6'!$K$35-Tulokset!$I$34))))))</f>
        <v/>
      </c>
      <c r="AK9" t="str">
        <f>IF(OR(Tulokset!$G$35="",Tulokset!$I$35="",'6'!$I$36="",'6'!$K$36=""),"",IF(SIGN('6'!$I$36-'6'!$K$36)&lt;&gt;SIGN(Tulokset!$G$35-Tulokset!$I$35),0,IF(Tulokset!$G$35=Tulokset!$I$35,IF(AND('6'!$I$36=Tulokset!$G$35,'6'!$K$36=Tulokset!$I$35),6,3),MAX(0,6-(ABS('6'!$I$36-Tulokset!$G$35)+ABS('6'!$K$36-Tulokset!$I$35))))))</f>
        <v/>
      </c>
      <c r="AL9" t="str">
        <f>IF(OR(Tulokset!$G$36="",Tulokset!$I$36="",'6'!$I$37="",'6'!$K$37=""),"",IF(SIGN('6'!$I$37-'6'!$K$37)&lt;&gt;SIGN(Tulokset!$G$36-Tulokset!$I$36),0,IF(Tulokset!$G$36=Tulokset!$I$36,IF(AND('6'!$I$37=Tulokset!$G$36,'6'!$K$37=Tulokset!$I$36),6,3),MAX(0,6-(ABS('6'!$I$37-Tulokset!$G$36)+ABS('6'!$K$37-Tulokset!$I$36))))))</f>
        <v/>
      </c>
      <c r="AM9" t="str">
        <f>IF(OR(Tulokset!$G$37="",Tulokset!$I$37="",'6'!$I$38="",'6'!$K$38=""),"",IF(SIGN('6'!$I$38-'6'!$K$38)&lt;&gt;SIGN(Tulokset!$G$37-Tulokset!$I$37),0,IF(Tulokset!$G$37=Tulokset!$I$37,IF(AND('6'!$I$38=Tulokset!$G$37,'6'!$K$38=Tulokset!$I$37),6,3),MAX(0,6-(ABS('6'!$I$38-Tulokset!$G$37)+ABS('6'!$K$38-Tulokset!$I$37))))))</f>
        <v/>
      </c>
      <c r="AN9" t="str">
        <f>IF(OR(Tulokset!$G$38="",Tulokset!$I$38="",'6'!$I$39="",'6'!$K$39=""),"",IF(SIGN('6'!$I$39-'6'!$K$39)&lt;&gt;SIGN(Tulokset!$G$38-Tulokset!$I$38),0,IF(Tulokset!$G$38=Tulokset!$I$38,IF(AND('6'!$I$39=Tulokset!$G$38,'6'!$K$39=Tulokset!$I$38),6,3),MAX(0,6-(ABS('6'!$I$39-Tulokset!$G$38)+ABS('6'!$K$39-Tulokset!$I$38))))))</f>
        <v/>
      </c>
      <c r="AO9" t="str">
        <f>IF(OR(Tulokset!$G$39="",Tulokset!$I$39="",'6'!$I$40="",'6'!$K$40=""),"",IF(SIGN('6'!$I$40-'6'!$K$40)&lt;&gt;SIGN(Tulokset!$G$39-Tulokset!$I$39),0,IF(Tulokset!$G$39=Tulokset!$I$39,IF(AND('6'!$I$40=Tulokset!$G$39,'6'!$K$40=Tulokset!$I$39),6,3),MAX(0,6-(ABS('6'!$I$40-Tulokset!$G$39)+ABS('6'!$K$40-Tulokset!$I$39))))))</f>
        <v/>
      </c>
      <c r="AP9" t="str">
        <f>IF(OR(Tulokset!$G$40="",Tulokset!$I$40="",'6'!$I$41="",'6'!$K$41=""),"",IF(SIGN('6'!$I$41-'6'!$K$41)&lt;&gt;SIGN(Tulokset!$G$40-Tulokset!$I$40),0,IF(Tulokset!$G$40=Tulokset!$I$40,IF(AND('6'!$I$41=Tulokset!$G$40,'6'!$K$41=Tulokset!$I$40),6,3),MAX(0,6-(ABS('6'!$I$41-Tulokset!$G$40)+ABS('6'!$K$41-Tulokset!$I$40))))))</f>
        <v/>
      </c>
      <c r="AQ9" t="str">
        <f>IF(OR(Tulokset!$G$41="",Tulokset!$I$41="",'6'!$I$42="",'6'!$K$42=""),"",IF(SIGN('6'!$I$42-'6'!$K$42)&lt;&gt;SIGN(Tulokset!$G$41-Tulokset!$I$41),0,IF(Tulokset!$G$41=Tulokset!$I$41,IF(AND('6'!$I$42=Tulokset!$G$41,'6'!$K$42=Tulokset!$I$41),6,3),MAX(0,6-(ABS('6'!$I$42-Tulokset!$G$41)+ABS('6'!$K$42-Tulokset!$I$41))))))</f>
        <v/>
      </c>
      <c r="AR9" t="str">
        <f>IF(OR(Tulokset!$G$42="",Tulokset!$I$42="",'6'!$I$43="",'6'!$K$43=""),"",IF(SIGN('6'!$I$43-'6'!$K$43)&lt;&gt;SIGN(Tulokset!$G$42-Tulokset!$I$42),0,IF(Tulokset!$G$42=Tulokset!$I$42,IF(AND('6'!$I$43=Tulokset!$G$42,'6'!$K$43=Tulokset!$I$42),6,3),MAX(0,6-(ABS('6'!$I$43-Tulokset!$G$42)+ABS('6'!$K$43-Tulokset!$I$42))))))</f>
        <v/>
      </c>
      <c r="AS9" t="str">
        <f>IF(OR(Tulokset!$G$43="",Tulokset!$I$43="",'6'!$I$44="",'6'!$K$44=""),"",IF(SIGN('6'!$I$44-'6'!$K$44)&lt;&gt;SIGN(Tulokset!$G$43-Tulokset!$I$43),0,IF(Tulokset!$G$43=Tulokset!$I$43,IF(AND('6'!$I$44=Tulokset!$G$43,'6'!$K$44=Tulokset!$I$43),6,3),MAX(0,6-(ABS('6'!$I$44-Tulokset!$G$43)+ABS('6'!$K$44-Tulokset!$I$43))))))</f>
        <v/>
      </c>
      <c r="AT9" t="str">
        <f>IF(OR(Tulokset!$G$44="",Tulokset!$I$44="",'6'!$I$45="",'6'!$K$45=""),"",IF(SIGN('6'!$I$45-'6'!$K$45)&lt;&gt;SIGN(Tulokset!$G$44-Tulokset!$I$44),0,IF(Tulokset!$G$44=Tulokset!$I$44,IF(AND('6'!$I$45=Tulokset!$G$44,'6'!$K$45=Tulokset!$I$44),6,3),MAX(0,6-(ABS('6'!$I$45-Tulokset!$G$44)+ABS('6'!$K$45-Tulokset!$I$44))))))</f>
        <v/>
      </c>
      <c r="AU9" t="str">
        <f>IF(OR(Tulokset!$G$45="",Tulokset!$I$45="",'6'!$I$46="",'6'!$K$46=""),"",IF(SIGN('6'!$I$46-'6'!$K$46)&lt;&gt;SIGN(Tulokset!$G$45-Tulokset!$I$45),0,IF(Tulokset!$G$45=Tulokset!$I$45,IF(AND('6'!$I$46=Tulokset!$G$45,'6'!$K$46=Tulokset!$I$45),6,3),MAX(0,6-(ABS('6'!$I$46-Tulokset!$G$45)+ABS('6'!$K$46-Tulokset!$I$45))))))</f>
        <v/>
      </c>
      <c r="AV9" t="str">
        <f>IF(OR(Tulokset!$G$46="",Tulokset!$I$46="",'6'!$I$47="",'6'!$K$47=""),"",IF(SIGN('6'!$I$47-'6'!$K$47)&lt;&gt;SIGN(Tulokset!$G$46-Tulokset!$I$46),0,IF(Tulokset!$G$46=Tulokset!$I$46,IF(AND('6'!$I$47=Tulokset!$G$46,'6'!$K$47=Tulokset!$I$46),6,3),MAX(0,6-(ABS('6'!$I$47-Tulokset!$G$46)+ABS('6'!$K$47-Tulokset!$I$46))))))</f>
        <v/>
      </c>
      <c r="AW9" t="str">
        <f>IF(OR(Tulokset!$G$47="",Tulokset!$I$47="",'6'!$I$48="",'6'!$K$48=""),"",IF(SIGN('6'!$I$48-'6'!$K$48)&lt;&gt;SIGN(Tulokset!$G$47-Tulokset!$I$47),0,IF(Tulokset!$G$47=Tulokset!$I$47,IF(AND('6'!$I$48=Tulokset!$G$47,'6'!$K$48=Tulokset!$I$47),6,3),MAX(0,6-(ABS('6'!$I$48-Tulokset!$G$47)+ABS('6'!$K$48-Tulokset!$I$47))))))</f>
        <v/>
      </c>
      <c r="AX9" t="str">
        <f>IF(OR(Tulokset!$G$48="",Tulokset!$I$48="",'6'!$I$49="",'6'!$K$49=""),"",IF(SIGN('6'!$I$49-'6'!$K$49)&lt;&gt;SIGN(Tulokset!$G$48-Tulokset!$I$48),0,IF(Tulokset!$G$48=Tulokset!$I$48,IF(AND('6'!$I$49=Tulokset!$G$48,'6'!$K$49=Tulokset!$I$48),6,3),MAX(0,6-(ABS('6'!$I$49-Tulokset!$G$48)+ABS('6'!$K$49-Tulokset!$I$48))))))</f>
        <v/>
      </c>
      <c r="AY9" t="str">
        <f>IF(OR(Tulokset!$G$49="",Tulokset!$I$49="",'6'!$I$50="",'6'!$K$50=""),"",IF(SIGN('6'!$I$50-'6'!$K$50)&lt;&gt;SIGN(Tulokset!$G$49-Tulokset!$I$49),0,IF(Tulokset!$G$49=Tulokset!$I$49,IF(AND('6'!$I$50=Tulokset!$G$49,'6'!$K$50=Tulokset!$I$49),6,3),MAX(0,6-(ABS('6'!$I$50-Tulokset!$G$49)+ABS('6'!$K$50-Tulokset!$I$49))))))</f>
        <v/>
      </c>
      <c r="AZ9" t="str">
        <f>IF(OR(Tulokset!$G$50="",Tulokset!$I$50="",'6'!$I$51="",'6'!$K$51=""),"",IF(SIGN('6'!$I$51-'6'!$K$51)&lt;&gt;SIGN(Tulokset!$G$50-Tulokset!$I$50),0,IF(Tulokset!$G$50=Tulokset!$I$50,IF(AND('6'!$I$51=Tulokset!$G$50,'6'!$K$51=Tulokset!$I$50),6,3),MAX(0,6-(ABS('6'!$I$51-Tulokset!$G$50)+ABS('6'!$K$51-Tulokset!$I$50))))))</f>
        <v/>
      </c>
      <c r="BA9" t="str">
        <f>IF(OR(Tulokset!$G$51="",Tulokset!$I$51="",'6'!$I$52="",'6'!$K$52=""),"",IF(SIGN('6'!$I$52-'6'!$K$52)&lt;&gt;SIGN(Tulokset!$G$51-Tulokset!$I$51),0,IF(Tulokset!$G$51=Tulokset!$I$51,IF(AND('6'!$I$52=Tulokset!$G$51,'6'!$K$52=Tulokset!$I$51),6,3),MAX(0,6-(ABS('6'!$I$52-Tulokset!$G$51)+ABS('6'!$K$52-Tulokset!$I$51))))))</f>
        <v/>
      </c>
      <c r="BB9" t="str">
        <f>IF(OR(Tulokset!$G$52="",Tulokset!$I$52="",'6'!$I$53="",'6'!$K$53=""),"",IF(SIGN('6'!$I$53-'6'!$K$53)&lt;&gt;SIGN(Tulokset!$G$52-Tulokset!$I$52),0,IF(Tulokset!$G$52=Tulokset!$I$52,IF(AND('6'!$I$53=Tulokset!$G$52,'6'!$K$53=Tulokset!$I$52),6,3),MAX(0,6-(ABS('6'!$I$53-Tulokset!$G$52)+ABS('6'!$K$53-Tulokset!$I$52))))))</f>
        <v/>
      </c>
      <c r="BC9" t="str">
        <f>IF(OR(Tulokset!$G$53="",Tulokset!$I$53="",'6'!$I$54="",'6'!$K$54=""),"",IF(SIGN('6'!$I$54-'6'!$K$54)&lt;&gt;SIGN(Tulokset!$G$53-Tulokset!$I$53),0,IF(Tulokset!$G$53=Tulokset!$I$53,IF(AND('6'!$I$54=Tulokset!$G$53,'6'!$K$54=Tulokset!$I$53),6,3),MAX(0,6-(ABS('6'!$I$54-Tulokset!$G$53)+ABS('6'!$K$54-Tulokset!$I$53))))))</f>
        <v/>
      </c>
      <c r="BD9" t="str">
        <f>IF(OR(Tulokset!$G$54="",Tulokset!$I$54="",'6'!$I$55="",'6'!$K$55=""),"",IF(SIGN('6'!$I$55-'6'!$K$55)&lt;&gt;SIGN(Tulokset!$G$54-Tulokset!$I$54),0,IF(Tulokset!$G$54=Tulokset!$I$54,IF(AND('6'!$I$55=Tulokset!$G$54,'6'!$K$55=Tulokset!$I$54),6,3),MAX(0,6-(ABS('6'!$I$55-Tulokset!$G$54)+ABS('6'!$K$55-Tulokset!$I$54))))))</f>
        <v/>
      </c>
      <c r="BE9" t="str">
        <f>IF(OR(Tulokset!$G$55="",Tulokset!$I$55="",'6'!$I$56="",'6'!$K$56=""),"",IF(SIGN('6'!$I$56-'6'!$K$56)&lt;&gt;SIGN(Tulokset!$G$55-Tulokset!$I$55),0,IF(Tulokset!$G$55=Tulokset!$I$55,IF(AND('6'!$I$56=Tulokset!$G$55,'6'!$K$56=Tulokset!$I$55),6,3),MAX(0,6-(ABS('6'!$I$56-Tulokset!$G$55)+ABS('6'!$K$56-Tulokset!$I$55))))))</f>
        <v/>
      </c>
      <c r="BF9" t="str">
        <f>IF(OR(Tulokset!$G$56="",Tulokset!$I$56="",'6'!$I$57="",'6'!$K$57=""),"",IF(SIGN('6'!$I$57-'6'!$K$57)&lt;&gt;SIGN(Tulokset!$G$56-Tulokset!$I$56),0,IF(Tulokset!$G$56=Tulokset!$I$56,IF(AND('6'!$I$57=Tulokset!$G$56,'6'!$K$57=Tulokset!$I$56),6,3),MAX(0,6-(ABS('6'!$I$57-Tulokset!$G$56)+ABS('6'!$K$57-Tulokset!$I$56))))))</f>
        <v/>
      </c>
      <c r="BG9" t="str">
        <f>IF(OR(Tulokset!$G$57="",Tulokset!$I$57="",'6'!$I$58="",'6'!$K$58=""),"",IF(SIGN('6'!$I$58-'6'!$K$58)&lt;&gt;SIGN(Tulokset!$G$57-Tulokset!$I$57),0,IF(Tulokset!$G$57=Tulokset!$I$57,IF(AND('6'!$I$58=Tulokset!$G$57,'6'!$K$58=Tulokset!$I$57),6,3),MAX(0,6-(ABS('6'!$I$58-Tulokset!$G$57)+ABS('6'!$K$58-Tulokset!$I$57))))))</f>
        <v/>
      </c>
      <c r="BH9" t="str">
        <f>IF(OR(Tulokset!$G$58="",Tulokset!$I$58="",'6'!$I$59="",'6'!$K$59=""),"",IF(SIGN('6'!$I$59-'6'!$K$59)&lt;&gt;SIGN(Tulokset!$G$58-Tulokset!$I$58),0,IF(Tulokset!$G$58=Tulokset!$I$58,IF(AND('6'!$I$59=Tulokset!$G$58,'6'!$K$59=Tulokset!$I$58),6,3),MAX(0,6-(ABS('6'!$I$59-Tulokset!$G$58)+ABS('6'!$K$59-Tulokset!$I$58))))))</f>
        <v/>
      </c>
      <c r="BI9" t="str">
        <f>IF(OR(Tulokset!$G$59="",Tulokset!$I$59="",'6'!$I$60="",'6'!$K$60=""),"",IF(SIGN('6'!$I$60-'6'!$K$60)&lt;&gt;SIGN(Tulokset!$G$59-Tulokset!$I$59),0,IF(Tulokset!$G$59=Tulokset!$I$59,IF(AND('6'!$I$60=Tulokset!$G$59,'6'!$K$60=Tulokset!$I$59),6,3),MAX(0,6-(ABS('6'!$I$60-Tulokset!$G$59)+ABS('6'!$K$60-Tulokset!$I$59))))))</f>
        <v/>
      </c>
      <c r="BJ9" t="str">
        <f>IF(OR(Tulokset!$G$60="",Tulokset!$I$60="",'6'!$I$61="",'6'!$K$61=""),"",IF(SIGN('6'!$I$61-'6'!$K$61)&lt;&gt;SIGN(Tulokset!$G$60-Tulokset!$I$60),0,IF(Tulokset!$G$60=Tulokset!$I$60,IF(AND('6'!$I$61=Tulokset!$G$60,'6'!$K$61=Tulokset!$I$60),6,3),MAX(0,6-(ABS('6'!$I$61-Tulokset!$G$60)+ABS('6'!$K$61-Tulokset!$I$60))))))</f>
        <v/>
      </c>
      <c r="BK9" t="str">
        <f>IF(OR(Tulokset!$G$61="",Tulokset!$I$61="",'6'!$I$62="",'6'!$K$62=""),"",IF(SIGN('6'!$I$62-'6'!$K$62)&lt;&gt;SIGN(Tulokset!$G$61-Tulokset!$I$61),0,IF(Tulokset!$G$61=Tulokset!$I$61,IF(AND('6'!$I$62=Tulokset!$G$61,'6'!$K$62=Tulokset!$I$61),6,3),MAX(0,6-(ABS('6'!$I$62-Tulokset!$G$61)+ABS('6'!$K$62-Tulokset!$I$61))))))</f>
        <v/>
      </c>
      <c r="BL9" t="str">
        <f>IF(OR(Tulokset!$G$62="",Tulokset!$I$62="",'6'!$I$63="",'6'!$K$63=""),"",IF(SIGN('6'!$I$63-'6'!$K$63)&lt;&gt;SIGN(Tulokset!$G$62-Tulokset!$I$62),0,IF(Tulokset!$G$62=Tulokset!$I$62,IF(AND('6'!$I$63=Tulokset!$G$62,'6'!$K$63=Tulokset!$I$62),6,3),MAX(0,6-(ABS('6'!$I$63-Tulokset!$G$62)+ABS('6'!$K$63-Tulokset!$I$62))))))</f>
        <v/>
      </c>
      <c r="BM9" t="str">
        <f>IF(OR(Tulokset!$G$63="",Tulokset!$I$63="",'6'!$I$64="",'6'!$K$64=""),"",IF(SIGN('6'!$I$64-'6'!$K$64)&lt;&gt;SIGN(Tulokset!$G$63-Tulokset!$I$63),0,IF(Tulokset!$G$63=Tulokset!$I$63,IF(AND('6'!$I$64=Tulokset!$G$63,'6'!$K$64=Tulokset!$I$63),6,3),MAX(0,6-(ABS('6'!$I$64-Tulokset!$G$63)+ABS('6'!$K$64-Tulokset!$I$63))))))</f>
        <v/>
      </c>
      <c r="BN9" t="str">
        <f>IF(OR(Tulokset!$G$64="",Tulokset!$I$64="",'6'!$I$65="",'6'!$K$65=""),"",IF(SIGN('6'!$I$65-'6'!$K$65)&lt;&gt;SIGN(Tulokset!$G$64-Tulokset!$I$64),0,IF(Tulokset!$G$64=Tulokset!$I$64,IF(AND('6'!$I$65=Tulokset!$G$64,'6'!$K$65=Tulokset!$I$64),6,3),MAX(0,6-(ABS('6'!$I$65-Tulokset!$G$64)+ABS('6'!$K$65-Tulokset!$I$64))))))</f>
        <v/>
      </c>
      <c r="BO9" t="str">
        <f>IF(OR(Tulokset!$G$65="",Tulokset!$I$65="",'6'!$I$66="",'6'!$K$66=""),"",IF(SIGN('6'!$I$66-'6'!$K$66)&lt;&gt;SIGN(Tulokset!$G$65-Tulokset!$I$65),0,IF(Tulokset!$G$65=Tulokset!$I$65,IF(AND('6'!$I$66=Tulokset!$G$65,'6'!$K$66=Tulokset!$I$65),6,3),MAX(0,6-(ABS('6'!$I$66-Tulokset!$G$65)+ABS('6'!$K$66-Tulokset!$I$65))))))</f>
        <v/>
      </c>
      <c r="BP9" t="str">
        <f>IF(OR(Tulokset!$G$66="",Tulokset!$I$66="",'6'!$I$67="",'6'!$K$67=""),"",IF(SIGN('6'!$I$67-'6'!$K$67)&lt;&gt;SIGN(Tulokset!$G$66-Tulokset!$I$66),0,IF(Tulokset!$G$66=Tulokset!$I$66,IF(AND('6'!$I$67=Tulokset!$G$66,'6'!$K$67=Tulokset!$I$66),6,3),MAX(0,6-(ABS('6'!$I$67-Tulokset!$G$66)+ABS('6'!$K$67-Tulokset!$I$66))))))</f>
        <v/>
      </c>
      <c r="BQ9" t="str">
        <f>IF(OR(Tulokset!$G$67="",Tulokset!$I$67="",'6'!$I$68="",'6'!$K$68=""),"",IF(SIGN('6'!$I$68-'6'!$K$68)&lt;&gt;SIGN(Tulokset!$G$67-Tulokset!$I$67),0,IF(Tulokset!$G$67=Tulokset!$I$67,IF(AND('6'!$I$68=Tulokset!$G$67,'6'!$K$68=Tulokset!$I$67),6,3),MAX(0,6-(ABS('6'!$I$68-Tulokset!$G$67)+ABS('6'!$K$68-Tulokset!$I$67))))))</f>
        <v/>
      </c>
      <c r="BR9" t="str">
        <f>IF(OR(Tulokset!$G$68="",Tulokset!$I$68="",'6'!$I$69="",'6'!$K$69=""),"",IF(SIGN('6'!$I$69-'6'!$K$69)&lt;&gt;SIGN(Tulokset!$G$68-Tulokset!$I$68),0,IF(Tulokset!$G$68=Tulokset!$I$68,IF(AND('6'!$I$69=Tulokset!$G$68,'6'!$K$69=Tulokset!$I$68),6,3),MAX(0,6-(ABS('6'!$I$69-Tulokset!$G$68)+ABS('6'!$K$69-Tulokset!$I$68))))))</f>
        <v/>
      </c>
      <c r="BS9" t="str">
        <f>IF(OR(Tulokset!$G$69="",Tulokset!$I$69="",'6'!$I$70="",'6'!$K$70=""),"",IF(SIGN('6'!$I$70-'6'!$K$70)&lt;&gt;SIGN(Tulokset!$G$69-Tulokset!$I$69),0,IF(Tulokset!$G$69=Tulokset!$I$69,IF(AND('6'!$I$70=Tulokset!$G$69,'6'!$K$70=Tulokset!$I$69),6,3),MAX(0,6-(ABS('6'!$I$70-Tulokset!$G$69)+ABS('6'!$K$70-Tulokset!$I$69))))))</f>
        <v/>
      </c>
      <c r="BT9" t="str">
        <f>IF(OR(Tulokset!$G$70="",Tulokset!$I$70="",'6'!$I$71="",'6'!$K$71=""),"",IF(SIGN('6'!$I$71-'6'!$K$71)&lt;&gt;SIGN(Tulokset!$G$70-Tulokset!$I$70),0,IF(Tulokset!$G$70=Tulokset!$I$70,IF(AND('6'!$I$71=Tulokset!$G$70,'6'!$K$71=Tulokset!$I$70),6,3),MAX(0,6-(ABS('6'!$I$71-Tulokset!$G$70)+ABS('6'!$K$71-Tulokset!$I$70))))))</f>
        <v/>
      </c>
      <c r="BU9" t="str">
        <f>IF(OR(Tulokset!$G$71="",Tulokset!$I$71="",'6'!$I$72="",'6'!$K$72=""),"",IF(SIGN('6'!$I$72-'6'!$K$72)&lt;&gt;SIGN(Tulokset!$G$71-Tulokset!$I$71),0,IF(Tulokset!$G$71=Tulokset!$I$71,IF(AND('6'!$I$72=Tulokset!$G$71,'6'!$K$72=Tulokset!$I$71),6,3),MAX(0,6-(ABS('6'!$I$72-Tulokset!$G$71)+ABS('6'!$K$72-Tulokset!$I$71))))))</f>
        <v/>
      </c>
      <c r="BV9" t="str">
        <f>IF(OR(Tulokset!$G$72="",Tulokset!$I$72="",'6'!$I$73="",'6'!$K$73=""),"",IF(SIGN('6'!$I$73-'6'!$K$73)&lt;&gt;SIGN(Tulokset!$G$72-Tulokset!$I$72),0,IF(Tulokset!$G$72=Tulokset!$I$72,IF(AND('6'!$I$73=Tulokset!$G$72,'6'!$K$73=Tulokset!$I$72),6,3),MAX(0,6-(ABS('6'!$I$73-Tulokset!$G$72)+ABS('6'!$K$73-Tulokset!$I$72))))))</f>
        <v/>
      </c>
      <c r="BW9" t="str">
        <f>IF(OR(Tulokset!$G$73="",Tulokset!$I$73="",'6'!$I$74="",'6'!$K$74=""),"",IF(SIGN('6'!$I$74-'6'!$K$74)&lt;&gt;SIGN(Tulokset!$G$73-Tulokset!$I$73),0,IF(Tulokset!$G$73=Tulokset!$I$73,IF(AND('6'!$I$74=Tulokset!$G$73,'6'!$K$74=Tulokset!$I$73),6,3),MAX(0,6-(ABS('6'!$I$74-Tulokset!$G$73)+ABS('6'!$K$74-Tulokset!$I$73))))))</f>
        <v/>
      </c>
      <c r="BX9" t="str">
        <f>IF(OR(Tulokset!$G$74="",Tulokset!$I$74="",'6'!$I$75="",'6'!$K$75=""),"",IF(SIGN('6'!$I$75-'6'!$K$75)&lt;&gt;SIGN(Tulokset!$G$74-Tulokset!$I$74),0,IF(Tulokset!$G$74=Tulokset!$I$74,IF(AND('6'!$I$75=Tulokset!$G$74,'6'!$K$75=Tulokset!$I$74),6,3),MAX(0,6-(ABS('6'!$I$75-Tulokset!$G$74)+ABS('6'!$K$75-Tulokset!$I$74))))))</f>
        <v/>
      </c>
      <c r="BY9" t="str">
        <f>IF(OR(Tulokset!$G$75="",Tulokset!$I$75="",'6'!$I$76="",'6'!$K$76=""),"",IF(SIGN('6'!$I$76-'6'!$K$76)&lt;&gt;SIGN(Tulokset!$G$75-Tulokset!$I$75),0,IF(Tulokset!$G$75=Tulokset!$I$75,IF(AND('6'!$I$76=Tulokset!$G$75,'6'!$K$76=Tulokset!$I$75),6,3),MAX(0,6-(ABS('6'!$I$76-Tulokset!$G$75)+ABS('6'!$K$76-Tulokset!$I$75))))))</f>
        <v/>
      </c>
      <c r="BZ9" t="str">
        <f>IF(OR(Tulokset!$G$76="",Tulokset!$I$76="",'6'!$I$77="",'6'!$K$77=""),"",IF(SIGN('6'!$I$77-'6'!$K$77)&lt;&gt;SIGN(Tulokset!$G$76-Tulokset!$I$76),0,IF(Tulokset!$G$76=Tulokset!$I$76,IF(AND('6'!$I$77=Tulokset!$G$76,'6'!$K$77=Tulokset!$I$76),6,3),MAX(0,6-(ABS('6'!$I$77-Tulokset!$G$76)+ABS('6'!$K$77-Tulokset!$I$76))))))</f>
        <v/>
      </c>
      <c r="CA9" t="str">
        <f>IF(OR(Tulokset!$G$77="",Tulokset!$I$77="",'6'!$I$78="",'6'!$K$78=""),"",IF(SIGN('6'!$I$78-'6'!$K$78)&lt;&gt;SIGN(Tulokset!$G$77-Tulokset!$I$77),0,IF(Tulokset!$G$77=Tulokset!$I$77,IF(AND('6'!$I$78=Tulokset!$G$77,'6'!$K$78=Tulokset!$I$77),6,3),MAX(0,6-(ABS('6'!$I$78-Tulokset!$G$77)+ABS('6'!$K$78-Tulokset!$I$77))))))</f>
        <v/>
      </c>
      <c r="CD9" t="str">
        <f ca="1">IF(OR(Tulokset!$M$6="",INDIRECT("'"&amp;$A9&amp;"'!$P$8")=""),"",IF(TRIM(INDIRECT("'"&amp;$A9&amp;"'!$P$8"))=TRIM(Tulokset!$M$6),2,0))</f>
        <v/>
      </c>
      <c r="CE9" t="str">
        <f ca="1">IF(OR(Tulokset!$M$7="",INDIRECT("'"&amp;$A9&amp;"'!$P$9")=""),"",IF(TRIM(INDIRECT("'"&amp;$A9&amp;"'!$P$9"))=TRIM(Tulokset!$M$7),2,0))</f>
        <v/>
      </c>
      <c r="CF9" t="str">
        <f ca="1">IF(OR(Tulokset!$M$8="",INDIRECT("'"&amp;$A9&amp;"'!$P$10")=""),"",IF(TRIM(INDIRECT("'"&amp;$A9&amp;"'!$P$10"))=TRIM(Tulokset!$M$8),2,0))</f>
        <v/>
      </c>
      <c r="CG9" t="str">
        <f ca="1">IF(OR(Tulokset!$M$9="",INDIRECT("'"&amp;$A9&amp;"'!$P$11")=""),"",IF(TRIM(INDIRECT("'"&amp;$A9&amp;"'!$P$11"))=TRIM(Tulokset!$M$9),2,0))</f>
        <v/>
      </c>
      <c r="CH9" t="str">
        <f ca="1">IF(OR(Tulokset!$N$6="",INDIRECT("'"&amp;$A9&amp;"'!$Q$8")=""),"",IF(TRIM(INDIRECT("'"&amp;$A9&amp;"'!$Q$8"))=TRIM(Tulokset!$N$6),2,0))</f>
        <v/>
      </c>
      <c r="CI9" t="str">
        <f ca="1">IF(OR(Tulokset!$N$7="",INDIRECT("'"&amp;$A9&amp;"'!$Q$9")=""),"",IF(TRIM(INDIRECT("'"&amp;$A9&amp;"'!$Q$9"))=TRIM(Tulokset!$N$7),2,0))</f>
        <v/>
      </c>
      <c r="CJ9" t="str">
        <f ca="1">IF(OR(Tulokset!$N$8="",INDIRECT("'"&amp;$A9&amp;"'!$Q$10")=""),"",IF(TRIM(INDIRECT("'"&amp;$A9&amp;"'!$Q$10"))=TRIM(Tulokset!$N$8),2,0))</f>
        <v/>
      </c>
      <c r="CK9" t="str">
        <f ca="1">IF(OR(Tulokset!$N$9="",INDIRECT("'"&amp;$A9&amp;"'!$Q$11")=""),"",IF(TRIM(INDIRECT("'"&amp;$A9&amp;"'!$Q$11"))=TRIM(Tulokset!$N$9),2,0))</f>
        <v/>
      </c>
      <c r="CL9" t="str">
        <f ca="1">IF(OR(Tulokset!$O$6="",INDIRECT("'"&amp;$A9&amp;"'!$R$8")=""),"",IF(TRIM(INDIRECT("'"&amp;$A9&amp;"'!$R$8"))=TRIM(Tulokset!$O$6),2,0))</f>
        <v/>
      </c>
      <c r="CM9" t="str">
        <f ca="1">IF(OR(Tulokset!$O$7="",INDIRECT("'"&amp;$A9&amp;"'!$R$9")=""),"",IF(TRIM(INDIRECT("'"&amp;$A9&amp;"'!$R$9"))=TRIM(Tulokset!$O$7),2,0))</f>
        <v/>
      </c>
      <c r="CN9" t="str">
        <f ca="1">IF(OR(Tulokset!$O$8="",INDIRECT("'"&amp;$A9&amp;"'!$R$10")=""),"",IF(TRIM(INDIRECT("'"&amp;$A9&amp;"'!$R$10"))=TRIM(Tulokset!$O$8),2,0))</f>
        <v/>
      </c>
      <c r="CO9" t="str">
        <f ca="1">IF(OR(Tulokset!$O$9="",INDIRECT("'"&amp;$A9&amp;"'!$R$11")=""),"",IF(TRIM(INDIRECT("'"&amp;$A9&amp;"'!$R$11"))=TRIM(Tulokset!$O$9),2,0))</f>
        <v/>
      </c>
      <c r="CP9" t="str">
        <f ca="1">IF(OR(Tulokset!$P$6="",INDIRECT("'"&amp;$A9&amp;"'!$S$8")=""),"",IF(TRIM(INDIRECT("'"&amp;$A9&amp;"'!$S$8"))=TRIM(Tulokset!$P$6),2,0))</f>
        <v/>
      </c>
      <c r="CQ9" t="str">
        <f ca="1">IF(OR(Tulokset!$P$7="",INDIRECT("'"&amp;$A9&amp;"'!$S$9")=""),"",IF(TRIM(INDIRECT("'"&amp;$A9&amp;"'!$S$9"))=TRIM(Tulokset!$P$7),2,0))</f>
        <v/>
      </c>
      <c r="CR9" t="str">
        <f ca="1">IF(OR(Tulokset!$P$8="",INDIRECT("'"&amp;$A9&amp;"'!$S$10")=""),"",IF(TRIM(INDIRECT("'"&amp;$A9&amp;"'!$S$10"))=TRIM(Tulokset!$P$8),2,0))</f>
        <v/>
      </c>
      <c r="CS9" t="str">
        <f ca="1">IF(OR(Tulokset!$P$9="",INDIRECT("'"&amp;$A9&amp;"'!$S$11")=""),"",IF(TRIM(INDIRECT("'"&amp;$A9&amp;"'!$S$11"))=TRIM(Tulokset!$P$9),2,0))</f>
        <v/>
      </c>
      <c r="CT9" t="str">
        <f ca="1">IF(OR(Tulokset!$Q$6="",INDIRECT("'"&amp;$A9&amp;"'!$T$8")=""),"",IF(TRIM(INDIRECT("'"&amp;$A9&amp;"'!$T$8"))=TRIM(Tulokset!$Q$6),2,0))</f>
        <v/>
      </c>
      <c r="CU9" t="str">
        <f ca="1">IF(OR(Tulokset!$Q$7="",INDIRECT("'"&amp;$A9&amp;"'!$T$9")=""),"",IF(TRIM(INDIRECT("'"&amp;$A9&amp;"'!$T$9"))=TRIM(Tulokset!$Q$7),2,0))</f>
        <v/>
      </c>
      <c r="CV9" t="str">
        <f ca="1">IF(OR(Tulokset!$Q$8="",INDIRECT("'"&amp;$A9&amp;"'!$T$10")=""),"",IF(TRIM(INDIRECT("'"&amp;$A9&amp;"'!$T$10"))=TRIM(Tulokset!$Q$8),2,0))</f>
        <v/>
      </c>
      <c r="CW9" t="str">
        <f ca="1">IF(OR(Tulokset!$Q$9="",INDIRECT("'"&amp;$A9&amp;"'!$T$11")=""),"",IF(TRIM(INDIRECT("'"&amp;$A9&amp;"'!$T$11"))=TRIM(Tulokset!$Q$9),2,0))</f>
        <v/>
      </c>
      <c r="CX9" t="str">
        <f ca="1">IF(OR(Tulokset!$R$6="",INDIRECT("'"&amp;$A9&amp;"'!$U$8")=""),"",IF(TRIM(INDIRECT("'"&amp;$A9&amp;"'!$U$8"))=TRIM(Tulokset!$R$6),2,0))</f>
        <v/>
      </c>
      <c r="CY9" t="str">
        <f ca="1">IF(OR(Tulokset!$R$7="",INDIRECT("'"&amp;$A9&amp;"'!$U$9")=""),"",IF(TRIM(INDIRECT("'"&amp;$A9&amp;"'!$U$9"))=TRIM(Tulokset!$R$7),2,0))</f>
        <v/>
      </c>
      <c r="CZ9" t="str">
        <f ca="1">IF(OR(Tulokset!$R$8="",INDIRECT("'"&amp;$A9&amp;"'!$U$10")=""),"",IF(TRIM(INDIRECT("'"&amp;$A9&amp;"'!$U$10"))=TRIM(Tulokset!$R$8),2,0))</f>
        <v/>
      </c>
      <c r="DA9" t="str">
        <f ca="1">IF(OR(Tulokset!$R$9="",INDIRECT("'"&amp;$A9&amp;"'!$U$11")=""),"",IF(TRIM(INDIRECT("'"&amp;$A9&amp;"'!$U$11"))=TRIM(Tulokset!$R$9),2,0))</f>
        <v/>
      </c>
      <c r="DB9" t="str">
        <f ca="1">IF(OR(Tulokset!$M$12="",INDIRECT("'"&amp;$A9&amp;"'!$P$14")=""),"",IF(TRIM(INDIRECT("'"&amp;$A9&amp;"'!$P$14"))=TRIM(Tulokset!$M$12),2,0))</f>
        <v/>
      </c>
      <c r="DC9" t="str">
        <f ca="1">IF(OR(Tulokset!$M$13="",INDIRECT("'"&amp;$A9&amp;"'!$P$15")=""),"",IF(TRIM(INDIRECT("'"&amp;$A9&amp;"'!$P$15"))=TRIM(Tulokset!$M$13),2,0))</f>
        <v/>
      </c>
      <c r="DD9" t="str">
        <f ca="1">IF(OR(Tulokset!$M$14="",INDIRECT("'"&amp;$A9&amp;"'!$P$16")=""),"",IF(TRIM(INDIRECT("'"&amp;$A9&amp;"'!$P$16"))=TRIM(Tulokset!$M$14),2,0))</f>
        <v/>
      </c>
      <c r="DE9" t="str">
        <f ca="1">IF(OR(Tulokset!$M$15="",INDIRECT("'"&amp;$A9&amp;"'!$P$17")=""),"",IF(TRIM(INDIRECT("'"&amp;$A9&amp;"'!$P$17"))=TRIM(Tulokset!$M$15),2,0))</f>
        <v/>
      </c>
      <c r="DF9" t="str">
        <f ca="1">IF(OR(Tulokset!$N$12="",INDIRECT("'"&amp;$A9&amp;"'!$Q$14")=""),"",IF(TRIM(INDIRECT("'"&amp;$A9&amp;"'!$Q$14"))=TRIM(Tulokset!$N$12),2,0))</f>
        <v/>
      </c>
      <c r="DG9" t="str">
        <f ca="1">IF(OR(Tulokset!$N$13="",INDIRECT("'"&amp;$A9&amp;"'!$Q$15")=""),"",IF(TRIM(INDIRECT("'"&amp;$A9&amp;"'!$Q$15"))=TRIM(Tulokset!$N$13),2,0))</f>
        <v/>
      </c>
      <c r="DH9" t="str">
        <f ca="1">IF(OR(Tulokset!$N$14="",INDIRECT("'"&amp;$A9&amp;"'!$Q$16")=""),"",IF(TRIM(INDIRECT("'"&amp;$A9&amp;"'!$Q$16"))=TRIM(Tulokset!$N$14),2,0))</f>
        <v/>
      </c>
      <c r="DI9" t="str">
        <f ca="1">IF(OR(Tulokset!$N$15="",INDIRECT("'"&amp;$A9&amp;"'!$Q$17")=""),"",IF(TRIM(INDIRECT("'"&amp;$A9&amp;"'!$Q$17"))=TRIM(Tulokset!$N$15),2,0))</f>
        <v/>
      </c>
      <c r="DJ9" t="str">
        <f ca="1">IF(OR(Tulokset!$O$12="",INDIRECT("'"&amp;$A9&amp;"'!$R$14")=""),"",IF(TRIM(INDIRECT("'"&amp;$A9&amp;"'!$R$14"))=TRIM(Tulokset!$O$12),2,0))</f>
        <v/>
      </c>
      <c r="DK9" t="str">
        <f ca="1">IF(OR(Tulokset!$O$13="",INDIRECT("'"&amp;$A9&amp;"'!$R$15")=""),"",IF(TRIM(INDIRECT("'"&amp;$A9&amp;"'!$R$15"))=TRIM(Tulokset!$O$13),2,0))</f>
        <v/>
      </c>
      <c r="DL9" t="str">
        <f ca="1">IF(OR(Tulokset!$O$14="",INDIRECT("'"&amp;$A9&amp;"'!$R$16")=""),"",IF(TRIM(INDIRECT("'"&amp;$A9&amp;"'!$R$16"))=TRIM(Tulokset!$O$14),2,0))</f>
        <v/>
      </c>
      <c r="DM9" t="str">
        <f ca="1">IF(OR(Tulokset!$O$15="",INDIRECT("'"&amp;$A9&amp;"'!$R$17")=""),"",IF(TRIM(INDIRECT("'"&amp;$A9&amp;"'!$R$17"))=TRIM(Tulokset!$O$15),2,0))</f>
        <v/>
      </c>
      <c r="DN9" t="str">
        <f ca="1">IF(OR(Tulokset!$P$12="",INDIRECT("'"&amp;$A9&amp;"'!$S$14")=""),"",IF(TRIM(INDIRECT("'"&amp;$A9&amp;"'!$S$14"))=TRIM(Tulokset!$P$12),2,0))</f>
        <v/>
      </c>
      <c r="DO9" t="str">
        <f ca="1">IF(OR(Tulokset!$P$13="",INDIRECT("'"&amp;$A9&amp;"'!$S$15")=""),"",IF(TRIM(INDIRECT("'"&amp;$A9&amp;"'!$S$15"))=TRIM(Tulokset!$P$13),2,0))</f>
        <v/>
      </c>
      <c r="DP9" t="str">
        <f ca="1">IF(OR(Tulokset!$P$14="",INDIRECT("'"&amp;$A9&amp;"'!$S$16")=""),"",IF(TRIM(INDIRECT("'"&amp;$A9&amp;"'!$S$16"))=TRIM(Tulokset!$P$14),2,0))</f>
        <v/>
      </c>
      <c r="DQ9" t="str">
        <f ca="1">IF(OR(Tulokset!$P$15="",INDIRECT("'"&amp;$A9&amp;"'!$S$17")=""),"",IF(TRIM(INDIRECT("'"&amp;$A9&amp;"'!$S$17"))=TRIM(Tulokset!$P$15),2,0))</f>
        <v/>
      </c>
      <c r="DR9" t="str">
        <f ca="1">IF(OR(Tulokset!$Q$12="",INDIRECT("'"&amp;$A9&amp;"'!$T$14")=""),"",IF(TRIM(INDIRECT("'"&amp;$A9&amp;"'!$T$14"))=TRIM(Tulokset!$Q$12),2,0))</f>
        <v/>
      </c>
      <c r="DS9" t="str">
        <f ca="1">IF(OR(Tulokset!$Q$13="",INDIRECT("'"&amp;$A9&amp;"'!$T$15")=""),"",IF(TRIM(INDIRECT("'"&amp;$A9&amp;"'!$T$15"))=TRIM(Tulokset!$Q$13),2,0))</f>
        <v/>
      </c>
      <c r="DT9" t="str">
        <f ca="1">IF(OR(Tulokset!$Q$14="",INDIRECT("'"&amp;$A9&amp;"'!$T$16")=""),"",IF(TRIM(INDIRECT("'"&amp;$A9&amp;"'!$T$16"))=TRIM(Tulokset!$Q$14),2,0))</f>
        <v/>
      </c>
      <c r="DU9" t="str">
        <f ca="1">IF(OR(Tulokset!$Q$15="",INDIRECT("'"&amp;$A9&amp;"'!$T$17")=""),"",IF(TRIM(INDIRECT("'"&amp;$A9&amp;"'!$T$17"))=TRIM(Tulokset!$Q$15),2,0))</f>
        <v/>
      </c>
      <c r="DV9" t="str">
        <f ca="1">IF(OR(Tulokset!$R$12="",INDIRECT("'"&amp;$A9&amp;"'!$U$14")=""),"",IF(TRIM(INDIRECT("'"&amp;$A9&amp;"'!$U$14"))=TRIM(Tulokset!$R$12),2,0))</f>
        <v/>
      </c>
      <c r="DW9" t="str">
        <f ca="1">IF(OR(Tulokset!$R$13="",INDIRECT("'"&amp;$A9&amp;"'!$U$15")=""),"",IF(TRIM(INDIRECT("'"&amp;$A9&amp;"'!$U$15"))=TRIM(Tulokset!$R$13),2,0))</f>
        <v/>
      </c>
      <c r="DX9" t="str">
        <f ca="1">IF(OR(Tulokset!$R$14="",INDIRECT("'"&amp;$A9&amp;"'!$U$16")=""),"",IF(TRIM(INDIRECT("'"&amp;$A9&amp;"'!$U$16"))=TRIM(Tulokset!$R$14),2,0))</f>
        <v/>
      </c>
      <c r="DY9" t="str">
        <f ca="1">IF(OR(Tulokset!$R$15="",INDIRECT("'"&amp;$A9&amp;"'!$U$17")=""),"",IF(TRIM(INDIRECT("'"&amp;$A9&amp;"'!$U$17"))=TRIM(Tulokset!$R$15),2,0))</f>
        <v/>
      </c>
      <c r="EA9" t="str">
        <f ca="1">IF(OR(INDIRECT("'"&amp;$A9&amp;"'!$E$79")="",COUNTA(Tulokset!$M$20:$M$21)=0),"",IF(COUNTIF(Tulokset!$M$20:$M$21,INDIRECT("'"&amp;$A9&amp;"'!$E$79"))&gt;0,2,0))</f>
        <v/>
      </c>
      <c r="EB9" t="str">
        <f ca="1">IF(OR(INDIRECT("'"&amp;$A9&amp;"'!$G$79")="",COUNTA(Tulokset!$M$20:$M$21)=0),"",IF(COUNTIF(Tulokset!$M$20:$M$21,INDIRECT("'"&amp;$A9&amp;"'!$G$79"))&gt;0,2,0))</f>
        <v/>
      </c>
      <c r="EC9" t="str">
        <f ca="1">IF(OR(INDIRECT("'"&amp;$A9&amp;"'!$E$80")="",COUNTA(Tulokset!$M$23:$M$24)=0),"",IF(COUNTIF(Tulokset!$M$23:$M$24,INDIRECT("'"&amp;$A9&amp;"'!$E$80"))&gt;0,2,0))</f>
        <v/>
      </c>
      <c r="ED9" t="str">
        <f ca="1">IF(OR(INDIRECT("'"&amp;$A9&amp;"'!$G$80")="",COUNTA(Tulokset!$M$23:$M$24)=0),"",IF(COUNTIF(Tulokset!$M$23:$M$24,INDIRECT("'"&amp;$A9&amp;"'!$G$80"))&gt;0,2,0))</f>
        <v/>
      </c>
    </row>
    <row r="10" spans="1:134">
      <c r="A10" t="s">
        <v>223</v>
      </c>
      <c r="B10" t="str">
        <f t="shared" ca="1" si="0"/>
        <v>Pora</v>
      </c>
      <c r="C10" s="95">
        <f t="shared" si="1"/>
        <v>0</v>
      </c>
      <c r="D10" s="95">
        <f t="shared" ca="1" si="2"/>
        <v>0</v>
      </c>
      <c r="E10" s="95">
        <f t="shared" ca="1" si="3"/>
        <v>0</v>
      </c>
      <c r="F10" s="95">
        <f t="shared" ca="1" si="4"/>
        <v>0</v>
      </c>
      <c r="G10" s="95">
        <f t="shared" si="5"/>
        <v>0</v>
      </c>
      <c r="H10" t="str">
        <f>IF(OR(Tulokset!$G$6="",Tulokset!$I$6="",'7'!$I$7="",'7'!$K$7=""),"",IF(SIGN('7'!$I$7-'7'!$K$7)&lt;&gt;SIGN(Tulokset!$G$6-Tulokset!$I$6),0,IF(Tulokset!$G$6=Tulokset!$I$6,IF(AND('7'!$I$7=Tulokset!$G$6,'7'!$K$7=Tulokset!$I$6),6,3),MAX(0,6-(ABS('7'!$I$7-Tulokset!$G$6)+ABS('7'!$K$7-Tulokset!$I$6))))))</f>
        <v/>
      </c>
      <c r="I10" t="str">
        <f>IF(OR(Tulokset!$G$7="",Tulokset!$I$7="",'7'!$I$8="",'7'!$K$8=""),"",IF(SIGN('7'!$I$8-'7'!$K$8)&lt;&gt;SIGN(Tulokset!$G$7-Tulokset!$I$7),0,IF(Tulokset!$G$7=Tulokset!$I$7,IF(AND('7'!$I$8=Tulokset!$G$7,'7'!$K$8=Tulokset!$I$7),6,3),MAX(0,6-(ABS('7'!$I$8-Tulokset!$G$7)+ABS('7'!$K$8-Tulokset!$I$7))))))</f>
        <v/>
      </c>
      <c r="J10" t="str">
        <f>IF(OR(Tulokset!$G$8="",Tulokset!$I$8="",'7'!$I$9="",'7'!$K$9=""),"",IF(SIGN('7'!$I$9-'7'!$K$9)&lt;&gt;SIGN(Tulokset!$G$8-Tulokset!$I$8),0,IF(Tulokset!$G$8=Tulokset!$I$8,IF(AND('7'!$I$9=Tulokset!$G$8,'7'!$K$9=Tulokset!$I$8),6,3),MAX(0,6-(ABS('7'!$I$9-Tulokset!$G$8)+ABS('7'!$K$9-Tulokset!$I$8))))))</f>
        <v/>
      </c>
      <c r="K10" t="str">
        <f>IF(OR(Tulokset!$G$9="",Tulokset!$I$9="",'7'!$I$10="",'7'!$K$10=""),"",IF(SIGN('7'!$I$10-'7'!$K$10)&lt;&gt;SIGN(Tulokset!$G$9-Tulokset!$I$9),0,IF(Tulokset!$G$9=Tulokset!$I$9,IF(AND('7'!$I$10=Tulokset!$G$9,'7'!$K$10=Tulokset!$I$9),6,3),MAX(0,6-(ABS('7'!$I$10-Tulokset!$G$9)+ABS('7'!$K$10-Tulokset!$I$9))))))</f>
        <v/>
      </c>
      <c r="L10" t="str">
        <f>IF(OR(Tulokset!$G$10="",Tulokset!$I$10="",'7'!$I$11="",'7'!$K$11=""),"",IF(SIGN('7'!$I$11-'7'!$K$11)&lt;&gt;SIGN(Tulokset!$G$10-Tulokset!$I$10),0,IF(Tulokset!$G$10=Tulokset!$I$10,IF(AND('7'!$I$11=Tulokset!$G$10,'7'!$K$11=Tulokset!$I$10),6,3),MAX(0,6-(ABS('7'!$I$11-Tulokset!$G$10)+ABS('7'!$K$11-Tulokset!$I$10))))))</f>
        <v/>
      </c>
      <c r="M10" t="str">
        <f>IF(OR(Tulokset!$G$11="",Tulokset!$I$11="",'7'!$I$12="",'7'!$K$12=""),"",IF(SIGN('7'!$I$12-'7'!$K$12)&lt;&gt;SIGN(Tulokset!$G$11-Tulokset!$I$11),0,IF(Tulokset!$G$11=Tulokset!$I$11,IF(AND('7'!$I$12=Tulokset!$G$11,'7'!$K$12=Tulokset!$I$11),6,3),MAX(0,6-(ABS('7'!$I$12-Tulokset!$G$11)+ABS('7'!$K$12-Tulokset!$I$11))))))</f>
        <v/>
      </c>
      <c r="N10" t="str">
        <f>IF(OR(Tulokset!$G$12="",Tulokset!$I$12="",'7'!$I$13="",'7'!$K$13=""),"",IF(SIGN('7'!$I$13-'7'!$K$13)&lt;&gt;SIGN(Tulokset!$G$12-Tulokset!$I$12),0,IF(Tulokset!$G$12=Tulokset!$I$12,IF(AND('7'!$I$13=Tulokset!$G$12,'7'!$K$13=Tulokset!$I$12),6,3),MAX(0,6-(ABS('7'!$I$13-Tulokset!$G$12)+ABS('7'!$K$13-Tulokset!$I$12))))))</f>
        <v/>
      </c>
      <c r="O10" t="str">
        <f>IF(OR(Tulokset!$G$13="",Tulokset!$I$13="",'7'!$I$14="",'7'!$K$14=""),"",IF(SIGN('7'!$I$14-'7'!$K$14)&lt;&gt;SIGN(Tulokset!$G$13-Tulokset!$I$13),0,IF(Tulokset!$G$13=Tulokset!$I$13,IF(AND('7'!$I$14=Tulokset!$G$13,'7'!$K$14=Tulokset!$I$13),6,3),MAX(0,6-(ABS('7'!$I$14-Tulokset!$G$13)+ABS('7'!$K$14-Tulokset!$I$13))))))</f>
        <v/>
      </c>
      <c r="P10" t="str">
        <f>IF(OR(Tulokset!$G$14="",Tulokset!$I$14="",'7'!$I$15="",'7'!$K$15=""),"",IF(SIGN('7'!$I$15-'7'!$K$15)&lt;&gt;SIGN(Tulokset!$G$14-Tulokset!$I$14),0,IF(Tulokset!$G$14=Tulokset!$I$14,IF(AND('7'!$I$15=Tulokset!$G$14,'7'!$K$15=Tulokset!$I$14),6,3),MAX(0,6-(ABS('7'!$I$15-Tulokset!$G$14)+ABS('7'!$K$15-Tulokset!$I$14))))))</f>
        <v/>
      </c>
      <c r="Q10" t="str">
        <f>IF(OR(Tulokset!$G$15="",Tulokset!$I$15="",'7'!$I$16="",'7'!$K$16=""),"",IF(SIGN('7'!$I$16-'7'!$K$16)&lt;&gt;SIGN(Tulokset!$G$15-Tulokset!$I$15),0,IF(Tulokset!$G$15=Tulokset!$I$15,IF(AND('7'!$I$16=Tulokset!$G$15,'7'!$K$16=Tulokset!$I$15),6,3),MAX(0,6-(ABS('7'!$I$16-Tulokset!$G$15)+ABS('7'!$K$16-Tulokset!$I$15))))))</f>
        <v/>
      </c>
      <c r="R10" t="str">
        <f>IF(OR(Tulokset!$G$16="",Tulokset!$I$16="",'7'!$I$17="",'7'!$K$17=""),"",IF(SIGN('7'!$I$17-'7'!$K$17)&lt;&gt;SIGN(Tulokset!$G$16-Tulokset!$I$16),0,IF(Tulokset!$G$16=Tulokset!$I$16,IF(AND('7'!$I$17=Tulokset!$G$16,'7'!$K$17=Tulokset!$I$16),6,3),MAX(0,6-(ABS('7'!$I$17-Tulokset!$G$16)+ABS('7'!$K$17-Tulokset!$I$16))))))</f>
        <v/>
      </c>
      <c r="S10" t="str">
        <f>IF(OR(Tulokset!$G$17="",Tulokset!$I$17="",'7'!$I$18="",'7'!$K$18=""),"",IF(SIGN('7'!$I$18-'7'!$K$18)&lt;&gt;SIGN(Tulokset!$G$17-Tulokset!$I$17),0,IF(Tulokset!$G$17=Tulokset!$I$17,IF(AND('7'!$I$18=Tulokset!$G$17,'7'!$K$18=Tulokset!$I$17),6,3),MAX(0,6-(ABS('7'!$I$18-Tulokset!$G$17)+ABS('7'!$K$18-Tulokset!$I$17))))))</f>
        <v/>
      </c>
      <c r="T10" t="str">
        <f>IF(OR(Tulokset!$G$18="",Tulokset!$I$18="",'7'!$I$19="",'7'!$K$19=""),"",IF(SIGN('7'!$I$19-'7'!$K$19)&lt;&gt;SIGN(Tulokset!$G$18-Tulokset!$I$18),0,IF(Tulokset!$G$18=Tulokset!$I$18,IF(AND('7'!$I$19=Tulokset!$G$18,'7'!$K$19=Tulokset!$I$18),6,3),MAX(0,6-(ABS('7'!$I$19-Tulokset!$G$18)+ABS('7'!$K$19-Tulokset!$I$18))))))</f>
        <v/>
      </c>
      <c r="U10" t="str">
        <f>IF(OR(Tulokset!$G$19="",Tulokset!$I$19="",'7'!$I$20="",'7'!$K$20=""),"",IF(SIGN('7'!$I$20-'7'!$K$20)&lt;&gt;SIGN(Tulokset!$G$19-Tulokset!$I$19),0,IF(Tulokset!$G$19=Tulokset!$I$19,IF(AND('7'!$I$20=Tulokset!$G$19,'7'!$K$20=Tulokset!$I$19),6,3),MAX(0,6-(ABS('7'!$I$20-Tulokset!$G$19)+ABS('7'!$K$20-Tulokset!$I$19))))))</f>
        <v/>
      </c>
      <c r="V10" t="str">
        <f>IF(OR(Tulokset!$G$20="",Tulokset!$I$20="",'7'!$I$21="",'7'!$K$21=""),"",IF(SIGN('7'!$I$21-'7'!$K$21)&lt;&gt;SIGN(Tulokset!$G$20-Tulokset!$I$20),0,IF(Tulokset!$G$20=Tulokset!$I$20,IF(AND('7'!$I$21=Tulokset!$G$20,'7'!$K$21=Tulokset!$I$20),6,3),MAX(0,6-(ABS('7'!$I$21-Tulokset!$G$20)+ABS('7'!$K$21-Tulokset!$I$20))))))</f>
        <v/>
      </c>
      <c r="W10" t="str">
        <f>IF(OR(Tulokset!$G$21="",Tulokset!$I$21="",'7'!$I$22="",'7'!$K$22=""),"",IF(SIGN('7'!$I$22-'7'!$K$22)&lt;&gt;SIGN(Tulokset!$G$21-Tulokset!$I$21),0,IF(Tulokset!$G$21=Tulokset!$I$21,IF(AND('7'!$I$22=Tulokset!$G$21,'7'!$K$22=Tulokset!$I$21),6,3),MAX(0,6-(ABS('7'!$I$22-Tulokset!$G$21)+ABS('7'!$K$22-Tulokset!$I$21))))))</f>
        <v/>
      </c>
      <c r="X10" t="str">
        <f>IF(OR(Tulokset!$G$22="",Tulokset!$I$22="",'7'!$I$23="",'7'!$K$23=""),"",IF(SIGN('7'!$I$23-'7'!$K$23)&lt;&gt;SIGN(Tulokset!$G$22-Tulokset!$I$22),0,IF(Tulokset!$G$22=Tulokset!$I$22,IF(AND('7'!$I$23=Tulokset!$G$22,'7'!$K$23=Tulokset!$I$22),6,3),MAX(0,6-(ABS('7'!$I$23-Tulokset!$G$22)+ABS('7'!$K$23-Tulokset!$I$22))))))</f>
        <v/>
      </c>
      <c r="Y10" t="str">
        <f>IF(OR(Tulokset!$G$23="",Tulokset!$I$23="",'7'!$I$24="",'7'!$K$24=""),"",IF(SIGN('7'!$I$24-'7'!$K$24)&lt;&gt;SIGN(Tulokset!$G$23-Tulokset!$I$23),0,IF(Tulokset!$G$23=Tulokset!$I$23,IF(AND('7'!$I$24=Tulokset!$G$23,'7'!$K$24=Tulokset!$I$23),6,3),MAX(0,6-(ABS('7'!$I$24-Tulokset!$G$23)+ABS('7'!$K$24-Tulokset!$I$23))))))</f>
        <v/>
      </c>
      <c r="Z10" t="str">
        <f>IF(OR(Tulokset!$G$24="",Tulokset!$I$24="",'7'!$I$25="",'7'!$K$25=""),"",IF(SIGN('7'!$I$25-'7'!$K$25)&lt;&gt;SIGN(Tulokset!$G$24-Tulokset!$I$24),0,IF(Tulokset!$G$24=Tulokset!$I$24,IF(AND('7'!$I$25=Tulokset!$G$24,'7'!$K$25=Tulokset!$I$24),6,3),MAX(0,6-(ABS('7'!$I$25-Tulokset!$G$24)+ABS('7'!$K$25-Tulokset!$I$24))))))</f>
        <v/>
      </c>
      <c r="AA10" t="str">
        <f>IF(OR(Tulokset!$G$25="",Tulokset!$I$25="",'7'!$I$26="",'7'!$K$26=""),"",IF(SIGN('7'!$I$26-'7'!$K$26)&lt;&gt;SIGN(Tulokset!$G$25-Tulokset!$I$25),0,IF(Tulokset!$G$25=Tulokset!$I$25,IF(AND('7'!$I$26=Tulokset!$G$25,'7'!$K$26=Tulokset!$I$25),6,3),MAX(0,6-(ABS('7'!$I$26-Tulokset!$G$25)+ABS('7'!$K$26-Tulokset!$I$25))))))</f>
        <v/>
      </c>
      <c r="AB10" t="str">
        <f>IF(OR(Tulokset!$G$26="",Tulokset!$I$26="",'7'!$I$27="",'7'!$K$27=""),"",IF(SIGN('7'!$I$27-'7'!$K$27)&lt;&gt;SIGN(Tulokset!$G$26-Tulokset!$I$26),0,IF(Tulokset!$G$26=Tulokset!$I$26,IF(AND('7'!$I$27=Tulokset!$G$26,'7'!$K$27=Tulokset!$I$26),6,3),MAX(0,6-(ABS('7'!$I$27-Tulokset!$G$26)+ABS('7'!$K$27-Tulokset!$I$26))))))</f>
        <v/>
      </c>
      <c r="AC10" t="str">
        <f>IF(OR(Tulokset!$G$27="",Tulokset!$I$27="",'7'!$I$28="",'7'!$K$28=""),"",IF(SIGN('7'!$I$28-'7'!$K$28)&lt;&gt;SIGN(Tulokset!$G$27-Tulokset!$I$27),0,IF(Tulokset!$G$27=Tulokset!$I$27,IF(AND('7'!$I$28=Tulokset!$G$27,'7'!$K$28=Tulokset!$I$27),6,3),MAX(0,6-(ABS('7'!$I$28-Tulokset!$G$27)+ABS('7'!$K$28-Tulokset!$I$27))))))</f>
        <v/>
      </c>
      <c r="AD10" t="str">
        <f>IF(OR(Tulokset!$G$28="",Tulokset!$I$28="",'7'!$I$29="",'7'!$K$29=""),"",IF(SIGN('7'!$I$29-'7'!$K$29)&lt;&gt;SIGN(Tulokset!$G$28-Tulokset!$I$28),0,IF(Tulokset!$G$28=Tulokset!$I$28,IF(AND('7'!$I$29=Tulokset!$G$28,'7'!$K$29=Tulokset!$I$28),6,3),MAX(0,6-(ABS('7'!$I$29-Tulokset!$G$28)+ABS('7'!$K$29-Tulokset!$I$28))))))</f>
        <v/>
      </c>
      <c r="AE10" t="str">
        <f>IF(OR(Tulokset!$G$29="",Tulokset!$I$29="",'7'!$I$30="",'7'!$K$30=""),"",IF(SIGN('7'!$I$30-'7'!$K$30)&lt;&gt;SIGN(Tulokset!$G$29-Tulokset!$I$29),0,IF(Tulokset!$G$29=Tulokset!$I$29,IF(AND('7'!$I$30=Tulokset!$G$29,'7'!$K$30=Tulokset!$I$29),6,3),MAX(0,6-(ABS('7'!$I$30-Tulokset!$G$29)+ABS('7'!$K$30-Tulokset!$I$29))))))</f>
        <v/>
      </c>
      <c r="AF10" t="str">
        <f>IF(OR(Tulokset!$G$30="",Tulokset!$I$30="",'7'!$I$31="",'7'!$K$31=""),"",IF(SIGN('7'!$I$31-'7'!$K$31)&lt;&gt;SIGN(Tulokset!$G$30-Tulokset!$I$30),0,IF(Tulokset!$G$30=Tulokset!$I$30,IF(AND('7'!$I$31=Tulokset!$G$30,'7'!$K$31=Tulokset!$I$30),6,3),MAX(0,6-(ABS('7'!$I$31-Tulokset!$G$30)+ABS('7'!$K$31-Tulokset!$I$30))))))</f>
        <v/>
      </c>
      <c r="AG10" t="str">
        <f>IF(OR(Tulokset!$G$31="",Tulokset!$I$31="",'7'!$I$32="",'7'!$K$32=""),"",IF(SIGN('7'!$I$32-'7'!$K$32)&lt;&gt;SIGN(Tulokset!$G$31-Tulokset!$I$31),0,IF(Tulokset!$G$31=Tulokset!$I$31,IF(AND('7'!$I$32=Tulokset!$G$31,'7'!$K$32=Tulokset!$I$31),6,3),MAX(0,6-(ABS('7'!$I$32-Tulokset!$G$31)+ABS('7'!$K$32-Tulokset!$I$31))))))</f>
        <v/>
      </c>
      <c r="AH10" t="str">
        <f>IF(OR(Tulokset!$G$32="",Tulokset!$I$32="",'7'!$I$33="",'7'!$K$33=""),"",IF(SIGN('7'!$I$33-'7'!$K$33)&lt;&gt;SIGN(Tulokset!$G$32-Tulokset!$I$32),0,IF(Tulokset!$G$32=Tulokset!$I$32,IF(AND('7'!$I$33=Tulokset!$G$32,'7'!$K$33=Tulokset!$I$32),6,3),MAX(0,6-(ABS('7'!$I$33-Tulokset!$G$32)+ABS('7'!$K$33-Tulokset!$I$32))))))</f>
        <v/>
      </c>
      <c r="AI10" t="str">
        <f>IF(OR(Tulokset!$G$33="",Tulokset!$I$33="",'7'!$I$34="",'7'!$K$34=""),"",IF(SIGN('7'!$I$34-'7'!$K$34)&lt;&gt;SIGN(Tulokset!$G$33-Tulokset!$I$33),0,IF(Tulokset!$G$33=Tulokset!$I$33,IF(AND('7'!$I$34=Tulokset!$G$33,'7'!$K$34=Tulokset!$I$33),6,3),MAX(0,6-(ABS('7'!$I$34-Tulokset!$G$33)+ABS('7'!$K$34-Tulokset!$I$33))))))</f>
        <v/>
      </c>
      <c r="AJ10" t="str">
        <f>IF(OR(Tulokset!$G$34="",Tulokset!$I$34="",'7'!$I$35="",'7'!$K$35=""),"",IF(SIGN('7'!$I$35-'7'!$K$35)&lt;&gt;SIGN(Tulokset!$G$34-Tulokset!$I$34),0,IF(Tulokset!$G$34=Tulokset!$I$34,IF(AND('7'!$I$35=Tulokset!$G$34,'7'!$K$35=Tulokset!$I$34),6,3),MAX(0,6-(ABS('7'!$I$35-Tulokset!$G$34)+ABS('7'!$K$35-Tulokset!$I$34))))))</f>
        <v/>
      </c>
      <c r="AK10" t="str">
        <f>IF(OR(Tulokset!$G$35="",Tulokset!$I$35="",'7'!$I$36="",'7'!$K$36=""),"",IF(SIGN('7'!$I$36-'7'!$K$36)&lt;&gt;SIGN(Tulokset!$G$35-Tulokset!$I$35),0,IF(Tulokset!$G$35=Tulokset!$I$35,IF(AND('7'!$I$36=Tulokset!$G$35,'7'!$K$36=Tulokset!$I$35),6,3),MAX(0,6-(ABS('7'!$I$36-Tulokset!$G$35)+ABS('7'!$K$36-Tulokset!$I$35))))))</f>
        <v/>
      </c>
      <c r="AL10" t="str">
        <f>IF(OR(Tulokset!$G$36="",Tulokset!$I$36="",'7'!$I$37="",'7'!$K$37=""),"",IF(SIGN('7'!$I$37-'7'!$K$37)&lt;&gt;SIGN(Tulokset!$G$36-Tulokset!$I$36),0,IF(Tulokset!$G$36=Tulokset!$I$36,IF(AND('7'!$I$37=Tulokset!$G$36,'7'!$K$37=Tulokset!$I$36),6,3),MAX(0,6-(ABS('7'!$I$37-Tulokset!$G$36)+ABS('7'!$K$37-Tulokset!$I$36))))))</f>
        <v/>
      </c>
      <c r="AM10" t="str">
        <f>IF(OR(Tulokset!$G$37="",Tulokset!$I$37="",'7'!$I$38="",'7'!$K$38=""),"",IF(SIGN('7'!$I$38-'7'!$K$38)&lt;&gt;SIGN(Tulokset!$G$37-Tulokset!$I$37),0,IF(Tulokset!$G$37=Tulokset!$I$37,IF(AND('7'!$I$38=Tulokset!$G$37,'7'!$K$38=Tulokset!$I$37),6,3),MAX(0,6-(ABS('7'!$I$38-Tulokset!$G$37)+ABS('7'!$K$38-Tulokset!$I$37))))))</f>
        <v/>
      </c>
      <c r="AN10" t="str">
        <f>IF(OR(Tulokset!$G$38="",Tulokset!$I$38="",'7'!$I$39="",'7'!$K$39=""),"",IF(SIGN('7'!$I$39-'7'!$K$39)&lt;&gt;SIGN(Tulokset!$G$38-Tulokset!$I$38),0,IF(Tulokset!$G$38=Tulokset!$I$38,IF(AND('7'!$I$39=Tulokset!$G$38,'7'!$K$39=Tulokset!$I$38),6,3),MAX(0,6-(ABS('7'!$I$39-Tulokset!$G$38)+ABS('7'!$K$39-Tulokset!$I$38))))))</f>
        <v/>
      </c>
      <c r="AO10" t="str">
        <f>IF(OR(Tulokset!$G$39="",Tulokset!$I$39="",'7'!$I$40="",'7'!$K$40=""),"",IF(SIGN('7'!$I$40-'7'!$K$40)&lt;&gt;SIGN(Tulokset!$G$39-Tulokset!$I$39),0,IF(Tulokset!$G$39=Tulokset!$I$39,IF(AND('7'!$I$40=Tulokset!$G$39,'7'!$K$40=Tulokset!$I$39),6,3),MAX(0,6-(ABS('7'!$I$40-Tulokset!$G$39)+ABS('7'!$K$40-Tulokset!$I$39))))))</f>
        <v/>
      </c>
      <c r="AP10" t="str">
        <f>IF(OR(Tulokset!$G$40="",Tulokset!$I$40="",'7'!$I$41="",'7'!$K$41=""),"",IF(SIGN('7'!$I$41-'7'!$K$41)&lt;&gt;SIGN(Tulokset!$G$40-Tulokset!$I$40),0,IF(Tulokset!$G$40=Tulokset!$I$40,IF(AND('7'!$I$41=Tulokset!$G$40,'7'!$K$41=Tulokset!$I$40),6,3),MAX(0,6-(ABS('7'!$I$41-Tulokset!$G$40)+ABS('7'!$K$41-Tulokset!$I$40))))))</f>
        <v/>
      </c>
      <c r="AQ10" t="str">
        <f>IF(OR(Tulokset!$G$41="",Tulokset!$I$41="",'7'!$I$42="",'7'!$K$42=""),"",IF(SIGN('7'!$I$42-'7'!$K$42)&lt;&gt;SIGN(Tulokset!$G$41-Tulokset!$I$41),0,IF(Tulokset!$G$41=Tulokset!$I$41,IF(AND('7'!$I$42=Tulokset!$G$41,'7'!$K$42=Tulokset!$I$41),6,3),MAX(0,6-(ABS('7'!$I$42-Tulokset!$G$41)+ABS('7'!$K$42-Tulokset!$I$41))))))</f>
        <v/>
      </c>
      <c r="AR10" t="str">
        <f>IF(OR(Tulokset!$G$42="",Tulokset!$I$42="",'7'!$I$43="",'7'!$K$43=""),"",IF(SIGN('7'!$I$43-'7'!$K$43)&lt;&gt;SIGN(Tulokset!$G$42-Tulokset!$I$42),0,IF(Tulokset!$G$42=Tulokset!$I$42,IF(AND('7'!$I$43=Tulokset!$G$42,'7'!$K$43=Tulokset!$I$42),6,3),MAX(0,6-(ABS('7'!$I$43-Tulokset!$G$42)+ABS('7'!$K$43-Tulokset!$I$42))))))</f>
        <v/>
      </c>
      <c r="AS10" t="str">
        <f>IF(OR(Tulokset!$G$43="",Tulokset!$I$43="",'7'!$I$44="",'7'!$K$44=""),"",IF(SIGN('7'!$I$44-'7'!$K$44)&lt;&gt;SIGN(Tulokset!$G$43-Tulokset!$I$43),0,IF(Tulokset!$G$43=Tulokset!$I$43,IF(AND('7'!$I$44=Tulokset!$G$43,'7'!$K$44=Tulokset!$I$43),6,3),MAX(0,6-(ABS('7'!$I$44-Tulokset!$G$43)+ABS('7'!$K$44-Tulokset!$I$43))))))</f>
        <v/>
      </c>
      <c r="AT10" t="str">
        <f>IF(OR(Tulokset!$G$44="",Tulokset!$I$44="",'7'!$I$45="",'7'!$K$45=""),"",IF(SIGN('7'!$I$45-'7'!$K$45)&lt;&gt;SIGN(Tulokset!$G$44-Tulokset!$I$44),0,IF(Tulokset!$G$44=Tulokset!$I$44,IF(AND('7'!$I$45=Tulokset!$G$44,'7'!$K$45=Tulokset!$I$44),6,3),MAX(0,6-(ABS('7'!$I$45-Tulokset!$G$44)+ABS('7'!$K$45-Tulokset!$I$44))))))</f>
        <v/>
      </c>
      <c r="AU10" t="str">
        <f>IF(OR(Tulokset!$G$45="",Tulokset!$I$45="",'7'!$I$46="",'7'!$K$46=""),"",IF(SIGN('7'!$I$46-'7'!$K$46)&lt;&gt;SIGN(Tulokset!$G$45-Tulokset!$I$45),0,IF(Tulokset!$G$45=Tulokset!$I$45,IF(AND('7'!$I$46=Tulokset!$G$45,'7'!$K$46=Tulokset!$I$45),6,3),MAX(0,6-(ABS('7'!$I$46-Tulokset!$G$45)+ABS('7'!$K$46-Tulokset!$I$45))))))</f>
        <v/>
      </c>
      <c r="AV10" t="str">
        <f>IF(OR(Tulokset!$G$46="",Tulokset!$I$46="",'7'!$I$47="",'7'!$K$47=""),"",IF(SIGN('7'!$I$47-'7'!$K$47)&lt;&gt;SIGN(Tulokset!$G$46-Tulokset!$I$46),0,IF(Tulokset!$G$46=Tulokset!$I$46,IF(AND('7'!$I$47=Tulokset!$G$46,'7'!$K$47=Tulokset!$I$46),6,3),MAX(0,6-(ABS('7'!$I$47-Tulokset!$G$46)+ABS('7'!$K$47-Tulokset!$I$46))))))</f>
        <v/>
      </c>
      <c r="AW10" t="str">
        <f>IF(OR(Tulokset!$G$47="",Tulokset!$I$47="",'7'!$I$48="",'7'!$K$48=""),"",IF(SIGN('7'!$I$48-'7'!$K$48)&lt;&gt;SIGN(Tulokset!$G$47-Tulokset!$I$47),0,IF(Tulokset!$G$47=Tulokset!$I$47,IF(AND('7'!$I$48=Tulokset!$G$47,'7'!$K$48=Tulokset!$I$47),6,3),MAX(0,6-(ABS('7'!$I$48-Tulokset!$G$47)+ABS('7'!$K$48-Tulokset!$I$47))))))</f>
        <v/>
      </c>
      <c r="AX10" t="str">
        <f>IF(OR(Tulokset!$G$48="",Tulokset!$I$48="",'7'!$I$49="",'7'!$K$49=""),"",IF(SIGN('7'!$I$49-'7'!$K$49)&lt;&gt;SIGN(Tulokset!$G$48-Tulokset!$I$48),0,IF(Tulokset!$G$48=Tulokset!$I$48,IF(AND('7'!$I$49=Tulokset!$G$48,'7'!$K$49=Tulokset!$I$48),6,3),MAX(0,6-(ABS('7'!$I$49-Tulokset!$G$48)+ABS('7'!$K$49-Tulokset!$I$48))))))</f>
        <v/>
      </c>
      <c r="AY10" t="str">
        <f>IF(OR(Tulokset!$G$49="",Tulokset!$I$49="",'7'!$I$50="",'7'!$K$50=""),"",IF(SIGN('7'!$I$50-'7'!$K$50)&lt;&gt;SIGN(Tulokset!$G$49-Tulokset!$I$49),0,IF(Tulokset!$G$49=Tulokset!$I$49,IF(AND('7'!$I$50=Tulokset!$G$49,'7'!$K$50=Tulokset!$I$49),6,3),MAX(0,6-(ABS('7'!$I$50-Tulokset!$G$49)+ABS('7'!$K$50-Tulokset!$I$49))))))</f>
        <v/>
      </c>
      <c r="AZ10" t="str">
        <f>IF(OR(Tulokset!$G$50="",Tulokset!$I$50="",'7'!$I$51="",'7'!$K$51=""),"",IF(SIGN('7'!$I$51-'7'!$K$51)&lt;&gt;SIGN(Tulokset!$G$50-Tulokset!$I$50),0,IF(Tulokset!$G$50=Tulokset!$I$50,IF(AND('7'!$I$51=Tulokset!$G$50,'7'!$K$51=Tulokset!$I$50),6,3),MAX(0,6-(ABS('7'!$I$51-Tulokset!$G$50)+ABS('7'!$K$51-Tulokset!$I$50))))))</f>
        <v/>
      </c>
      <c r="BA10" t="str">
        <f>IF(OR(Tulokset!$G$51="",Tulokset!$I$51="",'7'!$I$52="",'7'!$K$52=""),"",IF(SIGN('7'!$I$52-'7'!$K$52)&lt;&gt;SIGN(Tulokset!$G$51-Tulokset!$I$51),0,IF(Tulokset!$G$51=Tulokset!$I$51,IF(AND('7'!$I$52=Tulokset!$G$51,'7'!$K$52=Tulokset!$I$51),6,3),MAX(0,6-(ABS('7'!$I$52-Tulokset!$G$51)+ABS('7'!$K$52-Tulokset!$I$51))))))</f>
        <v/>
      </c>
      <c r="BB10" t="str">
        <f>IF(OR(Tulokset!$G$52="",Tulokset!$I$52="",'7'!$I$53="",'7'!$K$53=""),"",IF(SIGN('7'!$I$53-'7'!$K$53)&lt;&gt;SIGN(Tulokset!$G$52-Tulokset!$I$52),0,IF(Tulokset!$G$52=Tulokset!$I$52,IF(AND('7'!$I$53=Tulokset!$G$52,'7'!$K$53=Tulokset!$I$52),6,3),MAX(0,6-(ABS('7'!$I$53-Tulokset!$G$52)+ABS('7'!$K$53-Tulokset!$I$52))))))</f>
        <v/>
      </c>
      <c r="BC10" t="str">
        <f>IF(OR(Tulokset!$G$53="",Tulokset!$I$53="",'7'!$I$54="",'7'!$K$54=""),"",IF(SIGN('7'!$I$54-'7'!$K$54)&lt;&gt;SIGN(Tulokset!$G$53-Tulokset!$I$53),0,IF(Tulokset!$G$53=Tulokset!$I$53,IF(AND('7'!$I$54=Tulokset!$G$53,'7'!$K$54=Tulokset!$I$53),6,3),MAX(0,6-(ABS('7'!$I$54-Tulokset!$G$53)+ABS('7'!$K$54-Tulokset!$I$53))))))</f>
        <v/>
      </c>
      <c r="BD10" t="str">
        <f>IF(OR(Tulokset!$G$54="",Tulokset!$I$54="",'7'!$I$55="",'7'!$K$55=""),"",IF(SIGN('7'!$I$55-'7'!$K$55)&lt;&gt;SIGN(Tulokset!$G$54-Tulokset!$I$54),0,IF(Tulokset!$G$54=Tulokset!$I$54,IF(AND('7'!$I$55=Tulokset!$G$54,'7'!$K$55=Tulokset!$I$54),6,3),MAX(0,6-(ABS('7'!$I$55-Tulokset!$G$54)+ABS('7'!$K$55-Tulokset!$I$54))))))</f>
        <v/>
      </c>
      <c r="BE10" t="str">
        <f>IF(OR(Tulokset!$G$55="",Tulokset!$I$55="",'7'!$I$56="",'7'!$K$56=""),"",IF(SIGN('7'!$I$56-'7'!$K$56)&lt;&gt;SIGN(Tulokset!$G$55-Tulokset!$I$55),0,IF(Tulokset!$G$55=Tulokset!$I$55,IF(AND('7'!$I$56=Tulokset!$G$55,'7'!$K$56=Tulokset!$I$55),6,3),MAX(0,6-(ABS('7'!$I$56-Tulokset!$G$55)+ABS('7'!$K$56-Tulokset!$I$55))))))</f>
        <v/>
      </c>
      <c r="BF10" t="str">
        <f>IF(OR(Tulokset!$G$56="",Tulokset!$I$56="",'7'!$I$57="",'7'!$K$57=""),"",IF(SIGN('7'!$I$57-'7'!$K$57)&lt;&gt;SIGN(Tulokset!$G$56-Tulokset!$I$56),0,IF(Tulokset!$G$56=Tulokset!$I$56,IF(AND('7'!$I$57=Tulokset!$G$56,'7'!$K$57=Tulokset!$I$56),6,3),MAX(0,6-(ABS('7'!$I$57-Tulokset!$G$56)+ABS('7'!$K$57-Tulokset!$I$56))))))</f>
        <v/>
      </c>
      <c r="BG10" t="str">
        <f>IF(OR(Tulokset!$G$57="",Tulokset!$I$57="",'7'!$I$58="",'7'!$K$58=""),"",IF(SIGN('7'!$I$58-'7'!$K$58)&lt;&gt;SIGN(Tulokset!$G$57-Tulokset!$I$57),0,IF(Tulokset!$G$57=Tulokset!$I$57,IF(AND('7'!$I$58=Tulokset!$G$57,'7'!$K$58=Tulokset!$I$57),6,3),MAX(0,6-(ABS('7'!$I$58-Tulokset!$G$57)+ABS('7'!$K$58-Tulokset!$I$57))))))</f>
        <v/>
      </c>
      <c r="BH10" t="str">
        <f>IF(OR(Tulokset!$G$58="",Tulokset!$I$58="",'7'!$I$59="",'7'!$K$59=""),"",IF(SIGN('7'!$I$59-'7'!$K$59)&lt;&gt;SIGN(Tulokset!$G$58-Tulokset!$I$58),0,IF(Tulokset!$G$58=Tulokset!$I$58,IF(AND('7'!$I$59=Tulokset!$G$58,'7'!$K$59=Tulokset!$I$58),6,3),MAX(0,6-(ABS('7'!$I$59-Tulokset!$G$58)+ABS('7'!$K$59-Tulokset!$I$58))))))</f>
        <v/>
      </c>
      <c r="BI10" t="str">
        <f>IF(OR(Tulokset!$G$59="",Tulokset!$I$59="",'7'!$I$60="",'7'!$K$60=""),"",IF(SIGN('7'!$I$60-'7'!$K$60)&lt;&gt;SIGN(Tulokset!$G$59-Tulokset!$I$59),0,IF(Tulokset!$G$59=Tulokset!$I$59,IF(AND('7'!$I$60=Tulokset!$G$59,'7'!$K$60=Tulokset!$I$59),6,3),MAX(0,6-(ABS('7'!$I$60-Tulokset!$G$59)+ABS('7'!$K$60-Tulokset!$I$59))))))</f>
        <v/>
      </c>
      <c r="BJ10" t="str">
        <f>IF(OR(Tulokset!$G$60="",Tulokset!$I$60="",'7'!$I$61="",'7'!$K$61=""),"",IF(SIGN('7'!$I$61-'7'!$K$61)&lt;&gt;SIGN(Tulokset!$G$60-Tulokset!$I$60),0,IF(Tulokset!$G$60=Tulokset!$I$60,IF(AND('7'!$I$61=Tulokset!$G$60,'7'!$K$61=Tulokset!$I$60),6,3),MAX(0,6-(ABS('7'!$I$61-Tulokset!$G$60)+ABS('7'!$K$61-Tulokset!$I$60))))))</f>
        <v/>
      </c>
      <c r="BK10" t="str">
        <f>IF(OR(Tulokset!$G$61="",Tulokset!$I$61="",'7'!$I$62="",'7'!$K$62=""),"",IF(SIGN('7'!$I$62-'7'!$K$62)&lt;&gt;SIGN(Tulokset!$G$61-Tulokset!$I$61),0,IF(Tulokset!$G$61=Tulokset!$I$61,IF(AND('7'!$I$62=Tulokset!$G$61,'7'!$K$62=Tulokset!$I$61),6,3),MAX(0,6-(ABS('7'!$I$62-Tulokset!$G$61)+ABS('7'!$K$62-Tulokset!$I$61))))))</f>
        <v/>
      </c>
      <c r="BL10" t="str">
        <f>IF(OR(Tulokset!$G$62="",Tulokset!$I$62="",'7'!$I$63="",'7'!$K$63=""),"",IF(SIGN('7'!$I$63-'7'!$K$63)&lt;&gt;SIGN(Tulokset!$G$62-Tulokset!$I$62),0,IF(Tulokset!$G$62=Tulokset!$I$62,IF(AND('7'!$I$63=Tulokset!$G$62,'7'!$K$63=Tulokset!$I$62),6,3),MAX(0,6-(ABS('7'!$I$63-Tulokset!$G$62)+ABS('7'!$K$63-Tulokset!$I$62))))))</f>
        <v/>
      </c>
      <c r="BM10" t="str">
        <f>IF(OR(Tulokset!$G$63="",Tulokset!$I$63="",'7'!$I$64="",'7'!$K$64=""),"",IF(SIGN('7'!$I$64-'7'!$K$64)&lt;&gt;SIGN(Tulokset!$G$63-Tulokset!$I$63),0,IF(Tulokset!$G$63=Tulokset!$I$63,IF(AND('7'!$I$64=Tulokset!$G$63,'7'!$K$64=Tulokset!$I$63),6,3),MAX(0,6-(ABS('7'!$I$64-Tulokset!$G$63)+ABS('7'!$K$64-Tulokset!$I$63))))))</f>
        <v/>
      </c>
      <c r="BN10" t="str">
        <f>IF(OR(Tulokset!$G$64="",Tulokset!$I$64="",'7'!$I$65="",'7'!$K$65=""),"",IF(SIGN('7'!$I$65-'7'!$K$65)&lt;&gt;SIGN(Tulokset!$G$64-Tulokset!$I$64),0,IF(Tulokset!$G$64=Tulokset!$I$64,IF(AND('7'!$I$65=Tulokset!$G$64,'7'!$K$65=Tulokset!$I$64),6,3),MAX(0,6-(ABS('7'!$I$65-Tulokset!$G$64)+ABS('7'!$K$65-Tulokset!$I$64))))))</f>
        <v/>
      </c>
      <c r="BO10" t="str">
        <f>IF(OR(Tulokset!$G$65="",Tulokset!$I$65="",'7'!$I$66="",'7'!$K$66=""),"",IF(SIGN('7'!$I$66-'7'!$K$66)&lt;&gt;SIGN(Tulokset!$G$65-Tulokset!$I$65),0,IF(Tulokset!$G$65=Tulokset!$I$65,IF(AND('7'!$I$66=Tulokset!$G$65,'7'!$K$66=Tulokset!$I$65),6,3),MAX(0,6-(ABS('7'!$I$66-Tulokset!$G$65)+ABS('7'!$K$66-Tulokset!$I$65))))))</f>
        <v/>
      </c>
      <c r="BP10" t="str">
        <f>IF(OR(Tulokset!$G$66="",Tulokset!$I$66="",'7'!$I$67="",'7'!$K$67=""),"",IF(SIGN('7'!$I$67-'7'!$K$67)&lt;&gt;SIGN(Tulokset!$G$66-Tulokset!$I$66),0,IF(Tulokset!$G$66=Tulokset!$I$66,IF(AND('7'!$I$67=Tulokset!$G$66,'7'!$K$67=Tulokset!$I$66),6,3),MAX(0,6-(ABS('7'!$I$67-Tulokset!$G$66)+ABS('7'!$K$67-Tulokset!$I$66))))))</f>
        <v/>
      </c>
      <c r="BQ10" t="str">
        <f>IF(OR(Tulokset!$G$67="",Tulokset!$I$67="",'7'!$I$68="",'7'!$K$68=""),"",IF(SIGN('7'!$I$68-'7'!$K$68)&lt;&gt;SIGN(Tulokset!$G$67-Tulokset!$I$67),0,IF(Tulokset!$G$67=Tulokset!$I$67,IF(AND('7'!$I$68=Tulokset!$G$67,'7'!$K$68=Tulokset!$I$67),6,3),MAX(0,6-(ABS('7'!$I$68-Tulokset!$G$67)+ABS('7'!$K$68-Tulokset!$I$67))))))</f>
        <v/>
      </c>
      <c r="BR10" t="str">
        <f>IF(OR(Tulokset!$G$68="",Tulokset!$I$68="",'7'!$I$69="",'7'!$K$69=""),"",IF(SIGN('7'!$I$69-'7'!$K$69)&lt;&gt;SIGN(Tulokset!$G$68-Tulokset!$I$68),0,IF(Tulokset!$G$68=Tulokset!$I$68,IF(AND('7'!$I$69=Tulokset!$G$68,'7'!$K$69=Tulokset!$I$68),6,3),MAX(0,6-(ABS('7'!$I$69-Tulokset!$G$68)+ABS('7'!$K$69-Tulokset!$I$68))))))</f>
        <v/>
      </c>
      <c r="BS10" t="str">
        <f>IF(OR(Tulokset!$G$69="",Tulokset!$I$69="",'7'!$I$70="",'7'!$K$70=""),"",IF(SIGN('7'!$I$70-'7'!$K$70)&lt;&gt;SIGN(Tulokset!$G$69-Tulokset!$I$69),0,IF(Tulokset!$G$69=Tulokset!$I$69,IF(AND('7'!$I$70=Tulokset!$G$69,'7'!$K$70=Tulokset!$I$69),6,3),MAX(0,6-(ABS('7'!$I$70-Tulokset!$G$69)+ABS('7'!$K$70-Tulokset!$I$69))))))</f>
        <v/>
      </c>
      <c r="BT10" t="str">
        <f>IF(OR(Tulokset!$G$70="",Tulokset!$I$70="",'7'!$I$71="",'7'!$K$71=""),"",IF(SIGN('7'!$I$71-'7'!$K$71)&lt;&gt;SIGN(Tulokset!$G$70-Tulokset!$I$70),0,IF(Tulokset!$G$70=Tulokset!$I$70,IF(AND('7'!$I$71=Tulokset!$G$70,'7'!$K$71=Tulokset!$I$70),6,3),MAX(0,6-(ABS('7'!$I$71-Tulokset!$G$70)+ABS('7'!$K$71-Tulokset!$I$70))))))</f>
        <v/>
      </c>
      <c r="BU10" t="str">
        <f>IF(OR(Tulokset!$G$71="",Tulokset!$I$71="",'7'!$I$72="",'7'!$K$72=""),"",IF(SIGN('7'!$I$72-'7'!$K$72)&lt;&gt;SIGN(Tulokset!$G$71-Tulokset!$I$71),0,IF(Tulokset!$G$71=Tulokset!$I$71,IF(AND('7'!$I$72=Tulokset!$G$71,'7'!$K$72=Tulokset!$I$71),6,3),MAX(0,6-(ABS('7'!$I$72-Tulokset!$G$71)+ABS('7'!$K$72-Tulokset!$I$71))))))</f>
        <v/>
      </c>
      <c r="BV10" t="str">
        <f>IF(OR(Tulokset!$G$72="",Tulokset!$I$72="",'7'!$I$73="",'7'!$K$73=""),"",IF(SIGN('7'!$I$73-'7'!$K$73)&lt;&gt;SIGN(Tulokset!$G$72-Tulokset!$I$72),0,IF(Tulokset!$G$72=Tulokset!$I$72,IF(AND('7'!$I$73=Tulokset!$G$72,'7'!$K$73=Tulokset!$I$72),6,3),MAX(0,6-(ABS('7'!$I$73-Tulokset!$G$72)+ABS('7'!$K$73-Tulokset!$I$72))))))</f>
        <v/>
      </c>
      <c r="BW10" t="str">
        <f>IF(OR(Tulokset!$G$73="",Tulokset!$I$73="",'7'!$I$74="",'7'!$K$74=""),"",IF(SIGN('7'!$I$74-'7'!$K$74)&lt;&gt;SIGN(Tulokset!$G$73-Tulokset!$I$73),0,IF(Tulokset!$G$73=Tulokset!$I$73,IF(AND('7'!$I$74=Tulokset!$G$73,'7'!$K$74=Tulokset!$I$73),6,3),MAX(0,6-(ABS('7'!$I$74-Tulokset!$G$73)+ABS('7'!$K$74-Tulokset!$I$73))))))</f>
        <v/>
      </c>
      <c r="BX10" t="str">
        <f>IF(OR(Tulokset!$G$74="",Tulokset!$I$74="",'7'!$I$75="",'7'!$K$75=""),"",IF(SIGN('7'!$I$75-'7'!$K$75)&lt;&gt;SIGN(Tulokset!$G$74-Tulokset!$I$74),0,IF(Tulokset!$G$74=Tulokset!$I$74,IF(AND('7'!$I$75=Tulokset!$G$74,'7'!$K$75=Tulokset!$I$74),6,3),MAX(0,6-(ABS('7'!$I$75-Tulokset!$G$74)+ABS('7'!$K$75-Tulokset!$I$74))))))</f>
        <v/>
      </c>
      <c r="BY10" t="str">
        <f>IF(OR(Tulokset!$G$75="",Tulokset!$I$75="",'7'!$I$76="",'7'!$K$76=""),"",IF(SIGN('7'!$I$76-'7'!$K$76)&lt;&gt;SIGN(Tulokset!$G$75-Tulokset!$I$75),0,IF(Tulokset!$G$75=Tulokset!$I$75,IF(AND('7'!$I$76=Tulokset!$G$75,'7'!$K$76=Tulokset!$I$75),6,3),MAX(0,6-(ABS('7'!$I$76-Tulokset!$G$75)+ABS('7'!$K$76-Tulokset!$I$75))))))</f>
        <v/>
      </c>
      <c r="BZ10" t="str">
        <f>IF(OR(Tulokset!$G$76="",Tulokset!$I$76="",'7'!$I$77="",'7'!$K$77=""),"",IF(SIGN('7'!$I$77-'7'!$K$77)&lt;&gt;SIGN(Tulokset!$G$76-Tulokset!$I$76),0,IF(Tulokset!$G$76=Tulokset!$I$76,IF(AND('7'!$I$77=Tulokset!$G$76,'7'!$K$77=Tulokset!$I$76),6,3),MAX(0,6-(ABS('7'!$I$77-Tulokset!$G$76)+ABS('7'!$K$77-Tulokset!$I$76))))))</f>
        <v/>
      </c>
      <c r="CA10" t="str">
        <f>IF(OR(Tulokset!$G$77="",Tulokset!$I$77="",'7'!$I$78="",'7'!$K$78=""),"",IF(SIGN('7'!$I$78-'7'!$K$78)&lt;&gt;SIGN(Tulokset!$G$77-Tulokset!$I$77),0,IF(Tulokset!$G$77=Tulokset!$I$77,IF(AND('7'!$I$78=Tulokset!$G$77,'7'!$K$78=Tulokset!$I$77),6,3),MAX(0,6-(ABS('7'!$I$78-Tulokset!$G$77)+ABS('7'!$K$78-Tulokset!$I$77))))))</f>
        <v/>
      </c>
      <c r="CD10" t="str">
        <f ca="1">IF(OR(Tulokset!$M$6="",INDIRECT("'"&amp;$A10&amp;"'!$P$8")=""),"",IF(TRIM(INDIRECT("'"&amp;$A10&amp;"'!$P$8"))=TRIM(Tulokset!$M$6),2,0))</f>
        <v/>
      </c>
      <c r="CE10" t="str">
        <f ca="1">IF(OR(Tulokset!$M$7="",INDIRECT("'"&amp;$A10&amp;"'!$P$9")=""),"",IF(TRIM(INDIRECT("'"&amp;$A10&amp;"'!$P$9"))=TRIM(Tulokset!$M$7),2,0))</f>
        <v/>
      </c>
      <c r="CF10" t="str">
        <f ca="1">IF(OR(Tulokset!$M$8="",INDIRECT("'"&amp;$A10&amp;"'!$P$10")=""),"",IF(TRIM(INDIRECT("'"&amp;$A10&amp;"'!$P$10"))=TRIM(Tulokset!$M$8),2,0))</f>
        <v/>
      </c>
      <c r="CG10" t="str">
        <f ca="1">IF(OR(Tulokset!$M$9="",INDIRECT("'"&amp;$A10&amp;"'!$P$11")=""),"",IF(TRIM(INDIRECT("'"&amp;$A10&amp;"'!$P$11"))=TRIM(Tulokset!$M$9),2,0))</f>
        <v/>
      </c>
      <c r="CH10" t="str">
        <f ca="1">IF(OR(Tulokset!$N$6="",INDIRECT("'"&amp;$A10&amp;"'!$Q$8")=""),"",IF(TRIM(INDIRECT("'"&amp;$A10&amp;"'!$Q$8"))=TRIM(Tulokset!$N$6),2,0))</f>
        <v/>
      </c>
      <c r="CI10" t="str">
        <f ca="1">IF(OR(Tulokset!$N$7="",INDIRECT("'"&amp;$A10&amp;"'!$Q$9")=""),"",IF(TRIM(INDIRECT("'"&amp;$A10&amp;"'!$Q$9"))=TRIM(Tulokset!$N$7),2,0))</f>
        <v/>
      </c>
      <c r="CJ10" t="str">
        <f ca="1">IF(OR(Tulokset!$N$8="",INDIRECT("'"&amp;$A10&amp;"'!$Q$10")=""),"",IF(TRIM(INDIRECT("'"&amp;$A10&amp;"'!$Q$10"))=TRIM(Tulokset!$N$8),2,0))</f>
        <v/>
      </c>
      <c r="CK10" t="str">
        <f ca="1">IF(OR(Tulokset!$N$9="",INDIRECT("'"&amp;$A10&amp;"'!$Q$11")=""),"",IF(TRIM(INDIRECT("'"&amp;$A10&amp;"'!$Q$11"))=TRIM(Tulokset!$N$9),2,0))</f>
        <v/>
      </c>
      <c r="CL10" t="str">
        <f ca="1">IF(OR(Tulokset!$O$6="",INDIRECT("'"&amp;$A10&amp;"'!$R$8")=""),"",IF(TRIM(INDIRECT("'"&amp;$A10&amp;"'!$R$8"))=TRIM(Tulokset!$O$6),2,0))</f>
        <v/>
      </c>
      <c r="CM10" t="str">
        <f ca="1">IF(OR(Tulokset!$O$7="",INDIRECT("'"&amp;$A10&amp;"'!$R$9")=""),"",IF(TRIM(INDIRECT("'"&amp;$A10&amp;"'!$R$9"))=TRIM(Tulokset!$O$7),2,0))</f>
        <v/>
      </c>
      <c r="CN10" t="str">
        <f ca="1">IF(OR(Tulokset!$O$8="",INDIRECT("'"&amp;$A10&amp;"'!$R$10")=""),"",IF(TRIM(INDIRECT("'"&amp;$A10&amp;"'!$R$10"))=TRIM(Tulokset!$O$8),2,0))</f>
        <v/>
      </c>
      <c r="CO10" t="str">
        <f ca="1">IF(OR(Tulokset!$O$9="",INDIRECT("'"&amp;$A10&amp;"'!$R$11")=""),"",IF(TRIM(INDIRECT("'"&amp;$A10&amp;"'!$R$11"))=TRIM(Tulokset!$O$9),2,0))</f>
        <v/>
      </c>
      <c r="CP10" t="str">
        <f ca="1">IF(OR(Tulokset!$P$6="",INDIRECT("'"&amp;$A10&amp;"'!$S$8")=""),"",IF(TRIM(INDIRECT("'"&amp;$A10&amp;"'!$S$8"))=TRIM(Tulokset!$P$6),2,0))</f>
        <v/>
      </c>
      <c r="CQ10" t="str">
        <f ca="1">IF(OR(Tulokset!$P$7="",INDIRECT("'"&amp;$A10&amp;"'!$S$9")=""),"",IF(TRIM(INDIRECT("'"&amp;$A10&amp;"'!$S$9"))=TRIM(Tulokset!$P$7),2,0))</f>
        <v/>
      </c>
      <c r="CR10" t="str">
        <f ca="1">IF(OR(Tulokset!$P$8="",INDIRECT("'"&amp;$A10&amp;"'!$S$10")=""),"",IF(TRIM(INDIRECT("'"&amp;$A10&amp;"'!$S$10"))=TRIM(Tulokset!$P$8),2,0))</f>
        <v/>
      </c>
      <c r="CS10" t="str">
        <f ca="1">IF(OR(Tulokset!$P$9="",INDIRECT("'"&amp;$A10&amp;"'!$S$11")=""),"",IF(TRIM(INDIRECT("'"&amp;$A10&amp;"'!$S$11"))=TRIM(Tulokset!$P$9),2,0))</f>
        <v/>
      </c>
      <c r="CT10" t="str">
        <f ca="1">IF(OR(Tulokset!$Q$6="",INDIRECT("'"&amp;$A10&amp;"'!$T$8")=""),"",IF(TRIM(INDIRECT("'"&amp;$A10&amp;"'!$T$8"))=TRIM(Tulokset!$Q$6),2,0))</f>
        <v/>
      </c>
      <c r="CU10" t="str">
        <f ca="1">IF(OR(Tulokset!$Q$7="",INDIRECT("'"&amp;$A10&amp;"'!$T$9")=""),"",IF(TRIM(INDIRECT("'"&amp;$A10&amp;"'!$T$9"))=TRIM(Tulokset!$Q$7),2,0))</f>
        <v/>
      </c>
      <c r="CV10" t="str">
        <f ca="1">IF(OR(Tulokset!$Q$8="",INDIRECT("'"&amp;$A10&amp;"'!$T$10")=""),"",IF(TRIM(INDIRECT("'"&amp;$A10&amp;"'!$T$10"))=TRIM(Tulokset!$Q$8),2,0))</f>
        <v/>
      </c>
      <c r="CW10" t="str">
        <f ca="1">IF(OR(Tulokset!$Q$9="",INDIRECT("'"&amp;$A10&amp;"'!$T$11")=""),"",IF(TRIM(INDIRECT("'"&amp;$A10&amp;"'!$T$11"))=TRIM(Tulokset!$Q$9),2,0))</f>
        <v/>
      </c>
      <c r="CX10" t="str">
        <f ca="1">IF(OR(Tulokset!$R$6="",INDIRECT("'"&amp;$A10&amp;"'!$U$8")=""),"",IF(TRIM(INDIRECT("'"&amp;$A10&amp;"'!$U$8"))=TRIM(Tulokset!$R$6),2,0))</f>
        <v/>
      </c>
      <c r="CY10" t="str">
        <f ca="1">IF(OR(Tulokset!$R$7="",INDIRECT("'"&amp;$A10&amp;"'!$U$9")=""),"",IF(TRIM(INDIRECT("'"&amp;$A10&amp;"'!$U$9"))=TRIM(Tulokset!$R$7),2,0))</f>
        <v/>
      </c>
      <c r="CZ10" t="str">
        <f ca="1">IF(OR(Tulokset!$R$8="",INDIRECT("'"&amp;$A10&amp;"'!$U$10")=""),"",IF(TRIM(INDIRECT("'"&amp;$A10&amp;"'!$U$10"))=TRIM(Tulokset!$R$8),2,0))</f>
        <v/>
      </c>
      <c r="DA10" t="str">
        <f ca="1">IF(OR(Tulokset!$R$9="",INDIRECT("'"&amp;$A10&amp;"'!$U$11")=""),"",IF(TRIM(INDIRECT("'"&amp;$A10&amp;"'!$U$11"))=TRIM(Tulokset!$R$9),2,0))</f>
        <v/>
      </c>
      <c r="DB10" t="str">
        <f ca="1">IF(OR(Tulokset!$M$12="",INDIRECT("'"&amp;$A10&amp;"'!$P$14")=""),"",IF(TRIM(INDIRECT("'"&amp;$A10&amp;"'!$P$14"))=TRIM(Tulokset!$M$12),2,0))</f>
        <v/>
      </c>
      <c r="DC10" t="str">
        <f ca="1">IF(OR(Tulokset!$M$13="",INDIRECT("'"&amp;$A10&amp;"'!$P$15")=""),"",IF(TRIM(INDIRECT("'"&amp;$A10&amp;"'!$P$15"))=TRIM(Tulokset!$M$13),2,0))</f>
        <v/>
      </c>
      <c r="DD10" t="str">
        <f ca="1">IF(OR(Tulokset!$M$14="",INDIRECT("'"&amp;$A10&amp;"'!$P$16")=""),"",IF(TRIM(INDIRECT("'"&amp;$A10&amp;"'!$P$16"))=TRIM(Tulokset!$M$14),2,0))</f>
        <v/>
      </c>
      <c r="DE10" t="str">
        <f ca="1">IF(OR(Tulokset!$M$15="",INDIRECT("'"&amp;$A10&amp;"'!$P$17")=""),"",IF(TRIM(INDIRECT("'"&amp;$A10&amp;"'!$P$17"))=TRIM(Tulokset!$M$15),2,0))</f>
        <v/>
      </c>
      <c r="DF10" t="str">
        <f ca="1">IF(OR(Tulokset!$N$12="",INDIRECT("'"&amp;$A10&amp;"'!$Q$14")=""),"",IF(TRIM(INDIRECT("'"&amp;$A10&amp;"'!$Q$14"))=TRIM(Tulokset!$N$12),2,0))</f>
        <v/>
      </c>
      <c r="DG10" t="str">
        <f ca="1">IF(OR(Tulokset!$N$13="",INDIRECT("'"&amp;$A10&amp;"'!$Q$15")=""),"",IF(TRIM(INDIRECT("'"&amp;$A10&amp;"'!$Q$15"))=TRIM(Tulokset!$N$13),2,0))</f>
        <v/>
      </c>
      <c r="DH10" t="str">
        <f ca="1">IF(OR(Tulokset!$N$14="",INDIRECT("'"&amp;$A10&amp;"'!$Q$16")=""),"",IF(TRIM(INDIRECT("'"&amp;$A10&amp;"'!$Q$16"))=TRIM(Tulokset!$N$14),2,0))</f>
        <v/>
      </c>
      <c r="DI10" t="str">
        <f ca="1">IF(OR(Tulokset!$N$15="",INDIRECT("'"&amp;$A10&amp;"'!$Q$17")=""),"",IF(TRIM(INDIRECT("'"&amp;$A10&amp;"'!$Q$17"))=TRIM(Tulokset!$N$15),2,0))</f>
        <v/>
      </c>
      <c r="DJ10" t="str">
        <f ca="1">IF(OR(Tulokset!$O$12="",INDIRECT("'"&amp;$A10&amp;"'!$R$14")=""),"",IF(TRIM(INDIRECT("'"&amp;$A10&amp;"'!$R$14"))=TRIM(Tulokset!$O$12),2,0))</f>
        <v/>
      </c>
      <c r="DK10" t="str">
        <f ca="1">IF(OR(Tulokset!$O$13="",INDIRECT("'"&amp;$A10&amp;"'!$R$15")=""),"",IF(TRIM(INDIRECT("'"&amp;$A10&amp;"'!$R$15"))=TRIM(Tulokset!$O$13),2,0))</f>
        <v/>
      </c>
      <c r="DL10" t="str">
        <f ca="1">IF(OR(Tulokset!$O$14="",INDIRECT("'"&amp;$A10&amp;"'!$R$16")=""),"",IF(TRIM(INDIRECT("'"&amp;$A10&amp;"'!$R$16"))=TRIM(Tulokset!$O$14),2,0))</f>
        <v/>
      </c>
      <c r="DM10" t="str">
        <f ca="1">IF(OR(Tulokset!$O$15="",INDIRECT("'"&amp;$A10&amp;"'!$R$17")=""),"",IF(TRIM(INDIRECT("'"&amp;$A10&amp;"'!$R$17"))=TRIM(Tulokset!$O$15),2,0))</f>
        <v/>
      </c>
      <c r="DN10" t="str">
        <f ca="1">IF(OR(Tulokset!$P$12="",INDIRECT("'"&amp;$A10&amp;"'!$S$14")=""),"",IF(TRIM(INDIRECT("'"&amp;$A10&amp;"'!$S$14"))=TRIM(Tulokset!$P$12),2,0))</f>
        <v/>
      </c>
      <c r="DO10" t="str">
        <f ca="1">IF(OR(Tulokset!$P$13="",INDIRECT("'"&amp;$A10&amp;"'!$S$15")=""),"",IF(TRIM(INDIRECT("'"&amp;$A10&amp;"'!$S$15"))=TRIM(Tulokset!$P$13),2,0))</f>
        <v/>
      </c>
      <c r="DP10" t="str">
        <f ca="1">IF(OR(Tulokset!$P$14="",INDIRECT("'"&amp;$A10&amp;"'!$S$16")=""),"",IF(TRIM(INDIRECT("'"&amp;$A10&amp;"'!$S$16"))=TRIM(Tulokset!$P$14),2,0))</f>
        <v/>
      </c>
      <c r="DQ10" t="str">
        <f ca="1">IF(OR(Tulokset!$P$15="",INDIRECT("'"&amp;$A10&amp;"'!$S$17")=""),"",IF(TRIM(INDIRECT("'"&amp;$A10&amp;"'!$S$17"))=TRIM(Tulokset!$P$15),2,0))</f>
        <v/>
      </c>
      <c r="DR10" t="str">
        <f ca="1">IF(OR(Tulokset!$Q$12="",INDIRECT("'"&amp;$A10&amp;"'!$T$14")=""),"",IF(TRIM(INDIRECT("'"&amp;$A10&amp;"'!$T$14"))=TRIM(Tulokset!$Q$12),2,0))</f>
        <v/>
      </c>
      <c r="DS10" t="str">
        <f ca="1">IF(OR(Tulokset!$Q$13="",INDIRECT("'"&amp;$A10&amp;"'!$T$15")=""),"",IF(TRIM(INDIRECT("'"&amp;$A10&amp;"'!$T$15"))=TRIM(Tulokset!$Q$13),2,0))</f>
        <v/>
      </c>
      <c r="DT10" t="str">
        <f ca="1">IF(OR(Tulokset!$Q$14="",INDIRECT("'"&amp;$A10&amp;"'!$T$16")=""),"",IF(TRIM(INDIRECT("'"&amp;$A10&amp;"'!$T$16"))=TRIM(Tulokset!$Q$14),2,0))</f>
        <v/>
      </c>
      <c r="DU10" t="str">
        <f ca="1">IF(OR(Tulokset!$Q$15="",INDIRECT("'"&amp;$A10&amp;"'!$T$17")=""),"",IF(TRIM(INDIRECT("'"&amp;$A10&amp;"'!$T$17"))=TRIM(Tulokset!$Q$15),2,0))</f>
        <v/>
      </c>
      <c r="DV10" t="str">
        <f ca="1">IF(OR(Tulokset!$R$12="",INDIRECT("'"&amp;$A10&amp;"'!$U$14")=""),"",IF(TRIM(INDIRECT("'"&amp;$A10&amp;"'!$U$14"))=TRIM(Tulokset!$R$12),2,0))</f>
        <v/>
      </c>
      <c r="DW10" t="str">
        <f ca="1">IF(OR(Tulokset!$R$13="",INDIRECT("'"&amp;$A10&amp;"'!$U$15")=""),"",IF(TRIM(INDIRECT("'"&amp;$A10&amp;"'!$U$15"))=TRIM(Tulokset!$R$13),2,0))</f>
        <v/>
      </c>
      <c r="DX10" t="str">
        <f ca="1">IF(OR(Tulokset!$R$14="",INDIRECT("'"&amp;$A10&amp;"'!$U$16")=""),"",IF(TRIM(INDIRECT("'"&amp;$A10&amp;"'!$U$16"))=TRIM(Tulokset!$R$14),2,0))</f>
        <v/>
      </c>
      <c r="DY10" t="str">
        <f ca="1">IF(OR(Tulokset!$R$15="",INDIRECT("'"&amp;$A10&amp;"'!$U$17")=""),"",IF(TRIM(INDIRECT("'"&amp;$A10&amp;"'!$U$17"))=TRIM(Tulokset!$R$15),2,0))</f>
        <v/>
      </c>
      <c r="EA10" t="str">
        <f ca="1">IF(OR(INDIRECT("'"&amp;$A10&amp;"'!$E$79")="",COUNTA(Tulokset!$M$20:$M$21)=0),"",IF(COUNTIF(Tulokset!$M$20:$M$21,INDIRECT("'"&amp;$A10&amp;"'!$E$79"))&gt;0,2,0))</f>
        <v/>
      </c>
      <c r="EB10" t="str">
        <f ca="1">IF(OR(INDIRECT("'"&amp;$A10&amp;"'!$G$79")="",COUNTA(Tulokset!$M$20:$M$21)=0),"",IF(COUNTIF(Tulokset!$M$20:$M$21,INDIRECT("'"&amp;$A10&amp;"'!$G$79"))&gt;0,2,0))</f>
        <v/>
      </c>
      <c r="EC10" t="str">
        <f ca="1">IF(OR(INDIRECT("'"&amp;$A10&amp;"'!$E$80")="",COUNTA(Tulokset!$M$23:$M$24)=0),"",IF(COUNTIF(Tulokset!$M$23:$M$24,INDIRECT("'"&amp;$A10&amp;"'!$E$80"))&gt;0,2,0))</f>
        <v/>
      </c>
      <c r="ED10" t="str">
        <f ca="1">IF(OR(INDIRECT("'"&amp;$A10&amp;"'!$G$80")="",COUNTA(Tulokset!$M$23:$M$24)=0),"",IF(COUNTIF(Tulokset!$M$23:$M$24,INDIRECT("'"&amp;$A10&amp;"'!$G$80"))&gt;0,2,0))</f>
        <v/>
      </c>
    </row>
    <row r="11" spans="1:134">
      <c r="A11" t="s">
        <v>225</v>
      </c>
      <c r="B11" t="str">
        <f t="shared" ca="1" si="0"/>
        <v>Rikhard Moeller-Kalanmaksaoeljy</v>
      </c>
      <c r="C11" s="95">
        <f t="shared" si="1"/>
        <v>0</v>
      </c>
      <c r="D11" s="95">
        <f t="shared" ca="1" si="2"/>
        <v>0</v>
      </c>
      <c r="E11" s="95">
        <f t="shared" ca="1" si="3"/>
        <v>0</v>
      </c>
      <c r="F11" s="95">
        <f t="shared" ca="1" si="4"/>
        <v>0</v>
      </c>
      <c r="G11" s="95">
        <f t="shared" si="5"/>
        <v>0</v>
      </c>
      <c r="H11" t="str">
        <f>IF(OR(Tulokset!$G$6="",Tulokset!$I$6="",'8'!$I$7="",'8'!$K$7=""),"",IF(SIGN('8'!$I$7-'8'!$K$7)&lt;&gt;SIGN(Tulokset!$G$6-Tulokset!$I$6),0,IF(Tulokset!$G$6=Tulokset!$I$6,IF(AND('8'!$I$7=Tulokset!$G$6,'8'!$K$7=Tulokset!$I$6),6,3),MAX(0,6-(ABS('8'!$I$7-Tulokset!$G$6)+ABS('8'!$K$7-Tulokset!$I$6))))))</f>
        <v/>
      </c>
      <c r="I11" t="str">
        <f>IF(OR(Tulokset!$G$7="",Tulokset!$I$7="",'8'!$I$8="",'8'!$K$8=""),"",IF(SIGN('8'!$I$8-'8'!$K$8)&lt;&gt;SIGN(Tulokset!$G$7-Tulokset!$I$7),0,IF(Tulokset!$G$7=Tulokset!$I$7,IF(AND('8'!$I$8=Tulokset!$G$7,'8'!$K$8=Tulokset!$I$7),6,3),MAX(0,6-(ABS('8'!$I$8-Tulokset!$G$7)+ABS('8'!$K$8-Tulokset!$I$7))))))</f>
        <v/>
      </c>
      <c r="J11" t="str">
        <f>IF(OR(Tulokset!$G$8="",Tulokset!$I$8="",'8'!$I$9="",'8'!$K$9=""),"",IF(SIGN('8'!$I$9-'8'!$K$9)&lt;&gt;SIGN(Tulokset!$G$8-Tulokset!$I$8),0,IF(Tulokset!$G$8=Tulokset!$I$8,IF(AND('8'!$I$9=Tulokset!$G$8,'8'!$K$9=Tulokset!$I$8),6,3),MAX(0,6-(ABS('8'!$I$9-Tulokset!$G$8)+ABS('8'!$K$9-Tulokset!$I$8))))))</f>
        <v/>
      </c>
      <c r="K11" t="str">
        <f>IF(OR(Tulokset!$G$9="",Tulokset!$I$9="",'8'!$I$10="",'8'!$K$10=""),"",IF(SIGN('8'!$I$10-'8'!$K$10)&lt;&gt;SIGN(Tulokset!$G$9-Tulokset!$I$9),0,IF(Tulokset!$G$9=Tulokset!$I$9,IF(AND('8'!$I$10=Tulokset!$G$9,'8'!$K$10=Tulokset!$I$9),6,3),MAX(0,6-(ABS('8'!$I$10-Tulokset!$G$9)+ABS('8'!$K$10-Tulokset!$I$9))))))</f>
        <v/>
      </c>
      <c r="L11" t="str">
        <f>IF(OR(Tulokset!$G$10="",Tulokset!$I$10="",'8'!$I$11="",'8'!$K$11=""),"",IF(SIGN('8'!$I$11-'8'!$K$11)&lt;&gt;SIGN(Tulokset!$G$10-Tulokset!$I$10),0,IF(Tulokset!$G$10=Tulokset!$I$10,IF(AND('8'!$I$11=Tulokset!$G$10,'8'!$K$11=Tulokset!$I$10),6,3),MAX(0,6-(ABS('8'!$I$11-Tulokset!$G$10)+ABS('8'!$K$11-Tulokset!$I$10))))))</f>
        <v/>
      </c>
      <c r="M11" t="str">
        <f>IF(OR(Tulokset!$G$11="",Tulokset!$I$11="",'8'!$I$12="",'8'!$K$12=""),"",IF(SIGN('8'!$I$12-'8'!$K$12)&lt;&gt;SIGN(Tulokset!$G$11-Tulokset!$I$11),0,IF(Tulokset!$G$11=Tulokset!$I$11,IF(AND('8'!$I$12=Tulokset!$G$11,'8'!$K$12=Tulokset!$I$11),6,3),MAX(0,6-(ABS('8'!$I$12-Tulokset!$G$11)+ABS('8'!$K$12-Tulokset!$I$11))))))</f>
        <v/>
      </c>
      <c r="N11" t="str">
        <f>IF(OR(Tulokset!$G$12="",Tulokset!$I$12="",'8'!$I$13="",'8'!$K$13=""),"",IF(SIGN('8'!$I$13-'8'!$K$13)&lt;&gt;SIGN(Tulokset!$G$12-Tulokset!$I$12),0,IF(Tulokset!$G$12=Tulokset!$I$12,IF(AND('8'!$I$13=Tulokset!$G$12,'8'!$K$13=Tulokset!$I$12),6,3),MAX(0,6-(ABS('8'!$I$13-Tulokset!$G$12)+ABS('8'!$K$13-Tulokset!$I$12))))))</f>
        <v/>
      </c>
      <c r="O11" t="str">
        <f>IF(OR(Tulokset!$G$13="",Tulokset!$I$13="",'8'!$I$14="",'8'!$K$14=""),"",IF(SIGN('8'!$I$14-'8'!$K$14)&lt;&gt;SIGN(Tulokset!$G$13-Tulokset!$I$13),0,IF(Tulokset!$G$13=Tulokset!$I$13,IF(AND('8'!$I$14=Tulokset!$G$13,'8'!$K$14=Tulokset!$I$13),6,3),MAX(0,6-(ABS('8'!$I$14-Tulokset!$G$13)+ABS('8'!$K$14-Tulokset!$I$13))))))</f>
        <v/>
      </c>
      <c r="P11" t="str">
        <f>IF(OR(Tulokset!$G$14="",Tulokset!$I$14="",'8'!$I$15="",'8'!$K$15=""),"",IF(SIGN('8'!$I$15-'8'!$K$15)&lt;&gt;SIGN(Tulokset!$G$14-Tulokset!$I$14),0,IF(Tulokset!$G$14=Tulokset!$I$14,IF(AND('8'!$I$15=Tulokset!$G$14,'8'!$K$15=Tulokset!$I$14),6,3),MAX(0,6-(ABS('8'!$I$15-Tulokset!$G$14)+ABS('8'!$K$15-Tulokset!$I$14))))))</f>
        <v/>
      </c>
      <c r="Q11" t="str">
        <f>IF(OR(Tulokset!$G$15="",Tulokset!$I$15="",'8'!$I$16="",'8'!$K$16=""),"",IF(SIGN('8'!$I$16-'8'!$K$16)&lt;&gt;SIGN(Tulokset!$G$15-Tulokset!$I$15),0,IF(Tulokset!$G$15=Tulokset!$I$15,IF(AND('8'!$I$16=Tulokset!$G$15,'8'!$K$16=Tulokset!$I$15),6,3),MAX(0,6-(ABS('8'!$I$16-Tulokset!$G$15)+ABS('8'!$K$16-Tulokset!$I$15))))))</f>
        <v/>
      </c>
      <c r="R11" t="str">
        <f>IF(OR(Tulokset!$G$16="",Tulokset!$I$16="",'8'!$I$17="",'8'!$K$17=""),"",IF(SIGN('8'!$I$17-'8'!$K$17)&lt;&gt;SIGN(Tulokset!$G$16-Tulokset!$I$16),0,IF(Tulokset!$G$16=Tulokset!$I$16,IF(AND('8'!$I$17=Tulokset!$G$16,'8'!$K$17=Tulokset!$I$16),6,3),MAX(0,6-(ABS('8'!$I$17-Tulokset!$G$16)+ABS('8'!$K$17-Tulokset!$I$16))))))</f>
        <v/>
      </c>
      <c r="S11" t="str">
        <f>IF(OR(Tulokset!$G$17="",Tulokset!$I$17="",'8'!$I$18="",'8'!$K$18=""),"",IF(SIGN('8'!$I$18-'8'!$K$18)&lt;&gt;SIGN(Tulokset!$G$17-Tulokset!$I$17),0,IF(Tulokset!$G$17=Tulokset!$I$17,IF(AND('8'!$I$18=Tulokset!$G$17,'8'!$K$18=Tulokset!$I$17),6,3),MAX(0,6-(ABS('8'!$I$18-Tulokset!$G$17)+ABS('8'!$K$18-Tulokset!$I$17))))))</f>
        <v/>
      </c>
      <c r="T11" t="str">
        <f>IF(OR(Tulokset!$G$18="",Tulokset!$I$18="",'8'!$I$19="",'8'!$K$19=""),"",IF(SIGN('8'!$I$19-'8'!$K$19)&lt;&gt;SIGN(Tulokset!$G$18-Tulokset!$I$18),0,IF(Tulokset!$G$18=Tulokset!$I$18,IF(AND('8'!$I$19=Tulokset!$G$18,'8'!$K$19=Tulokset!$I$18),6,3),MAX(0,6-(ABS('8'!$I$19-Tulokset!$G$18)+ABS('8'!$K$19-Tulokset!$I$18))))))</f>
        <v/>
      </c>
      <c r="U11" t="str">
        <f>IF(OR(Tulokset!$G$19="",Tulokset!$I$19="",'8'!$I$20="",'8'!$K$20=""),"",IF(SIGN('8'!$I$20-'8'!$K$20)&lt;&gt;SIGN(Tulokset!$G$19-Tulokset!$I$19),0,IF(Tulokset!$G$19=Tulokset!$I$19,IF(AND('8'!$I$20=Tulokset!$G$19,'8'!$K$20=Tulokset!$I$19),6,3),MAX(0,6-(ABS('8'!$I$20-Tulokset!$G$19)+ABS('8'!$K$20-Tulokset!$I$19))))))</f>
        <v/>
      </c>
      <c r="V11" t="str">
        <f>IF(OR(Tulokset!$G$20="",Tulokset!$I$20="",'8'!$I$21="",'8'!$K$21=""),"",IF(SIGN('8'!$I$21-'8'!$K$21)&lt;&gt;SIGN(Tulokset!$G$20-Tulokset!$I$20),0,IF(Tulokset!$G$20=Tulokset!$I$20,IF(AND('8'!$I$21=Tulokset!$G$20,'8'!$K$21=Tulokset!$I$20),6,3),MAX(0,6-(ABS('8'!$I$21-Tulokset!$G$20)+ABS('8'!$K$21-Tulokset!$I$20))))))</f>
        <v/>
      </c>
      <c r="W11" t="str">
        <f>IF(OR(Tulokset!$G$21="",Tulokset!$I$21="",'8'!$I$22="",'8'!$K$22=""),"",IF(SIGN('8'!$I$22-'8'!$K$22)&lt;&gt;SIGN(Tulokset!$G$21-Tulokset!$I$21),0,IF(Tulokset!$G$21=Tulokset!$I$21,IF(AND('8'!$I$22=Tulokset!$G$21,'8'!$K$22=Tulokset!$I$21),6,3),MAX(0,6-(ABS('8'!$I$22-Tulokset!$G$21)+ABS('8'!$K$22-Tulokset!$I$21))))))</f>
        <v/>
      </c>
      <c r="X11" t="str">
        <f>IF(OR(Tulokset!$G$22="",Tulokset!$I$22="",'8'!$I$23="",'8'!$K$23=""),"",IF(SIGN('8'!$I$23-'8'!$K$23)&lt;&gt;SIGN(Tulokset!$G$22-Tulokset!$I$22),0,IF(Tulokset!$G$22=Tulokset!$I$22,IF(AND('8'!$I$23=Tulokset!$G$22,'8'!$K$23=Tulokset!$I$22),6,3),MAX(0,6-(ABS('8'!$I$23-Tulokset!$G$22)+ABS('8'!$K$23-Tulokset!$I$22))))))</f>
        <v/>
      </c>
      <c r="Y11" t="str">
        <f>IF(OR(Tulokset!$G$23="",Tulokset!$I$23="",'8'!$I$24="",'8'!$K$24=""),"",IF(SIGN('8'!$I$24-'8'!$K$24)&lt;&gt;SIGN(Tulokset!$G$23-Tulokset!$I$23),0,IF(Tulokset!$G$23=Tulokset!$I$23,IF(AND('8'!$I$24=Tulokset!$G$23,'8'!$K$24=Tulokset!$I$23),6,3),MAX(0,6-(ABS('8'!$I$24-Tulokset!$G$23)+ABS('8'!$K$24-Tulokset!$I$23))))))</f>
        <v/>
      </c>
      <c r="Z11" t="str">
        <f>IF(OR(Tulokset!$G$24="",Tulokset!$I$24="",'8'!$I$25="",'8'!$K$25=""),"",IF(SIGN('8'!$I$25-'8'!$K$25)&lt;&gt;SIGN(Tulokset!$G$24-Tulokset!$I$24),0,IF(Tulokset!$G$24=Tulokset!$I$24,IF(AND('8'!$I$25=Tulokset!$G$24,'8'!$K$25=Tulokset!$I$24),6,3),MAX(0,6-(ABS('8'!$I$25-Tulokset!$G$24)+ABS('8'!$K$25-Tulokset!$I$24))))))</f>
        <v/>
      </c>
      <c r="AA11" t="str">
        <f>IF(OR(Tulokset!$G$25="",Tulokset!$I$25="",'8'!$I$26="",'8'!$K$26=""),"",IF(SIGN('8'!$I$26-'8'!$K$26)&lt;&gt;SIGN(Tulokset!$G$25-Tulokset!$I$25),0,IF(Tulokset!$G$25=Tulokset!$I$25,IF(AND('8'!$I$26=Tulokset!$G$25,'8'!$K$26=Tulokset!$I$25),6,3),MAX(0,6-(ABS('8'!$I$26-Tulokset!$G$25)+ABS('8'!$K$26-Tulokset!$I$25))))))</f>
        <v/>
      </c>
      <c r="AB11" t="str">
        <f>IF(OR(Tulokset!$G$26="",Tulokset!$I$26="",'8'!$I$27="",'8'!$K$27=""),"",IF(SIGN('8'!$I$27-'8'!$K$27)&lt;&gt;SIGN(Tulokset!$G$26-Tulokset!$I$26),0,IF(Tulokset!$G$26=Tulokset!$I$26,IF(AND('8'!$I$27=Tulokset!$G$26,'8'!$K$27=Tulokset!$I$26),6,3),MAX(0,6-(ABS('8'!$I$27-Tulokset!$G$26)+ABS('8'!$K$27-Tulokset!$I$26))))))</f>
        <v/>
      </c>
      <c r="AC11" t="str">
        <f>IF(OR(Tulokset!$G$27="",Tulokset!$I$27="",'8'!$I$28="",'8'!$K$28=""),"",IF(SIGN('8'!$I$28-'8'!$K$28)&lt;&gt;SIGN(Tulokset!$G$27-Tulokset!$I$27),0,IF(Tulokset!$G$27=Tulokset!$I$27,IF(AND('8'!$I$28=Tulokset!$G$27,'8'!$K$28=Tulokset!$I$27),6,3),MAX(0,6-(ABS('8'!$I$28-Tulokset!$G$27)+ABS('8'!$K$28-Tulokset!$I$27))))))</f>
        <v/>
      </c>
      <c r="AD11" t="str">
        <f>IF(OR(Tulokset!$G$28="",Tulokset!$I$28="",'8'!$I$29="",'8'!$K$29=""),"",IF(SIGN('8'!$I$29-'8'!$K$29)&lt;&gt;SIGN(Tulokset!$G$28-Tulokset!$I$28),0,IF(Tulokset!$G$28=Tulokset!$I$28,IF(AND('8'!$I$29=Tulokset!$G$28,'8'!$K$29=Tulokset!$I$28),6,3),MAX(0,6-(ABS('8'!$I$29-Tulokset!$G$28)+ABS('8'!$K$29-Tulokset!$I$28))))))</f>
        <v/>
      </c>
      <c r="AE11" t="str">
        <f>IF(OR(Tulokset!$G$29="",Tulokset!$I$29="",'8'!$I$30="",'8'!$K$30=""),"",IF(SIGN('8'!$I$30-'8'!$K$30)&lt;&gt;SIGN(Tulokset!$G$29-Tulokset!$I$29),0,IF(Tulokset!$G$29=Tulokset!$I$29,IF(AND('8'!$I$30=Tulokset!$G$29,'8'!$K$30=Tulokset!$I$29),6,3),MAX(0,6-(ABS('8'!$I$30-Tulokset!$G$29)+ABS('8'!$K$30-Tulokset!$I$29))))))</f>
        <v/>
      </c>
      <c r="AF11" t="str">
        <f>IF(OR(Tulokset!$G$30="",Tulokset!$I$30="",'8'!$I$31="",'8'!$K$31=""),"",IF(SIGN('8'!$I$31-'8'!$K$31)&lt;&gt;SIGN(Tulokset!$G$30-Tulokset!$I$30),0,IF(Tulokset!$G$30=Tulokset!$I$30,IF(AND('8'!$I$31=Tulokset!$G$30,'8'!$K$31=Tulokset!$I$30),6,3),MAX(0,6-(ABS('8'!$I$31-Tulokset!$G$30)+ABS('8'!$K$31-Tulokset!$I$30))))))</f>
        <v/>
      </c>
      <c r="AG11" t="str">
        <f>IF(OR(Tulokset!$G$31="",Tulokset!$I$31="",'8'!$I$32="",'8'!$K$32=""),"",IF(SIGN('8'!$I$32-'8'!$K$32)&lt;&gt;SIGN(Tulokset!$G$31-Tulokset!$I$31),0,IF(Tulokset!$G$31=Tulokset!$I$31,IF(AND('8'!$I$32=Tulokset!$G$31,'8'!$K$32=Tulokset!$I$31),6,3),MAX(0,6-(ABS('8'!$I$32-Tulokset!$G$31)+ABS('8'!$K$32-Tulokset!$I$31))))))</f>
        <v/>
      </c>
      <c r="AH11" t="str">
        <f>IF(OR(Tulokset!$G$32="",Tulokset!$I$32="",'8'!$I$33="",'8'!$K$33=""),"",IF(SIGN('8'!$I$33-'8'!$K$33)&lt;&gt;SIGN(Tulokset!$G$32-Tulokset!$I$32),0,IF(Tulokset!$G$32=Tulokset!$I$32,IF(AND('8'!$I$33=Tulokset!$G$32,'8'!$K$33=Tulokset!$I$32),6,3),MAX(0,6-(ABS('8'!$I$33-Tulokset!$G$32)+ABS('8'!$K$33-Tulokset!$I$32))))))</f>
        <v/>
      </c>
      <c r="AI11" t="str">
        <f>IF(OR(Tulokset!$G$33="",Tulokset!$I$33="",'8'!$I$34="",'8'!$K$34=""),"",IF(SIGN('8'!$I$34-'8'!$K$34)&lt;&gt;SIGN(Tulokset!$G$33-Tulokset!$I$33),0,IF(Tulokset!$G$33=Tulokset!$I$33,IF(AND('8'!$I$34=Tulokset!$G$33,'8'!$K$34=Tulokset!$I$33),6,3),MAX(0,6-(ABS('8'!$I$34-Tulokset!$G$33)+ABS('8'!$K$34-Tulokset!$I$33))))))</f>
        <v/>
      </c>
      <c r="AJ11" t="str">
        <f>IF(OR(Tulokset!$G$34="",Tulokset!$I$34="",'8'!$I$35="",'8'!$K$35=""),"",IF(SIGN('8'!$I$35-'8'!$K$35)&lt;&gt;SIGN(Tulokset!$G$34-Tulokset!$I$34),0,IF(Tulokset!$G$34=Tulokset!$I$34,IF(AND('8'!$I$35=Tulokset!$G$34,'8'!$K$35=Tulokset!$I$34),6,3),MAX(0,6-(ABS('8'!$I$35-Tulokset!$G$34)+ABS('8'!$K$35-Tulokset!$I$34))))))</f>
        <v/>
      </c>
      <c r="AK11" t="str">
        <f>IF(OR(Tulokset!$G$35="",Tulokset!$I$35="",'8'!$I$36="",'8'!$K$36=""),"",IF(SIGN('8'!$I$36-'8'!$K$36)&lt;&gt;SIGN(Tulokset!$G$35-Tulokset!$I$35),0,IF(Tulokset!$G$35=Tulokset!$I$35,IF(AND('8'!$I$36=Tulokset!$G$35,'8'!$K$36=Tulokset!$I$35),6,3),MAX(0,6-(ABS('8'!$I$36-Tulokset!$G$35)+ABS('8'!$K$36-Tulokset!$I$35))))))</f>
        <v/>
      </c>
      <c r="AL11" t="str">
        <f>IF(OR(Tulokset!$G$36="",Tulokset!$I$36="",'8'!$I$37="",'8'!$K$37=""),"",IF(SIGN('8'!$I$37-'8'!$K$37)&lt;&gt;SIGN(Tulokset!$G$36-Tulokset!$I$36),0,IF(Tulokset!$G$36=Tulokset!$I$36,IF(AND('8'!$I$37=Tulokset!$G$36,'8'!$K$37=Tulokset!$I$36),6,3),MAX(0,6-(ABS('8'!$I$37-Tulokset!$G$36)+ABS('8'!$K$37-Tulokset!$I$36))))))</f>
        <v/>
      </c>
      <c r="AM11" t="str">
        <f>IF(OR(Tulokset!$G$37="",Tulokset!$I$37="",'8'!$I$38="",'8'!$K$38=""),"",IF(SIGN('8'!$I$38-'8'!$K$38)&lt;&gt;SIGN(Tulokset!$G$37-Tulokset!$I$37),0,IF(Tulokset!$G$37=Tulokset!$I$37,IF(AND('8'!$I$38=Tulokset!$G$37,'8'!$K$38=Tulokset!$I$37),6,3),MAX(0,6-(ABS('8'!$I$38-Tulokset!$G$37)+ABS('8'!$K$38-Tulokset!$I$37))))))</f>
        <v/>
      </c>
      <c r="AN11" t="str">
        <f>IF(OR(Tulokset!$G$38="",Tulokset!$I$38="",'8'!$I$39="",'8'!$K$39=""),"",IF(SIGN('8'!$I$39-'8'!$K$39)&lt;&gt;SIGN(Tulokset!$G$38-Tulokset!$I$38),0,IF(Tulokset!$G$38=Tulokset!$I$38,IF(AND('8'!$I$39=Tulokset!$G$38,'8'!$K$39=Tulokset!$I$38),6,3),MAX(0,6-(ABS('8'!$I$39-Tulokset!$G$38)+ABS('8'!$K$39-Tulokset!$I$38))))))</f>
        <v/>
      </c>
      <c r="AO11" t="str">
        <f>IF(OR(Tulokset!$G$39="",Tulokset!$I$39="",'8'!$I$40="",'8'!$K$40=""),"",IF(SIGN('8'!$I$40-'8'!$K$40)&lt;&gt;SIGN(Tulokset!$G$39-Tulokset!$I$39),0,IF(Tulokset!$G$39=Tulokset!$I$39,IF(AND('8'!$I$40=Tulokset!$G$39,'8'!$K$40=Tulokset!$I$39),6,3),MAX(0,6-(ABS('8'!$I$40-Tulokset!$G$39)+ABS('8'!$K$40-Tulokset!$I$39))))))</f>
        <v/>
      </c>
      <c r="AP11" t="str">
        <f>IF(OR(Tulokset!$G$40="",Tulokset!$I$40="",'8'!$I$41="",'8'!$K$41=""),"",IF(SIGN('8'!$I$41-'8'!$K$41)&lt;&gt;SIGN(Tulokset!$G$40-Tulokset!$I$40),0,IF(Tulokset!$G$40=Tulokset!$I$40,IF(AND('8'!$I$41=Tulokset!$G$40,'8'!$K$41=Tulokset!$I$40),6,3),MAX(0,6-(ABS('8'!$I$41-Tulokset!$G$40)+ABS('8'!$K$41-Tulokset!$I$40))))))</f>
        <v/>
      </c>
      <c r="AQ11" t="str">
        <f>IF(OR(Tulokset!$G$41="",Tulokset!$I$41="",'8'!$I$42="",'8'!$K$42=""),"",IF(SIGN('8'!$I$42-'8'!$K$42)&lt;&gt;SIGN(Tulokset!$G$41-Tulokset!$I$41),0,IF(Tulokset!$G$41=Tulokset!$I$41,IF(AND('8'!$I$42=Tulokset!$G$41,'8'!$K$42=Tulokset!$I$41),6,3),MAX(0,6-(ABS('8'!$I$42-Tulokset!$G$41)+ABS('8'!$K$42-Tulokset!$I$41))))))</f>
        <v/>
      </c>
      <c r="AR11" t="str">
        <f>IF(OR(Tulokset!$G$42="",Tulokset!$I$42="",'8'!$I$43="",'8'!$K$43=""),"",IF(SIGN('8'!$I$43-'8'!$K$43)&lt;&gt;SIGN(Tulokset!$G$42-Tulokset!$I$42),0,IF(Tulokset!$G$42=Tulokset!$I$42,IF(AND('8'!$I$43=Tulokset!$G$42,'8'!$K$43=Tulokset!$I$42),6,3),MAX(0,6-(ABS('8'!$I$43-Tulokset!$G$42)+ABS('8'!$K$43-Tulokset!$I$42))))))</f>
        <v/>
      </c>
      <c r="AS11" t="str">
        <f>IF(OR(Tulokset!$G$43="",Tulokset!$I$43="",'8'!$I$44="",'8'!$K$44=""),"",IF(SIGN('8'!$I$44-'8'!$K$44)&lt;&gt;SIGN(Tulokset!$G$43-Tulokset!$I$43),0,IF(Tulokset!$G$43=Tulokset!$I$43,IF(AND('8'!$I$44=Tulokset!$G$43,'8'!$K$44=Tulokset!$I$43),6,3),MAX(0,6-(ABS('8'!$I$44-Tulokset!$G$43)+ABS('8'!$K$44-Tulokset!$I$43))))))</f>
        <v/>
      </c>
      <c r="AT11" t="str">
        <f>IF(OR(Tulokset!$G$44="",Tulokset!$I$44="",'8'!$I$45="",'8'!$K$45=""),"",IF(SIGN('8'!$I$45-'8'!$K$45)&lt;&gt;SIGN(Tulokset!$G$44-Tulokset!$I$44),0,IF(Tulokset!$G$44=Tulokset!$I$44,IF(AND('8'!$I$45=Tulokset!$G$44,'8'!$K$45=Tulokset!$I$44),6,3),MAX(0,6-(ABS('8'!$I$45-Tulokset!$G$44)+ABS('8'!$K$45-Tulokset!$I$44))))))</f>
        <v/>
      </c>
      <c r="AU11" t="str">
        <f>IF(OR(Tulokset!$G$45="",Tulokset!$I$45="",'8'!$I$46="",'8'!$K$46=""),"",IF(SIGN('8'!$I$46-'8'!$K$46)&lt;&gt;SIGN(Tulokset!$G$45-Tulokset!$I$45),0,IF(Tulokset!$G$45=Tulokset!$I$45,IF(AND('8'!$I$46=Tulokset!$G$45,'8'!$K$46=Tulokset!$I$45),6,3),MAX(0,6-(ABS('8'!$I$46-Tulokset!$G$45)+ABS('8'!$K$46-Tulokset!$I$45))))))</f>
        <v/>
      </c>
      <c r="AV11" t="str">
        <f>IF(OR(Tulokset!$G$46="",Tulokset!$I$46="",'8'!$I$47="",'8'!$K$47=""),"",IF(SIGN('8'!$I$47-'8'!$K$47)&lt;&gt;SIGN(Tulokset!$G$46-Tulokset!$I$46),0,IF(Tulokset!$G$46=Tulokset!$I$46,IF(AND('8'!$I$47=Tulokset!$G$46,'8'!$K$47=Tulokset!$I$46),6,3),MAX(0,6-(ABS('8'!$I$47-Tulokset!$G$46)+ABS('8'!$K$47-Tulokset!$I$46))))))</f>
        <v/>
      </c>
      <c r="AW11" t="str">
        <f>IF(OR(Tulokset!$G$47="",Tulokset!$I$47="",'8'!$I$48="",'8'!$K$48=""),"",IF(SIGN('8'!$I$48-'8'!$K$48)&lt;&gt;SIGN(Tulokset!$G$47-Tulokset!$I$47),0,IF(Tulokset!$G$47=Tulokset!$I$47,IF(AND('8'!$I$48=Tulokset!$G$47,'8'!$K$48=Tulokset!$I$47),6,3),MAX(0,6-(ABS('8'!$I$48-Tulokset!$G$47)+ABS('8'!$K$48-Tulokset!$I$47))))))</f>
        <v/>
      </c>
      <c r="AX11" t="str">
        <f>IF(OR(Tulokset!$G$48="",Tulokset!$I$48="",'8'!$I$49="",'8'!$K$49=""),"",IF(SIGN('8'!$I$49-'8'!$K$49)&lt;&gt;SIGN(Tulokset!$G$48-Tulokset!$I$48),0,IF(Tulokset!$G$48=Tulokset!$I$48,IF(AND('8'!$I$49=Tulokset!$G$48,'8'!$K$49=Tulokset!$I$48),6,3),MAX(0,6-(ABS('8'!$I$49-Tulokset!$G$48)+ABS('8'!$K$49-Tulokset!$I$48))))))</f>
        <v/>
      </c>
      <c r="AY11" t="str">
        <f>IF(OR(Tulokset!$G$49="",Tulokset!$I$49="",'8'!$I$50="",'8'!$K$50=""),"",IF(SIGN('8'!$I$50-'8'!$K$50)&lt;&gt;SIGN(Tulokset!$G$49-Tulokset!$I$49),0,IF(Tulokset!$G$49=Tulokset!$I$49,IF(AND('8'!$I$50=Tulokset!$G$49,'8'!$K$50=Tulokset!$I$49),6,3),MAX(0,6-(ABS('8'!$I$50-Tulokset!$G$49)+ABS('8'!$K$50-Tulokset!$I$49))))))</f>
        <v/>
      </c>
      <c r="AZ11" t="str">
        <f>IF(OR(Tulokset!$G$50="",Tulokset!$I$50="",'8'!$I$51="",'8'!$K$51=""),"",IF(SIGN('8'!$I$51-'8'!$K$51)&lt;&gt;SIGN(Tulokset!$G$50-Tulokset!$I$50),0,IF(Tulokset!$G$50=Tulokset!$I$50,IF(AND('8'!$I$51=Tulokset!$G$50,'8'!$K$51=Tulokset!$I$50),6,3),MAX(0,6-(ABS('8'!$I$51-Tulokset!$G$50)+ABS('8'!$K$51-Tulokset!$I$50))))))</f>
        <v/>
      </c>
      <c r="BA11" t="str">
        <f>IF(OR(Tulokset!$G$51="",Tulokset!$I$51="",'8'!$I$52="",'8'!$K$52=""),"",IF(SIGN('8'!$I$52-'8'!$K$52)&lt;&gt;SIGN(Tulokset!$G$51-Tulokset!$I$51),0,IF(Tulokset!$G$51=Tulokset!$I$51,IF(AND('8'!$I$52=Tulokset!$G$51,'8'!$K$52=Tulokset!$I$51),6,3),MAX(0,6-(ABS('8'!$I$52-Tulokset!$G$51)+ABS('8'!$K$52-Tulokset!$I$51))))))</f>
        <v/>
      </c>
      <c r="BB11" t="str">
        <f>IF(OR(Tulokset!$G$52="",Tulokset!$I$52="",'8'!$I$53="",'8'!$K$53=""),"",IF(SIGN('8'!$I$53-'8'!$K$53)&lt;&gt;SIGN(Tulokset!$G$52-Tulokset!$I$52),0,IF(Tulokset!$G$52=Tulokset!$I$52,IF(AND('8'!$I$53=Tulokset!$G$52,'8'!$K$53=Tulokset!$I$52),6,3),MAX(0,6-(ABS('8'!$I$53-Tulokset!$G$52)+ABS('8'!$K$53-Tulokset!$I$52))))))</f>
        <v/>
      </c>
      <c r="BC11" t="str">
        <f>IF(OR(Tulokset!$G$53="",Tulokset!$I$53="",'8'!$I$54="",'8'!$K$54=""),"",IF(SIGN('8'!$I$54-'8'!$K$54)&lt;&gt;SIGN(Tulokset!$G$53-Tulokset!$I$53),0,IF(Tulokset!$G$53=Tulokset!$I$53,IF(AND('8'!$I$54=Tulokset!$G$53,'8'!$K$54=Tulokset!$I$53),6,3),MAX(0,6-(ABS('8'!$I$54-Tulokset!$G$53)+ABS('8'!$K$54-Tulokset!$I$53))))))</f>
        <v/>
      </c>
      <c r="BD11" t="str">
        <f>IF(OR(Tulokset!$G$54="",Tulokset!$I$54="",'8'!$I$55="",'8'!$K$55=""),"",IF(SIGN('8'!$I$55-'8'!$K$55)&lt;&gt;SIGN(Tulokset!$G$54-Tulokset!$I$54),0,IF(Tulokset!$G$54=Tulokset!$I$54,IF(AND('8'!$I$55=Tulokset!$G$54,'8'!$K$55=Tulokset!$I$54),6,3),MAX(0,6-(ABS('8'!$I$55-Tulokset!$G$54)+ABS('8'!$K$55-Tulokset!$I$54))))))</f>
        <v/>
      </c>
      <c r="BE11" t="str">
        <f>IF(OR(Tulokset!$G$55="",Tulokset!$I$55="",'8'!$I$56="",'8'!$K$56=""),"",IF(SIGN('8'!$I$56-'8'!$K$56)&lt;&gt;SIGN(Tulokset!$G$55-Tulokset!$I$55),0,IF(Tulokset!$G$55=Tulokset!$I$55,IF(AND('8'!$I$56=Tulokset!$G$55,'8'!$K$56=Tulokset!$I$55),6,3),MAX(0,6-(ABS('8'!$I$56-Tulokset!$G$55)+ABS('8'!$K$56-Tulokset!$I$55))))))</f>
        <v/>
      </c>
      <c r="BF11" t="str">
        <f>IF(OR(Tulokset!$G$56="",Tulokset!$I$56="",'8'!$I$57="",'8'!$K$57=""),"",IF(SIGN('8'!$I$57-'8'!$K$57)&lt;&gt;SIGN(Tulokset!$G$56-Tulokset!$I$56),0,IF(Tulokset!$G$56=Tulokset!$I$56,IF(AND('8'!$I$57=Tulokset!$G$56,'8'!$K$57=Tulokset!$I$56),6,3),MAX(0,6-(ABS('8'!$I$57-Tulokset!$G$56)+ABS('8'!$K$57-Tulokset!$I$56))))))</f>
        <v/>
      </c>
      <c r="BG11" t="str">
        <f>IF(OR(Tulokset!$G$57="",Tulokset!$I$57="",'8'!$I$58="",'8'!$K$58=""),"",IF(SIGN('8'!$I$58-'8'!$K$58)&lt;&gt;SIGN(Tulokset!$G$57-Tulokset!$I$57),0,IF(Tulokset!$G$57=Tulokset!$I$57,IF(AND('8'!$I$58=Tulokset!$G$57,'8'!$K$58=Tulokset!$I$57),6,3),MAX(0,6-(ABS('8'!$I$58-Tulokset!$G$57)+ABS('8'!$K$58-Tulokset!$I$57))))))</f>
        <v/>
      </c>
      <c r="BH11" t="str">
        <f>IF(OR(Tulokset!$G$58="",Tulokset!$I$58="",'8'!$I$59="",'8'!$K$59=""),"",IF(SIGN('8'!$I$59-'8'!$K$59)&lt;&gt;SIGN(Tulokset!$G$58-Tulokset!$I$58),0,IF(Tulokset!$G$58=Tulokset!$I$58,IF(AND('8'!$I$59=Tulokset!$G$58,'8'!$K$59=Tulokset!$I$58),6,3),MAX(0,6-(ABS('8'!$I$59-Tulokset!$G$58)+ABS('8'!$K$59-Tulokset!$I$58))))))</f>
        <v/>
      </c>
      <c r="BI11" t="str">
        <f>IF(OR(Tulokset!$G$59="",Tulokset!$I$59="",'8'!$I$60="",'8'!$K$60=""),"",IF(SIGN('8'!$I$60-'8'!$K$60)&lt;&gt;SIGN(Tulokset!$G$59-Tulokset!$I$59),0,IF(Tulokset!$G$59=Tulokset!$I$59,IF(AND('8'!$I$60=Tulokset!$G$59,'8'!$K$60=Tulokset!$I$59),6,3),MAX(0,6-(ABS('8'!$I$60-Tulokset!$G$59)+ABS('8'!$K$60-Tulokset!$I$59))))))</f>
        <v/>
      </c>
      <c r="BJ11" t="str">
        <f>IF(OR(Tulokset!$G$60="",Tulokset!$I$60="",'8'!$I$61="",'8'!$K$61=""),"",IF(SIGN('8'!$I$61-'8'!$K$61)&lt;&gt;SIGN(Tulokset!$G$60-Tulokset!$I$60),0,IF(Tulokset!$G$60=Tulokset!$I$60,IF(AND('8'!$I$61=Tulokset!$G$60,'8'!$K$61=Tulokset!$I$60),6,3),MAX(0,6-(ABS('8'!$I$61-Tulokset!$G$60)+ABS('8'!$K$61-Tulokset!$I$60))))))</f>
        <v/>
      </c>
      <c r="BK11" t="str">
        <f>IF(OR(Tulokset!$G$61="",Tulokset!$I$61="",'8'!$I$62="",'8'!$K$62=""),"",IF(SIGN('8'!$I$62-'8'!$K$62)&lt;&gt;SIGN(Tulokset!$G$61-Tulokset!$I$61),0,IF(Tulokset!$G$61=Tulokset!$I$61,IF(AND('8'!$I$62=Tulokset!$G$61,'8'!$K$62=Tulokset!$I$61),6,3),MAX(0,6-(ABS('8'!$I$62-Tulokset!$G$61)+ABS('8'!$K$62-Tulokset!$I$61))))))</f>
        <v/>
      </c>
      <c r="BL11" t="str">
        <f>IF(OR(Tulokset!$G$62="",Tulokset!$I$62="",'8'!$I$63="",'8'!$K$63=""),"",IF(SIGN('8'!$I$63-'8'!$K$63)&lt;&gt;SIGN(Tulokset!$G$62-Tulokset!$I$62),0,IF(Tulokset!$G$62=Tulokset!$I$62,IF(AND('8'!$I$63=Tulokset!$G$62,'8'!$K$63=Tulokset!$I$62),6,3),MAX(0,6-(ABS('8'!$I$63-Tulokset!$G$62)+ABS('8'!$K$63-Tulokset!$I$62))))))</f>
        <v/>
      </c>
      <c r="BM11" t="str">
        <f>IF(OR(Tulokset!$G$63="",Tulokset!$I$63="",'8'!$I$64="",'8'!$K$64=""),"",IF(SIGN('8'!$I$64-'8'!$K$64)&lt;&gt;SIGN(Tulokset!$G$63-Tulokset!$I$63),0,IF(Tulokset!$G$63=Tulokset!$I$63,IF(AND('8'!$I$64=Tulokset!$G$63,'8'!$K$64=Tulokset!$I$63),6,3),MAX(0,6-(ABS('8'!$I$64-Tulokset!$G$63)+ABS('8'!$K$64-Tulokset!$I$63))))))</f>
        <v/>
      </c>
      <c r="BN11" t="str">
        <f>IF(OR(Tulokset!$G$64="",Tulokset!$I$64="",'8'!$I$65="",'8'!$K$65=""),"",IF(SIGN('8'!$I$65-'8'!$K$65)&lt;&gt;SIGN(Tulokset!$G$64-Tulokset!$I$64),0,IF(Tulokset!$G$64=Tulokset!$I$64,IF(AND('8'!$I$65=Tulokset!$G$64,'8'!$K$65=Tulokset!$I$64),6,3),MAX(0,6-(ABS('8'!$I$65-Tulokset!$G$64)+ABS('8'!$K$65-Tulokset!$I$64))))))</f>
        <v/>
      </c>
      <c r="BO11" t="str">
        <f>IF(OR(Tulokset!$G$65="",Tulokset!$I$65="",'8'!$I$66="",'8'!$K$66=""),"",IF(SIGN('8'!$I$66-'8'!$K$66)&lt;&gt;SIGN(Tulokset!$G$65-Tulokset!$I$65),0,IF(Tulokset!$G$65=Tulokset!$I$65,IF(AND('8'!$I$66=Tulokset!$G$65,'8'!$K$66=Tulokset!$I$65),6,3),MAX(0,6-(ABS('8'!$I$66-Tulokset!$G$65)+ABS('8'!$K$66-Tulokset!$I$65))))))</f>
        <v/>
      </c>
      <c r="BP11" t="str">
        <f>IF(OR(Tulokset!$G$66="",Tulokset!$I$66="",'8'!$I$67="",'8'!$K$67=""),"",IF(SIGN('8'!$I$67-'8'!$K$67)&lt;&gt;SIGN(Tulokset!$G$66-Tulokset!$I$66),0,IF(Tulokset!$G$66=Tulokset!$I$66,IF(AND('8'!$I$67=Tulokset!$G$66,'8'!$K$67=Tulokset!$I$66),6,3),MAX(0,6-(ABS('8'!$I$67-Tulokset!$G$66)+ABS('8'!$K$67-Tulokset!$I$66))))))</f>
        <v/>
      </c>
      <c r="BQ11" t="str">
        <f>IF(OR(Tulokset!$G$67="",Tulokset!$I$67="",'8'!$I$68="",'8'!$K$68=""),"",IF(SIGN('8'!$I$68-'8'!$K$68)&lt;&gt;SIGN(Tulokset!$G$67-Tulokset!$I$67),0,IF(Tulokset!$G$67=Tulokset!$I$67,IF(AND('8'!$I$68=Tulokset!$G$67,'8'!$K$68=Tulokset!$I$67),6,3),MAX(0,6-(ABS('8'!$I$68-Tulokset!$G$67)+ABS('8'!$K$68-Tulokset!$I$67))))))</f>
        <v/>
      </c>
      <c r="BR11" t="str">
        <f>IF(OR(Tulokset!$G$68="",Tulokset!$I$68="",'8'!$I$69="",'8'!$K$69=""),"",IF(SIGN('8'!$I$69-'8'!$K$69)&lt;&gt;SIGN(Tulokset!$G$68-Tulokset!$I$68),0,IF(Tulokset!$G$68=Tulokset!$I$68,IF(AND('8'!$I$69=Tulokset!$G$68,'8'!$K$69=Tulokset!$I$68),6,3),MAX(0,6-(ABS('8'!$I$69-Tulokset!$G$68)+ABS('8'!$K$69-Tulokset!$I$68))))))</f>
        <v/>
      </c>
      <c r="BS11" t="str">
        <f>IF(OR(Tulokset!$G$69="",Tulokset!$I$69="",'8'!$I$70="",'8'!$K$70=""),"",IF(SIGN('8'!$I$70-'8'!$K$70)&lt;&gt;SIGN(Tulokset!$G$69-Tulokset!$I$69),0,IF(Tulokset!$G$69=Tulokset!$I$69,IF(AND('8'!$I$70=Tulokset!$G$69,'8'!$K$70=Tulokset!$I$69),6,3),MAX(0,6-(ABS('8'!$I$70-Tulokset!$G$69)+ABS('8'!$K$70-Tulokset!$I$69))))))</f>
        <v/>
      </c>
      <c r="BT11" t="str">
        <f>IF(OR(Tulokset!$G$70="",Tulokset!$I$70="",'8'!$I$71="",'8'!$K$71=""),"",IF(SIGN('8'!$I$71-'8'!$K$71)&lt;&gt;SIGN(Tulokset!$G$70-Tulokset!$I$70),0,IF(Tulokset!$G$70=Tulokset!$I$70,IF(AND('8'!$I$71=Tulokset!$G$70,'8'!$K$71=Tulokset!$I$70),6,3),MAX(0,6-(ABS('8'!$I$71-Tulokset!$G$70)+ABS('8'!$K$71-Tulokset!$I$70))))))</f>
        <v/>
      </c>
      <c r="BU11" t="str">
        <f>IF(OR(Tulokset!$G$71="",Tulokset!$I$71="",'8'!$I$72="",'8'!$K$72=""),"",IF(SIGN('8'!$I$72-'8'!$K$72)&lt;&gt;SIGN(Tulokset!$G$71-Tulokset!$I$71),0,IF(Tulokset!$G$71=Tulokset!$I$71,IF(AND('8'!$I$72=Tulokset!$G$71,'8'!$K$72=Tulokset!$I$71),6,3),MAX(0,6-(ABS('8'!$I$72-Tulokset!$G$71)+ABS('8'!$K$72-Tulokset!$I$71))))))</f>
        <v/>
      </c>
      <c r="BV11" t="str">
        <f>IF(OR(Tulokset!$G$72="",Tulokset!$I$72="",'8'!$I$73="",'8'!$K$73=""),"",IF(SIGN('8'!$I$73-'8'!$K$73)&lt;&gt;SIGN(Tulokset!$G$72-Tulokset!$I$72),0,IF(Tulokset!$G$72=Tulokset!$I$72,IF(AND('8'!$I$73=Tulokset!$G$72,'8'!$K$73=Tulokset!$I$72),6,3),MAX(0,6-(ABS('8'!$I$73-Tulokset!$G$72)+ABS('8'!$K$73-Tulokset!$I$72))))))</f>
        <v/>
      </c>
      <c r="BW11" t="str">
        <f>IF(OR(Tulokset!$G$73="",Tulokset!$I$73="",'8'!$I$74="",'8'!$K$74=""),"",IF(SIGN('8'!$I$74-'8'!$K$74)&lt;&gt;SIGN(Tulokset!$G$73-Tulokset!$I$73),0,IF(Tulokset!$G$73=Tulokset!$I$73,IF(AND('8'!$I$74=Tulokset!$G$73,'8'!$K$74=Tulokset!$I$73),6,3),MAX(0,6-(ABS('8'!$I$74-Tulokset!$G$73)+ABS('8'!$K$74-Tulokset!$I$73))))))</f>
        <v/>
      </c>
      <c r="BX11" t="str">
        <f>IF(OR(Tulokset!$G$74="",Tulokset!$I$74="",'8'!$I$75="",'8'!$K$75=""),"",IF(SIGN('8'!$I$75-'8'!$K$75)&lt;&gt;SIGN(Tulokset!$G$74-Tulokset!$I$74),0,IF(Tulokset!$G$74=Tulokset!$I$74,IF(AND('8'!$I$75=Tulokset!$G$74,'8'!$K$75=Tulokset!$I$74),6,3),MAX(0,6-(ABS('8'!$I$75-Tulokset!$G$74)+ABS('8'!$K$75-Tulokset!$I$74))))))</f>
        <v/>
      </c>
      <c r="BY11" t="str">
        <f>IF(OR(Tulokset!$G$75="",Tulokset!$I$75="",'8'!$I$76="",'8'!$K$76=""),"",IF(SIGN('8'!$I$76-'8'!$K$76)&lt;&gt;SIGN(Tulokset!$G$75-Tulokset!$I$75),0,IF(Tulokset!$G$75=Tulokset!$I$75,IF(AND('8'!$I$76=Tulokset!$G$75,'8'!$K$76=Tulokset!$I$75),6,3),MAX(0,6-(ABS('8'!$I$76-Tulokset!$G$75)+ABS('8'!$K$76-Tulokset!$I$75))))))</f>
        <v/>
      </c>
      <c r="BZ11" t="str">
        <f>IF(OR(Tulokset!$G$76="",Tulokset!$I$76="",'8'!$I$77="",'8'!$K$77=""),"",IF(SIGN('8'!$I$77-'8'!$K$77)&lt;&gt;SIGN(Tulokset!$G$76-Tulokset!$I$76),0,IF(Tulokset!$G$76=Tulokset!$I$76,IF(AND('8'!$I$77=Tulokset!$G$76,'8'!$K$77=Tulokset!$I$76),6,3),MAX(0,6-(ABS('8'!$I$77-Tulokset!$G$76)+ABS('8'!$K$77-Tulokset!$I$76))))))</f>
        <v/>
      </c>
      <c r="CA11" t="str">
        <f>IF(OR(Tulokset!$G$77="",Tulokset!$I$77="",'8'!$I$78="",'8'!$K$78=""),"",IF(SIGN('8'!$I$78-'8'!$K$78)&lt;&gt;SIGN(Tulokset!$G$77-Tulokset!$I$77),0,IF(Tulokset!$G$77=Tulokset!$I$77,IF(AND('8'!$I$78=Tulokset!$G$77,'8'!$K$78=Tulokset!$I$77),6,3),MAX(0,6-(ABS('8'!$I$78-Tulokset!$G$77)+ABS('8'!$K$78-Tulokset!$I$77))))))</f>
        <v/>
      </c>
      <c r="CD11" t="str">
        <f ca="1">IF(OR(Tulokset!$M$6="",INDIRECT("'"&amp;$A11&amp;"'!$P$8")=""),"",IF(TRIM(INDIRECT("'"&amp;$A11&amp;"'!$P$8"))=TRIM(Tulokset!$M$6),2,0))</f>
        <v/>
      </c>
      <c r="CE11" t="str">
        <f ca="1">IF(OR(Tulokset!$M$7="",INDIRECT("'"&amp;$A11&amp;"'!$P$9")=""),"",IF(TRIM(INDIRECT("'"&amp;$A11&amp;"'!$P$9"))=TRIM(Tulokset!$M$7),2,0))</f>
        <v/>
      </c>
      <c r="CF11" t="str">
        <f ca="1">IF(OR(Tulokset!$M$8="",INDIRECT("'"&amp;$A11&amp;"'!$P$10")=""),"",IF(TRIM(INDIRECT("'"&amp;$A11&amp;"'!$P$10"))=TRIM(Tulokset!$M$8),2,0))</f>
        <v/>
      </c>
      <c r="CG11" t="str">
        <f ca="1">IF(OR(Tulokset!$M$9="",INDIRECT("'"&amp;$A11&amp;"'!$P$11")=""),"",IF(TRIM(INDIRECT("'"&amp;$A11&amp;"'!$P$11"))=TRIM(Tulokset!$M$9),2,0))</f>
        <v/>
      </c>
      <c r="CH11" t="str">
        <f ca="1">IF(OR(Tulokset!$N$6="",INDIRECT("'"&amp;$A11&amp;"'!$Q$8")=""),"",IF(TRIM(INDIRECT("'"&amp;$A11&amp;"'!$Q$8"))=TRIM(Tulokset!$N$6),2,0))</f>
        <v/>
      </c>
      <c r="CI11" t="str">
        <f ca="1">IF(OR(Tulokset!$N$7="",INDIRECT("'"&amp;$A11&amp;"'!$Q$9")=""),"",IF(TRIM(INDIRECT("'"&amp;$A11&amp;"'!$Q$9"))=TRIM(Tulokset!$N$7),2,0))</f>
        <v/>
      </c>
      <c r="CJ11" t="str">
        <f ca="1">IF(OR(Tulokset!$N$8="",INDIRECT("'"&amp;$A11&amp;"'!$Q$10")=""),"",IF(TRIM(INDIRECT("'"&amp;$A11&amp;"'!$Q$10"))=TRIM(Tulokset!$N$8),2,0))</f>
        <v/>
      </c>
      <c r="CK11" t="str">
        <f ca="1">IF(OR(Tulokset!$N$9="",INDIRECT("'"&amp;$A11&amp;"'!$Q$11")=""),"",IF(TRIM(INDIRECT("'"&amp;$A11&amp;"'!$Q$11"))=TRIM(Tulokset!$N$9),2,0))</f>
        <v/>
      </c>
      <c r="CL11" t="str">
        <f ca="1">IF(OR(Tulokset!$O$6="",INDIRECT("'"&amp;$A11&amp;"'!$R$8")=""),"",IF(TRIM(INDIRECT("'"&amp;$A11&amp;"'!$R$8"))=TRIM(Tulokset!$O$6),2,0))</f>
        <v/>
      </c>
      <c r="CM11" t="str">
        <f ca="1">IF(OR(Tulokset!$O$7="",INDIRECT("'"&amp;$A11&amp;"'!$R$9")=""),"",IF(TRIM(INDIRECT("'"&amp;$A11&amp;"'!$R$9"))=TRIM(Tulokset!$O$7),2,0))</f>
        <v/>
      </c>
      <c r="CN11" t="str">
        <f ca="1">IF(OR(Tulokset!$O$8="",INDIRECT("'"&amp;$A11&amp;"'!$R$10")=""),"",IF(TRIM(INDIRECT("'"&amp;$A11&amp;"'!$R$10"))=TRIM(Tulokset!$O$8),2,0))</f>
        <v/>
      </c>
      <c r="CO11" t="str">
        <f ca="1">IF(OR(Tulokset!$O$9="",INDIRECT("'"&amp;$A11&amp;"'!$R$11")=""),"",IF(TRIM(INDIRECT("'"&amp;$A11&amp;"'!$R$11"))=TRIM(Tulokset!$O$9),2,0))</f>
        <v/>
      </c>
      <c r="CP11" t="str">
        <f ca="1">IF(OR(Tulokset!$P$6="",INDIRECT("'"&amp;$A11&amp;"'!$S$8")=""),"",IF(TRIM(INDIRECT("'"&amp;$A11&amp;"'!$S$8"))=TRIM(Tulokset!$P$6),2,0))</f>
        <v/>
      </c>
      <c r="CQ11" t="str">
        <f ca="1">IF(OR(Tulokset!$P$7="",INDIRECT("'"&amp;$A11&amp;"'!$S$9")=""),"",IF(TRIM(INDIRECT("'"&amp;$A11&amp;"'!$S$9"))=TRIM(Tulokset!$P$7),2,0))</f>
        <v/>
      </c>
      <c r="CR11" t="str">
        <f ca="1">IF(OR(Tulokset!$P$8="",INDIRECT("'"&amp;$A11&amp;"'!$S$10")=""),"",IF(TRIM(INDIRECT("'"&amp;$A11&amp;"'!$S$10"))=TRIM(Tulokset!$P$8),2,0))</f>
        <v/>
      </c>
      <c r="CS11" t="str">
        <f ca="1">IF(OR(Tulokset!$P$9="",INDIRECT("'"&amp;$A11&amp;"'!$S$11")=""),"",IF(TRIM(INDIRECT("'"&amp;$A11&amp;"'!$S$11"))=TRIM(Tulokset!$P$9),2,0))</f>
        <v/>
      </c>
      <c r="CT11" t="str">
        <f ca="1">IF(OR(Tulokset!$Q$6="",INDIRECT("'"&amp;$A11&amp;"'!$T$8")=""),"",IF(TRIM(INDIRECT("'"&amp;$A11&amp;"'!$T$8"))=TRIM(Tulokset!$Q$6),2,0))</f>
        <v/>
      </c>
      <c r="CU11" t="str">
        <f ca="1">IF(OR(Tulokset!$Q$7="",INDIRECT("'"&amp;$A11&amp;"'!$T$9")=""),"",IF(TRIM(INDIRECT("'"&amp;$A11&amp;"'!$T$9"))=TRIM(Tulokset!$Q$7),2,0))</f>
        <v/>
      </c>
      <c r="CV11" t="str">
        <f ca="1">IF(OR(Tulokset!$Q$8="",INDIRECT("'"&amp;$A11&amp;"'!$T$10")=""),"",IF(TRIM(INDIRECT("'"&amp;$A11&amp;"'!$T$10"))=TRIM(Tulokset!$Q$8),2,0))</f>
        <v/>
      </c>
      <c r="CW11" t="str">
        <f ca="1">IF(OR(Tulokset!$Q$9="",INDIRECT("'"&amp;$A11&amp;"'!$T$11")=""),"",IF(TRIM(INDIRECT("'"&amp;$A11&amp;"'!$T$11"))=TRIM(Tulokset!$Q$9),2,0))</f>
        <v/>
      </c>
      <c r="CX11" t="str">
        <f ca="1">IF(OR(Tulokset!$R$6="",INDIRECT("'"&amp;$A11&amp;"'!$U$8")=""),"",IF(TRIM(INDIRECT("'"&amp;$A11&amp;"'!$U$8"))=TRIM(Tulokset!$R$6),2,0))</f>
        <v/>
      </c>
      <c r="CY11" t="str">
        <f ca="1">IF(OR(Tulokset!$R$7="",INDIRECT("'"&amp;$A11&amp;"'!$U$9")=""),"",IF(TRIM(INDIRECT("'"&amp;$A11&amp;"'!$U$9"))=TRIM(Tulokset!$R$7),2,0))</f>
        <v/>
      </c>
      <c r="CZ11" t="str">
        <f ca="1">IF(OR(Tulokset!$R$8="",INDIRECT("'"&amp;$A11&amp;"'!$U$10")=""),"",IF(TRIM(INDIRECT("'"&amp;$A11&amp;"'!$U$10"))=TRIM(Tulokset!$R$8),2,0))</f>
        <v/>
      </c>
      <c r="DA11" t="str">
        <f ca="1">IF(OR(Tulokset!$R$9="",INDIRECT("'"&amp;$A11&amp;"'!$U$11")=""),"",IF(TRIM(INDIRECT("'"&amp;$A11&amp;"'!$U$11"))=TRIM(Tulokset!$R$9),2,0))</f>
        <v/>
      </c>
      <c r="DB11" t="str">
        <f ca="1">IF(OR(Tulokset!$M$12="",INDIRECT("'"&amp;$A11&amp;"'!$P$14")=""),"",IF(TRIM(INDIRECT("'"&amp;$A11&amp;"'!$P$14"))=TRIM(Tulokset!$M$12),2,0))</f>
        <v/>
      </c>
      <c r="DC11" t="str">
        <f ca="1">IF(OR(Tulokset!$M$13="",INDIRECT("'"&amp;$A11&amp;"'!$P$15")=""),"",IF(TRIM(INDIRECT("'"&amp;$A11&amp;"'!$P$15"))=TRIM(Tulokset!$M$13),2,0))</f>
        <v/>
      </c>
      <c r="DD11" t="str">
        <f ca="1">IF(OR(Tulokset!$M$14="",INDIRECT("'"&amp;$A11&amp;"'!$P$16")=""),"",IF(TRIM(INDIRECT("'"&amp;$A11&amp;"'!$P$16"))=TRIM(Tulokset!$M$14),2,0))</f>
        <v/>
      </c>
      <c r="DE11" t="str">
        <f ca="1">IF(OR(Tulokset!$M$15="",INDIRECT("'"&amp;$A11&amp;"'!$P$17")=""),"",IF(TRIM(INDIRECT("'"&amp;$A11&amp;"'!$P$17"))=TRIM(Tulokset!$M$15),2,0))</f>
        <v/>
      </c>
      <c r="DF11" t="str">
        <f ca="1">IF(OR(Tulokset!$N$12="",INDIRECT("'"&amp;$A11&amp;"'!$Q$14")=""),"",IF(TRIM(INDIRECT("'"&amp;$A11&amp;"'!$Q$14"))=TRIM(Tulokset!$N$12),2,0))</f>
        <v/>
      </c>
      <c r="DG11" t="str">
        <f ca="1">IF(OR(Tulokset!$N$13="",INDIRECT("'"&amp;$A11&amp;"'!$Q$15")=""),"",IF(TRIM(INDIRECT("'"&amp;$A11&amp;"'!$Q$15"))=TRIM(Tulokset!$N$13),2,0))</f>
        <v/>
      </c>
      <c r="DH11" t="str">
        <f ca="1">IF(OR(Tulokset!$N$14="",INDIRECT("'"&amp;$A11&amp;"'!$Q$16")=""),"",IF(TRIM(INDIRECT("'"&amp;$A11&amp;"'!$Q$16"))=TRIM(Tulokset!$N$14),2,0))</f>
        <v/>
      </c>
      <c r="DI11" t="str">
        <f ca="1">IF(OR(Tulokset!$N$15="",INDIRECT("'"&amp;$A11&amp;"'!$Q$17")=""),"",IF(TRIM(INDIRECT("'"&amp;$A11&amp;"'!$Q$17"))=TRIM(Tulokset!$N$15),2,0))</f>
        <v/>
      </c>
      <c r="DJ11" t="str">
        <f ca="1">IF(OR(Tulokset!$O$12="",INDIRECT("'"&amp;$A11&amp;"'!$R$14")=""),"",IF(TRIM(INDIRECT("'"&amp;$A11&amp;"'!$R$14"))=TRIM(Tulokset!$O$12),2,0))</f>
        <v/>
      </c>
      <c r="DK11" t="str">
        <f ca="1">IF(OR(Tulokset!$O$13="",INDIRECT("'"&amp;$A11&amp;"'!$R$15")=""),"",IF(TRIM(INDIRECT("'"&amp;$A11&amp;"'!$R$15"))=TRIM(Tulokset!$O$13),2,0))</f>
        <v/>
      </c>
      <c r="DL11" t="str">
        <f ca="1">IF(OR(Tulokset!$O$14="",INDIRECT("'"&amp;$A11&amp;"'!$R$16")=""),"",IF(TRIM(INDIRECT("'"&amp;$A11&amp;"'!$R$16"))=TRIM(Tulokset!$O$14),2,0))</f>
        <v/>
      </c>
      <c r="DM11" t="str">
        <f ca="1">IF(OR(Tulokset!$O$15="",INDIRECT("'"&amp;$A11&amp;"'!$R$17")=""),"",IF(TRIM(INDIRECT("'"&amp;$A11&amp;"'!$R$17"))=TRIM(Tulokset!$O$15),2,0))</f>
        <v/>
      </c>
      <c r="DN11" t="str">
        <f ca="1">IF(OR(Tulokset!$P$12="",INDIRECT("'"&amp;$A11&amp;"'!$S$14")=""),"",IF(TRIM(INDIRECT("'"&amp;$A11&amp;"'!$S$14"))=TRIM(Tulokset!$P$12),2,0))</f>
        <v/>
      </c>
      <c r="DO11" t="str">
        <f ca="1">IF(OR(Tulokset!$P$13="",INDIRECT("'"&amp;$A11&amp;"'!$S$15")=""),"",IF(TRIM(INDIRECT("'"&amp;$A11&amp;"'!$S$15"))=TRIM(Tulokset!$P$13),2,0))</f>
        <v/>
      </c>
      <c r="DP11" t="str">
        <f ca="1">IF(OR(Tulokset!$P$14="",INDIRECT("'"&amp;$A11&amp;"'!$S$16")=""),"",IF(TRIM(INDIRECT("'"&amp;$A11&amp;"'!$S$16"))=TRIM(Tulokset!$P$14),2,0))</f>
        <v/>
      </c>
      <c r="DQ11" t="str">
        <f ca="1">IF(OR(Tulokset!$P$15="",INDIRECT("'"&amp;$A11&amp;"'!$S$17")=""),"",IF(TRIM(INDIRECT("'"&amp;$A11&amp;"'!$S$17"))=TRIM(Tulokset!$P$15),2,0))</f>
        <v/>
      </c>
      <c r="DR11" t="str">
        <f ca="1">IF(OR(Tulokset!$Q$12="",INDIRECT("'"&amp;$A11&amp;"'!$T$14")=""),"",IF(TRIM(INDIRECT("'"&amp;$A11&amp;"'!$T$14"))=TRIM(Tulokset!$Q$12),2,0))</f>
        <v/>
      </c>
      <c r="DS11" t="str">
        <f ca="1">IF(OR(Tulokset!$Q$13="",INDIRECT("'"&amp;$A11&amp;"'!$T$15")=""),"",IF(TRIM(INDIRECT("'"&amp;$A11&amp;"'!$T$15"))=TRIM(Tulokset!$Q$13),2,0))</f>
        <v/>
      </c>
      <c r="DT11" t="str">
        <f ca="1">IF(OR(Tulokset!$Q$14="",INDIRECT("'"&amp;$A11&amp;"'!$T$16")=""),"",IF(TRIM(INDIRECT("'"&amp;$A11&amp;"'!$T$16"))=TRIM(Tulokset!$Q$14),2,0))</f>
        <v/>
      </c>
      <c r="DU11" t="str">
        <f ca="1">IF(OR(Tulokset!$Q$15="",INDIRECT("'"&amp;$A11&amp;"'!$T$17")=""),"",IF(TRIM(INDIRECT("'"&amp;$A11&amp;"'!$T$17"))=TRIM(Tulokset!$Q$15),2,0))</f>
        <v/>
      </c>
      <c r="DV11" t="str">
        <f ca="1">IF(OR(Tulokset!$R$12="",INDIRECT("'"&amp;$A11&amp;"'!$U$14")=""),"",IF(TRIM(INDIRECT("'"&amp;$A11&amp;"'!$U$14"))=TRIM(Tulokset!$R$12),2,0))</f>
        <v/>
      </c>
      <c r="DW11" t="str">
        <f ca="1">IF(OR(Tulokset!$R$13="",INDIRECT("'"&amp;$A11&amp;"'!$U$15")=""),"",IF(TRIM(INDIRECT("'"&amp;$A11&amp;"'!$U$15"))=TRIM(Tulokset!$R$13),2,0))</f>
        <v/>
      </c>
      <c r="DX11" t="str">
        <f ca="1">IF(OR(Tulokset!$R$14="",INDIRECT("'"&amp;$A11&amp;"'!$U$16")=""),"",IF(TRIM(INDIRECT("'"&amp;$A11&amp;"'!$U$16"))=TRIM(Tulokset!$R$14),2,0))</f>
        <v/>
      </c>
      <c r="DY11" t="str">
        <f ca="1">IF(OR(Tulokset!$R$15="",INDIRECT("'"&amp;$A11&amp;"'!$U$17")=""),"",IF(TRIM(INDIRECT("'"&amp;$A11&amp;"'!$U$17"))=TRIM(Tulokset!$R$15),2,0))</f>
        <v/>
      </c>
      <c r="EA11" t="str">
        <f ca="1">IF(OR(INDIRECT("'"&amp;$A11&amp;"'!$E$79")="",COUNTA(Tulokset!$M$20:$M$21)=0),"",IF(COUNTIF(Tulokset!$M$20:$M$21,INDIRECT("'"&amp;$A11&amp;"'!$E$79"))&gt;0,2,0))</f>
        <v/>
      </c>
      <c r="EB11" t="str">
        <f ca="1">IF(OR(INDIRECT("'"&amp;$A11&amp;"'!$G$79")="",COUNTA(Tulokset!$M$20:$M$21)=0),"",IF(COUNTIF(Tulokset!$M$20:$M$21,INDIRECT("'"&amp;$A11&amp;"'!$G$79"))&gt;0,2,0))</f>
        <v/>
      </c>
      <c r="EC11" t="str">
        <f ca="1">IF(OR(INDIRECT("'"&amp;$A11&amp;"'!$E$80")="",COUNTA(Tulokset!$M$23:$M$24)=0),"",IF(COUNTIF(Tulokset!$M$23:$M$24,INDIRECT("'"&amp;$A11&amp;"'!$E$80"))&gt;0,2,0))</f>
        <v/>
      </c>
      <c r="ED11" t="str">
        <f ca="1">IF(OR(INDIRECT("'"&amp;$A11&amp;"'!$G$80")="",COUNTA(Tulokset!$M$23:$M$24)=0),"",IF(COUNTIF(Tulokset!$M$23:$M$24,INDIRECT("'"&amp;$A11&amp;"'!$G$80"))&gt;0,2,0))</f>
        <v/>
      </c>
    </row>
    <row r="12" spans="1:134">
      <c r="A12" t="s">
        <v>227</v>
      </c>
      <c r="B12" t="str">
        <f t="shared" ca="1" si="0"/>
        <v>Tuurilla</v>
      </c>
      <c r="C12" s="95">
        <f t="shared" si="1"/>
        <v>0</v>
      </c>
      <c r="D12" s="95">
        <f t="shared" ca="1" si="2"/>
        <v>0</v>
      </c>
      <c r="E12" s="95">
        <f t="shared" ca="1" si="3"/>
        <v>0</v>
      </c>
      <c r="F12" s="95">
        <f t="shared" ca="1" si="4"/>
        <v>0</v>
      </c>
      <c r="G12" s="95">
        <f t="shared" si="5"/>
        <v>0</v>
      </c>
      <c r="H12" t="str">
        <f>IF(OR(Tulokset!$G$6="",Tulokset!$I$6="",'9'!$I$7="",'9'!$K$7=""),"",IF(SIGN('9'!$I$7-'9'!$K$7)&lt;&gt;SIGN(Tulokset!$G$6-Tulokset!$I$6),0,IF(Tulokset!$G$6=Tulokset!$I$6,IF(AND('9'!$I$7=Tulokset!$G$6,'9'!$K$7=Tulokset!$I$6),6,3),MAX(0,6-(ABS('9'!$I$7-Tulokset!$G$6)+ABS('9'!$K$7-Tulokset!$I$6))))))</f>
        <v/>
      </c>
      <c r="I12" t="str">
        <f>IF(OR(Tulokset!$G$7="",Tulokset!$I$7="",'9'!$I$8="",'9'!$K$8=""),"",IF(SIGN('9'!$I$8-'9'!$K$8)&lt;&gt;SIGN(Tulokset!$G$7-Tulokset!$I$7),0,IF(Tulokset!$G$7=Tulokset!$I$7,IF(AND('9'!$I$8=Tulokset!$G$7,'9'!$K$8=Tulokset!$I$7),6,3),MAX(0,6-(ABS('9'!$I$8-Tulokset!$G$7)+ABS('9'!$K$8-Tulokset!$I$7))))))</f>
        <v/>
      </c>
      <c r="J12" t="str">
        <f>IF(OR(Tulokset!$G$8="",Tulokset!$I$8="",'9'!$I$9="",'9'!$K$9=""),"",IF(SIGN('9'!$I$9-'9'!$K$9)&lt;&gt;SIGN(Tulokset!$G$8-Tulokset!$I$8),0,IF(Tulokset!$G$8=Tulokset!$I$8,IF(AND('9'!$I$9=Tulokset!$G$8,'9'!$K$9=Tulokset!$I$8),6,3),MAX(0,6-(ABS('9'!$I$9-Tulokset!$G$8)+ABS('9'!$K$9-Tulokset!$I$8))))))</f>
        <v/>
      </c>
      <c r="K12" t="str">
        <f>IF(OR(Tulokset!$G$9="",Tulokset!$I$9="",'9'!$I$10="",'9'!$K$10=""),"",IF(SIGN('9'!$I$10-'9'!$K$10)&lt;&gt;SIGN(Tulokset!$G$9-Tulokset!$I$9),0,IF(Tulokset!$G$9=Tulokset!$I$9,IF(AND('9'!$I$10=Tulokset!$G$9,'9'!$K$10=Tulokset!$I$9),6,3),MAX(0,6-(ABS('9'!$I$10-Tulokset!$G$9)+ABS('9'!$K$10-Tulokset!$I$9))))))</f>
        <v/>
      </c>
      <c r="L12" t="str">
        <f>IF(OR(Tulokset!$G$10="",Tulokset!$I$10="",'9'!$I$11="",'9'!$K$11=""),"",IF(SIGN('9'!$I$11-'9'!$K$11)&lt;&gt;SIGN(Tulokset!$G$10-Tulokset!$I$10),0,IF(Tulokset!$G$10=Tulokset!$I$10,IF(AND('9'!$I$11=Tulokset!$G$10,'9'!$K$11=Tulokset!$I$10),6,3),MAX(0,6-(ABS('9'!$I$11-Tulokset!$G$10)+ABS('9'!$K$11-Tulokset!$I$10))))))</f>
        <v/>
      </c>
      <c r="M12" t="str">
        <f>IF(OR(Tulokset!$G$11="",Tulokset!$I$11="",'9'!$I$12="",'9'!$K$12=""),"",IF(SIGN('9'!$I$12-'9'!$K$12)&lt;&gt;SIGN(Tulokset!$G$11-Tulokset!$I$11),0,IF(Tulokset!$G$11=Tulokset!$I$11,IF(AND('9'!$I$12=Tulokset!$G$11,'9'!$K$12=Tulokset!$I$11),6,3),MAX(0,6-(ABS('9'!$I$12-Tulokset!$G$11)+ABS('9'!$K$12-Tulokset!$I$11))))))</f>
        <v/>
      </c>
      <c r="N12" t="str">
        <f>IF(OR(Tulokset!$G$12="",Tulokset!$I$12="",'9'!$I$13="",'9'!$K$13=""),"",IF(SIGN('9'!$I$13-'9'!$K$13)&lt;&gt;SIGN(Tulokset!$G$12-Tulokset!$I$12),0,IF(Tulokset!$G$12=Tulokset!$I$12,IF(AND('9'!$I$13=Tulokset!$G$12,'9'!$K$13=Tulokset!$I$12),6,3),MAX(0,6-(ABS('9'!$I$13-Tulokset!$G$12)+ABS('9'!$K$13-Tulokset!$I$12))))))</f>
        <v/>
      </c>
      <c r="O12" t="str">
        <f>IF(OR(Tulokset!$G$13="",Tulokset!$I$13="",'9'!$I$14="",'9'!$K$14=""),"",IF(SIGN('9'!$I$14-'9'!$K$14)&lt;&gt;SIGN(Tulokset!$G$13-Tulokset!$I$13),0,IF(Tulokset!$G$13=Tulokset!$I$13,IF(AND('9'!$I$14=Tulokset!$G$13,'9'!$K$14=Tulokset!$I$13),6,3),MAX(0,6-(ABS('9'!$I$14-Tulokset!$G$13)+ABS('9'!$K$14-Tulokset!$I$13))))))</f>
        <v/>
      </c>
      <c r="P12" t="str">
        <f>IF(OR(Tulokset!$G$14="",Tulokset!$I$14="",'9'!$I$15="",'9'!$K$15=""),"",IF(SIGN('9'!$I$15-'9'!$K$15)&lt;&gt;SIGN(Tulokset!$G$14-Tulokset!$I$14),0,IF(Tulokset!$G$14=Tulokset!$I$14,IF(AND('9'!$I$15=Tulokset!$G$14,'9'!$K$15=Tulokset!$I$14),6,3),MAX(0,6-(ABS('9'!$I$15-Tulokset!$G$14)+ABS('9'!$K$15-Tulokset!$I$14))))))</f>
        <v/>
      </c>
      <c r="Q12" t="str">
        <f>IF(OR(Tulokset!$G$15="",Tulokset!$I$15="",'9'!$I$16="",'9'!$K$16=""),"",IF(SIGN('9'!$I$16-'9'!$K$16)&lt;&gt;SIGN(Tulokset!$G$15-Tulokset!$I$15),0,IF(Tulokset!$G$15=Tulokset!$I$15,IF(AND('9'!$I$16=Tulokset!$G$15,'9'!$K$16=Tulokset!$I$15),6,3),MAX(0,6-(ABS('9'!$I$16-Tulokset!$G$15)+ABS('9'!$K$16-Tulokset!$I$15))))))</f>
        <v/>
      </c>
      <c r="R12" t="str">
        <f>IF(OR(Tulokset!$G$16="",Tulokset!$I$16="",'9'!$I$17="",'9'!$K$17=""),"",IF(SIGN('9'!$I$17-'9'!$K$17)&lt;&gt;SIGN(Tulokset!$G$16-Tulokset!$I$16),0,IF(Tulokset!$G$16=Tulokset!$I$16,IF(AND('9'!$I$17=Tulokset!$G$16,'9'!$K$17=Tulokset!$I$16),6,3),MAX(0,6-(ABS('9'!$I$17-Tulokset!$G$16)+ABS('9'!$K$17-Tulokset!$I$16))))))</f>
        <v/>
      </c>
      <c r="S12" t="str">
        <f>IF(OR(Tulokset!$G$17="",Tulokset!$I$17="",'9'!$I$18="",'9'!$K$18=""),"",IF(SIGN('9'!$I$18-'9'!$K$18)&lt;&gt;SIGN(Tulokset!$G$17-Tulokset!$I$17),0,IF(Tulokset!$G$17=Tulokset!$I$17,IF(AND('9'!$I$18=Tulokset!$G$17,'9'!$K$18=Tulokset!$I$17),6,3),MAX(0,6-(ABS('9'!$I$18-Tulokset!$G$17)+ABS('9'!$K$18-Tulokset!$I$17))))))</f>
        <v/>
      </c>
      <c r="T12" t="str">
        <f>IF(OR(Tulokset!$G$18="",Tulokset!$I$18="",'9'!$I$19="",'9'!$K$19=""),"",IF(SIGN('9'!$I$19-'9'!$K$19)&lt;&gt;SIGN(Tulokset!$G$18-Tulokset!$I$18),0,IF(Tulokset!$G$18=Tulokset!$I$18,IF(AND('9'!$I$19=Tulokset!$G$18,'9'!$K$19=Tulokset!$I$18),6,3),MAX(0,6-(ABS('9'!$I$19-Tulokset!$G$18)+ABS('9'!$K$19-Tulokset!$I$18))))))</f>
        <v/>
      </c>
      <c r="U12" t="str">
        <f>IF(OR(Tulokset!$G$19="",Tulokset!$I$19="",'9'!$I$20="",'9'!$K$20=""),"",IF(SIGN('9'!$I$20-'9'!$K$20)&lt;&gt;SIGN(Tulokset!$G$19-Tulokset!$I$19),0,IF(Tulokset!$G$19=Tulokset!$I$19,IF(AND('9'!$I$20=Tulokset!$G$19,'9'!$K$20=Tulokset!$I$19),6,3),MAX(0,6-(ABS('9'!$I$20-Tulokset!$G$19)+ABS('9'!$K$20-Tulokset!$I$19))))))</f>
        <v/>
      </c>
      <c r="V12" t="str">
        <f>IF(OR(Tulokset!$G$20="",Tulokset!$I$20="",'9'!$I$21="",'9'!$K$21=""),"",IF(SIGN('9'!$I$21-'9'!$K$21)&lt;&gt;SIGN(Tulokset!$G$20-Tulokset!$I$20),0,IF(Tulokset!$G$20=Tulokset!$I$20,IF(AND('9'!$I$21=Tulokset!$G$20,'9'!$K$21=Tulokset!$I$20),6,3),MAX(0,6-(ABS('9'!$I$21-Tulokset!$G$20)+ABS('9'!$K$21-Tulokset!$I$20))))))</f>
        <v/>
      </c>
      <c r="W12" t="str">
        <f>IF(OR(Tulokset!$G$21="",Tulokset!$I$21="",'9'!$I$22="",'9'!$K$22=""),"",IF(SIGN('9'!$I$22-'9'!$K$22)&lt;&gt;SIGN(Tulokset!$G$21-Tulokset!$I$21),0,IF(Tulokset!$G$21=Tulokset!$I$21,IF(AND('9'!$I$22=Tulokset!$G$21,'9'!$K$22=Tulokset!$I$21),6,3),MAX(0,6-(ABS('9'!$I$22-Tulokset!$G$21)+ABS('9'!$K$22-Tulokset!$I$21))))))</f>
        <v/>
      </c>
      <c r="X12" t="str">
        <f>IF(OR(Tulokset!$G$22="",Tulokset!$I$22="",'9'!$I$23="",'9'!$K$23=""),"",IF(SIGN('9'!$I$23-'9'!$K$23)&lt;&gt;SIGN(Tulokset!$G$22-Tulokset!$I$22),0,IF(Tulokset!$G$22=Tulokset!$I$22,IF(AND('9'!$I$23=Tulokset!$G$22,'9'!$K$23=Tulokset!$I$22),6,3),MAX(0,6-(ABS('9'!$I$23-Tulokset!$G$22)+ABS('9'!$K$23-Tulokset!$I$22))))))</f>
        <v/>
      </c>
      <c r="Y12" t="str">
        <f>IF(OR(Tulokset!$G$23="",Tulokset!$I$23="",'9'!$I$24="",'9'!$K$24=""),"",IF(SIGN('9'!$I$24-'9'!$K$24)&lt;&gt;SIGN(Tulokset!$G$23-Tulokset!$I$23),0,IF(Tulokset!$G$23=Tulokset!$I$23,IF(AND('9'!$I$24=Tulokset!$G$23,'9'!$K$24=Tulokset!$I$23),6,3),MAX(0,6-(ABS('9'!$I$24-Tulokset!$G$23)+ABS('9'!$K$24-Tulokset!$I$23))))))</f>
        <v/>
      </c>
      <c r="Z12" t="str">
        <f>IF(OR(Tulokset!$G$24="",Tulokset!$I$24="",'9'!$I$25="",'9'!$K$25=""),"",IF(SIGN('9'!$I$25-'9'!$K$25)&lt;&gt;SIGN(Tulokset!$G$24-Tulokset!$I$24),0,IF(Tulokset!$G$24=Tulokset!$I$24,IF(AND('9'!$I$25=Tulokset!$G$24,'9'!$K$25=Tulokset!$I$24),6,3),MAX(0,6-(ABS('9'!$I$25-Tulokset!$G$24)+ABS('9'!$K$25-Tulokset!$I$24))))))</f>
        <v/>
      </c>
      <c r="AA12" t="str">
        <f>IF(OR(Tulokset!$G$25="",Tulokset!$I$25="",'9'!$I$26="",'9'!$K$26=""),"",IF(SIGN('9'!$I$26-'9'!$K$26)&lt;&gt;SIGN(Tulokset!$G$25-Tulokset!$I$25),0,IF(Tulokset!$G$25=Tulokset!$I$25,IF(AND('9'!$I$26=Tulokset!$G$25,'9'!$K$26=Tulokset!$I$25),6,3),MAX(0,6-(ABS('9'!$I$26-Tulokset!$G$25)+ABS('9'!$K$26-Tulokset!$I$25))))))</f>
        <v/>
      </c>
      <c r="AB12" t="str">
        <f>IF(OR(Tulokset!$G$26="",Tulokset!$I$26="",'9'!$I$27="",'9'!$K$27=""),"",IF(SIGN('9'!$I$27-'9'!$K$27)&lt;&gt;SIGN(Tulokset!$G$26-Tulokset!$I$26),0,IF(Tulokset!$G$26=Tulokset!$I$26,IF(AND('9'!$I$27=Tulokset!$G$26,'9'!$K$27=Tulokset!$I$26),6,3),MAX(0,6-(ABS('9'!$I$27-Tulokset!$G$26)+ABS('9'!$K$27-Tulokset!$I$26))))))</f>
        <v/>
      </c>
      <c r="AC12" t="str">
        <f>IF(OR(Tulokset!$G$27="",Tulokset!$I$27="",'9'!$I$28="",'9'!$K$28=""),"",IF(SIGN('9'!$I$28-'9'!$K$28)&lt;&gt;SIGN(Tulokset!$G$27-Tulokset!$I$27),0,IF(Tulokset!$G$27=Tulokset!$I$27,IF(AND('9'!$I$28=Tulokset!$G$27,'9'!$K$28=Tulokset!$I$27),6,3),MAX(0,6-(ABS('9'!$I$28-Tulokset!$G$27)+ABS('9'!$K$28-Tulokset!$I$27))))))</f>
        <v/>
      </c>
      <c r="AD12" t="str">
        <f>IF(OR(Tulokset!$G$28="",Tulokset!$I$28="",'9'!$I$29="",'9'!$K$29=""),"",IF(SIGN('9'!$I$29-'9'!$K$29)&lt;&gt;SIGN(Tulokset!$G$28-Tulokset!$I$28),0,IF(Tulokset!$G$28=Tulokset!$I$28,IF(AND('9'!$I$29=Tulokset!$G$28,'9'!$K$29=Tulokset!$I$28),6,3),MAX(0,6-(ABS('9'!$I$29-Tulokset!$G$28)+ABS('9'!$K$29-Tulokset!$I$28))))))</f>
        <v/>
      </c>
      <c r="AE12" t="str">
        <f>IF(OR(Tulokset!$G$29="",Tulokset!$I$29="",'9'!$I$30="",'9'!$K$30=""),"",IF(SIGN('9'!$I$30-'9'!$K$30)&lt;&gt;SIGN(Tulokset!$G$29-Tulokset!$I$29),0,IF(Tulokset!$G$29=Tulokset!$I$29,IF(AND('9'!$I$30=Tulokset!$G$29,'9'!$K$30=Tulokset!$I$29),6,3),MAX(0,6-(ABS('9'!$I$30-Tulokset!$G$29)+ABS('9'!$K$30-Tulokset!$I$29))))))</f>
        <v/>
      </c>
      <c r="AF12" t="str">
        <f>IF(OR(Tulokset!$G$30="",Tulokset!$I$30="",'9'!$I$31="",'9'!$K$31=""),"",IF(SIGN('9'!$I$31-'9'!$K$31)&lt;&gt;SIGN(Tulokset!$G$30-Tulokset!$I$30),0,IF(Tulokset!$G$30=Tulokset!$I$30,IF(AND('9'!$I$31=Tulokset!$G$30,'9'!$K$31=Tulokset!$I$30),6,3),MAX(0,6-(ABS('9'!$I$31-Tulokset!$G$30)+ABS('9'!$K$31-Tulokset!$I$30))))))</f>
        <v/>
      </c>
      <c r="AG12" t="str">
        <f>IF(OR(Tulokset!$G$31="",Tulokset!$I$31="",'9'!$I$32="",'9'!$K$32=""),"",IF(SIGN('9'!$I$32-'9'!$K$32)&lt;&gt;SIGN(Tulokset!$G$31-Tulokset!$I$31),0,IF(Tulokset!$G$31=Tulokset!$I$31,IF(AND('9'!$I$32=Tulokset!$G$31,'9'!$K$32=Tulokset!$I$31),6,3),MAX(0,6-(ABS('9'!$I$32-Tulokset!$G$31)+ABS('9'!$K$32-Tulokset!$I$31))))))</f>
        <v/>
      </c>
      <c r="AH12" t="str">
        <f>IF(OR(Tulokset!$G$32="",Tulokset!$I$32="",'9'!$I$33="",'9'!$K$33=""),"",IF(SIGN('9'!$I$33-'9'!$K$33)&lt;&gt;SIGN(Tulokset!$G$32-Tulokset!$I$32),0,IF(Tulokset!$G$32=Tulokset!$I$32,IF(AND('9'!$I$33=Tulokset!$G$32,'9'!$K$33=Tulokset!$I$32),6,3),MAX(0,6-(ABS('9'!$I$33-Tulokset!$G$32)+ABS('9'!$K$33-Tulokset!$I$32))))))</f>
        <v/>
      </c>
      <c r="AI12" t="str">
        <f>IF(OR(Tulokset!$G$33="",Tulokset!$I$33="",'9'!$I$34="",'9'!$K$34=""),"",IF(SIGN('9'!$I$34-'9'!$K$34)&lt;&gt;SIGN(Tulokset!$G$33-Tulokset!$I$33),0,IF(Tulokset!$G$33=Tulokset!$I$33,IF(AND('9'!$I$34=Tulokset!$G$33,'9'!$K$34=Tulokset!$I$33),6,3),MAX(0,6-(ABS('9'!$I$34-Tulokset!$G$33)+ABS('9'!$K$34-Tulokset!$I$33))))))</f>
        <v/>
      </c>
      <c r="AJ12" t="str">
        <f>IF(OR(Tulokset!$G$34="",Tulokset!$I$34="",'9'!$I$35="",'9'!$K$35=""),"",IF(SIGN('9'!$I$35-'9'!$K$35)&lt;&gt;SIGN(Tulokset!$G$34-Tulokset!$I$34),0,IF(Tulokset!$G$34=Tulokset!$I$34,IF(AND('9'!$I$35=Tulokset!$G$34,'9'!$K$35=Tulokset!$I$34),6,3),MAX(0,6-(ABS('9'!$I$35-Tulokset!$G$34)+ABS('9'!$K$35-Tulokset!$I$34))))))</f>
        <v/>
      </c>
      <c r="AK12" t="str">
        <f>IF(OR(Tulokset!$G$35="",Tulokset!$I$35="",'9'!$I$36="",'9'!$K$36=""),"",IF(SIGN('9'!$I$36-'9'!$K$36)&lt;&gt;SIGN(Tulokset!$G$35-Tulokset!$I$35),0,IF(Tulokset!$G$35=Tulokset!$I$35,IF(AND('9'!$I$36=Tulokset!$G$35,'9'!$K$36=Tulokset!$I$35),6,3),MAX(0,6-(ABS('9'!$I$36-Tulokset!$G$35)+ABS('9'!$K$36-Tulokset!$I$35))))))</f>
        <v/>
      </c>
      <c r="AL12" t="str">
        <f>IF(OR(Tulokset!$G$36="",Tulokset!$I$36="",'9'!$I$37="",'9'!$K$37=""),"",IF(SIGN('9'!$I$37-'9'!$K$37)&lt;&gt;SIGN(Tulokset!$G$36-Tulokset!$I$36),0,IF(Tulokset!$G$36=Tulokset!$I$36,IF(AND('9'!$I$37=Tulokset!$G$36,'9'!$K$37=Tulokset!$I$36),6,3),MAX(0,6-(ABS('9'!$I$37-Tulokset!$G$36)+ABS('9'!$K$37-Tulokset!$I$36))))))</f>
        <v/>
      </c>
      <c r="AM12" t="str">
        <f>IF(OR(Tulokset!$G$37="",Tulokset!$I$37="",'9'!$I$38="",'9'!$K$38=""),"",IF(SIGN('9'!$I$38-'9'!$K$38)&lt;&gt;SIGN(Tulokset!$G$37-Tulokset!$I$37),0,IF(Tulokset!$G$37=Tulokset!$I$37,IF(AND('9'!$I$38=Tulokset!$G$37,'9'!$K$38=Tulokset!$I$37),6,3),MAX(0,6-(ABS('9'!$I$38-Tulokset!$G$37)+ABS('9'!$K$38-Tulokset!$I$37))))))</f>
        <v/>
      </c>
      <c r="AN12" t="str">
        <f>IF(OR(Tulokset!$G$38="",Tulokset!$I$38="",'9'!$I$39="",'9'!$K$39=""),"",IF(SIGN('9'!$I$39-'9'!$K$39)&lt;&gt;SIGN(Tulokset!$G$38-Tulokset!$I$38),0,IF(Tulokset!$G$38=Tulokset!$I$38,IF(AND('9'!$I$39=Tulokset!$G$38,'9'!$K$39=Tulokset!$I$38),6,3),MAX(0,6-(ABS('9'!$I$39-Tulokset!$G$38)+ABS('9'!$K$39-Tulokset!$I$38))))))</f>
        <v/>
      </c>
      <c r="AO12" t="str">
        <f>IF(OR(Tulokset!$G$39="",Tulokset!$I$39="",'9'!$I$40="",'9'!$K$40=""),"",IF(SIGN('9'!$I$40-'9'!$K$40)&lt;&gt;SIGN(Tulokset!$G$39-Tulokset!$I$39),0,IF(Tulokset!$G$39=Tulokset!$I$39,IF(AND('9'!$I$40=Tulokset!$G$39,'9'!$K$40=Tulokset!$I$39),6,3),MAX(0,6-(ABS('9'!$I$40-Tulokset!$G$39)+ABS('9'!$K$40-Tulokset!$I$39))))))</f>
        <v/>
      </c>
      <c r="AP12" t="str">
        <f>IF(OR(Tulokset!$G$40="",Tulokset!$I$40="",'9'!$I$41="",'9'!$K$41=""),"",IF(SIGN('9'!$I$41-'9'!$K$41)&lt;&gt;SIGN(Tulokset!$G$40-Tulokset!$I$40),0,IF(Tulokset!$G$40=Tulokset!$I$40,IF(AND('9'!$I$41=Tulokset!$G$40,'9'!$K$41=Tulokset!$I$40),6,3),MAX(0,6-(ABS('9'!$I$41-Tulokset!$G$40)+ABS('9'!$K$41-Tulokset!$I$40))))))</f>
        <v/>
      </c>
      <c r="AQ12" t="str">
        <f>IF(OR(Tulokset!$G$41="",Tulokset!$I$41="",'9'!$I$42="",'9'!$K$42=""),"",IF(SIGN('9'!$I$42-'9'!$K$42)&lt;&gt;SIGN(Tulokset!$G$41-Tulokset!$I$41),0,IF(Tulokset!$G$41=Tulokset!$I$41,IF(AND('9'!$I$42=Tulokset!$G$41,'9'!$K$42=Tulokset!$I$41),6,3),MAX(0,6-(ABS('9'!$I$42-Tulokset!$G$41)+ABS('9'!$K$42-Tulokset!$I$41))))))</f>
        <v/>
      </c>
      <c r="AR12" t="str">
        <f>IF(OR(Tulokset!$G$42="",Tulokset!$I$42="",'9'!$I$43="",'9'!$K$43=""),"",IF(SIGN('9'!$I$43-'9'!$K$43)&lt;&gt;SIGN(Tulokset!$G$42-Tulokset!$I$42),0,IF(Tulokset!$G$42=Tulokset!$I$42,IF(AND('9'!$I$43=Tulokset!$G$42,'9'!$K$43=Tulokset!$I$42),6,3),MAX(0,6-(ABS('9'!$I$43-Tulokset!$G$42)+ABS('9'!$K$43-Tulokset!$I$42))))))</f>
        <v/>
      </c>
      <c r="AS12" t="str">
        <f>IF(OR(Tulokset!$G$43="",Tulokset!$I$43="",'9'!$I$44="",'9'!$K$44=""),"",IF(SIGN('9'!$I$44-'9'!$K$44)&lt;&gt;SIGN(Tulokset!$G$43-Tulokset!$I$43),0,IF(Tulokset!$G$43=Tulokset!$I$43,IF(AND('9'!$I$44=Tulokset!$G$43,'9'!$K$44=Tulokset!$I$43),6,3),MAX(0,6-(ABS('9'!$I$44-Tulokset!$G$43)+ABS('9'!$K$44-Tulokset!$I$43))))))</f>
        <v/>
      </c>
      <c r="AT12" t="str">
        <f>IF(OR(Tulokset!$G$44="",Tulokset!$I$44="",'9'!$I$45="",'9'!$K$45=""),"",IF(SIGN('9'!$I$45-'9'!$K$45)&lt;&gt;SIGN(Tulokset!$G$44-Tulokset!$I$44),0,IF(Tulokset!$G$44=Tulokset!$I$44,IF(AND('9'!$I$45=Tulokset!$G$44,'9'!$K$45=Tulokset!$I$44),6,3),MAX(0,6-(ABS('9'!$I$45-Tulokset!$G$44)+ABS('9'!$K$45-Tulokset!$I$44))))))</f>
        <v/>
      </c>
      <c r="AU12" t="str">
        <f>IF(OR(Tulokset!$G$45="",Tulokset!$I$45="",'9'!$I$46="",'9'!$K$46=""),"",IF(SIGN('9'!$I$46-'9'!$K$46)&lt;&gt;SIGN(Tulokset!$G$45-Tulokset!$I$45),0,IF(Tulokset!$G$45=Tulokset!$I$45,IF(AND('9'!$I$46=Tulokset!$G$45,'9'!$K$46=Tulokset!$I$45),6,3),MAX(0,6-(ABS('9'!$I$46-Tulokset!$G$45)+ABS('9'!$K$46-Tulokset!$I$45))))))</f>
        <v/>
      </c>
      <c r="AV12" t="str">
        <f>IF(OR(Tulokset!$G$46="",Tulokset!$I$46="",'9'!$I$47="",'9'!$K$47=""),"",IF(SIGN('9'!$I$47-'9'!$K$47)&lt;&gt;SIGN(Tulokset!$G$46-Tulokset!$I$46),0,IF(Tulokset!$G$46=Tulokset!$I$46,IF(AND('9'!$I$47=Tulokset!$G$46,'9'!$K$47=Tulokset!$I$46),6,3),MAX(0,6-(ABS('9'!$I$47-Tulokset!$G$46)+ABS('9'!$K$47-Tulokset!$I$46))))))</f>
        <v/>
      </c>
      <c r="AW12" t="str">
        <f>IF(OR(Tulokset!$G$47="",Tulokset!$I$47="",'9'!$I$48="",'9'!$K$48=""),"",IF(SIGN('9'!$I$48-'9'!$K$48)&lt;&gt;SIGN(Tulokset!$G$47-Tulokset!$I$47),0,IF(Tulokset!$G$47=Tulokset!$I$47,IF(AND('9'!$I$48=Tulokset!$G$47,'9'!$K$48=Tulokset!$I$47),6,3),MAX(0,6-(ABS('9'!$I$48-Tulokset!$G$47)+ABS('9'!$K$48-Tulokset!$I$47))))))</f>
        <v/>
      </c>
      <c r="AX12" t="str">
        <f>IF(OR(Tulokset!$G$48="",Tulokset!$I$48="",'9'!$I$49="",'9'!$K$49=""),"",IF(SIGN('9'!$I$49-'9'!$K$49)&lt;&gt;SIGN(Tulokset!$G$48-Tulokset!$I$48),0,IF(Tulokset!$G$48=Tulokset!$I$48,IF(AND('9'!$I$49=Tulokset!$G$48,'9'!$K$49=Tulokset!$I$48),6,3),MAX(0,6-(ABS('9'!$I$49-Tulokset!$G$48)+ABS('9'!$K$49-Tulokset!$I$48))))))</f>
        <v/>
      </c>
      <c r="AY12" t="str">
        <f>IF(OR(Tulokset!$G$49="",Tulokset!$I$49="",'9'!$I$50="",'9'!$K$50=""),"",IF(SIGN('9'!$I$50-'9'!$K$50)&lt;&gt;SIGN(Tulokset!$G$49-Tulokset!$I$49),0,IF(Tulokset!$G$49=Tulokset!$I$49,IF(AND('9'!$I$50=Tulokset!$G$49,'9'!$K$50=Tulokset!$I$49),6,3),MAX(0,6-(ABS('9'!$I$50-Tulokset!$G$49)+ABS('9'!$K$50-Tulokset!$I$49))))))</f>
        <v/>
      </c>
      <c r="AZ12" t="str">
        <f>IF(OR(Tulokset!$G$50="",Tulokset!$I$50="",'9'!$I$51="",'9'!$K$51=""),"",IF(SIGN('9'!$I$51-'9'!$K$51)&lt;&gt;SIGN(Tulokset!$G$50-Tulokset!$I$50),0,IF(Tulokset!$G$50=Tulokset!$I$50,IF(AND('9'!$I$51=Tulokset!$G$50,'9'!$K$51=Tulokset!$I$50),6,3),MAX(0,6-(ABS('9'!$I$51-Tulokset!$G$50)+ABS('9'!$K$51-Tulokset!$I$50))))))</f>
        <v/>
      </c>
      <c r="BA12" t="str">
        <f>IF(OR(Tulokset!$G$51="",Tulokset!$I$51="",'9'!$I$52="",'9'!$K$52=""),"",IF(SIGN('9'!$I$52-'9'!$K$52)&lt;&gt;SIGN(Tulokset!$G$51-Tulokset!$I$51),0,IF(Tulokset!$G$51=Tulokset!$I$51,IF(AND('9'!$I$52=Tulokset!$G$51,'9'!$K$52=Tulokset!$I$51),6,3),MAX(0,6-(ABS('9'!$I$52-Tulokset!$G$51)+ABS('9'!$K$52-Tulokset!$I$51))))))</f>
        <v/>
      </c>
      <c r="BB12" t="str">
        <f>IF(OR(Tulokset!$G$52="",Tulokset!$I$52="",'9'!$I$53="",'9'!$K$53=""),"",IF(SIGN('9'!$I$53-'9'!$K$53)&lt;&gt;SIGN(Tulokset!$G$52-Tulokset!$I$52),0,IF(Tulokset!$G$52=Tulokset!$I$52,IF(AND('9'!$I$53=Tulokset!$G$52,'9'!$K$53=Tulokset!$I$52),6,3),MAX(0,6-(ABS('9'!$I$53-Tulokset!$G$52)+ABS('9'!$K$53-Tulokset!$I$52))))))</f>
        <v/>
      </c>
      <c r="BC12" t="str">
        <f>IF(OR(Tulokset!$G$53="",Tulokset!$I$53="",'9'!$I$54="",'9'!$K$54=""),"",IF(SIGN('9'!$I$54-'9'!$K$54)&lt;&gt;SIGN(Tulokset!$G$53-Tulokset!$I$53),0,IF(Tulokset!$G$53=Tulokset!$I$53,IF(AND('9'!$I$54=Tulokset!$G$53,'9'!$K$54=Tulokset!$I$53),6,3),MAX(0,6-(ABS('9'!$I$54-Tulokset!$G$53)+ABS('9'!$K$54-Tulokset!$I$53))))))</f>
        <v/>
      </c>
      <c r="BD12" t="str">
        <f>IF(OR(Tulokset!$G$54="",Tulokset!$I$54="",'9'!$I$55="",'9'!$K$55=""),"",IF(SIGN('9'!$I$55-'9'!$K$55)&lt;&gt;SIGN(Tulokset!$G$54-Tulokset!$I$54),0,IF(Tulokset!$G$54=Tulokset!$I$54,IF(AND('9'!$I$55=Tulokset!$G$54,'9'!$K$55=Tulokset!$I$54),6,3),MAX(0,6-(ABS('9'!$I$55-Tulokset!$G$54)+ABS('9'!$K$55-Tulokset!$I$54))))))</f>
        <v/>
      </c>
      <c r="BE12" t="str">
        <f>IF(OR(Tulokset!$G$55="",Tulokset!$I$55="",'9'!$I$56="",'9'!$K$56=""),"",IF(SIGN('9'!$I$56-'9'!$K$56)&lt;&gt;SIGN(Tulokset!$G$55-Tulokset!$I$55),0,IF(Tulokset!$G$55=Tulokset!$I$55,IF(AND('9'!$I$56=Tulokset!$G$55,'9'!$K$56=Tulokset!$I$55),6,3),MAX(0,6-(ABS('9'!$I$56-Tulokset!$G$55)+ABS('9'!$K$56-Tulokset!$I$55))))))</f>
        <v/>
      </c>
      <c r="BF12" t="str">
        <f>IF(OR(Tulokset!$G$56="",Tulokset!$I$56="",'9'!$I$57="",'9'!$K$57=""),"",IF(SIGN('9'!$I$57-'9'!$K$57)&lt;&gt;SIGN(Tulokset!$G$56-Tulokset!$I$56),0,IF(Tulokset!$G$56=Tulokset!$I$56,IF(AND('9'!$I$57=Tulokset!$G$56,'9'!$K$57=Tulokset!$I$56),6,3),MAX(0,6-(ABS('9'!$I$57-Tulokset!$G$56)+ABS('9'!$K$57-Tulokset!$I$56))))))</f>
        <v/>
      </c>
      <c r="BG12" t="str">
        <f>IF(OR(Tulokset!$G$57="",Tulokset!$I$57="",'9'!$I$58="",'9'!$K$58=""),"",IF(SIGN('9'!$I$58-'9'!$K$58)&lt;&gt;SIGN(Tulokset!$G$57-Tulokset!$I$57),0,IF(Tulokset!$G$57=Tulokset!$I$57,IF(AND('9'!$I$58=Tulokset!$G$57,'9'!$K$58=Tulokset!$I$57),6,3),MAX(0,6-(ABS('9'!$I$58-Tulokset!$G$57)+ABS('9'!$K$58-Tulokset!$I$57))))))</f>
        <v/>
      </c>
      <c r="BH12" t="str">
        <f>IF(OR(Tulokset!$G$58="",Tulokset!$I$58="",'9'!$I$59="",'9'!$K$59=""),"",IF(SIGN('9'!$I$59-'9'!$K$59)&lt;&gt;SIGN(Tulokset!$G$58-Tulokset!$I$58),0,IF(Tulokset!$G$58=Tulokset!$I$58,IF(AND('9'!$I$59=Tulokset!$G$58,'9'!$K$59=Tulokset!$I$58),6,3),MAX(0,6-(ABS('9'!$I$59-Tulokset!$G$58)+ABS('9'!$K$59-Tulokset!$I$58))))))</f>
        <v/>
      </c>
      <c r="BI12" t="str">
        <f>IF(OR(Tulokset!$G$59="",Tulokset!$I$59="",'9'!$I$60="",'9'!$K$60=""),"",IF(SIGN('9'!$I$60-'9'!$K$60)&lt;&gt;SIGN(Tulokset!$G$59-Tulokset!$I$59),0,IF(Tulokset!$G$59=Tulokset!$I$59,IF(AND('9'!$I$60=Tulokset!$G$59,'9'!$K$60=Tulokset!$I$59),6,3),MAX(0,6-(ABS('9'!$I$60-Tulokset!$G$59)+ABS('9'!$K$60-Tulokset!$I$59))))))</f>
        <v/>
      </c>
      <c r="BJ12" t="str">
        <f>IF(OR(Tulokset!$G$60="",Tulokset!$I$60="",'9'!$I$61="",'9'!$K$61=""),"",IF(SIGN('9'!$I$61-'9'!$K$61)&lt;&gt;SIGN(Tulokset!$G$60-Tulokset!$I$60),0,IF(Tulokset!$G$60=Tulokset!$I$60,IF(AND('9'!$I$61=Tulokset!$G$60,'9'!$K$61=Tulokset!$I$60),6,3),MAX(0,6-(ABS('9'!$I$61-Tulokset!$G$60)+ABS('9'!$K$61-Tulokset!$I$60))))))</f>
        <v/>
      </c>
      <c r="BK12" t="str">
        <f>IF(OR(Tulokset!$G$61="",Tulokset!$I$61="",'9'!$I$62="",'9'!$K$62=""),"",IF(SIGN('9'!$I$62-'9'!$K$62)&lt;&gt;SIGN(Tulokset!$G$61-Tulokset!$I$61),0,IF(Tulokset!$G$61=Tulokset!$I$61,IF(AND('9'!$I$62=Tulokset!$G$61,'9'!$K$62=Tulokset!$I$61),6,3),MAX(0,6-(ABS('9'!$I$62-Tulokset!$G$61)+ABS('9'!$K$62-Tulokset!$I$61))))))</f>
        <v/>
      </c>
      <c r="BL12" t="str">
        <f>IF(OR(Tulokset!$G$62="",Tulokset!$I$62="",'9'!$I$63="",'9'!$K$63=""),"",IF(SIGN('9'!$I$63-'9'!$K$63)&lt;&gt;SIGN(Tulokset!$G$62-Tulokset!$I$62),0,IF(Tulokset!$G$62=Tulokset!$I$62,IF(AND('9'!$I$63=Tulokset!$G$62,'9'!$K$63=Tulokset!$I$62),6,3),MAX(0,6-(ABS('9'!$I$63-Tulokset!$G$62)+ABS('9'!$K$63-Tulokset!$I$62))))))</f>
        <v/>
      </c>
      <c r="BM12" t="str">
        <f>IF(OR(Tulokset!$G$63="",Tulokset!$I$63="",'9'!$I$64="",'9'!$K$64=""),"",IF(SIGN('9'!$I$64-'9'!$K$64)&lt;&gt;SIGN(Tulokset!$G$63-Tulokset!$I$63),0,IF(Tulokset!$G$63=Tulokset!$I$63,IF(AND('9'!$I$64=Tulokset!$G$63,'9'!$K$64=Tulokset!$I$63),6,3),MAX(0,6-(ABS('9'!$I$64-Tulokset!$G$63)+ABS('9'!$K$64-Tulokset!$I$63))))))</f>
        <v/>
      </c>
      <c r="BN12" t="str">
        <f>IF(OR(Tulokset!$G$64="",Tulokset!$I$64="",'9'!$I$65="",'9'!$K$65=""),"",IF(SIGN('9'!$I$65-'9'!$K$65)&lt;&gt;SIGN(Tulokset!$G$64-Tulokset!$I$64),0,IF(Tulokset!$G$64=Tulokset!$I$64,IF(AND('9'!$I$65=Tulokset!$G$64,'9'!$K$65=Tulokset!$I$64),6,3),MAX(0,6-(ABS('9'!$I$65-Tulokset!$G$64)+ABS('9'!$K$65-Tulokset!$I$64))))))</f>
        <v/>
      </c>
      <c r="BO12" t="str">
        <f>IF(OR(Tulokset!$G$65="",Tulokset!$I$65="",'9'!$I$66="",'9'!$K$66=""),"",IF(SIGN('9'!$I$66-'9'!$K$66)&lt;&gt;SIGN(Tulokset!$G$65-Tulokset!$I$65),0,IF(Tulokset!$G$65=Tulokset!$I$65,IF(AND('9'!$I$66=Tulokset!$G$65,'9'!$K$66=Tulokset!$I$65),6,3),MAX(0,6-(ABS('9'!$I$66-Tulokset!$G$65)+ABS('9'!$K$66-Tulokset!$I$65))))))</f>
        <v/>
      </c>
      <c r="BP12" t="str">
        <f>IF(OR(Tulokset!$G$66="",Tulokset!$I$66="",'9'!$I$67="",'9'!$K$67=""),"",IF(SIGN('9'!$I$67-'9'!$K$67)&lt;&gt;SIGN(Tulokset!$G$66-Tulokset!$I$66),0,IF(Tulokset!$G$66=Tulokset!$I$66,IF(AND('9'!$I$67=Tulokset!$G$66,'9'!$K$67=Tulokset!$I$66),6,3),MAX(0,6-(ABS('9'!$I$67-Tulokset!$G$66)+ABS('9'!$K$67-Tulokset!$I$66))))))</f>
        <v/>
      </c>
      <c r="BQ12" t="str">
        <f>IF(OR(Tulokset!$G$67="",Tulokset!$I$67="",'9'!$I$68="",'9'!$K$68=""),"",IF(SIGN('9'!$I$68-'9'!$K$68)&lt;&gt;SIGN(Tulokset!$G$67-Tulokset!$I$67),0,IF(Tulokset!$G$67=Tulokset!$I$67,IF(AND('9'!$I$68=Tulokset!$G$67,'9'!$K$68=Tulokset!$I$67),6,3),MAX(0,6-(ABS('9'!$I$68-Tulokset!$G$67)+ABS('9'!$K$68-Tulokset!$I$67))))))</f>
        <v/>
      </c>
      <c r="BR12" t="str">
        <f>IF(OR(Tulokset!$G$68="",Tulokset!$I$68="",'9'!$I$69="",'9'!$K$69=""),"",IF(SIGN('9'!$I$69-'9'!$K$69)&lt;&gt;SIGN(Tulokset!$G$68-Tulokset!$I$68),0,IF(Tulokset!$G$68=Tulokset!$I$68,IF(AND('9'!$I$69=Tulokset!$G$68,'9'!$K$69=Tulokset!$I$68),6,3),MAX(0,6-(ABS('9'!$I$69-Tulokset!$G$68)+ABS('9'!$K$69-Tulokset!$I$68))))))</f>
        <v/>
      </c>
      <c r="BS12" t="str">
        <f>IF(OR(Tulokset!$G$69="",Tulokset!$I$69="",'9'!$I$70="",'9'!$K$70=""),"",IF(SIGN('9'!$I$70-'9'!$K$70)&lt;&gt;SIGN(Tulokset!$G$69-Tulokset!$I$69),0,IF(Tulokset!$G$69=Tulokset!$I$69,IF(AND('9'!$I$70=Tulokset!$G$69,'9'!$K$70=Tulokset!$I$69),6,3),MAX(0,6-(ABS('9'!$I$70-Tulokset!$G$69)+ABS('9'!$K$70-Tulokset!$I$69))))))</f>
        <v/>
      </c>
      <c r="BT12" t="str">
        <f>IF(OR(Tulokset!$G$70="",Tulokset!$I$70="",'9'!$I$71="",'9'!$K$71=""),"",IF(SIGN('9'!$I$71-'9'!$K$71)&lt;&gt;SIGN(Tulokset!$G$70-Tulokset!$I$70),0,IF(Tulokset!$G$70=Tulokset!$I$70,IF(AND('9'!$I$71=Tulokset!$G$70,'9'!$K$71=Tulokset!$I$70),6,3),MAX(0,6-(ABS('9'!$I$71-Tulokset!$G$70)+ABS('9'!$K$71-Tulokset!$I$70))))))</f>
        <v/>
      </c>
      <c r="BU12" t="str">
        <f>IF(OR(Tulokset!$G$71="",Tulokset!$I$71="",'9'!$I$72="",'9'!$K$72=""),"",IF(SIGN('9'!$I$72-'9'!$K$72)&lt;&gt;SIGN(Tulokset!$G$71-Tulokset!$I$71),0,IF(Tulokset!$G$71=Tulokset!$I$71,IF(AND('9'!$I$72=Tulokset!$G$71,'9'!$K$72=Tulokset!$I$71),6,3),MAX(0,6-(ABS('9'!$I$72-Tulokset!$G$71)+ABS('9'!$K$72-Tulokset!$I$71))))))</f>
        <v/>
      </c>
      <c r="BV12" t="str">
        <f>IF(OR(Tulokset!$G$72="",Tulokset!$I$72="",'9'!$I$73="",'9'!$K$73=""),"",IF(SIGN('9'!$I$73-'9'!$K$73)&lt;&gt;SIGN(Tulokset!$G$72-Tulokset!$I$72),0,IF(Tulokset!$G$72=Tulokset!$I$72,IF(AND('9'!$I$73=Tulokset!$G$72,'9'!$K$73=Tulokset!$I$72),6,3),MAX(0,6-(ABS('9'!$I$73-Tulokset!$G$72)+ABS('9'!$K$73-Tulokset!$I$72))))))</f>
        <v/>
      </c>
      <c r="BW12" t="str">
        <f>IF(OR(Tulokset!$G$73="",Tulokset!$I$73="",'9'!$I$74="",'9'!$K$74=""),"",IF(SIGN('9'!$I$74-'9'!$K$74)&lt;&gt;SIGN(Tulokset!$G$73-Tulokset!$I$73),0,IF(Tulokset!$G$73=Tulokset!$I$73,IF(AND('9'!$I$74=Tulokset!$G$73,'9'!$K$74=Tulokset!$I$73),6,3),MAX(0,6-(ABS('9'!$I$74-Tulokset!$G$73)+ABS('9'!$K$74-Tulokset!$I$73))))))</f>
        <v/>
      </c>
      <c r="BX12" t="str">
        <f>IF(OR(Tulokset!$G$74="",Tulokset!$I$74="",'9'!$I$75="",'9'!$K$75=""),"",IF(SIGN('9'!$I$75-'9'!$K$75)&lt;&gt;SIGN(Tulokset!$G$74-Tulokset!$I$74),0,IF(Tulokset!$G$74=Tulokset!$I$74,IF(AND('9'!$I$75=Tulokset!$G$74,'9'!$K$75=Tulokset!$I$74),6,3),MAX(0,6-(ABS('9'!$I$75-Tulokset!$G$74)+ABS('9'!$K$75-Tulokset!$I$74))))))</f>
        <v/>
      </c>
      <c r="BY12" t="str">
        <f>IF(OR(Tulokset!$G$75="",Tulokset!$I$75="",'9'!$I$76="",'9'!$K$76=""),"",IF(SIGN('9'!$I$76-'9'!$K$76)&lt;&gt;SIGN(Tulokset!$G$75-Tulokset!$I$75),0,IF(Tulokset!$G$75=Tulokset!$I$75,IF(AND('9'!$I$76=Tulokset!$G$75,'9'!$K$76=Tulokset!$I$75),6,3),MAX(0,6-(ABS('9'!$I$76-Tulokset!$G$75)+ABS('9'!$K$76-Tulokset!$I$75))))))</f>
        <v/>
      </c>
      <c r="BZ12" t="str">
        <f>IF(OR(Tulokset!$G$76="",Tulokset!$I$76="",'9'!$I$77="",'9'!$K$77=""),"",IF(SIGN('9'!$I$77-'9'!$K$77)&lt;&gt;SIGN(Tulokset!$G$76-Tulokset!$I$76),0,IF(Tulokset!$G$76=Tulokset!$I$76,IF(AND('9'!$I$77=Tulokset!$G$76,'9'!$K$77=Tulokset!$I$76),6,3),MAX(0,6-(ABS('9'!$I$77-Tulokset!$G$76)+ABS('9'!$K$77-Tulokset!$I$76))))))</f>
        <v/>
      </c>
      <c r="CA12" t="str">
        <f>IF(OR(Tulokset!$G$77="",Tulokset!$I$77="",'9'!$I$78="",'9'!$K$78=""),"",IF(SIGN('9'!$I$78-'9'!$K$78)&lt;&gt;SIGN(Tulokset!$G$77-Tulokset!$I$77),0,IF(Tulokset!$G$77=Tulokset!$I$77,IF(AND('9'!$I$78=Tulokset!$G$77,'9'!$K$78=Tulokset!$I$77),6,3),MAX(0,6-(ABS('9'!$I$78-Tulokset!$G$77)+ABS('9'!$K$78-Tulokset!$I$77))))))</f>
        <v/>
      </c>
      <c r="CD12" t="str">
        <f ca="1">IF(OR(Tulokset!$M$6="",INDIRECT("'"&amp;$A12&amp;"'!$P$8")=""),"",IF(TRIM(INDIRECT("'"&amp;$A12&amp;"'!$P$8"))=TRIM(Tulokset!$M$6),2,0))</f>
        <v/>
      </c>
      <c r="CE12" t="str">
        <f ca="1">IF(OR(Tulokset!$M$7="",INDIRECT("'"&amp;$A12&amp;"'!$P$9")=""),"",IF(TRIM(INDIRECT("'"&amp;$A12&amp;"'!$P$9"))=TRIM(Tulokset!$M$7),2,0))</f>
        <v/>
      </c>
      <c r="CF12" t="str">
        <f ca="1">IF(OR(Tulokset!$M$8="",INDIRECT("'"&amp;$A12&amp;"'!$P$10")=""),"",IF(TRIM(INDIRECT("'"&amp;$A12&amp;"'!$P$10"))=TRIM(Tulokset!$M$8),2,0))</f>
        <v/>
      </c>
      <c r="CG12" t="str">
        <f ca="1">IF(OR(Tulokset!$M$9="",INDIRECT("'"&amp;$A12&amp;"'!$P$11")=""),"",IF(TRIM(INDIRECT("'"&amp;$A12&amp;"'!$P$11"))=TRIM(Tulokset!$M$9),2,0))</f>
        <v/>
      </c>
      <c r="CH12" t="str">
        <f ca="1">IF(OR(Tulokset!$N$6="",INDIRECT("'"&amp;$A12&amp;"'!$Q$8")=""),"",IF(TRIM(INDIRECT("'"&amp;$A12&amp;"'!$Q$8"))=TRIM(Tulokset!$N$6),2,0))</f>
        <v/>
      </c>
      <c r="CI12" t="str">
        <f ca="1">IF(OR(Tulokset!$N$7="",INDIRECT("'"&amp;$A12&amp;"'!$Q$9")=""),"",IF(TRIM(INDIRECT("'"&amp;$A12&amp;"'!$Q$9"))=TRIM(Tulokset!$N$7),2,0))</f>
        <v/>
      </c>
      <c r="CJ12" t="str">
        <f ca="1">IF(OR(Tulokset!$N$8="",INDIRECT("'"&amp;$A12&amp;"'!$Q$10")=""),"",IF(TRIM(INDIRECT("'"&amp;$A12&amp;"'!$Q$10"))=TRIM(Tulokset!$N$8),2,0))</f>
        <v/>
      </c>
      <c r="CK12" t="str">
        <f ca="1">IF(OR(Tulokset!$N$9="",INDIRECT("'"&amp;$A12&amp;"'!$Q$11")=""),"",IF(TRIM(INDIRECT("'"&amp;$A12&amp;"'!$Q$11"))=TRIM(Tulokset!$N$9),2,0))</f>
        <v/>
      </c>
      <c r="CL12" t="str">
        <f ca="1">IF(OR(Tulokset!$O$6="",INDIRECT("'"&amp;$A12&amp;"'!$R$8")=""),"",IF(TRIM(INDIRECT("'"&amp;$A12&amp;"'!$R$8"))=TRIM(Tulokset!$O$6),2,0))</f>
        <v/>
      </c>
      <c r="CM12" t="str">
        <f ca="1">IF(OR(Tulokset!$O$7="",INDIRECT("'"&amp;$A12&amp;"'!$R$9")=""),"",IF(TRIM(INDIRECT("'"&amp;$A12&amp;"'!$R$9"))=TRIM(Tulokset!$O$7),2,0))</f>
        <v/>
      </c>
      <c r="CN12" t="str">
        <f ca="1">IF(OR(Tulokset!$O$8="",INDIRECT("'"&amp;$A12&amp;"'!$R$10")=""),"",IF(TRIM(INDIRECT("'"&amp;$A12&amp;"'!$R$10"))=TRIM(Tulokset!$O$8),2,0))</f>
        <v/>
      </c>
      <c r="CO12" t="str">
        <f ca="1">IF(OR(Tulokset!$O$9="",INDIRECT("'"&amp;$A12&amp;"'!$R$11")=""),"",IF(TRIM(INDIRECT("'"&amp;$A12&amp;"'!$R$11"))=TRIM(Tulokset!$O$9),2,0))</f>
        <v/>
      </c>
      <c r="CP12" t="str">
        <f ca="1">IF(OR(Tulokset!$P$6="",INDIRECT("'"&amp;$A12&amp;"'!$S$8")=""),"",IF(TRIM(INDIRECT("'"&amp;$A12&amp;"'!$S$8"))=TRIM(Tulokset!$P$6),2,0))</f>
        <v/>
      </c>
      <c r="CQ12" t="str">
        <f ca="1">IF(OR(Tulokset!$P$7="",INDIRECT("'"&amp;$A12&amp;"'!$S$9")=""),"",IF(TRIM(INDIRECT("'"&amp;$A12&amp;"'!$S$9"))=TRIM(Tulokset!$P$7),2,0))</f>
        <v/>
      </c>
      <c r="CR12" t="str">
        <f ca="1">IF(OR(Tulokset!$P$8="",INDIRECT("'"&amp;$A12&amp;"'!$S$10")=""),"",IF(TRIM(INDIRECT("'"&amp;$A12&amp;"'!$S$10"))=TRIM(Tulokset!$P$8),2,0))</f>
        <v/>
      </c>
      <c r="CS12" t="str">
        <f ca="1">IF(OR(Tulokset!$P$9="",INDIRECT("'"&amp;$A12&amp;"'!$S$11")=""),"",IF(TRIM(INDIRECT("'"&amp;$A12&amp;"'!$S$11"))=TRIM(Tulokset!$P$9),2,0))</f>
        <v/>
      </c>
      <c r="CT12" t="str">
        <f ca="1">IF(OR(Tulokset!$Q$6="",INDIRECT("'"&amp;$A12&amp;"'!$T$8")=""),"",IF(TRIM(INDIRECT("'"&amp;$A12&amp;"'!$T$8"))=TRIM(Tulokset!$Q$6),2,0))</f>
        <v/>
      </c>
      <c r="CU12" t="str">
        <f ca="1">IF(OR(Tulokset!$Q$7="",INDIRECT("'"&amp;$A12&amp;"'!$T$9")=""),"",IF(TRIM(INDIRECT("'"&amp;$A12&amp;"'!$T$9"))=TRIM(Tulokset!$Q$7),2,0))</f>
        <v/>
      </c>
      <c r="CV12" t="str">
        <f ca="1">IF(OR(Tulokset!$Q$8="",INDIRECT("'"&amp;$A12&amp;"'!$T$10")=""),"",IF(TRIM(INDIRECT("'"&amp;$A12&amp;"'!$T$10"))=TRIM(Tulokset!$Q$8),2,0))</f>
        <v/>
      </c>
      <c r="CW12" t="str">
        <f ca="1">IF(OR(Tulokset!$Q$9="",INDIRECT("'"&amp;$A12&amp;"'!$T$11")=""),"",IF(TRIM(INDIRECT("'"&amp;$A12&amp;"'!$T$11"))=TRIM(Tulokset!$Q$9),2,0))</f>
        <v/>
      </c>
      <c r="CX12" t="str">
        <f ca="1">IF(OR(Tulokset!$R$6="",INDIRECT("'"&amp;$A12&amp;"'!$U$8")=""),"",IF(TRIM(INDIRECT("'"&amp;$A12&amp;"'!$U$8"))=TRIM(Tulokset!$R$6),2,0))</f>
        <v/>
      </c>
      <c r="CY12" t="str">
        <f ca="1">IF(OR(Tulokset!$R$7="",INDIRECT("'"&amp;$A12&amp;"'!$U$9")=""),"",IF(TRIM(INDIRECT("'"&amp;$A12&amp;"'!$U$9"))=TRIM(Tulokset!$R$7),2,0))</f>
        <v/>
      </c>
      <c r="CZ12" t="str">
        <f ca="1">IF(OR(Tulokset!$R$8="",INDIRECT("'"&amp;$A12&amp;"'!$U$10")=""),"",IF(TRIM(INDIRECT("'"&amp;$A12&amp;"'!$U$10"))=TRIM(Tulokset!$R$8),2,0))</f>
        <v/>
      </c>
      <c r="DA12" t="str">
        <f ca="1">IF(OR(Tulokset!$R$9="",INDIRECT("'"&amp;$A12&amp;"'!$U$11")=""),"",IF(TRIM(INDIRECT("'"&amp;$A12&amp;"'!$U$11"))=TRIM(Tulokset!$R$9),2,0))</f>
        <v/>
      </c>
      <c r="DB12" t="str">
        <f ca="1">IF(OR(Tulokset!$M$12="",INDIRECT("'"&amp;$A12&amp;"'!$P$14")=""),"",IF(TRIM(INDIRECT("'"&amp;$A12&amp;"'!$P$14"))=TRIM(Tulokset!$M$12),2,0))</f>
        <v/>
      </c>
      <c r="DC12" t="str">
        <f ca="1">IF(OR(Tulokset!$M$13="",INDIRECT("'"&amp;$A12&amp;"'!$P$15")=""),"",IF(TRIM(INDIRECT("'"&amp;$A12&amp;"'!$P$15"))=TRIM(Tulokset!$M$13),2,0))</f>
        <v/>
      </c>
      <c r="DD12" t="str">
        <f ca="1">IF(OR(Tulokset!$M$14="",INDIRECT("'"&amp;$A12&amp;"'!$P$16")=""),"",IF(TRIM(INDIRECT("'"&amp;$A12&amp;"'!$P$16"))=TRIM(Tulokset!$M$14),2,0))</f>
        <v/>
      </c>
      <c r="DE12" t="str">
        <f ca="1">IF(OR(Tulokset!$M$15="",INDIRECT("'"&amp;$A12&amp;"'!$P$17")=""),"",IF(TRIM(INDIRECT("'"&amp;$A12&amp;"'!$P$17"))=TRIM(Tulokset!$M$15),2,0))</f>
        <v/>
      </c>
      <c r="DF12" t="str">
        <f ca="1">IF(OR(Tulokset!$N$12="",INDIRECT("'"&amp;$A12&amp;"'!$Q$14")=""),"",IF(TRIM(INDIRECT("'"&amp;$A12&amp;"'!$Q$14"))=TRIM(Tulokset!$N$12),2,0))</f>
        <v/>
      </c>
      <c r="DG12" t="str">
        <f ca="1">IF(OR(Tulokset!$N$13="",INDIRECT("'"&amp;$A12&amp;"'!$Q$15")=""),"",IF(TRIM(INDIRECT("'"&amp;$A12&amp;"'!$Q$15"))=TRIM(Tulokset!$N$13),2,0))</f>
        <v/>
      </c>
      <c r="DH12" t="str">
        <f ca="1">IF(OR(Tulokset!$N$14="",INDIRECT("'"&amp;$A12&amp;"'!$Q$16")=""),"",IF(TRIM(INDIRECT("'"&amp;$A12&amp;"'!$Q$16"))=TRIM(Tulokset!$N$14),2,0))</f>
        <v/>
      </c>
      <c r="DI12" t="str">
        <f ca="1">IF(OR(Tulokset!$N$15="",INDIRECT("'"&amp;$A12&amp;"'!$Q$17")=""),"",IF(TRIM(INDIRECT("'"&amp;$A12&amp;"'!$Q$17"))=TRIM(Tulokset!$N$15),2,0))</f>
        <v/>
      </c>
      <c r="DJ12" t="str">
        <f ca="1">IF(OR(Tulokset!$O$12="",INDIRECT("'"&amp;$A12&amp;"'!$R$14")=""),"",IF(TRIM(INDIRECT("'"&amp;$A12&amp;"'!$R$14"))=TRIM(Tulokset!$O$12),2,0))</f>
        <v/>
      </c>
      <c r="DK12" t="str">
        <f ca="1">IF(OR(Tulokset!$O$13="",INDIRECT("'"&amp;$A12&amp;"'!$R$15")=""),"",IF(TRIM(INDIRECT("'"&amp;$A12&amp;"'!$R$15"))=TRIM(Tulokset!$O$13),2,0))</f>
        <v/>
      </c>
      <c r="DL12" t="str">
        <f ca="1">IF(OR(Tulokset!$O$14="",INDIRECT("'"&amp;$A12&amp;"'!$R$16")=""),"",IF(TRIM(INDIRECT("'"&amp;$A12&amp;"'!$R$16"))=TRIM(Tulokset!$O$14),2,0))</f>
        <v/>
      </c>
      <c r="DM12" t="str">
        <f ca="1">IF(OR(Tulokset!$O$15="",INDIRECT("'"&amp;$A12&amp;"'!$R$17")=""),"",IF(TRIM(INDIRECT("'"&amp;$A12&amp;"'!$R$17"))=TRIM(Tulokset!$O$15),2,0))</f>
        <v/>
      </c>
      <c r="DN12" t="str">
        <f ca="1">IF(OR(Tulokset!$P$12="",INDIRECT("'"&amp;$A12&amp;"'!$S$14")=""),"",IF(TRIM(INDIRECT("'"&amp;$A12&amp;"'!$S$14"))=TRIM(Tulokset!$P$12),2,0))</f>
        <v/>
      </c>
      <c r="DO12" t="str">
        <f ca="1">IF(OR(Tulokset!$P$13="",INDIRECT("'"&amp;$A12&amp;"'!$S$15")=""),"",IF(TRIM(INDIRECT("'"&amp;$A12&amp;"'!$S$15"))=TRIM(Tulokset!$P$13),2,0))</f>
        <v/>
      </c>
      <c r="DP12" t="str">
        <f ca="1">IF(OR(Tulokset!$P$14="",INDIRECT("'"&amp;$A12&amp;"'!$S$16")=""),"",IF(TRIM(INDIRECT("'"&amp;$A12&amp;"'!$S$16"))=TRIM(Tulokset!$P$14),2,0))</f>
        <v/>
      </c>
      <c r="DQ12" t="str">
        <f ca="1">IF(OR(Tulokset!$P$15="",INDIRECT("'"&amp;$A12&amp;"'!$S$17")=""),"",IF(TRIM(INDIRECT("'"&amp;$A12&amp;"'!$S$17"))=TRIM(Tulokset!$P$15),2,0))</f>
        <v/>
      </c>
      <c r="DR12" t="str">
        <f ca="1">IF(OR(Tulokset!$Q$12="",INDIRECT("'"&amp;$A12&amp;"'!$T$14")=""),"",IF(TRIM(INDIRECT("'"&amp;$A12&amp;"'!$T$14"))=TRIM(Tulokset!$Q$12),2,0))</f>
        <v/>
      </c>
      <c r="DS12" t="str">
        <f ca="1">IF(OR(Tulokset!$Q$13="",INDIRECT("'"&amp;$A12&amp;"'!$T$15")=""),"",IF(TRIM(INDIRECT("'"&amp;$A12&amp;"'!$T$15"))=TRIM(Tulokset!$Q$13),2,0))</f>
        <v/>
      </c>
      <c r="DT12" t="str">
        <f ca="1">IF(OR(Tulokset!$Q$14="",INDIRECT("'"&amp;$A12&amp;"'!$T$16")=""),"",IF(TRIM(INDIRECT("'"&amp;$A12&amp;"'!$T$16"))=TRIM(Tulokset!$Q$14),2,0))</f>
        <v/>
      </c>
      <c r="DU12" t="str">
        <f ca="1">IF(OR(Tulokset!$Q$15="",INDIRECT("'"&amp;$A12&amp;"'!$T$17")=""),"",IF(TRIM(INDIRECT("'"&amp;$A12&amp;"'!$T$17"))=TRIM(Tulokset!$Q$15),2,0))</f>
        <v/>
      </c>
      <c r="DV12" t="str">
        <f ca="1">IF(OR(Tulokset!$R$12="",INDIRECT("'"&amp;$A12&amp;"'!$U$14")=""),"",IF(TRIM(INDIRECT("'"&amp;$A12&amp;"'!$U$14"))=TRIM(Tulokset!$R$12),2,0))</f>
        <v/>
      </c>
      <c r="DW12" t="str">
        <f ca="1">IF(OR(Tulokset!$R$13="",INDIRECT("'"&amp;$A12&amp;"'!$U$15")=""),"",IF(TRIM(INDIRECT("'"&amp;$A12&amp;"'!$U$15"))=TRIM(Tulokset!$R$13),2,0))</f>
        <v/>
      </c>
      <c r="DX12" t="str">
        <f ca="1">IF(OR(Tulokset!$R$14="",INDIRECT("'"&amp;$A12&amp;"'!$U$16")=""),"",IF(TRIM(INDIRECT("'"&amp;$A12&amp;"'!$U$16"))=TRIM(Tulokset!$R$14),2,0))</f>
        <v/>
      </c>
      <c r="DY12" t="str">
        <f ca="1">IF(OR(Tulokset!$R$15="",INDIRECT("'"&amp;$A12&amp;"'!$U$17")=""),"",IF(TRIM(INDIRECT("'"&amp;$A12&amp;"'!$U$17"))=TRIM(Tulokset!$R$15),2,0))</f>
        <v/>
      </c>
      <c r="EA12" t="str">
        <f ca="1">IF(OR(INDIRECT("'"&amp;$A12&amp;"'!$E$79")="",COUNTA(Tulokset!$M$20:$M$21)=0),"",IF(COUNTIF(Tulokset!$M$20:$M$21,INDIRECT("'"&amp;$A12&amp;"'!$E$79"))&gt;0,2,0))</f>
        <v/>
      </c>
      <c r="EB12" t="str">
        <f ca="1">IF(OR(INDIRECT("'"&amp;$A12&amp;"'!$G$79")="",COUNTA(Tulokset!$M$20:$M$21)=0),"",IF(COUNTIF(Tulokset!$M$20:$M$21,INDIRECT("'"&amp;$A12&amp;"'!$G$79"))&gt;0,2,0))</f>
        <v/>
      </c>
      <c r="EC12" t="str">
        <f ca="1">IF(OR(INDIRECT("'"&amp;$A12&amp;"'!$E$80")="",COUNTA(Tulokset!$M$23:$M$24)=0),"",IF(COUNTIF(Tulokset!$M$23:$M$24,INDIRECT("'"&amp;$A12&amp;"'!$E$80"))&gt;0,2,0))</f>
        <v/>
      </c>
      <c r="ED12" t="str">
        <f ca="1">IF(OR(INDIRECT("'"&amp;$A12&amp;"'!$G$80")="",COUNTA(Tulokset!$M$23:$M$24)=0),"",IF(COUNTIF(Tulokset!$M$23:$M$24,INDIRECT("'"&amp;$A12&amp;"'!$G$80"))&gt;0,2,0))</f>
        <v/>
      </c>
    </row>
    <row r="13" spans="1:134">
      <c r="A13" t="s">
        <v>228</v>
      </c>
      <c r="B13" t="str">
        <f t="shared" ca="1" si="0"/>
        <v>PoHan Pullistus</v>
      </c>
      <c r="C13" s="95">
        <f t="shared" si="1"/>
        <v>0</v>
      </c>
      <c r="D13" s="95">
        <f t="shared" ca="1" si="2"/>
        <v>0</v>
      </c>
      <c r="E13" s="95">
        <f t="shared" ca="1" si="3"/>
        <v>0</v>
      </c>
      <c r="F13" s="95">
        <f t="shared" ca="1" si="4"/>
        <v>0</v>
      </c>
      <c r="G13" s="95">
        <f t="shared" si="5"/>
        <v>0</v>
      </c>
      <c r="H13" t="str">
        <f>IF(OR(Tulokset!$G$6="",Tulokset!$I$6="",'10'!$I$7="",'10'!$K$7=""),"",IF(SIGN('10'!$I$7-'10'!$K$7)&lt;&gt;SIGN(Tulokset!$G$6-Tulokset!$I$6),0,IF(Tulokset!$G$6=Tulokset!$I$6,IF(AND('10'!$I$7=Tulokset!$G$6,'10'!$K$7=Tulokset!$I$6),6,3),MAX(0,6-(ABS('10'!$I$7-Tulokset!$G$6)+ABS('10'!$K$7-Tulokset!$I$6))))))</f>
        <v/>
      </c>
      <c r="I13" t="str">
        <f>IF(OR(Tulokset!$G$7="",Tulokset!$I$7="",'10'!$I$8="",'10'!$K$8=""),"",IF(SIGN('10'!$I$8-'10'!$K$8)&lt;&gt;SIGN(Tulokset!$G$7-Tulokset!$I$7),0,IF(Tulokset!$G$7=Tulokset!$I$7,IF(AND('10'!$I$8=Tulokset!$G$7,'10'!$K$8=Tulokset!$I$7),6,3),MAX(0,6-(ABS('10'!$I$8-Tulokset!$G$7)+ABS('10'!$K$8-Tulokset!$I$7))))))</f>
        <v/>
      </c>
      <c r="J13" t="str">
        <f>IF(OR(Tulokset!$G$8="",Tulokset!$I$8="",'10'!$I$9="",'10'!$K$9=""),"",IF(SIGN('10'!$I$9-'10'!$K$9)&lt;&gt;SIGN(Tulokset!$G$8-Tulokset!$I$8),0,IF(Tulokset!$G$8=Tulokset!$I$8,IF(AND('10'!$I$9=Tulokset!$G$8,'10'!$K$9=Tulokset!$I$8),6,3),MAX(0,6-(ABS('10'!$I$9-Tulokset!$G$8)+ABS('10'!$K$9-Tulokset!$I$8))))))</f>
        <v/>
      </c>
      <c r="K13" t="str">
        <f>IF(OR(Tulokset!$G$9="",Tulokset!$I$9="",'10'!$I$10="",'10'!$K$10=""),"",IF(SIGN('10'!$I$10-'10'!$K$10)&lt;&gt;SIGN(Tulokset!$G$9-Tulokset!$I$9),0,IF(Tulokset!$G$9=Tulokset!$I$9,IF(AND('10'!$I$10=Tulokset!$G$9,'10'!$K$10=Tulokset!$I$9),6,3),MAX(0,6-(ABS('10'!$I$10-Tulokset!$G$9)+ABS('10'!$K$10-Tulokset!$I$9))))))</f>
        <v/>
      </c>
      <c r="L13" t="str">
        <f>IF(OR(Tulokset!$G$10="",Tulokset!$I$10="",'10'!$I$11="",'10'!$K$11=""),"",IF(SIGN('10'!$I$11-'10'!$K$11)&lt;&gt;SIGN(Tulokset!$G$10-Tulokset!$I$10),0,IF(Tulokset!$G$10=Tulokset!$I$10,IF(AND('10'!$I$11=Tulokset!$G$10,'10'!$K$11=Tulokset!$I$10),6,3),MAX(0,6-(ABS('10'!$I$11-Tulokset!$G$10)+ABS('10'!$K$11-Tulokset!$I$10))))))</f>
        <v/>
      </c>
      <c r="M13" t="str">
        <f>IF(OR(Tulokset!$G$11="",Tulokset!$I$11="",'10'!$I$12="",'10'!$K$12=""),"",IF(SIGN('10'!$I$12-'10'!$K$12)&lt;&gt;SIGN(Tulokset!$G$11-Tulokset!$I$11),0,IF(Tulokset!$G$11=Tulokset!$I$11,IF(AND('10'!$I$12=Tulokset!$G$11,'10'!$K$12=Tulokset!$I$11),6,3),MAX(0,6-(ABS('10'!$I$12-Tulokset!$G$11)+ABS('10'!$K$12-Tulokset!$I$11))))))</f>
        <v/>
      </c>
      <c r="N13" t="str">
        <f>IF(OR(Tulokset!$G$12="",Tulokset!$I$12="",'10'!$I$13="",'10'!$K$13=""),"",IF(SIGN('10'!$I$13-'10'!$K$13)&lt;&gt;SIGN(Tulokset!$G$12-Tulokset!$I$12),0,IF(Tulokset!$G$12=Tulokset!$I$12,IF(AND('10'!$I$13=Tulokset!$G$12,'10'!$K$13=Tulokset!$I$12),6,3),MAX(0,6-(ABS('10'!$I$13-Tulokset!$G$12)+ABS('10'!$K$13-Tulokset!$I$12))))))</f>
        <v/>
      </c>
      <c r="O13" t="str">
        <f>IF(OR(Tulokset!$G$13="",Tulokset!$I$13="",'10'!$I$14="",'10'!$K$14=""),"",IF(SIGN('10'!$I$14-'10'!$K$14)&lt;&gt;SIGN(Tulokset!$G$13-Tulokset!$I$13),0,IF(Tulokset!$G$13=Tulokset!$I$13,IF(AND('10'!$I$14=Tulokset!$G$13,'10'!$K$14=Tulokset!$I$13),6,3),MAX(0,6-(ABS('10'!$I$14-Tulokset!$G$13)+ABS('10'!$K$14-Tulokset!$I$13))))))</f>
        <v/>
      </c>
      <c r="P13" t="str">
        <f>IF(OR(Tulokset!$G$14="",Tulokset!$I$14="",'10'!$I$15="",'10'!$K$15=""),"",IF(SIGN('10'!$I$15-'10'!$K$15)&lt;&gt;SIGN(Tulokset!$G$14-Tulokset!$I$14),0,IF(Tulokset!$G$14=Tulokset!$I$14,IF(AND('10'!$I$15=Tulokset!$G$14,'10'!$K$15=Tulokset!$I$14),6,3),MAX(0,6-(ABS('10'!$I$15-Tulokset!$G$14)+ABS('10'!$K$15-Tulokset!$I$14))))))</f>
        <v/>
      </c>
      <c r="Q13" t="str">
        <f>IF(OR(Tulokset!$G$15="",Tulokset!$I$15="",'10'!$I$16="",'10'!$K$16=""),"",IF(SIGN('10'!$I$16-'10'!$K$16)&lt;&gt;SIGN(Tulokset!$G$15-Tulokset!$I$15),0,IF(Tulokset!$G$15=Tulokset!$I$15,IF(AND('10'!$I$16=Tulokset!$G$15,'10'!$K$16=Tulokset!$I$15),6,3),MAX(0,6-(ABS('10'!$I$16-Tulokset!$G$15)+ABS('10'!$K$16-Tulokset!$I$15))))))</f>
        <v/>
      </c>
      <c r="R13" t="str">
        <f>IF(OR(Tulokset!$G$16="",Tulokset!$I$16="",'10'!$I$17="",'10'!$K$17=""),"",IF(SIGN('10'!$I$17-'10'!$K$17)&lt;&gt;SIGN(Tulokset!$G$16-Tulokset!$I$16),0,IF(Tulokset!$G$16=Tulokset!$I$16,IF(AND('10'!$I$17=Tulokset!$G$16,'10'!$K$17=Tulokset!$I$16),6,3),MAX(0,6-(ABS('10'!$I$17-Tulokset!$G$16)+ABS('10'!$K$17-Tulokset!$I$16))))))</f>
        <v/>
      </c>
      <c r="S13" t="str">
        <f>IF(OR(Tulokset!$G$17="",Tulokset!$I$17="",'10'!$I$18="",'10'!$K$18=""),"",IF(SIGN('10'!$I$18-'10'!$K$18)&lt;&gt;SIGN(Tulokset!$G$17-Tulokset!$I$17),0,IF(Tulokset!$G$17=Tulokset!$I$17,IF(AND('10'!$I$18=Tulokset!$G$17,'10'!$K$18=Tulokset!$I$17),6,3),MAX(0,6-(ABS('10'!$I$18-Tulokset!$G$17)+ABS('10'!$K$18-Tulokset!$I$17))))))</f>
        <v/>
      </c>
      <c r="T13" t="str">
        <f>IF(OR(Tulokset!$G$18="",Tulokset!$I$18="",'10'!$I$19="",'10'!$K$19=""),"",IF(SIGN('10'!$I$19-'10'!$K$19)&lt;&gt;SIGN(Tulokset!$G$18-Tulokset!$I$18),0,IF(Tulokset!$G$18=Tulokset!$I$18,IF(AND('10'!$I$19=Tulokset!$G$18,'10'!$K$19=Tulokset!$I$18),6,3),MAX(0,6-(ABS('10'!$I$19-Tulokset!$G$18)+ABS('10'!$K$19-Tulokset!$I$18))))))</f>
        <v/>
      </c>
      <c r="U13" t="str">
        <f>IF(OR(Tulokset!$G$19="",Tulokset!$I$19="",'10'!$I$20="",'10'!$K$20=""),"",IF(SIGN('10'!$I$20-'10'!$K$20)&lt;&gt;SIGN(Tulokset!$G$19-Tulokset!$I$19),0,IF(Tulokset!$G$19=Tulokset!$I$19,IF(AND('10'!$I$20=Tulokset!$G$19,'10'!$K$20=Tulokset!$I$19),6,3),MAX(0,6-(ABS('10'!$I$20-Tulokset!$G$19)+ABS('10'!$K$20-Tulokset!$I$19))))))</f>
        <v/>
      </c>
      <c r="V13" t="str">
        <f>IF(OR(Tulokset!$G$20="",Tulokset!$I$20="",'10'!$I$21="",'10'!$K$21=""),"",IF(SIGN('10'!$I$21-'10'!$K$21)&lt;&gt;SIGN(Tulokset!$G$20-Tulokset!$I$20),0,IF(Tulokset!$G$20=Tulokset!$I$20,IF(AND('10'!$I$21=Tulokset!$G$20,'10'!$K$21=Tulokset!$I$20),6,3),MAX(0,6-(ABS('10'!$I$21-Tulokset!$G$20)+ABS('10'!$K$21-Tulokset!$I$20))))))</f>
        <v/>
      </c>
      <c r="W13" t="str">
        <f>IF(OR(Tulokset!$G$21="",Tulokset!$I$21="",'10'!$I$22="",'10'!$K$22=""),"",IF(SIGN('10'!$I$22-'10'!$K$22)&lt;&gt;SIGN(Tulokset!$G$21-Tulokset!$I$21),0,IF(Tulokset!$G$21=Tulokset!$I$21,IF(AND('10'!$I$22=Tulokset!$G$21,'10'!$K$22=Tulokset!$I$21),6,3),MAX(0,6-(ABS('10'!$I$22-Tulokset!$G$21)+ABS('10'!$K$22-Tulokset!$I$21))))))</f>
        <v/>
      </c>
      <c r="X13" t="str">
        <f>IF(OR(Tulokset!$G$22="",Tulokset!$I$22="",'10'!$I$23="",'10'!$K$23=""),"",IF(SIGN('10'!$I$23-'10'!$K$23)&lt;&gt;SIGN(Tulokset!$G$22-Tulokset!$I$22),0,IF(Tulokset!$G$22=Tulokset!$I$22,IF(AND('10'!$I$23=Tulokset!$G$22,'10'!$K$23=Tulokset!$I$22),6,3),MAX(0,6-(ABS('10'!$I$23-Tulokset!$G$22)+ABS('10'!$K$23-Tulokset!$I$22))))))</f>
        <v/>
      </c>
      <c r="Y13" t="str">
        <f>IF(OR(Tulokset!$G$23="",Tulokset!$I$23="",'10'!$I$24="",'10'!$K$24=""),"",IF(SIGN('10'!$I$24-'10'!$K$24)&lt;&gt;SIGN(Tulokset!$G$23-Tulokset!$I$23),0,IF(Tulokset!$G$23=Tulokset!$I$23,IF(AND('10'!$I$24=Tulokset!$G$23,'10'!$K$24=Tulokset!$I$23),6,3),MAX(0,6-(ABS('10'!$I$24-Tulokset!$G$23)+ABS('10'!$K$24-Tulokset!$I$23))))))</f>
        <v/>
      </c>
      <c r="Z13" t="str">
        <f>IF(OR(Tulokset!$G$24="",Tulokset!$I$24="",'10'!$I$25="",'10'!$K$25=""),"",IF(SIGN('10'!$I$25-'10'!$K$25)&lt;&gt;SIGN(Tulokset!$G$24-Tulokset!$I$24),0,IF(Tulokset!$G$24=Tulokset!$I$24,IF(AND('10'!$I$25=Tulokset!$G$24,'10'!$K$25=Tulokset!$I$24),6,3),MAX(0,6-(ABS('10'!$I$25-Tulokset!$G$24)+ABS('10'!$K$25-Tulokset!$I$24))))))</f>
        <v/>
      </c>
      <c r="AA13" t="str">
        <f>IF(OR(Tulokset!$G$25="",Tulokset!$I$25="",'10'!$I$26="",'10'!$K$26=""),"",IF(SIGN('10'!$I$26-'10'!$K$26)&lt;&gt;SIGN(Tulokset!$G$25-Tulokset!$I$25),0,IF(Tulokset!$G$25=Tulokset!$I$25,IF(AND('10'!$I$26=Tulokset!$G$25,'10'!$K$26=Tulokset!$I$25),6,3),MAX(0,6-(ABS('10'!$I$26-Tulokset!$G$25)+ABS('10'!$K$26-Tulokset!$I$25))))))</f>
        <v/>
      </c>
      <c r="AB13" t="str">
        <f>IF(OR(Tulokset!$G$26="",Tulokset!$I$26="",'10'!$I$27="",'10'!$K$27=""),"",IF(SIGN('10'!$I$27-'10'!$K$27)&lt;&gt;SIGN(Tulokset!$G$26-Tulokset!$I$26),0,IF(Tulokset!$G$26=Tulokset!$I$26,IF(AND('10'!$I$27=Tulokset!$G$26,'10'!$K$27=Tulokset!$I$26),6,3),MAX(0,6-(ABS('10'!$I$27-Tulokset!$G$26)+ABS('10'!$K$27-Tulokset!$I$26))))))</f>
        <v/>
      </c>
      <c r="AC13" t="str">
        <f>IF(OR(Tulokset!$G$27="",Tulokset!$I$27="",'10'!$I$28="",'10'!$K$28=""),"",IF(SIGN('10'!$I$28-'10'!$K$28)&lt;&gt;SIGN(Tulokset!$G$27-Tulokset!$I$27),0,IF(Tulokset!$G$27=Tulokset!$I$27,IF(AND('10'!$I$28=Tulokset!$G$27,'10'!$K$28=Tulokset!$I$27),6,3),MAX(0,6-(ABS('10'!$I$28-Tulokset!$G$27)+ABS('10'!$K$28-Tulokset!$I$27))))))</f>
        <v/>
      </c>
      <c r="AD13" t="str">
        <f>IF(OR(Tulokset!$G$28="",Tulokset!$I$28="",'10'!$I$29="",'10'!$K$29=""),"",IF(SIGN('10'!$I$29-'10'!$K$29)&lt;&gt;SIGN(Tulokset!$G$28-Tulokset!$I$28),0,IF(Tulokset!$G$28=Tulokset!$I$28,IF(AND('10'!$I$29=Tulokset!$G$28,'10'!$K$29=Tulokset!$I$28),6,3),MAX(0,6-(ABS('10'!$I$29-Tulokset!$G$28)+ABS('10'!$K$29-Tulokset!$I$28))))))</f>
        <v/>
      </c>
      <c r="AE13" t="str">
        <f>IF(OR(Tulokset!$G$29="",Tulokset!$I$29="",'10'!$I$30="",'10'!$K$30=""),"",IF(SIGN('10'!$I$30-'10'!$K$30)&lt;&gt;SIGN(Tulokset!$G$29-Tulokset!$I$29),0,IF(Tulokset!$G$29=Tulokset!$I$29,IF(AND('10'!$I$30=Tulokset!$G$29,'10'!$K$30=Tulokset!$I$29),6,3),MAX(0,6-(ABS('10'!$I$30-Tulokset!$G$29)+ABS('10'!$K$30-Tulokset!$I$29))))))</f>
        <v/>
      </c>
      <c r="AF13" t="str">
        <f>IF(OR(Tulokset!$G$30="",Tulokset!$I$30="",'10'!$I$31="",'10'!$K$31=""),"",IF(SIGN('10'!$I$31-'10'!$K$31)&lt;&gt;SIGN(Tulokset!$G$30-Tulokset!$I$30),0,IF(Tulokset!$G$30=Tulokset!$I$30,IF(AND('10'!$I$31=Tulokset!$G$30,'10'!$K$31=Tulokset!$I$30),6,3),MAX(0,6-(ABS('10'!$I$31-Tulokset!$G$30)+ABS('10'!$K$31-Tulokset!$I$30))))))</f>
        <v/>
      </c>
      <c r="AG13" t="str">
        <f>IF(OR(Tulokset!$G$31="",Tulokset!$I$31="",'10'!$I$32="",'10'!$K$32=""),"",IF(SIGN('10'!$I$32-'10'!$K$32)&lt;&gt;SIGN(Tulokset!$G$31-Tulokset!$I$31),0,IF(Tulokset!$G$31=Tulokset!$I$31,IF(AND('10'!$I$32=Tulokset!$G$31,'10'!$K$32=Tulokset!$I$31),6,3),MAX(0,6-(ABS('10'!$I$32-Tulokset!$G$31)+ABS('10'!$K$32-Tulokset!$I$31))))))</f>
        <v/>
      </c>
      <c r="AH13" t="str">
        <f>IF(OR(Tulokset!$G$32="",Tulokset!$I$32="",'10'!$I$33="",'10'!$K$33=""),"",IF(SIGN('10'!$I$33-'10'!$K$33)&lt;&gt;SIGN(Tulokset!$G$32-Tulokset!$I$32),0,IF(Tulokset!$G$32=Tulokset!$I$32,IF(AND('10'!$I$33=Tulokset!$G$32,'10'!$K$33=Tulokset!$I$32),6,3),MAX(0,6-(ABS('10'!$I$33-Tulokset!$G$32)+ABS('10'!$K$33-Tulokset!$I$32))))))</f>
        <v/>
      </c>
      <c r="AI13" t="str">
        <f>IF(OR(Tulokset!$G$33="",Tulokset!$I$33="",'10'!$I$34="",'10'!$K$34=""),"",IF(SIGN('10'!$I$34-'10'!$K$34)&lt;&gt;SIGN(Tulokset!$G$33-Tulokset!$I$33),0,IF(Tulokset!$G$33=Tulokset!$I$33,IF(AND('10'!$I$34=Tulokset!$G$33,'10'!$K$34=Tulokset!$I$33),6,3),MAX(0,6-(ABS('10'!$I$34-Tulokset!$G$33)+ABS('10'!$K$34-Tulokset!$I$33))))))</f>
        <v/>
      </c>
      <c r="AJ13" t="str">
        <f>IF(OR(Tulokset!$G$34="",Tulokset!$I$34="",'10'!$I$35="",'10'!$K$35=""),"",IF(SIGN('10'!$I$35-'10'!$K$35)&lt;&gt;SIGN(Tulokset!$G$34-Tulokset!$I$34),0,IF(Tulokset!$G$34=Tulokset!$I$34,IF(AND('10'!$I$35=Tulokset!$G$34,'10'!$K$35=Tulokset!$I$34),6,3),MAX(0,6-(ABS('10'!$I$35-Tulokset!$G$34)+ABS('10'!$K$35-Tulokset!$I$34))))))</f>
        <v/>
      </c>
      <c r="AK13" t="str">
        <f>IF(OR(Tulokset!$G$35="",Tulokset!$I$35="",'10'!$I$36="",'10'!$K$36=""),"",IF(SIGN('10'!$I$36-'10'!$K$36)&lt;&gt;SIGN(Tulokset!$G$35-Tulokset!$I$35),0,IF(Tulokset!$G$35=Tulokset!$I$35,IF(AND('10'!$I$36=Tulokset!$G$35,'10'!$K$36=Tulokset!$I$35),6,3),MAX(0,6-(ABS('10'!$I$36-Tulokset!$G$35)+ABS('10'!$K$36-Tulokset!$I$35))))))</f>
        <v/>
      </c>
      <c r="AL13" t="str">
        <f>IF(OR(Tulokset!$G$36="",Tulokset!$I$36="",'10'!$I$37="",'10'!$K$37=""),"",IF(SIGN('10'!$I$37-'10'!$K$37)&lt;&gt;SIGN(Tulokset!$G$36-Tulokset!$I$36),0,IF(Tulokset!$G$36=Tulokset!$I$36,IF(AND('10'!$I$37=Tulokset!$G$36,'10'!$K$37=Tulokset!$I$36),6,3),MAX(0,6-(ABS('10'!$I$37-Tulokset!$G$36)+ABS('10'!$K$37-Tulokset!$I$36))))))</f>
        <v/>
      </c>
      <c r="AM13" t="str">
        <f>IF(OR(Tulokset!$G$37="",Tulokset!$I$37="",'10'!$I$38="",'10'!$K$38=""),"",IF(SIGN('10'!$I$38-'10'!$K$38)&lt;&gt;SIGN(Tulokset!$G$37-Tulokset!$I$37),0,IF(Tulokset!$G$37=Tulokset!$I$37,IF(AND('10'!$I$38=Tulokset!$G$37,'10'!$K$38=Tulokset!$I$37),6,3),MAX(0,6-(ABS('10'!$I$38-Tulokset!$G$37)+ABS('10'!$K$38-Tulokset!$I$37))))))</f>
        <v/>
      </c>
      <c r="AN13" t="str">
        <f>IF(OR(Tulokset!$G$38="",Tulokset!$I$38="",'10'!$I$39="",'10'!$K$39=""),"",IF(SIGN('10'!$I$39-'10'!$K$39)&lt;&gt;SIGN(Tulokset!$G$38-Tulokset!$I$38),0,IF(Tulokset!$G$38=Tulokset!$I$38,IF(AND('10'!$I$39=Tulokset!$G$38,'10'!$K$39=Tulokset!$I$38),6,3),MAX(0,6-(ABS('10'!$I$39-Tulokset!$G$38)+ABS('10'!$K$39-Tulokset!$I$38))))))</f>
        <v/>
      </c>
      <c r="AO13" t="str">
        <f>IF(OR(Tulokset!$G$39="",Tulokset!$I$39="",'10'!$I$40="",'10'!$K$40=""),"",IF(SIGN('10'!$I$40-'10'!$K$40)&lt;&gt;SIGN(Tulokset!$G$39-Tulokset!$I$39),0,IF(Tulokset!$G$39=Tulokset!$I$39,IF(AND('10'!$I$40=Tulokset!$G$39,'10'!$K$40=Tulokset!$I$39),6,3),MAX(0,6-(ABS('10'!$I$40-Tulokset!$G$39)+ABS('10'!$K$40-Tulokset!$I$39))))))</f>
        <v/>
      </c>
      <c r="AP13" t="str">
        <f>IF(OR(Tulokset!$G$40="",Tulokset!$I$40="",'10'!$I$41="",'10'!$K$41=""),"",IF(SIGN('10'!$I$41-'10'!$K$41)&lt;&gt;SIGN(Tulokset!$G$40-Tulokset!$I$40),0,IF(Tulokset!$G$40=Tulokset!$I$40,IF(AND('10'!$I$41=Tulokset!$G$40,'10'!$K$41=Tulokset!$I$40),6,3),MAX(0,6-(ABS('10'!$I$41-Tulokset!$G$40)+ABS('10'!$K$41-Tulokset!$I$40))))))</f>
        <v/>
      </c>
      <c r="AQ13" t="str">
        <f>IF(OR(Tulokset!$G$41="",Tulokset!$I$41="",'10'!$I$42="",'10'!$K$42=""),"",IF(SIGN('10'!$I$42-'10'!$K$42)&lt;&gt;SIGN(Tulokset!$G$41-Tulokset!$I$41),0,IF(Tulokset!$G$41=Tulokset!$I$41,IF(AND('10'!$I$42=Tulokset!$G$41,'10'!$K$42=Tulokset!$I$41),6,3),MAX(0,6-(ABS('10'!$I$42-Tulokset!$G$41)+ABS('10'!$K$42-Tulokset!$I$41))))))</f>
        <v/>
      </c>
      <c r="AR13" t="str">
        <f>IF(OR(Tulokset!$G$42="",Tulokset!$I$42="",'10'!$I$43="",'10'!$K$43=""),"",IF(SIGN('10'!$I$43-'10'!$K$43)&lt;&gt;SIGN(Tulokset!$G$42-Tulokset!$I$42),0,IF(Tulokset!$G$42=Tulokset!$I$42,IF(AND('10'!$I$43=Tulokset!$G$42,'10'!$K$43=Tulokset!$I$42),6,3),MAX(0,6-(ABS('10'!$I$43-Tulokset!$G$42)+ABS('10'!$K$43-Tulokset!$I$42))))))</f>
        <v/>
      </c>
      <c r="AS13" t="str">
        <f>IF(OR(Tulokset!$G$43="",Tulokset!$I$43="",'10'!$I$44="",'10'!$K$44=""),"",IF(SIGN('10'!$I$44-'10'!$K$44)&lt;&gt;SIGN(Tulokset!$G$43-Tulokset!$I$43),0,IF(Tulokset!$G$43=Tulokset!$I$43,IF(AND('10'!$I$44=Tulokset!$G$43,'10'!$K$44=Tulokset!$I$43),6,3),MAX(0,6-(ABS('10'!$I$44-Tulokset!$G$43)+ABS('10'!$K$44-Tulokset!$I$43))))))</f>
        <v/>
      </c>
      <c r="AT13" t="str">
        <f>IF(OR(Tulokset!$G$44="",Tulokset!$I$44="",'10'!$I$45="",'10'!$K$45=""),"",IF(SIGN('10'!$I$45-'10'!$K$45)&lt;&gt;SIGN(Tulokset!$G$44-Tulokset!$I$44),0,IF(Tulokset!$G$44=Tulokset!$I$44,IF(AND('10'!$I$45=Tulokset!$G$44,'10'!$K$45=Tulokset!$I$44),6,3),MAX(0,6-(ABS('10'!$I$45-Tulokset!$G$44)+ABS('10'!$K$45-Tulokset!$I$44))))))</f>
        <v/>
      </c>
      <c r="AU13" t="str">
        <f>IF(OR(Tulokset!$G$45="",Tulokset!$I$45="",'10'!$I$46="",'10'!$K$46=""),"",IF(SIGN('10'!$I$46-'10'!$K$46)&lt;&gt;SIGN(Tulokset!$G$45-Tulokset!$I$45),0,IF(Tulokset!$G$45=Tulokset!$I$45,IF(AND('10'!$I$46=Tulokset!$G$45,'10'!$K$46=Tulokset!$I$45),6,3),MAX(0,6-(ABS('10'!$I$46-Tulokset!$G$45)+ABS('10'!$K$46-Tulokset!$I$45))))))</f>
        <v/>
      </c>
      <c r="AV13" t="str">
        <f>IF(OR(Tulokset!$G$46="",Tulokset!$I$46="",'10'!$I$47="",'10'!$K$47=""),"",IF(SIGN('10'!$I$47-'10'!$K$47)&lt;&gt;SIGN(Tulokset!$G$46-Tulokset!$I$46),0,IF(Tulokset!$G$46=Tulokset!$I$46,IF(AND('10'!$I$47=Tulokset!$G$46,'10'!$K$47=Tulokset!$I$46),6,3),MAX(0,6-(ABS('10'!$I$47-Tulokset!$G$46)+ABS('10'!$K$47-Tulokset!$I$46))))))</f>
        <v/>
      </c>
      <c r="AW13" t="str">
        <f>IF(OR(Tulokset!$G$47="",Tulokset!$I$47="",'10'!$I$48="",'10'!$K$48=""),"",IF(SIGN('10'!$I$48-'10'!$K$48)&lt;&gt;SIGN(Tulokset!$G$47-Tulokset!$I$47),0,IF(Tulokset!$G$47=Tulokset!$I$47,IF(AND('10'!$I$48=Tulokset!$G$47,'10'!$K$48=Tulokset!$I$47),6,3),MAX(0,6-(ABS('10'!$I$48-Tulokset!$G$47)+ABS('10'!$K$48-Tulokset!$I$47))))))</f>
        <v/>
      </c>
      <c r="AX13" t="str">
        <f>IF(OR(Tulokset!$G$48="",Tulokset!$I$48="",'10'!$I$49="",'10'!$K$49=""),"",IF(SIGN('10'!$I$49-'10'!$K$49)&lt;&gt;SIGN(Tulokset!$G$48-Tulokset!$I$48),0,IF(Tulokset!$G$48=Tulokset!$I$48,IF(AND('10'!$I$49=Tulokset!$G$48,'10'!$K$49=Tulokset!$I$48),6,3),MAX(0,6-(ABS('10'!$I$49-Tulokset!$G$48)+ABS('10'!$K$49-Tulokset!$I$48))))))</f>
        <v/>
      </c>
      <c r="AY13" t="str">
        <f>IF(OR(Tulokset!$G$49="",Tulokset!$I$49="",'10'!$I$50="",'10'!$K$50=""),"",IF(SIGN('10'!$I$50-'10'!$K$50)&lt;&gt;SIGN(Tulokset!$G$49-Tulokset!$I$49),0,IF(Tulokset!$G$49=Tulokset!$I$49,IF(AND('10'!$I$50=Tulokset!$G$49,'10'!$K$50=Tulokset!$I$49),6,3),MAX(0,6-(ABS('10'!$I$50-Tulokset!$G$49)+ABS('10'!$K$50-Tulokset!$I$49))))))</f>
        <v/>
      </c>
      <c r="AZ13" t="str">
        <f>IF(OR(Tulokset!$G$50="",Tulokset!$I$50="",'10'!$I$51="",'10'!$K$51=""),"",IF(SIGN('10'!$I$51-'10'!$K$51)&lt;&gt;SIGN(Tulokset!$G$50-Tulokset!$I$50),0,IF(Tulokset!$G$50=Tulokset!$I$50,IF(AND('10'!$I$51=Tulokset!$G$50,'10'!$K$51=Tulokset!$I$50),6,3),MAX(0,6-(ABS('10'!$I$51-Tulokset!$G$50)+ABS('10'!$K$51-Tulokset!$I$50))))))</f>
        <v/>
      </c>
      <c r="BA13" t="str">
        <f>IF(OR(Tulokset!$G$51="",Tulokset!$I$51="",'10'!$I$52="",'10'!$K$52=""),"",IF(SIGN('10'!$I$52-'10'!$K$52)&lt;&gt;SIGN(Tulokset!$G$51-Tulokset!$I$51),0,IF(Tulokset!$G$51=Tulokset!$I$51,IF(AND('10'!$I$52=Tulokset!$G$51,'10'!$K$52=Tulokset!$I$51),6,3),MAX(0,6-(ABS('10'!$I$52-Tulokset!$G$51)+ABS('10'!$K$52-Tulokset!$I$51))))))</f>
        <v/>
      </c>
      <c r="BB13" t="str">
        <f>IF(OR(Tulokset!$G$52="",Tulokset!$I$52="",'10'!$I$53="",'10'!$K$53=""),"",IF(SIGN('10'!$I$53-'10'!$K$53)&lt;&gt;SIGN(Tulokset!$G$52-Tulokset!$I$52),0,IF(Tulokset!$G$52=Tulokset!$I$52,IF(AND('10'!$I$53=Tulokset!$G$52,'10'!$K$53=Tulokset!$I$52),6,3),MAX(0,6-(ABS('10'!$I$53-Tulokset!$G$52)+ABS('10'!$K$53-Tulokset!$I$52))))))</f>
        <v/>
      </c>
      <c r="BC13" t="str">
        <f>IF(OR(Tulokset!$G$53="",Tulokset!$I$53="",'10'!$I$54="",'10'!$K$54=""),"",IF(SIGN('10'!$I$54-'10'!$K$54)&lt;&gt;SIGN(Tulokset!$G$53-Tulokset!$I$53),0,IF(Tulokset!$G$53=Tulokset!$I$53,IF(AND('10'!$I$54=Tulokset!$G$53,'10'!$K$54=Tulokset!$I$53),6,3),MAX(0,6-(ABS('10'!$I$54-Tulokset!$G$53)+ABS('10'!$K$54-Tulokset!$I$53))))))</f>
        <v/>
      </c>
      <c r="BD13" t="str">
        <f>IF(OR(Tulokset!$G$54="",Tulokset!$I$54="",'10'!$I$55="",'10'!$K$55=""),"",IF(SIGN('10'!$I$55-'10'!$K$55)&lt;&gt;SIGN(Tulokset!$G$54-Tulokset!$I$54),0,IF(Tulokset!$G$54=Tulokset!$I$54,IF(AND('10'!$I$55=Tulokset!$G$54,'10'!$K$55=Tulokset!$I$54),6,3),MAX(0,6-(ABS('10'!$I$55-Tulokset!$G$54)+ABS('10'!$K$55-Tulokset!$I$54))))))</f>
        <v/>
      </c>
      <c r="BE13" t="str">
        <f>IF(OR(Tulokset!$G$55="",Tulokset!$I$55="",'10'!$I$56="",'10'!$K$56=""),"",IF(SIGN('10'!$I$56-'10'!$K$56)&lt;&gt;SIGN(Tulokset!$G$55-Tulokset!$I$55),0,IF(Tulokset!$G$55=Tulokset!$I$55,IF(AND('10'!$I$56=Tulokset!$G$55,'10'!$K$56=Tulokset!$I$55),6,3),MAX(0,6-(ABS('10'!$I$56-Tulokset!$G$55)+ABS('10'!$K$56-Tulokset!$I$55))))))</f>
        <v/>
      </c>
      <c r="BF13" t="str">
        <f>IF(OR(Tulokset!$G$56="",Tulokset!$I$56="",'10'!$I$57="",'10'!$K$57=""),"",IF(SIGN('10'!$I$57-'10'!$K$57)&lt;&gt;SIGN(Tulokset!$G$56-Tulokset!$I$56),0,IF(Tulokset!$G$56=Tulokset!$I$56,IF(AND('10'!$I$57=Tulokset!$G$56,'10'!$K$57=Tulokset!$I$56),6,3),MAX(0,6-(ABS('10'!$I$57-Tulokset!$G$56)+ABS('10'!$K$57-Tulokset!$I$56))))))</f>
        <v/>
      </c>
      <c r="BG13" t="str">
        <f>IF(OR(Tulokset!$G$57="",Tulokset!$I$57="",'10'!$I$58="",'10'!$K$58=""),"",IF(SIGN('10'!$I$58-'10'!$K$58)&lt;&gt;SIGN(Tulokset!$G$57-Tulokset!$I$57),0,IF(Tulokset!$G$57=Tulokset!$I$57,IF(AND('10'!$I$58=Tulokset!$G$57,'10'!$K$58=Tulokset!$I$57),6,3),MAX(0,6-(ABS('10'!$I$58-Tulokset!$G$57)+ABS('10'!$K$58-Tulokset!$I$57))))))</f>
        <v/>
      </c>
      <c r="BH13" t="str">
        <f>IF(OR(Tulokset!$G$58="",Tulokset!$I$58="",'10'!$I$59="",'10'!$K$59=""),"",IF(SIGN('10'!$I$59-'10'!$K$59)&lt;&gt;SIGN(Tulokset!$G$58-Tulokset!$I$58),0,IF(Tulokset!$G$58=Tulokset!$I$58,IF(AND('10'!$I$59=Tulokset!$G$58,'10'!$K$59=Tulokset!$I$58),6,3),MAX(0,6-(ABS('10'!$I$59-Tulokset!$G$58)+ABS('10'!$K$59-Tulokset!$I$58))))))</f>
        <v/>
      </c>
      <c r="BI13" t="str">
        <f>IF(OR(Tulokset!$G$59="",Tulokset!$I$59="",'10'!$I$60="",'10'!$K$60=""),"",IF(SIGN('10'!$I$60-'10'!$K$60)&lt;&gt;SIGN(Tulokset!$G$59-Tulokset!$I$59),0,IF(Tulokset!$G$59=Tulokset!$I$59,IF(AND('10'!$I$60=Tulokset!$G$59,'10'!$K$60=Tulokset!$I$59),6,3),MAX(0,6-(ABS('10'!$I$60-Tulokset!$G$59)+ABS('10'!$K$60-Tulokset!$I$59))))))</f>
        <v/>
      </c>
      <c r="BJ13" t="str">
        <f>IF(OR(Tulokset!$G$60="",Tulokset!$I$60="",'10'!$I$61="",'10'!$K$61=""),"",IF(SIGN('10'!$I$61-'10'!$K$61)&lt;&gt;SIGN(Tulokset!$G$60-Tulokset!$I$60),0,IF(Tulokset!$G$60=Tulokset!$I$60,IF(AND('10'!$I$61=Tulokset!$G$60,'10'!$K$61=Tulokset!$I$60),6,3),MAX(0,6-(ABS('10'!$I$61-Tulokset!$G$60)+ABS('10'!$K$61-Tulokset!$I$60))))))</f>
        <v/>
      </c>
      <c r="BK13" t="str">
        <f>IF(OR(Tulokset!$G$61="",Tulokset!$I$61="",'10'!$I$62="",'10'!$K$62=""),"",IF(SIGN('10'!$I$62-'10'!$K$62)&lt;&gt;SIGN(Tulokset!$G$61-Tulokset!$I$61),0,IF(Tulokset!$G$61=Tulokset!$I$61,IF(AND('10'!$I$62=Tulokset!$G$61,'10'!$K$62=Tulokset!$I$61),6,3),MAX(0,6-(ABS('10'!$I$62-Tulokset!$G$61)+ABS('10'!$K$62-Tulokset!$I$61))))))</f>
        <v/>
      </c>
      <c r="BL13" t="str">
        <f>IF(OR(Tulokset!$G$62="",Tulokset!$I$62="",'10'!$I$63="",'10'!$K$63=""),"",IF(SIGN('10'!$I$63-'10'!$K$63)&lt;&gt;SIGN(Tulokset!$G$62-Tulokset!$I$62),0,IF(Tulokset!$G$62=Tulokset!$I$62,IF(AND('10'!$I$63=Tulokset!$G$62,'10'!$K$63=Tulokset!$I$62),6,3),MAX(0,6-(ABS('10'!$I$63-Tulokset!$G$62)+ABS('10'!$K$63-Tulokset!$I$62))))))</f>
        <v/>
      </c>
      <c r="BM13" t="str">
        <f>IF(OR(Tulokset!$G$63="",Tulokset!$I$63="",'10'!$I$64="",'10'!$K$64=""),"",IF(SIGN('10'!$I$64-'10'!$K$64)&lt;&gt;SIGN(Tulokset!$G$63-Tulokset!$I$63),0,IF(Tulokset!$G$63=Tulokset!$I$63,IF(AND('10'!$I$64=Tulokset!$G$63,'10'!$K$64=Tulokset!$I$63),6,3),MAX(0,6-(ABS('10'!$I$64-Tulokset!$G$63)+ABS('10'!$K$64-Tulokset!$I$63))))))</f>
        <v/>
      </c>
      <c r="BN13" t="str">
        <f>IF(OR(Tulokset!$G$64="",Tulokset!$I$64="",'10'!$I$65="",'10'!$K$65=""),"",IF(SIGN('10'!$I$65-'10'!$K$65)&lt;&gt;SIGN(Tulokset!$G$64-Tulokset!$I$64),0,IF(Tulokset!$G$64=Tulokset!$I$64,IF(AND('10'!$I$65=Tulokset!$G$64,'10'!$K$65=Tulokset!$I$64),6,3),MAX(0,6-(ABS('10'!$I$65-Tulokset!$G$64)+ABS('10'!$K$65-Tulokset!$I$64))))))</f>
        <v/>
      </c>
      <c r="BO13" t="str">
        <f>IF(OR(Tulokset!$G$65="",Tulokset!$I$65="",'10'!$I$66="",'10'!$K$66=""),"",IF(SIGN('10'!$I$66-'10'!$K$66)&lt;&gt;SIGN(Tulokset!$G$65-Tulokset!$I$65),0,IF(Tulokset!$G$65=Tulokset!$I$65,IF(AND('10'!$I$66=Tulokset!$G$65,'10'!$K$66=Tulokset!$I$65),6,3),MAX(0,6-(ABS('10'!$I$66-Tulokset!$G$65)+ABS('10'!$K$66-Tulokset!$I$65))))))</f>
        <v/>
      </c>
      <c r="BP13" t="str">
        <f>IF(OR(Tulokset!$G$66="",Tulokset!$I$66="",'10'!$I$67="",'10'!$K$67=""),"",IF(SIGN('10'!$I$67-'10'!$K$67)&lt;&gt;SIGN(Tulokset!$G$66-Tulokset!$I$66),0,IF(Tulokset!$G$66=Tulokset!$I$66,IF(AND('10'!$I$67=Tulokset!$G$66,'10'!$K$67=Tulokset!$I$66),6,3),MAX(0,6-(ABS('10'!$I$67-Tulokset!$G$66)+ABS('10'!$K$67-Tulokset!$I$66))))))</f>
        <v/>
      </c>
      <c r="BQ13" t="str">
        <f>IF(OR(Tulokset!$G$67="",Tulokset!$I$67="",'10'!$I$68="",'10'!$K$68=""),"",IF(SIGN('10'!$I$68-'10'!$K$68)&lt;&gt;SIGN(Tulokset!$G$67-Tulokset!$I$67),0,IF(Tulokset!$G$67=Tulokset!$I$67,IF(AND('10'!$I$68=Tulokset!$G$67,'10'!$K$68=Tulokset!$I$67),6,3),MAX(0,6-(ABS('10'!$I$68-Tulokset!$G$67)+ABS('10'!$K$68-Tulokset!$I$67))))))</f>
        <v/>
      </c>
      <c r="BR13" t="str">
        <f>IF(OR(Tulokset!$G$68="",Tulokset!$I$68="",'10'!$I$69="",'10'!$K$69=""),"",IF(SIGN('10'!$I$69-'10'!$K$69)&lt;&gt;SIGN(Tulokset!$G$68-Tulokset!$I$68),0,IF(Tulokset!$G$68=Tulokset!$I$68,IF(AND('10'!$I$69=Tulokset!$G$68,'10'!$K$69=Tulokset!$I$68),6,3),MAX(0,6-(ABS('10'!$I$69-Tulokset!$G$68)+ABS('10'!$K$69-Tulokset!$I$68))))))</f>
        <v/>
      </c>
      <c r="BS13" t="str">
        <f>IF(OR(Tulokset!$G$69="",Tulokset!$I$69="",'10'!$I$70="",'10'!$K$70=""),"",IF(SIGN('10'!$I$70-'10'!$K$70)&lt;&gt;SIGN(Tulokset!$G$69-Tulokset!$I$69),0,IF(Tulokset!$G$69=Tulokset!$I$69,IF(AND('10'!$I$70=Tulokset!$G$69,'10'!$K$70=Tulokset!$I$69),6,3),MAX(0,6-(ABS('10'!$I$70-Tulokset!$G$69)+ABS('10'!$K$70-Tulokset!$I$69))))))</f>
        <v/>
      </c>
      <c r="BT13" t="str">
        <f>IF(OR(Tulokset!$G$70="",Tulokset!$I$70="",'10'!$I$71="",'10'!$K$71=""),"",IF(SIGN('10'!$I$71-'10'!$K$71)&lt;&gt;SIGN(Tulokset!$G$70-Tulokset!$I$70),0,IF(Tulokset!$G$70=Tulokset!$I$70,IF(AND('10'!$I$71=Tulokset!$G$70,'10'!$K$71=Tulokset!$I$70),6,3),MAX(0,6-(ABS('10'!$I$71-Tulokset!$G$70)+ABS('10'!$K$71-Tulokset!$I$70))))))</f>
        <v/>
      </c>
      <c r="BU13" t="str">
        <f>IF(OR(Tulokset!$G$71="",Tulokset!$I$71="",'10'!$I$72="",'10'!$K$72=""),"",IF(SIGN('10'!$I$72-'10'!$K$72)&lt;&gt;SIGN(Tulokset!$G$71-Tulokset!$I$71),0,IF(Tulokset!$G$71=Tulokset!$I$71,IF(AND('10'!$I$72=Tulokset!$G$71,'10'!$K$72=Tulokset!$I$71),6,3),MAX(0,6-(ABS('10'!$I$72-Tulokset!$G$71)+ABS('10'!$K$72-Tulokset!$I$71))))))</f>
        <v/>
      </c>
      <c r="BV13" t="str">
        <f>IF(OR(Tulokset!$G$72="",Tulokset!$I$72="",'10'!$I$73="",'10'!$K$73=""),"",IF(SIGN('10'!$I$73-'10'!$K$73)&lt;&gt;SIGN(Tulokset!$G$72-Tulokset!$I$72),0,IF(Tulokset!$G$72=Tulokset!$I$72,IF(AND('10'!$I$73=Tulokset!$G$72,'10'!$K$73=Tulokset!$I$72),6,3),MAX(0,6-(ABS('10'!$I$73-Tulokset!$G$72)+ABS('10'!$K$73-Tulokset!$I$72))))))</f>
        <v/>
      </c>
      <c r="BW13" t="str">
        <f>IF(OR(Tulokset!$G$73="",Tulokset!$I$73="",'10'!$I$74="",'10'!$K$74=""),"",IF(SIGN('10'!$I$74-'10'!$K$74)&lt;&gt;SIGN(Tulokset!$G$73-Tulokset!$I$73),0,IF(Tulokset!$G$73=Tulokset!$I$73,IF(AND('10'!$I$74=Tulokset!$G$73,'10'!$K$74=Tulokset!$I$73),6,3),MAX(0,6-(ABS('10'!$I$74-Tulokset!$G$73)+ABS('10'!$K$74-Tulokset!$I$73))))))</f>
        <v/>
      </c>
      <c r="BX13" t="str">
        <f>IF(OR(Tulokset!$G$74="",Tulokset!$I$74="",'10'!$I$75="",'10'!$K$75=""),"",IF(SIGN('10'!$I$75-'10'!$K$75)&lt;&gt;SIGN(Tulokset!$G$74-Tulokset!$I$74),0,IF(Tulokset!$G$74=Tulokset!$I$74,IF(AND('10'!$I$75=Tulokset!$G$74,'10'!$K$75=Tulokset!$I$74),6,3),MAX(0,6-(ABS('10'!$I$75-Tulokset!$G$74)+ABS('10'!$K$75-Tulokset!$I$74))))))</f>
        <v/>
      </c>
      <c r="BY13" t="str">
        <f>IF(OR(Tulokset!$G$75="",Tulokset!$I$75="",'10'!$I$76="",'10'!$K$76=""),"",IF(SIGN('10'!$I$76-'10'!$K$76)&lt;&gt;SIGN(Tulokset!$G$75-Tulokset!$I$75),0,IF(Tulokset!$G$75=Tulokset!$I$75,IF(AND('10'!$I$76=Tulokset!$G$75,'10'!$K$76=Tulokset!$I$75),6,3),MAX(0,6-(ABS('10'!$I$76-Tulokset!$G$75)+ABS('10'!$K$76-Tulokset!$I$75))))))</f>
        <v/>
      </c>
      <c r="BZ13" t="str">
        <f>IF(OR(Tulokset!$G$76="",Tulokset!$I$76="",'10'!$I$77="",'10'!$K$77=""),"",IF(SIGN('10'!$I$77-'10'!$K$77)&lt;&gt;SIGN(Tulokset!$G$76-Tulokset!$I$76),0,IF(Tulokset!$G$76=Tulokset!$I$76,IF(AND('10'!$I$77=Tulokset!$G$76,'10'!$K$77=Tulokset!$I$76),6,3),MAX(0,6-(ABS('10'!$I$77-Tulokset!$G$76)+ABS('10'!$K$77-Tulokset!$I$76))))))</f>
        <v/>
      </c>
      <c r="CA13" t="str">
        <f>IF(OR(Tulokset!$G$77="",Tulokset!$I$77="",'10'!$I$78="",'10'!$K$78=""),"",IF(SIGN('10'!$I$78-'10'!$K$78)&lt;&gt;SIGN(Tulokset!$G$77-Tulokset!$I$77),0,IF(Tulokset!$G$77=Tulokset!$I$77,IF(AND('10'!$I$78=Tulokset!$G$77,'10'!$K$78=Tulokset!$I$77),6,3),MAX(0,6-(ABS('10'!$I$78-Tulokset!$G$77)+ABS('10'!$K$78-Tulokset!$I$77))))))</f>
        <v/>
      </c>
      <c r="CD13" t="str">
        <f ca="1">IF(OR(Tulokset!$M$6="",INDIRECT("'"&amp;$A13&amp;"'!$P$8")=""),"",IF(TRIM(INDIRECT("'"&amp;$A13&amp;"'!$P$8"))=TRIM(Tulokset!$M$6),2,0))</f>
        <v/>
      </c>
      <c r="CE13" t="str">
        <f ca="1">IF(OR(Tulokset!$M$7="",INDIRECT("'"&amp;$A13&amp;"'!$P$9")=""),"",IF(TRIM(INDIRECT("'"&amp;$A13&amp;"'!$P$9"))=TRIM(Tulokset!$M$7),2,0))</f>
        <v/>
      </c>
      <c r="CF13" t="str">
        <f ca="1">IF(OR(Tulokset!$M$8="",INDIRECT("'"&amp;$A13&amp;"'!$P$10")=""),"",IF(TRIM(INDIRECT("'"&amp;$A13&amp;"'!$P$10"))=TRIM(Tulokset!$M$8),2,0))</f>
        <v/>
      </c>
      <c r="CG13" t="str">
        <f ca="1">IF(OR(Tulokset!$M$9="",INDIRECT("'"&amp;$A13&amp;"'!$P$11")=""),"",IF(TRIM(INDIRECT("'"&amp;$A13&amp;"'!$P$11"))=TRIM(Tulokset!$M$9),2,0))</f>
        <v/>
      </c>
      <c r="CH13" t="str">
        <f ca="1">IF(OR(Tulokset!$N$6="",INDIRECT("'"&amp;$A13&amp;"'!$Q$8")=""),"",IF(TRIM(INDIRECT("'"&amp;$A13&amp;"'!$Q$8"))=TRIM(Tulokset!$N$6),2,0))</f>
        <v/>
      </c>
      <c r="CI13" t="str">
        <f ca="1">IF(OR(Tulokset!$N$7="",INDIRECT("'"&amp;$A13&amp;"'!$Q$9")=""),"",IF(TRIM(INDIRECT("'"&amp;$A13&amp;"'!$Q$9"))=TRIM(Tulokset!$N$7),2,0))</f>
        <v/>
      </c>
      <c r="CJ13" t="str">
        <f ca="1">IF(OR(Tulokset!$N$8="",INDIRECT("'"&amp;$A13&amp;"'!$Q$10")=""),"",IF(TRIM(INDIRECT("'"&amp;$A13&amp;"'!$Q$10"))=TRIM(Tulokset!$N$8),2,0))</f>
        <v/>
      </c>
      <c r="CK13" t="str">
        <f ca="1">IF(OR(Tulokset!$N$9="",INDIRECT("'"&amp;$A13&amp;"'!$Q$11")=""),"",IF(TRIM(INDIRECT("'"&amp;$A13&amp;"'!$Q$11"))=TRIM(Tulokset!$N$9),2,0))</f>
        <v/>
      </c>
      <c r="CL13" t="str">
        <f ca="1">IF(OR(Tulokset!$O$6="",INDIRECT("'"&amp;$A13&amp;"'!$R$8")=""),"",IF(TRIM(INDIRECT("'"&amp;$A13&amp;"'!$R$8"))=TRIM(Tulokset!$O$6),2,0))</f>
        <v/>
      </c>
      <c r="CM13" t="str">
        <f ca="1">IF(OR(Tulokset!$O$7="",INDIRECT("'"&amp;$A13&amp;"'!$R$9")=""),"",IF(TRIM(INDIRECT("'"&amp;$A13&amp;"'!$R$9"))=TRIM(Tulokset!$O$7),2,0))</f>
        <v/>
      </c>
      <c r="CN13" t="str">
        <f ca="1">IF(OR(Tulokset!$O$8="",INDIRECT("'"&amp;$A13&amp;"'!$R$10")=""),"",IF(TRIM(INDIRECT("'"&amp;$A13&amp;"'!$R$10"))=TRIM(Tulokset!$O$8),2,0))</f>
        <v/>
      </c>
      <c r="CO13" t="str">
        <f ca="1">IF(OR(Tulokset!$O$9="",INDIRECT("'"&amp;$A13&amp;"'!$R$11")=""),"",IF(TRIM(INDIRECT("'"&amp;$A13&amp;"'!$R$11"))=TRIM(Tulokset!$O$9),2,0))</f>
        <v/>
      </c>
      <c r="CP13" t="str">
        <f ca="1">IF(OR(Tulokset!$P$6="",INDIRECT("'"&amp;$A13&amp;"'!$S$8")=""),"",IF(TRIM(INDIRECT("'"&amp;$A13&amp;"'!$S$8"))=TRIM(Tulokset!$P$6),2,0))</f>
        <v/>
      </c>
      <c r="CQ13" t="str">
        <f ca="1">IF(OR(Tulokset!$P$7="",INDIRECT("'"&amp;$A13&amp;"'!$S$9")=""),"",IF(TRIM(INDIRECT("'"&amp;$A13&amp;"'!$S$9"))=TRIM(Tulokset!$P$7),2,0))</f>
        <v/>
      </c>
      <c r="CR13" t="str">
        <f ca="1">IF(OR(Tulokset!$P$8="",INDIRECT("'"&amp;$A13&amp;"'!$S$10")=""),"",IF(TRIM(INDIRECT("'"&amp;$A13&amp;"'!$S$10"))=TRIM(Tulokset!$P$8),2,0))</f>
        <v/>
      </c>
      <c r="CS13" t="str">
        <f ca="1">IF(OR(Tulokset!$P$9="",INDIRECT("'"&amp;$A13&amp;"'!$S$11")=""),"",IF(TRIM(INDIRECT("'"&amp;$A13&amp;"'!$S$11"))=TRIM(Tulokset!$P$9),2,0))</f>
        <v/>
      </c>
      <c r="CT13" t="str">
        <f ca="1">IF(OR(Tulokset!$Q$6="",INDIRECT("'"&amp;$A13&amp;"'!$T$8")=""),"",IF(TRIM(INDIRECT("'"&amp;$A13&amp;"'!$T$8"))=TRIM(Tulokset!$Q$6),2,0))</f>
        <v/>
      </c>
      <c r="CU13" t="str">
        <f ca="1">IF(OR(Tulokset!$Q$7="",INDIRECT("'"&amp;$A13&amp;"'!$T$9")=""),"",IF(TRIM(INDIRECT("'"&amp;$A13&amp;"'!$T$9"))=TRIM(Tulokset!$Q$7),2,0))</f>
        <v/>
      </c>
      <c r="CV13" t="str">
        <f ca="1">IF(OR(Tulokset!$Q$8="",INDIRECT("'"&amp;$A13&amp;"'!$T$10")=""),"",IF(TRIM(INDIRECT("'"&amp;$A13&amp;"'!$T$10"))=TRIM(Tulokset!$Q$8),2,0))</f>
        <v/>
      </c>
      <c r="CW13" t="str">
        <f ca="1">IF(OR(Tulokset!$Q$9="",INDIRECT("'"&amp;$A13&amp;"'!$T$11")=""),"",IF(TRIM(INDIRECT("'"&amp;$A13&amp;"'!$T$11"))=TRIM(Tulokset!$Q$9),2,0))</f>
        <v/>
      </c>
      <c r="CX13" t="str">
        <f ca="1">IF(OR(Tulokset!$R$6="",INDIRECT("'"&amp;$A13&amp;"'!$U$8")=""),"",IF(TRIM(INDIRECT("'"&amp;$A13&amp;"'!$U$8"))=TRIM(Tulokset!$R$6),2,0))</f>
        <v/>
      </c>
      <c r="CY13" t="str">
        <f ca="1">IF(OR(Tulokset!$R$7="",INDIRECT("'"&amp;$A13&amp;"'!$U$9")=""),"",IF(TRIM(INDIRECT("'"&amp;$A13&amp;"'!$U$9"))=TRIM(Tulokset!$R$7),2,0))</f>
        <v/>
      </c>
      <c r="CZ13" t="str">
        <f ca="1">IF(OR(Tulokset!$R$8="",INDIRECT("'"&amp;$A13&amp;"'!$U$10")=""),"",IF(TRIM(INDIRECT("'"&amp;$A13&amp;"'!$U$10"))=TRIM(Tulokset!$R$8),2,0))</f>
        <v/>
      </c>
      <c r="DA13" t="str">
        <f ca="1">IF(OR(Tulokset!$R$9="",INDIRECT("'"&amp;$A13&amp;"'!$U$11")=""),"",IF(TRIM(INDIRECT("'"&amp;$A13&amp;"'!$U$11"))=TRIM(Tulokset!$R$9),2,0))</f>
        <v/>
      </c>
      <c r="DB13" t="str">
        <f ca="1">IF(OR(Tulokset!$M$12="",INDIRECT("'"&amp;$A13&amp;"'!$P$14")=""),"",IF(TRIM(INDIRECT("'"&amp;$A13&amp;"'!$P$14"))=TRIM(Tulokset!$M$12),2,0))</f>
        <v/>
      </c>
      <c r="DC13" t="str">
        <f ca="1">IF(OR(Tulokset!$M$13="",INDIRECT("'"&amp;$A13&amp;"'!$P$15")=""),"",IF(TRIM(INDIRECT("'"&amp;$A13&amp;"'!$P$15"))=TRIM(Tulokset!$M$13),2,0))</f>
        <v/>
      </c>
      <c r="DD13" t="str">
        <f ca="1">IF(OR(Tulokset!$M$14="",INDIRECT("'"&amp;$A13&amp;"'!$P$16")=""),"",IF(TRIM(INDIRECT("'"&amp;$A13&amp;"'!$P$16"))=TRIM(Tulokset!$M$14),2,0))</f>
        <v/>
      </c>
      <c r="DE13" t="str">
        <f ca="1">IF(OR(Tulokset!$M$15="",INDIRECT("'"&amp;$A13&amp;"'!$P$17")=""),"",IF(TRIM(INDIRECT("'"&amp;$A13&amp;"'!$P$17"))=TRIM(Tulokset!$M$15),2,0))</f>
        <v/>
      </c>
      <c r="DF13" t="str">
        <f ca="1">IF(OR(Tulokset!$N$12="",INDIRECT("'"&amp;$A13&amp;"'!$Q$14")=""),"",IF(TRIM(INDIRECT("'"&amp;$A13&amp;"'!$Q$14"))=TRIM(Tulokset!$N$12),2,0))</f>
        <v/>
      </c>
      <c r="DG13" t="str">
        <f ca="1">IF(OR(Tulokset!$N$13="",INDIRECT("'"&amp;$A13&amp;"'!$Q$15")=""),"",IF(TRIM(INDIRECT("'"&amp;$A13&amp;"'!$Q$15"))=TRIM(Tulokset!$N$13),2,0))</f>
        <v/>
      </c>
      <c r="DH13" t="str">
        <f ca="1">IF(OR(Tulokset!$N$14="",INDIRECT("'"&amp;$A13&amp;"'!$Q$16")=""),"",IF(TRIM(INDIRECT("'"&amp;$A13&amp;"'!$Q$16"))=TRIM(Tulokset!$N$14),2,0))</f>
        <v/>
      </c>
      <c r="DI13" t="str">
        <f ca="1">IF(OR(Tulokset!$N$15="",INDIRECT("'"&amp;$A13&amp;"'!$Q$17")=""),"",IF(TRIM(INDIRECT("'"&amp;$A13&amp;"'!$Q$17"))=TRIM(Tulokset!$N$15),2,0))</f>
        <v/>
      </c>
      <c r="DJ13" t="str">
        <f ca="1">IF(OR(Tulokset!$O$12="",INDIRECT("'"&amp;$A13&amp;"'!$R$14")=""),"",IF(TRIM(INDIRECT("'"&amp;$A13&amp;"'!$R$14"))=TRIM(Tulokset!$O$12),2,0))</f>
        <v/>
      </c>
      <c r="DK13" t="str">
        <f ca="1">IF(OR(Tulokset!$O$13="",INDIRECT("'"&amp;$A13&amp;"'!$R$15")=""),"",IF(TRIM(INDIRECT("'"&amp;$A13&amp;"'!$R$15"))=TRIM(Tulokset!$O$13),2,0))</f>
        <v/>
      </c>
      <c r="DL13" t="str">
        <f ca="1">IF(OR(Tulokset!$O$14="",INDIRECT("'"&amp;$A13&amp;"'!$R$16")=""),"",IF(TRIM(INDIRECT("'"&amp;$A13&amp;"'!$R$16"))=TRIM(Tulokset!$O$14),2,0))</f>
        <v/>
      </c>
      <c r="DM13" t="str">
        <f ca="1">IF(OR(Tulokset!$O$15="",INDIRECT("'"&amp;$A13&amp;"'!$R$17")=""),"",IF(TRIM(INDIRECT("'"&amp;$A13&amp;"'!$R$17"))=TRIM(Tulokset!$O$15),2,0))</f>
        <v/>
      </c>
      <c r="DN13" t="str">
        <f ca="1">IF(OR(Tulokset!$P$12="",INDIRECT("'"&amp;$A13&amp;"'!$S$14")=""),"",IF(TRIM(INDIRECT("'"&amp;$A13&amp;"'!$S$14"))=TRIM(Tulokset!$P$12),2,0))</f>
        <v/>
      </c>
      <c r="DO13" t="str">
        <f ca="1">IF(OR(Tulokset!$P$13="",INDIRECT("'"&amp;$A13&amp;"'!$S$15")=""),"",IF(TRIM(INDIRECT("'"&amp;$A13&amp;"'!$S$15"))=TRIM(Tulokset!$P$13),2,0))</f>
        <v/>
      </c>
      <c r="DP13" t="str">
        <f ca="1">IF(OR(Tulokset!$P$14="",INDIRECT("'"&amp;$A13&amp;"'!$S$16")=""),"",IF(TRIM(INDIRECT("'"&amp;$A13&amp;"'!$S$16"))=TRIM(Tulokset!$P$14),2,0))</f>
        <v/>
      </c>
      <c r="DQ13" t="str">
        <f ca="1">IF(OR(Tulokset!$P$15="",INDIRECT("'"&amp;$A13&amp;"'!$S$17")=""),"",IF(TRIM(INDIRECT("'"&amp;$A13&amp;"'!$S$17"))=TRIM(Tulokset!$P$15),2,0))</f>
        <v/>
      </c>
      <c r="DR13" t="str">
        <f ca="1">IF(OR(Tulokset!$Q$12="",INDIRECT("'"&amp;$A13&amp;"'!$T$14")=""),"",IF(TRIM(INDIRECT("'"&amp;$A13&amp;"'!$T$14"))=TRIM(Tulokset!$Q$12),2,0))</f>
        <v/>
      </c>
      <c r="DS13" t="str">
        <f ca="1">IF(OR(Tulokset!$Q$13="",INDIRECT("'"&amp;$A13&amp;"'!$T$15")=""),"",IF(TRIM(INDIRECT("'"&amp;$A13&amp;"'!$T$15"))=TRIM(Tulokset!$Q$13),2,0))</f>
        <v/>
      </c>
      <c r="DT13" t="str">
        <f ca="1">IF(OR(Tulokset!$Q$14="",INDIRECT("'"&amp;$A13&amp;"'!$T$16")=""),"",IF(TRIM(INDIRECT("'"&amp;$A13&amp;"'!$T$16"))=TRIM(Tulokset!$Q$14),2,0))</f>
        <v/>
      </c>
      <c r="DU13" t="str">
        <f ca="1">IF(OR(Tulokset!$Q$15="",INDIRECT("'"&amp;$A13&amp;"'!$T$17")=""),"",IF(TRIM(INDIRECT("'"&amp;$A13&amp;"'!$T$17"))=TRIM(Tulokset!$Q$15),2,0))</f>
        <v/>
      </c>
      <c r="DV13" t="str">
        <f ca="1">IF(OR(Tulokset!$R$12="",INDIRECT("'"&amp;$A13&amp;"'!$U$14")=""),"",IF(TRIM(INDIRECT("'"&amp;$A13&amp;"'!$U$14"))=TRIM(Tulokset!$R$12),2,0))</f>
        <v/>
      </c>
      <c r="DW13" t="str">
        <f ca="1">IF(OR(Tulokset!$R$13="",INDIRECT("'"&amp;$A13&amp;"'!$U$15")=""),"",IF(TRIM(INDIRECT("'"&amp;$A13&amp;"'!$U$15"))=TRIM(Tulokset!$R$13),2,0))</f>
        <v/>
      </c>
      <c r="DX13" t="str">
        <f ca="1">IF(OR(Tulokset!$R$14="",INDIRECT("'"&amp;$A13&amp;"'!$U$16")=""),"",IF(TRIM(INDIRECT("'"&amp;$A13&amp;"'!$U$16"))=TRIM(Tulokset!$R$14),2,0))</f>
        <v/>
      </c>
      <c r="DY13" t="str">
        <f ca="1">IF(OR(Tulokset!$R$15="",INDIRECT("'"&amp;$A13&amp;"'!$U$17")=""),"",IF(TRIM(INDIRECT("'"&amp;$A13&amp;"'!$U$17"))=TRIM(Tulokset!$R$15),2,0))</f>
        <v/>
      </c>
      <c r="EA13" t="str">
        <f ca="1">IF(OR(INDIRECT("'"&amp;$A13&amp;"'!$E$79")="",COUNTA(Tulokset!$M$20:$M$21)=0),"",IF(COUNTIF(Tulokset!$M$20:$M$21,INDIRECT("'"&amp;$A13&amp;"'!$E$79"))&gt;0,2,0))</f>
        <v/>
      </c>
      <c r="EB13" t="str">
        <f ca="1">IF(OR(INDIRECT("'"&amp;$A13&amp;"'!$G$79")="",COUNTA(Tulokset!$M$20:$M$21)=0),"",IF(COUNTIF(Tulokset!$M$20:$M$21,INDIRECT("'"&amp;$A13&amp;"'!$G$79"))&gt;0,2,0))</f>
        <v/>
      </c>
      <c r="EC13" t="str">
        <f ca="1">IF(OR(INDIRECT("'"&amp;$A13&amp;"'!$E$80")="",COUNTA(Tulokset!$M$23:$M$24)=0),"",IF(COUNTIF(Tulokset!$M$23:$M$24,INDIRECT("'"&amp;$A13&amp;"'!$E$80"))&gt;0,2,0))</f>
        <v/>
      </c>
      <c r="ED13" t="str">
        <f ca="1">IF(OR(INDIRECT("'"&amp;$A13&amp;"'!$G$80")="",COUNTA(Tulokset!$M$23:$M$24)=0),"",IF(COUNTIF(Tulokset!$M$23:$M$24,INDIRECT("'"&amp;$A13&amp;"'!$G$80"))&gt;0,2,0))</f>
        <v/>
      </c>
    </row>
    <row r="14" spans="1:134">
      <c r="A14" t="s">
        <v>229</v>
      </c>
      <c r="B14" t="str">
        <f t="shared" ca="1" si="0"/>
        <v>Profeetta Möttönen</v>
      </c>
      <c r="C14" s="95">
        <f t="shared" si="1"/>
        <v>0</v>
      </c>
      <c r="D14" s="95">
        <f t="shared" ca="1" si="2"/>
        <v>0</v>
      </c>
      <c r="E14" s="95">
        <f t="shared" ca="1" si="3"/>
        <v>0</v>
      </c>
      <c r="F14" s="95">
        <f t="shared" ca="1" si="4"/>
        <v>0</v>
      </c>
      <c r="G14" s="95">
        <f t="shared" si="5"/>
        <v>0</v>
      </c>
      <c r="H14" t="str">
        <f>IF(OR(Tulokset!$G$6="",Tulokset!$I$6="",'11'!$I$7="",'11'!$K$7=""),"",IF(SIGN('11'!$I$7-'11'!$K$7)&lt;&gt;SIGN(Tulokset!$G$6-Tulokset!$I$6),0,IF(Tulokset!$G$6=Tulokset!$I$6,IF(AND('11'!$I$7=Tulokset!$G$6,'11'!$K$7=Tulokset!$I$6),6,3),MAX(0,6-(ABS('11'!$I$7-Tulokset!$G$6)+ABS('11'!$K$7-Tulokset!$I$6))))))</f>
        <v/>
      </c>
      <c r="I14" t="str">
        <f>IF(OR(Tulokset!$G$7="",Tulokset!$I$7="",'11'!$I$8="",'11'!$K$8=""),"",IF(SIGN('11'!$I$8-'11'!$K$8)&lt;&gt;SIGN(Tulokset!$G$7-Tulokset!$I$7),0,IF(Tulokset!$G$7=Tulokset!$I$7,IF(AND('11'!$I$8=Tulokset!$G$7,'11'!$K$8=Tulokset!$I$7),6,3),MAX(0,6-(ABS('11'!$I$8-Tulokset!$G$7)+ABS('11'!$K$8-Tulokset!$I$7))))))</f>
        <v/>
      </c>
      <c r="J14" t="str">
        <f>IF(OR(Tulokset!$G$8="",Tulokset!$I$8="",'11'!$I$9="",'11'!$K$9=""),"",IF(SIGN('11'!$I$9-'11'!$K$9)&lt;&gt;SIGN(Tulokset!$G$8-Tulokset!$I$8),0,IF(Tulokset!$G$8=Tulokset!$I$8,IF(AND('11'!$I$9=Tulokset!$G$8,'11'!$K$9=Tulokset!$I$8),6,3),MAX(0,6-(ABS('11'!$I$9-Tulokset!$G$8)+ABS('11'!$K$9-Tulokset!$I$8))))))</f>
        <v/>
      </c>
      <c r="K14" t="str">
        <f>IF(OR(Tulokset!$G$9="",Tulokset!$I$9="",'11'!$I$10="",'11'!$K$10=""),"",IF(SIGN('11'!$I$10-'11'!$K$10)&lt;&gt;SIGN(Tulokset!$G$9-Tulokset!$I$9),0,IF(Tulokset!$G$9=Tulokset!$I$9,IF(AND('11'!$I$10=Tulokset!$G$9,'11'!$K$10=Tulokset!$I$9),6,3),MAX(0,6-(ABS('11'!$I$10-Tulokset!$G$9)+ABS('11'!$K$10-Tulokset!$I$9))))))</f>
        <v/>
      </c>
      <c r="L14" t="str">
        <f>IF(OR(Tulokset!$G$10="",Tulokset!$I$10="",'11'!$I$11="",'11'!$K$11=""),"",IF(SIGN('11'!$I$11-'11'!$K$11)&lt;&gt;SIGN(Tulokset!$G$10-Tulokset!$I$10),0,IF(Tulokset!$G$10=Tulokset!$I$10,IF(AND('11'!$I$11=Tulokset!$G$10,'11'!$K$11=Tulokset!$I$10),6,3),MAX(0,6-(ABS('11'!$I$11-Tulokset!$G$10)+ABS('11'!$K$11-Tulokset!$I$10))))))</f>
        <v/>
      </c>
      <c r="M14" t="str">
        <f>IF(OR(Tulokset!$G$11="",Tulokset!$I$11="",'11'!$I$12="",'11'!$K$12=""),"",IF(SIGN('11'!$I$12-'11'!$K$12)&lt;&gt;SIGN(Tulokset!$G$11-Tulokset!$I$11),0,IF(Tulokset!$G$11=Tulokset!$I$11,IF(AND('11'!$I$12=Tulokset!$G$11,'11'!$K$12=Tulokset!$I$11),6,3),MAX(0,6-(ABS('11'!$I$12-Tulokset!$G$11)+ABS('11'!$K$12-Tulokset!$I$11))))))</f>
        <v/>
      </c>
      <c r="N14" t="str">
        <f>IF(OR(Tulokset!$G$12="",Tulokset!$I$12="",'11'!$I$13="",'11'!$K$13=""),"",IF(SIGN('11'!$I$13-'11'!$K$13)&lt;&gt;SIGN(Tulokset!$G$12-Tulokset!$I$12),0,IF(Tulokset!$G$12=Tulokset!$I$12,IF(AND('11'!$I$13=Tulokset!$G$12,'11'!$K$13=Tulokset!$I$12),6,3),MAX(0,6-(ABS('11'!$I$13-Tulokset!$G$12)+ABS('11'!$K$13-Tulokset!$I$12))))))</f>
        <v/>
      </c>
      <c r="O14" t="str">
        <f>IF(OR(Tulokset!$G$13="",Tulokset!$I$13="",'11'!$I$14="",'11'!$K$14=""),"",IF(SIGN('11'!$I$14-'11'!$K$14)&lt;&gt;SIGN(Tulokset!$G$13-Tulokset!$I$13),0,IF(Tulokset!$G$13=Tulokset!$I$13,IF(AND('11'!$I$14=Tulokset!$G$13,'11'!$K$14=Tulokset!$I$13),6,3),MAX(0,6-(ABS('11'!$I$14-Tulokset!$G$13)+ABS('11'!$K$14-Tulokset!$I$13))))))</f>
        <v/>
      </c>
      <c r="P14" t="str">
        <f>IF(OR(Tulokset!$G$14="",Tulokset!$I$14="",'11'!$I$15="",'11'!$K$15=""),"",IF(SIGN('11'!$I$15-'11'!$K$15)&lt;&gt;SIGN(Tulokset!$G$14-Tulokset!$I$14),0,IF(Tulokset!$G$14=Tulokset!$I$14,IF(AND('11'!$I$15=Tulokset!$G$14,'11'!$K$15=Tulokset!$I$14),6,3),MAX(0,6-(ABS('11'!$I$15-Tulokset!$G$14)+ABS('11'!$K$15-Tulokset!$I$14))))))</f>
        <v/>
      </c>
      <c r="Q14" t="str">
        <f>IF(OR(Tulokset!$G$15="",Tulokset!$I$15="",'11'!$I$16="",'11'!$K$16=""),"",IF(SIGN('11'!$I$16-'11'!$K$16)&lt;&gt;SIGN(Tulokset!$G$15-Tulokset!$I$15),0,IF(Tulokset!$G$15=Tulokset!$I$15,IF(AND('11'!$I$16=Tulokset!$G$15,'11'!$K$16=Tulokset!$I$15),6,3),MAX(0,6-(ABS('11'!$I$16-Tulokset!$G$15)+ABS('11'!$K$16-Tulokset!$I$15))))))</f>
        <v/>
      </c>
      <c r="R14" t="str">
        <f>IF(OR(Tulokset!$G$16="",Tulokset!$I$16="",'11'!$I$17="",'11'!$K$17=""),"",IF(SIGN('11'!$I$17-'11'!$K$17)&lt;&gt;SIGN(Tulokset!$G$16-Tulokset!$I$16),0,IF(Tulokset!$G$16=Tulokset!$I$16,IF(AND('11'!$I$17=Tulokset!$G$16,'11'!$K$17=Tulokset!$I$16),6,3),MAX(0,6-(ABS('11'!$I$17-Tulokset!$G$16)+ABS('11'!$K$17-Tulokset!$I$16))))))</f>
        <v/>
      </c>
      <c r="S14" t="str">
        <f>IF(OR(Tulokset!$G$17="",Tulokset!$I$17="",'11'!$I$18="",'11'!$K$18=""),"",IF(SIGN('11'!$I$18-'11'!$K$18)&lt;&gt;SIGN(Tulokset!$G$17-Tulokset!$I$17),0,IF(Tulokset!$G$17=Tulokset!$I$17,IF(AND('11'!$I$18=Tulokset!$G$17,'11'!$K$18=Tulokset!$I$17),6,3),MAX(0,6-(ABS('11'!$I$18-Tulokset!$G$17)+ABS('11'!$K$18-Tulokset!$I$17))))))</f>
        <v/>
      </c>
      <c r="T14" t="str">
        <f>IF(OR(Tulokset!$G$18="",Tulokset!$I$18="",'11'!$I$19="",'11'!$K$19=""),"",IF(SIGN('11'!$I$19-'11'!$K$19)&lt;&gt;SIGN(Tulokset!$G$18-Tulokset!$I$18),0,IF(Tulokset!$G$18=Tulokset!$I$18,IF(AND('11'!$I$19=Tulokset!$G$18,'11'!$K$19=Tulokset!$I$18),6,3),MAX(0,6-(ABS('11'!$I$19-Tulokset!$G$18)+ABS('11'!$K$19-Tulokset!$I$18))))))</f>
        <v/>
      </c>
      <c r="U14" t="str">
        <f>IF(OR(Tulokset!$G$19="",Tulokset!$I$19="",'11'!$I$20="",'11'!$K$20=""),"",IF(SIGN('11'!$I$20-'11'!$K$20)&lt;&gt;SIGN(Tulokset!$G$19-Tulokset!$I$19),0,IF(Tulokset!$G$19=Tulokset!$I$19,IF(AND('11'!$I$20=Tulokset!$G$19,'11'!$K$20=Tulokset!$I$19),6,3),MAX(0,6-(ABS('11'!$I$20-Tulokset!$G$19)+ABS('11'!$K$20-Tulokset!$I$19))))))</f>
        <v/>
      </c>
      <c r="V14" t="str">
        <f>IF(OR(Tulokset!$G$20="",Tulokset!$I$20="",'11'!$I$21="",'11'!$K$21=""),"",IF(SIGN('11'!$I$21-'11'!$K$21)&lt;&gt;SIGN(Tulokset!$G$20-Tulokset!$I$20),0,IF(Tulokset!$G$20=Tulokset!$I$20,IF(AND('11'!$I$21=Tulokset!$G$20,'11'!$K$21=Tulokset!$I$20),6,3),MAX(0,6-(ABS('11'!$I$21-Tulokset!$G$20)+ABS('11'!$K$21-Tulokset!$I$20))))))</f>
        <v/>
      </c>
      <c r="W14" t="str">
        <f>IF(OR(Tulokset!$G$21="",Tulokset!$I$21="",'11'!$I$22="",'11'!$K$22=""),"",IF(SIGN('11'!$I$22-'11'!$K$22)&lt;&gt;SIGN(Tulokset!$G$21-Tulokset!$I$21),0,IF(Tulokset!$G$21=Tulokset!$I$21,IF(AND('11'!$I$22=Tulokset!$G$21,'11'!$K$22=Tulokset!$I$21),6,3),MAX(0,6-(ABS('11'!$I$22-Tulokset!$G$21)+ABS('11'!$K$22-Tulokset!$I$21))))))</f>
        <v/>
      </c>
      <c r="X14" t="str">
        <f>IF(OR(Tulokset!$G$22="",Tulokset!$I$22="",'11'!$I$23="",'11'!$K$23=""),"",IF(SIGN('11'!$I$23-'11'!$K$23)&lt;&gt;SIGN(Tulokset!$G$22-Tulokset!$I$22),0,IF(Tulokset!$G$22=Tulokset!$I$22,IF(AND('11'!$I$23=Tulokset!$G$22,'11'!$K$23=Tulokset!$I$22),6,3),MAX(0,6-(ABS('11'!$I$23-Tulokset!$G$22)+ABS('11'!$K$23-Tulokset!$I$22))))))</f>
        <v/>
      </c>
      <c r="Y14" t="str">
        <f>IF(OR(Tulokset!$G$23="",Tulokset!$I$23="",'11'!$I$24="",'11'!$K$24=""),"",IF(SIGN('11'!$I$24-'11'!$K$24)&lt;&gt;SIGN(Tulokset!$G$23-Tulokset!$I$23),0,IF(Tulokset!$G$23=Tulokset!$I$23,IF(AND('11'!$I$24=Tulokset!$G$23,'11'!$K$24=Tulokset!$I$23),6,3),MAX(0,6-(ABS('11'!$I$24-Tulokset!$G$23)+ABS('11'!$K$24-Tulokset!$I$23))))))</f>
        <v/>
      </c>
      <c r="Z14" t="str">
        <f>IF(OR(Tulokset!$G$24="",Tulokset!$I$24="",'11'!$I$25="",'11'!$K$25=""),"",IF(SIGN('11'!$I$25-'11'!$K$25)&lt;&gt;SIGN(Tulokset!$G$24-Tulokset!$I$24),0,IF(Tulokset!$G$24=Tulokset!$I$24,IF(AND('11'!$I$25=Tulokset!$G$24,'11'!$K$25=Tulokset!$I$24),6,3),MAX(0,6-(ABS('11'!$I$25-Tulokset!$G$24)+ABS('11'!$K$25-Tulokset!$I$24))))))</f>
        <v/>
      </c>
      <c r="AA14" t="str">
        <f>IF(OR(Tulokset!$G$25="",Tulokset!$I$25="",'11'!$I$26="",'11'!$K$26=""),"",IF(SIGN('11'!$I$26-'11'!$K$26)&lt;&gt;SIGN(Tulokset!$G$25-Tulokset!$I$25),0,IF(Tulokset!$G$25=Tulokset!$I$25,IF(AND('11'!$I$26=Tulokset!$G$25,'11'!$K$26=Tulokset!$I$25),6,3),MAX(0,6-(ABS('11'!$I$26-Tulokset!$G$25)+ABS('11'!$K$26-Tulokset!$I$25))))))</f>
        <v/>
      </c>
      <c r="AB14" t="str">
        <f>IF(OR(Tulokset!$G$26="",Tulokset!$I$26="",'11'!$I$27="",'11'!$K$27=""),"",IF(SIGN('11'!$I$27-'11'!$K$27)&lt;&gt;SIGN(Tulokset!$G$26-Tulokset!$I$26),0,IF(Tulokset!$G$26=Tulokset!$I$26,IF(AND('11'!$I$27=Tulokset!$G$26,'11'!$K$27=Tulokset!$I$26),6,3),MAX(0,6-(ABS('11'!$I$27-Tulokset!$G$26)+ABS('11'!$K$27-Tulokset!$I$26))))))</f>
        <v/>
      </c>
      <c r="AC14" t="str">
        <f>IF(OR(Tulokset!$G$27="",Tulokset!$I$27="",'11'!$I$28="",'11'!$K$28=""),"",IF(SIGN('11'!$I$28-'11'!$K$28)&lt;&gt;SIGN(Tulokset!$G$27-Tulokset!$I$27),0,IF(Tulokset!$G$27=Tulokset!$I$27,IF(AND('11'!$I$28=Tulokset!$G$27,'11'!$K$28=Tulokset!$I$27),6,3),MAX(0,6-(ABS('11'!$I$28-Tulokset!$G$27)+ABS('11'!$K$28-Tulokset!$I$27))))))</f>
        <v/>
      </c>
      <c r="AD14" t="str">
        <f>IF(OR(Tulokset!$G$28="",Tulokset!$I$28="",'11'!$I$29="",'11'!$K$29=""),"",IF(SIGN('11'!$I$29-'11'!$K$29)&lt;&gt;SIGN(Tulokset!$G$28-Tulokset!$I$28),0,IF(Tulokset!$G$28=Tulokset!$I$28,IF(AND('11'!$I$29=Tulokset!$G$28,'11'!$K$29=Tulokset!$I$28),6,3),MAX(0,6-(ABS('11'!$I$29-Tulokset!$G$28)+ABS('11'!$K$29-Tulokset!$I$28))))))</f>
        <v/>
      </c>
      <c r="AE14" t="str">
        <f>IF(OR(Tulokset!$G$29="",Tulokset!$I$29="",'11'!$I$30="",'11'!$K$30=""),"",IF(SIGN('11'!$I$30-'11'!$K$30)&lt;&gt;SIGN(Tulokset!$G$29-Tulokset!$I$29),0,IF(Tulokset!$G$29=Tulokset!$I$29,IF(AND('11'!$I$30=Tulokset!$G$29,'11'!$K$30=Tulokset!$I$29),6,3),MAX(0,6-(ABS('11'!$I$30-Tulokset!$G$29)+ABS('11'!$K$30-Tulokset!$I$29))))))</f>
        <v/>
      </c>
      <c r="AF14" t="str">
        <f>IF(OR(Tulokset!$G$30="",Tulokset!$I$30="",'11'!$I$31="",'11'!$K$31=""),"",IF(SIGN('11'!$I$31-'11'!$K$31)&lt;&gt;SIGN(Tulokset!$G$30-Tulokset!$I$30),0,IF(Tulokset!$G$30=Tulokset!$I$30,IF(AND('11'!$I$31=Tulokset!$G$30,'11'!$K$31=Tulokset!$I$30),6,3),MAX(0,6-(ABS('11'!$I$31-Tulokset!$G$30)+ABS('11'!$K$31-Tulokset!$I$30))))))</f>
        <v/>
      </c>
      <c r="AG14" t="str">
        <f>IF(OR(Tulokset!$G$31="",Tulokset!$I$31="",'11'!$I$32="",'11'!$K$32=""),"",IF(SIGN('11'!$I$32-'11'!$K$32)&lt;&gt;SIGN(Tulokset!$G$31-Tulokset!$I$31),0,IF(Tulokset!$G$31=Tulokset!$I$31,IF(AND('11'!$I$32=Tulokset!$G$31,'11'!$K$32=Tulokset!$I$31),6,3),MAX(0,6-(ABS('11'!$I$32-Tulokset!$G$31)+ABS('11'!$K$32-Tulokset!$I$31))))))</f>
        <v/>
      </c>
      <c r="AH14" t="str">
        <f>IF(OR(Tulokset!$G$32="",Tulokset!$I$32="",'11'!$I$33="",'11'!$K$33=""),"",IF(SIGN('11'!$I$33-'11'!$K$33)&lt;&gt;SIGN(Tulokset!$G$32-Tulokset!$I$32),0,IF(Tulokset!$G$32=Tulokset!$I$32,IF(AND('11'!$I$33=Tulokset!$G$32,'11'!$K$33=Tulokset!$I$32),6,3),MAX(0,6-(ABS('11'!$I$33-Tulokset!$G$32)+ABS('11'!$K$33-Tulokset!$I$32))))))</f>
        <v/>
      </c>
      <c r="AI14" t="str">
        <f>IF(OR(Tulokset!$G$33="",Tulokset!$I$33="",'11'!$I$34="",'11'!$K$34=""),"",IF(SIGN('11'!$I$34-'11'!$K$34)&lt;&gt;SIGN(Tulokset!$G$33-Tulokset!$I$33),0,IF(Tulokset!$G$33=Tulokset!$I$33,IF(AND('11'!$I$34=Tulokset!$G$33,'11'!$K$34=Tulokset!$I$33),6,3),MAX(0,6-(ABS('11'!$I$34-Tulokset!$G$33)+ABS('11'!$K$34-Tulokset!$I$33))))))</f>
        <v/>
      </c>
      <c r="AJ14" t="str">
        <f>IF(OR(Tulokset!$G$34="",Tulokset!$I$34="",'11'!$I$35="",'11'!$K$35=""),"",IF(SIGN('11'!$I$35-'11'!$K$35)&lt;&gt;SIGN(Tulokset!$G$34-Tulokset!$I$34),0,IF(Tulokset!$G$34=Tulokset!$I$34,IF(AND('11'!$I$35=Tulokset!$G$34,'11'!$K$35=Tulokset!$I$34),6,3),MAX(0,6-(ABS('11'!$I$35-Tulokset!$G$34)+ABS('11'!$K$35-Tulokset!$I$34))))))</f>
        <v/>
      </c>
      <c r="AK14" t="str">
        <f>IF(OR(Tulokset!$G$35="",Tulokset!$I$35="",'11'!$I$36="",'11'!$K$36=""),"",IF(SIGN('11'!$I$36-'11'!$K$36)&lt;&gt;SIGN(Tulokset!$G$35-Tulokset!$I$35),0,IF(Tulokset!$G$35=Tulokset!$I$35,IF(AND('11'!$I$36=Tulokset!$G$35,'11'!$K$36=Tulokset!$I$35),6,3),MAX(0,6-(ABS('11'!$I$36-Tulokset!$G$35)+ABS('11'!$K$36-Tulokset!$I$35))))))</f>
        <v/>
      </c>
      <c r="AL14" t="str">
        <f>IF(OR(Tulokset!$G$36="",Tulokset!$I$36="",'11'!$I$37="",'11'!$K$37=""),"",IF(SIGN('11'!$I$37-'11'!$K$37)&lt;&gt;SIGN(Tulokset!$G$36-Tulokset!$I$36),0,IF(Tulokset!$G$36=Tulokset!$I$36,IF(AND('11'!$I$37=Tulokset!$G$36,'11'!$K$37=Tulokset!$I$36),6,3),MAX(0,6-(ABS('11'!$I$37-Tulokset!$G$36)+ABS('11'!$K$37-Tulokset!$I$36))))))</f>
        <v/>
      </c>
      <c r="AM14" t="str">
        <f>IF(OR(Tulokset!$G$37="",Tulokset!$I$37="",'11'!$I$38="",'11'!$K$38=""),"",IF(SIGN('11'!$I$38-'11'!$K$38)&lt;&gt;SIGN(Tulokset!$G$37-Tulokset!$I$37),0,IF(Tulokset!$G$37=Tulokset!$I$37,IF(AND('11'!$I$38=Tulokset!$G$37,'11'!$K$38=Tulokset!$I$37),6,3),MAX(0,6-(ABS('11'!$I$38-Tulokset!$G$37)+ABS('11'!$K$38-Tulokset!$I$37))))))</f>
        <v/>
      </c>
      <c r="AN14" t="str">
        <f>IF(OR(Tulokset!$G$38="",Tulokset!$I$38="",'11'!$I$39="",'11'!$K$39=""),"",IF(SIGN('11'!$I$39-'11'!$K$39)&lt;&gt;SIGN(Tulokset!$G$38-Tulokset!$I$38),0,IF(Tulokset!$G$38=Tulokset!$I$38,IF(AND('11'!$I$39=Tulokset!$G$38,'11'!$K$39=Tulokset!$I$38),6,3),MAX(0,6-(ABS('11'!$I$39-Tulokset!$G$38)+ABS('11'!$K$39-Tulokset!$I$38))))))</f>
        <v/>
      </c>
      <c r="AO14" t="str">
        <f>IF(OR(Tulokset!$G$39="",Tulokset!$I$39="",'11'!$I$40="",'11'!$K$40=""),"",IF(SIGN('11'!$I$40-'11'!$K$40)&lt;&gt;SIGN(Tulokset!$G$39-Tulokset!$I$39),0,IF(Tulokset!$G$39=Tulokset!$I$39,IF(AND('11'!$I$40=Tulokset!$G$39,'11'!$K$40=Tulokset!$I$39),6,3),MAX(0,6-(ABS('11'!$I$40-Tulokset!$G$39)+ABS('11'!$K$40-Tulokset!$I$39))))))</f>
        <v/>
      </c>
      <c r="AP14" t="str">
        <f>IF(OR(Tulokset!$G$40="",Tulokset!$I$40="",'11'!$I$41="",'11'!$K$41=""),"",IF(SIGN('11'!$I$41-'11'!$K$41)&lt;&gt;SIGN(Tulokset!$G$40-Tulokset!$I$40),0,IF(Tulokset!$G$40=Tulokset!$I$40,IF(AND('11'!$I$41=Tulokset!$G$40,'11'!$K$41=Tulokset!$I$40),6,3),MAX(0,6-(ABS('11'!$I$41-Tulokset!$G$40)+ABS('11'!$K$41-Tulokset!$I$40))))))</f>
        <v/>
      </c>
      <c r="AQ14" t="str">
        <f>IF(OR(Tulokset!$G$41="",Tulokset!$I$41="",'11'!$I$42="",'11'!$K$42=""),"",IF(SIGN('11'!$I$42-'11'!$K$42)&lt;&gt;SIGN(Tulokset!$G$41-Tulokset!$I$41),0,IF(Tulokset!$G$41=Tulokset!$I$41,IF(AND('11'!$I$42=Tulokset!$G$41,'11'!$K$42=Tulokset!$I$41),6,3),MAX(0,6-(ABS('11'!$I$42-Tulokset!$G$41)+ABS('11'!$K$42-Tulokset!$I$41))))))</f>
        <v/>
      </c>
      <c r="AR14" t="str">
        <f>IF(OR(Tulokset!$G$42="",Tulokset!$I$42="",'11'!$I$43="",'11'!$K$43=""),"",IF(SIGN('11'!$I$43-'11'!$K$43)&lt;&gt;SIGN(Tulokset!$G$42-Tulokset!$I$42),0,IF(Tulokset!$G$42=Tulokset!$I$42,IF(AND('11'!$I$43=Tulokset!$G$42,'11'!$K$43=Tulokset!$I$42),6,3),MAX(0,6-(ABS('11'!$I$43-Tulokset!$G$42)+ABS('11'!$K$43-Tulokset!$I$42))))))</f>
        <v/>
      </c>
      <c r="AS14" t="str">
        <f>IF(OR(Tulokset!$G$43="",Tulokset!$I$43="",'11'!$I$44="",'11'!$K$44=""),"",IF(SIGN('11'!$I$44-'11'!$K$44)&lt;&gt;SIGN(Tulokset!$G$43-Tulokset!$I$43),0,IF(Tulokset!$G$43=Tulokset!$I$43,IF(AND('11'!$I$44=Tulokset!$G$43,'11'!$K$44=Tulokset!$I$43),6,3),MAX(0,6-(ABS('11'!$I$44-Tulokset!$G$43)+ABS('11'!$K$44-Tulokset!$I$43))))))</f>
        <v/>
      </c>
      <c r="AT14" t="str">
        <f>IF(OR(Tulokset!$G$44="",Tulokset!$I$44="",'11'!$I$45="",'11'!$K$45=""),"",IF(SIGN('11'!$I$45-'11'!$K$45)&lt;&gt;SIGN(Tulokset!$G$44-Tulokset!$I$44),0,IF(Tulokset!$G$44=Tulokset!$I$44,IF(AND('11'!$I$45=Tulokset!$G$44,'11'!$K$45=Tulokset!$I$44),6,3),MAX(0,6-(ABS('11'!$I$45-Tulokset!$G$44)+ABS('11'!$K$45-Tulokset!$I$44))))))</f>
        <v/>
      </c>
      <c r="AU14" t="str">
        <f>IF(OR(Tulokset!$G$45="",Tulokset!$I$45="",'11'!$I$46="",'11'!$K$46=""),"",IF(SIGN('11'!$I$46-'11'!$K$46)&lt;&gt;SIGN(Tulokset!$G$45-Tulokset!$I$45),0,IF(Tulokset!$G$45=Tulokset!$I$45,IF(AND('11'!$I$46=Tulokset!$G$45,'11'!$K$46=Tulokset!$I$45),6,3),MAX(0,6-(ABS('11'!$I$46-Tulokset!$G$45)+ABS('11'!$K$46-Tulokset!$I$45))))))</f>
        <v/>
      </c>
      <c r="AV14" t="str">
        <f>IF(OR(Tulokset!$G$46="",Tulokset!$I$46="",'11'!$I$47="",'11'!$K$47=""),"",IF(SIGN('11'!$I$47-'11'!$K$47)&lt;&gt;SIGN(Tulokset!$G$46-Tulokset!$I$46),0,IF(Tulokset!$G$46=Tulokset!$I$46,IF(AND('11'!$I$47=Tulokset!$G$46,'11'!$K$47=Tulokset!$I$46),6,3),MAX(0,6-(ABS('11'!$I$47-Tulokset!$G$46)+ABS('11'!$K$47-Tulokset!$I$46))))))</f>
        <v/>
      </c>
      <c r="AW14" t="str">
        <f>IF(OR(Tulokset!$G$47="",Tulokset!$I$47="",'11'!$I$48="",'11'!$K$48=""),"",IF(SIGN('11'!$I$48-'11'!$K$48)&lt;&gt;SIGN(Tulokset!$G$47-Tulokset!$I$47),0,IF(Tulokset!$G$47=Tulokset!$I$47,IF(AND('11'!$I$48=Tulokset!$G$47,'11'!$K$48=Tulokset!$I$47),6,3),MAX(0,6-(ABS('11'!$I$48-Tulokset!$G$47)+ABS('11'!$K$48-Tulokset!$I$47))))))</f>
        <v/>
      </c>
      <c r="AX14" t="str">
        <f>IF(OR(Tulokset!$G$48="",Tulokset!$I$48="",'11'!$I$49="",'11'!$K$49=""),"",IF(SIGN('11'!$I$49-'11'!$K$49)&lt;&gt;SIGN(Tulokset!$G$48-Tulokset!$I$48),0,IF(Tulokset!$G$48=Tulokset!$I$48,IF(AND('11'!$I$49=Tulokset!$G$48,'11'!$K$49=Tulokset!$I$48),6,3),MAX(0,6-(ABS('11'!$I$49-Tulokset!$G$48)+ABS('11'!$K$49-Tulokset!$I$48))))))</f>
        <v/>
      </c>
      <c r="AY14" t="str">
        <f>IF(OR(Tulokset!$G$49="",Tulokset!$I$49="",'11'!$I$50="",'11'!$K$50=""),"",IF(SIGN('11'!$I$50-'11'!$K$50)&lt;&gt;SIGN(Tulokset!$G$49-Tulokset!$I$49),0,IF(Tulokset!$G$49=Tulokset!$I$49,IF(AND('11'!$I$50=Tulokset!$G$49,'11'!$K$50=Tulokset!$I$49),6,3),MAX(0,6-(ABS('11'!$I$50-Tulokset!$G$49)+ABS('11'!$K$50-Tulokset!$I$49))))))</f>
        <v/>
      </c>
      <c r="AZ14" t="str">
        <f>IF(OR(Tulokset!$G$50="",Tulokset!$I$50="",'11'!$I$51="",'11'!$K$51=""),"",IF(SIGN('11'!$I$51-'11'!$K$51)&lt;&gt;SIGN(Tulokset!$G$50-Tulokset!$I$50),0,IF(Tulokset!$G$50=Tulokset!$I$50,IF(AND('11'!$I$51=Tulokset!$G$50,'11'!$K$51=Tulokset!$I$50),6,3),MAX(0,6-(ABS('11'!$I$51-Tulokset!$G$50)+ABS('11'!$K$51-Tulokset!$I$50))))))</f>
        <v/>
      </c>
      <c r="BA14" t="str">
        <f>IF(OR(Tulokset!$G$51="",Tulokset!$I$51="",'11'!$I$52="",'11'!$K$52=""),"",IF(SIGN('11'!$I$52-'11'!$K$52)&lt;&gt;SIGN(Tulokset!$G$51-Tulokset!$I$51),0,IF(Tulokset!$G$51=Tulokset!$I$51,IF(AND('11'!$I$52=Tulokset!$G$51,'11'!$K$52=Tulokset!$I$51),6,3),MAX(0,6-(ABS('11'!$I$52-Tulokset!$G$51)+ABS('11'!$K$52-Tulokset!$I$51))))))</f>
        <v/>
      </c>
      <c r="BB14" t="str">
        <f>IF(OR(Tulokset!$G$52="",Tulokset!$I$52="",'11'!$I$53="",'11'!$K$53=""),"",IF(SIGN('11'!$I$53-'11'!$K$53)&lt;&gt;SIGN(Tulokset!$G$52-Tulokset!$I$52),0,IF(Tulokset!$G$52=Tulokset!$I$52,IF(AND('11'!$I$53=Tulokset!$G$52,'11'!$K$53=Tulokset!$I$52),6,3),MAX(0,6-(ABS('11'!$I$53-Tulokset!$G$52)+ABS('11'!$K$53-Tulokset!$I$52))))))</f>
        <v/>
      </c>
      <c r="BC14" t="str">
        <f>IF(OR(Tulokset!$G$53="",Tulokset!$I$53="",'11'!$I$54="",'11'!$K$54=""),"",IF(SIGN('11'!$I$54-'11'!$K$54)&lt;&gt;SIGN(Tulokset!$G$53-Tulokset!$I$53),0,IF(Tulokset!$G$53=Tulokset!$I$53,IF(AND('11'!$I$54=Tulokset!$G$53,'11'!$K$54=Tulokset!$I$53),6,3),MAX(0,6-(ABS('11'!$I$54-Tulokset!$G$53)+ABS('11'!$K$54-Tulokset!$I$53))))))</f>
        <v/>
      </c>
      <c r="BD14" t="str">
        <f>IF(OR(Tulokset!$G$54="",Tulokset!$I$54="",'11'!$I$55="",'11'!$K$55=""),"",IF(SIGN('11'!$I$55-'11'!$K$55)&lt;&gt;SIGN(Tulokset!$G$54-Tulokset!$I$54),0,IF(Tulokset!$G$54=Tulokset!$I$54,IF(AND('11'!$I$55=Tulokset!$G$54,'11'!$K$55=Tulokset!$I$54),6,3),MAX(0,6-(ABS('11'!$I$55-Tulokset!$G$54)+ABS('11'!$K$55-Tulokset!$I$54))))))</f>
        <v/>
      </c>
      <c r="BE14" t="str">
        <f>IF(OR(Tulokset!$G$55="",Tulokset!$I$55="",'11'!$I$56="",'11'!$K$56=""),"",IF(SIGN('11'!$I$56-'11'!$K$56)&lt;&gt;SIGN(Tulokset!$G$55-Tulokset!$I$55),0,IF(Tulokset!$G$55=Tulokset!$I$55,IF(AND('11'!$I$56=Tulokset!$G$55,'11'!$K$56=Tulokset!$I$55),6,3),MAX(0,6-(ABS('11'!$I$56-Tulokset!$G$55)+ABS('11'!$K$56-Tulokset!$I$55))))))</f>
        <v/>
      </c>
      <c r="BF14" t="str">
        <f>IF(OR(Tulokset!$G$56="",Tulokset!$I$56="",'11'!$I$57="",'11'!$K$57=""),"",IF(SIGN('11'!$I$57-'11'!$K$57)&lt;&gt;SIGN(Tulokset!$G$56-Tulokset!$I$56),0,IF(Tulokset!$G$56=Tulokset!$I$56,IF(AND('11'!$I$57=Tulokset!$G$56,'11'!$K$57=Tulokset!$I$56),6,3),MAX(0,6-(ABS('11'!$I$57-Tulokset!$G$56)+ABS('11'!$K$57-Tulokset!$I$56))))))</f>
        <v/>
      </c>
      <c r="BG14" t="str">
        <f>IF(OR(Tulokset!$G$57="",Tulokset!$I$57="",'11'!$I$58="",'11'!$K$58=""),"",IF(SIGN('11'!$I$58-'11'!$K$58)&lt;&gt;SIGN(Tulokset!$G$57-Tulokset!$I$57),0,IF(Tulokset!$G$57=Tulokset!$I$57,IF(AND('11'!$I$58=Tulokset!$G$57,'11'!$K$58=Tulokset!$I$57),6,3),MAX(0,6-(ABS('11'!$I$58-Tulokset!$G$57)+ABS('11'!$K$58-Tulokset!$I$57))))))</f>
        <v/>
      </c>
      <c r="BH14" t="str">
        <f>IF(OR(Tulokset!$G$58="",Tulokset!$I$58="",'11'!$I$59="",'11'!$K$59=""),"",IF(SIGN('11'!$I$59-'11'!$K$59)&lt;&gt;SIGN(Tulokset!$G$58-Tulokset!$I$58),0,IF(Tulokset!$G$58=Tulokset!$I$58,IF(AND('11'!$I$59=Tulokset!$G$58,'11'!$K$59=Tulokset!$I$58),6,3),MAX(0,6-(ABS('11'!$I$59-Tulokset!$G$58)+ABS('11'!$K$59-Tulokset!$I$58))))))</f>
        <v/>
      </c>
      <c r="BI14" t="str">
        <f>IF(OR(Tulokset!$G$59="",Tulokset!$I$59="",'11'!$I$60="",'11'!$K$60=""),"",IF(SIGN('11'!$I$60-'11'!$K$60)&lt;&gt;SIGN(Tulokset!$G$59-Tulokset!$I$59),0,IF(Tulokset!$G$59=Tulokset!$I$59,IF(AND('11'!$I$60=Tulokset!$G$59,'11'!$K$60=Tulokset!$I$59),6,3),MAX(0,6-(ABS('11'!$I$60-Tulokset!$G$59)+ABS('11'!$K$60-Tulokset!$I$59))))))</f>
        <v/>
      </c>
      <c r="BJ14" t="str">
        <f>IF(OR(Tulokset!$G$60="",Tulokset!$I$60="",'11'!$I$61="",'11'!$K$61=""),"",IF(SIGN('11'!$I$61-'11'!$K$61)&lt;&gt;SIGN(Tulokset!$G$60-Tulokset!$I$60),0,IF(Tulokset!$G$60=Tulokset!$I$60,IF(AND('11'!$I$61=Tulokset!$G$60,'11'!$K$61=Tulokset!$I$60),6,3),MAX(0,6-(ABS('11'!$I$61-Tulokset!$G$60)+ABS('11'!$K$61-Tulokset!$I$60))))))</f>
        <v/>
      </c>
      <c r="BK14" t="str">
        <f>IF(OR(Tulokset!$G$61="",Tulokset!$I$61="",'11'!$I$62="",'11'!$K$62=""),"",IF(SIGN('11'!$I$62-'11'!$K$62)&lt;&gt;SIGN(Tulokset!$G$61-Tulokset!$I$61),0,IF(Tulokset!$G$61=Tulokset!$I$61,IF(AND('11'!$I$62=Tulokset!$G$61,'11'!$K$62=Tulokset!$I$61),6,3),MAX(0,6-(ABS('11'!$I$62-Tulokset!$G$61)+ABS('11'!$K$62-Tulokset!$I$61))))))</f>
        <v/>
      </c>
      <c r="BL14" t="str">
        <f>IF(OR(Tulokset!$G$62="",Tulokset!$I$62="",'11'!$I$63="",'11'!$K$63=""),"",IF(SIGN('11'!$I$63-'11'!$K$63)&lt;&gt;SIGN(Tulokset!$G$62-Tulokset!$I$62),0,IF(Tulokset!$G$62=Tulokset!$I$62,IF(AND('11'!$I$63=Tulokset!$G$62,'11'!$K$63=Tulokset!$I$62),6,3),MAX(0,6-(ABS('11'!$I$63-Tulokset!$G$62)+ABS('11'!$K$63-Tulokset!$I$62))))))</f>
        <v/>
      </c>
      <c r="BM14" t="str">
        <f>IF(OR(Tulokset!$G$63="",Tulokset!$I$63="",'11'!$I$64="",'11'!$K$64=""),"",IF(SIGN('11'!$I$64-'11'!$K$64)&lt;&gt;SIGN(Tulokset!$G$63-Tulokset!$I$63),0,IF(Tulokset!$G$63=Tulokset!$I$63,IF(AND('11'!$I$64=Tulokset!$G$63,'11'!$K$64=Tulokset!$I$63),6,3),MAX(0,6-(ABS('11'!$I$64-Tulokset!$G$63)+ABS('11'!$K$64-Tulokset!$I$63))))))</f>
        <v/>
      </c>
      <c r="BN14" t="str">
        <f>IF(OR(Tulokset!$G$64="",Tulokset!$I$64="",'11'!$I$65="",'11'!$K$65=""),"",IF(SIGN('11'!$I$65-'11'!$K$65)&lt;&gt;SIGN(Tulokset!$G$64-Tulokset!$I$64),0,IF(Tulokset!$G$64=Tulokset!$I$64,IF(AND('11'!$I$65=Tulokset!$G$64,'11'!$K$65=Tulokset!$I$64),6,3),MAX(0,6-(ABS('11'!$I$65-Tulokset!$G$64)+ABS('11'!$K$65-Tulokset!$I$64))))))</f>
        <v/>
      </c>
      <c r="BO14" t="str">
        <f>IF(OR(Tulokset!$G$65="",Tulokset!$I$65="",'11'!$I$66="",'11'!$K$66=""),"",IF(SIGN('11'!$I$66-'11'!$K$66)&lt;&gt;SIGN(Tulokset!$G$65-Tulokset!$I$65),0,IF(Tulokset!$G$65=Tulokset!$I$65,IF(AND('11'!$I$66=Tulokset!$G$65,'11'!$K$66=Tulokset!$I$65),6,3),MAX(0,6-(ABS('11'!$I$66-Tulokset!$G$65)+ABS('11'!$K$66-Tulokset!$I$65))))))</f>
        <v/>
      </c>
      <c r="BP14" t="str">
        <f>IF(OR(Tulokset!$G$66="",Tulokset!$I$66="",'11'!$I$67="",'11'!$K$67=""),"",IF(SIGN('11'!$I$67-'11'!$K$67)&lt;&gt;SIGN(Tulokset!$G$66-Tulokset!$I$66),0,IF(Tulokset!$G$66=Tulokset!$I$66,IF(AND('11'!$I$67=Tulokset!$G$66,'11'!$K$67=Tulokset!$I$66),6,3),MAX(0,6-(ABS('11'!$I$67-Tulokset!$G$66)+ABS('11'!$K$67-Tulokset!$I$66))))))</f>
        <v/>
      </c>
      <c r="BQ14" t="str">
        <f>IF(OR(Tulokset!$G$67="",Tulokset!$I$67="",'11'!$I$68="",'11'!$K$68=""),"",IF(SIGN('11'!$I$68-'11'!$K$68)&lt;&gt;SIGN(Tulokset!$G$67-Tulokset!$I$67),0,IF(Tulokset!$G$67=Tulokset!$I$67,IF(AND('11'!$I$68=Tulokset!$G$67,'11'!$K$68=Tulokset!$I$67),6,3),MAX(0,6-(ABS('11'!$I$68-Tulokset!$G$67)+ABS('11'!$K$68-Tulokset!$I$67))))))</f>
        <v/>
      </c>
      <c r="BR14" t="str">
        <f>IF(OR(Tulokset!$G$68="",Tulokset!$I$68="",'11'!$I$69="",'11'!$K$69=""),"",IF(SIGN('11'!$I$69-'11'!$K$69)&lt;&gt;SIGN(Tulokset!$G$68-Tulokset!$I$68),0,IF(Tulokset!$G$68=Tulokset!$I$68,IF(AND('11'!$I$69=Tulokset!$G$68,'11'!$K$69=Tulokset!$I$68),6,3),MAX(0,6-(ABS('11'!$I$69-Tulokset!$G$68)+ABS('11'!$K$69-Tulokset!$I$68))))))</f>
        <v/>
      </c>
      <c r="BS14" t="str">
        <f>IF(OR(Tulokset!$G$69="",Tulokset!$I$69="",'11'!$I$70="",'11'!$K$70=""),"",IF(SIGN('11'!$I$70-'11'!$K$70)&lt;&gt;SIGN(Tulokset!$G$69-Tulokset!$I$69),0,IF(Tulokset!$G$69=Tulokset!$I$69,IF(AND('11'!$I$70=Tulokset!$G$69,'11'!$K$70=Tulokset!$I$69),6,3),MAX(0,6-(ABS('11'!$I$70-Tulokset!$G$69)+ABS('11'!$K$70-Tulokset!$I$69))))))</f>
        <v/>
      </c>
      <c r="BT14" t="str">
        <f>IF(OR(Tulokset!$G$70="",Tulokset!$I$70="",'11'!$I$71="",'11'!$K$71=""),"",IF(SIGN('11'!$I$71-'11'!$K$71)&lt;&gt;SIGN(Tulokset!$G$70-Tulokset!$I$70),0,IF(Tulokset!$G$70=Tulokset!$I$70,IF(AND('11'!$I$71=Tulokset!$G$70,'11'!$K$71=Tulokset!$I$70),6,3),MAX(0,6-(ABS('11'!$I$71-Tulokset!$G$70)+ABS('11'!$K$71-Tulokset!$I$70))))))</f>
        <v/>
      </c>
      <c r="BU14" t="str">
        <f>IF(OR(Tulokset!$G$71="",Tulokset!$I$71="",'11'!$I$72="",'11'!$K$72=""),"",IF(SIGN('11'!$I$72-'11'!$K$72)&lt;&gt;SIGN(Tulokset!$G$71-Tulokset!$I$71),0,IF(Tulokset!$G$71=Tulokset!$I$71,IF(AND('11'!$I$72=Tulokset!$G$71,'11'!$K$72=Tulokset!$I$71),6,3),MAX(0,6-(ABS('11'!$I$72-Tulokset!$G$71)+ABS('11'!$K$72-Tulokset!$I$71))))))</f>
        <v/>
      </c>
      <c r="BV14" t="str">
        <f>IF(OR(Tulokset!$G$72="",Tulokset!$I$72="",'11'!$I$73="",'11'!$K$73=""),"",IF(SIGN('11'!$I$73-'11'!$K$73)&lt;&gt;SIGN(Tulokset!$G$72-Tulokset!$I$72),0,IF(Tulokset!$G$72=Tulokset!$I$72,IF(AND('11'!$I$73=Tulokset!$G$72,'11'!$K$73=Tulokset!$I$72),6,3),MAX(0,6-(ABS('11'!$I$73-Tulokset!$G$72)+ABS('11'!$K$73-Tulokset!$I$72))))))</f>
        <v/>
      </c>
      <c r="BW14" t="str">
        <f>IF(OR(Tulokset!$G$73="",Tulokset!$I$73="",'11'!$I$74="",'11'!$K$74=""),"",IF(SIGN('11'!$I$74-'11'!$K$74)&lt;&gt;SIGN(Tulokset!$G$73-Tulokset!$I$73),0,IF(Tulokset!$G$73=Tulokset!$I$73,IF(AND('11'!$I$74=Tulokset!$G$73,'11'!$K$74=Tulokset!$I$73),6,3),MAX(0,6-(ABS('11'!$I$74-Tulokset!$G$73)+ABS('11'!$K$74-Tulokset!$I$73))))))</f>
        <v/>
      </c>
      <c r="BX14" t="str">
        <f>IF(OR(Tulokset!$G$74="",Tulokset!$I$74="",'11'!$I$75="",'11'!$K$75=""),"",IF(SIGN('11'!$I$75-'11'!$K$75)&lt;&gt;SIGN(Tulokset!$G$74-Tulokset!$I$74),0,IF(Tulokset!$G$74=Tulokset!$I$74,IF(AND('11'!$I$75=Tulokset!$G$74,'11'!$K$75=Tulokset!$I$74),6,3),MAX(0,6-(ABS('11'!$I$75-Tulokset!$G$74)+ABS('11'!$K$75-Tulokset!$I$74))))))</f>
        <v/>
      </c>
      <c r="BY14" t="str">
        <f>IF(OR(Tulokset!$G$75="",Tulokset!$I$75="",'11'!$I$76="",'11'!$K$76=""),"",IF(SIGN('11'!$I$76-'11'!$K$76)&lt;&gt;SIGN(Tulokset!$G$75-Tulokset!$I$75),0,IF(Tulokset!$G$75=Tulokset!$I$75,IF(AND('11'!$I$76=Tulokset!$G$75,'11'!$K$76=Tulokset!$I$75),6,3),MAX(0,6-(ABS('11'!$I$76-Tulokset!$G$75)+ABS('11'!$K$76-Tulokset!$I$75))))))</f>
        <v/>
      </c>
      <c r="BZ14" t="str">
        <f>IF(OR(Tulokset!$G$76="",Tulokset!$I$76="",'11'!$I$77="",'11'!$K$77=""),"",IF(SIGN('11'!$I$77-'11'!$K$77)&lt;&gt;SIGN(Tulokset!$G$76-Tulokset!$I$76),0,IF(Tulokset!$G$76=Tulokset!$I$76,IF(AND('11'!$I$77=Tulokset!$G$76,'11'!$K$77=Tulokset!$I$76),6,3),MAX(0,6-(ABS('11'!$I$77-Tulokset!$G$76)+ABS('11'!$K$77-Tulokset!$I$76))))))</f>
        <v/>
      </c>
      <c r="CA14" t="str">
        <f>IF(OR(Tulokset!$G$77="",Tulokset!$I$77="",'11'!$I$78="",'11'!$K$78=""),"",IF(SIGN('11'!$I$78-'11'!$K$78)&lt;&gt;SIGN(Tulokset!$G$77-Tulokset!$I$77),0,IF(Tulokset!$G$77=Tulokset!$I$77,IF(AND('11'!$I$78=Tulokset!$G$77,'11'!$K$78=Tulokset!$I$77),6,3),MAX(0,6-(ABS('11'!$I$78-Tulokset!$G$77)+ABS('11'!$K$78-Tulokset!$I$77))))))</f>
        <v/>
      </c>
      <c r="CD14" t="str">
        <f ca="1">IF(OR(Tulokset!$M$6="",INDIRECT("'"&amp;$A14&amp;"'!$P$8")=""),"",IF(TRIM(INDIRECT("'"&amp;$A14&amp;"'!$P$8"))=TRIM(Tulokset!$M$6),2,0))</f>
        <v/>
      </c>
      <c r="CE14" t="str">
        <f ca="1">IF(OR(Tulokset!$M$7="",INDIRECT("'"&amp;$A14&amp;"'!$P$9")=""),"",IF(TRIM(INDIRECT("'"&amp;$A14&amp;"'!$P$9"))=TRIM(Tulokset!$M$7),2,0))</f>
        <v/>
      </c>
      <c r="CF14" t="str">
        <f ca="1">IF(OR(Tulokset!$M$8="",INDIRECT("'"&amp;$A14&amp;"'!$P$10")=""),"",IF(TRIM(INDIRECT("'"&amp;$A14&amp;"'!$P$10"))=TRIM(Tulokset!$M$8),2,0))</f>
        <v/>
      </c>
      <c r="CG14" t="str">
        <f ca="1">IF(OR(Tulokset!$M$9="",INDIRECT("'"&amp;$A14&amp;"'!$P$11")=""),"",IF(TRIM(INDIRECT("'"&amp;$A14&amp;"'!$P$11"))=TRIM(Tulokset!$M$9),2,0))</f>
        <v/>
      </c>
      <c r="CH14" t="str">
        <f ca="1">IF(OR(Tulokset!$N$6="",INDIRECT("'"&amp;$A14&amp;"'!$Q$8")=""),"",IF(TRIM(INDIRECT("'"&amp;$A14&amp;"'!$Q$8"))=TRIM(Tulokset!$N$6),2,0))</f>
        <v/>
      </c>
      <c r="CI14" t="str">
        <f ca="1">IF(OR(Tulokset!$N$7="",INDIRECT("'"&amp;$A14&amp;"'!$Q$9")=""),"",IF(TRIM(INDIRECT("'"&amp;$A14&amp;"'!$Q$9"))=TRIM(Tulokset!$N$7),2,0))</f>
        <v/>
      </c>
      <c r="CJ14" t="str">
        <f ca="1">IF(OR(Tulokset!$N$8="",INDIRECT("'"&amp;$A14&amp;"'!$Q$10")=""),"",IF(TRIM(INDIRECT("'"&amp;$A14&amp;"'!$Q$10"))=TRIM(Tulokset!$N$8),2,0))</f>
        <v/>
      </c>
      <c r="CK14" t="str">
        <f ca="1">IF(OR(Tulokset!$N$9="",INDIRECT("'"&amp;$A14&amp;"'!$Q$11")=""),"",IF(TRIM(INDIRECT("'"&amp;$A14&amp;"'!$Q$11"))=TRIM(Tulokset!$N$9),2,0))</f>
        <v/>
      </c>
      <c r="CL14" t="str">
        <f ca="1">IF(OR(Tulokset!$O$6="",INDIRECT("'"&amp;$A14&amp;"'!$R$8")=""),"",IF(TRIM(INDIRECT("'"&amp;$A14&amp;"'!$R$8"))=TRIM(Tulokset!$O$6),2,0))</f>
        <v/>
      </c>
      <c r="CM14" t="str">
        <f ca="1">IF(OR(Tulokset!$O$7="",INDIRECT("'"&amp;$A14&amp;"'!$R$9")=""),"",IF(TRIM(INDIRECT("'"&amp;$A14&amp;"'!$R$9"))=TRIM(Tulokset!$O$7),2,0))</f>
        <v/>
      </c>
      <c r="CN14" t="str">
        <f ca="1">IF(OR(Tulokset!$O$8="",INDIRECT("'"&amp;$A14&amp;"'!$R$10")=""),"",IF(TRIM(INDIRECT("'"&amp;$A14&amp;"'!$R$10"))=TRIM(Tulokset!$O$8),2,0))</f>
        <v/>
      </c>
      <c r="CO14" t="str">
        <f ca="1">IF(OR(Tulokset!$O$9="",INDIRECT("'"&amp;$A14&amp;"'!$R$11")=""),"",IF(TRIM(INDIRECT("'"&amp;$A14&amp;"'!$R$11"))=TRIM(Tulokset!$O$9),2,0))</f>
        <v/>
      </c>
      <c r="CP14" t="str">
        <f ca="1">IF(OR(Tulokset!$P$6="",INDIRECT("'"&amp;$A14&amp;"'!$S$8")=""),"",IF(TRIM(INDIRECT("'"&amp;$A14&amp;"'!$S$8"))=TRIM(Tulokset!$P$6),2,0))</f>
        <v/>
      </c>
      <c r="CQ14" t="str">
        <f ca="1">IF(OR(Tulokset!$P$7="",INDIRECT("'"&amp;$A14&amp;"'!$S$9")=""),"",IF(TRIM(INDIRECT("'"&amp;$A14&amp;"'!$S$9"))=TRIM(Tulokset!$P$7),2,0))</f>
        <v/>
      </c>
      <c r="CR14" t="str">
        <f ca="1">IF(OR(Tulokset!$P$8="",INDIRECT("'"&amp;$A14&amp;"'!$S$10")=""),"",IF(TRIM(INDIRECT("'"&amp;$A14&amp;"'!$S$10"))=TRIM(Tulokset!$P$8),2,0))</f>
        <v/>
      </c>
      <c r="CS14" t="str">
        <f ca="1">IF(OR(Tulokset!$P$9="",INDIRECT("'"&amp;$A14&amp;"'!$S$11")=""),"",IF(TRIM(INDIRECT("'"&amp;$A14&amp;"'!$S$11"))=TRIM(Tulokset!$P$9),2,0))</f>
        <v/>
      </c>
      <c r="CT14" t="str">
        <f ca="1">IF(OR(Tulokset!$Q$6="",INDIRECT("'"&amp;$A14&amp;"'!$T$8")=""),"",IF(TRIM(INDIRECT("'"&amp;$A14&amp;"'!$T$8"))=TRIM(Tulokset!$Q$6),2,0))</f>
        <v/>
      </c>
      <c r="CU14" t="str">
        <f ca="1">IF(OR(Tulokset!$Q$7="",INDIRECT("'"&amp;$A14&amp;"'!$T$9")=""),"",IF(TRIM(INDIRECT("'"&amp;$A14&amp;"'!$T$9"))=TRIM(Tulokset!$Q$7),2,0))</f>
        <v/>
      </c>
      <c r="CV14" t="str">
        <f ca="1">IF(OR(Tulokset!$Q$8="",INDIRECT("'"&amp;$A14&amp;"'!$T$10")=""),"",IF(TRIM(INDIRECT("'"&amp;$A14&amp;"'!$T$10"))=TRIM(Tulokset!$Q$8),2,0))</f>
        <v/>
      </c>
      <c r="CW14" t="str">
        <f ca="1">IF(OR(Tulokset!$Q$9="",INDIRECT("'"&amp;$A14&amp;"'!$T$11")=""),"",IF(TRIM(INDIRECT("'"&amp;$A14&amp;"'!$T$11"))=TRIM(Tulokset!$Q$9),2,0))</f>
        <v/>
      </c>
      <c r="CX14" t="str">
        <f ca="1">IF(OR(Tulokset!$R$6="",INDIRECT("'"&amp;$A14&amp;"'!$U$8")=""),"",IF(TRIM(INDIRECT("'"&amp;$A14&amp;"'!$U$8"))=TRIM(Tulokset!$R$6),2,0))</f>
        <v/>
      </c>
      <c r="CY14" t="str">
        <f ca="1">IF(OR(Tulokset!$R$7="",INDIRECT("'"&amp;$A14&amp;"'!$U$9")=""),"",IF(TRIM(INDIRECT("'"&amp;$A14&amp;"'!$U$9"))=TRIM(Tulokset!$R$7),2,0))</f>
        <v/>
      </c>
      <c r="CZ14" t="str">
        <f ca="1">IF(OR(Tulokset!$R$8="",INDIRECT("'"&amp;$A14&amp;"'!$U$10")=""),"",IF(TRIM(INDIRECT("'"&amp;$A14&amp;"'!$U$10"))=TRIM(Tulokset!$R$8),2,0))</f>
        <v/>
      </c>
      <c r="DA14" t="str">
        <f ca="1">IF(OR(Tulokset!$R$9="",INDIRECT("'"&amp;$A14&amp;"'!$U$11")=""),"",IF(TRIM(INDIRECT("'"&amp;$A14&amp;"'!$U$11"))=TRIM(Tulokset!$R$9),2,0))</f>
        <v/>
      </c>
      <c r="DB14" t="str">
        <f ca="1">IF(OR(Tulokset!$M$12="",INDIRECT("'"&amp;$A14&amp;"'!$P$14")=""),"",IF(TRIM(INDIRECT("'"&amp;$A14&amp;"'!$P$14"))=TRIM(Tulokset!$M$12),2,0))</f>
        <v/>
      </c>
      <c r="DC14" t="str">
        <f ca="1">IF(OR(Tulokset!$M$13="",INDIRECT("'"&amp;$A14&amp;"'!$P$15")=""),"",IF(TRIM(INDIRECT("'"&amp;$A14&amp;"'!$P$15"))=TRIM(Tulokset!$M$13),2,0))</f>
        <v/>
      </c>
      <c r="DD14" t="str">
        <f ca="1">IF(OR(Tulokset!$M$14="",INDIRECT("'"&amp;$A14&amp;"'!$P$16")=""),"",IF(TRIM(INDIRECT("'"&amp;$A14&amp;"'!$P$16"))=TRIM(Tulokset!$M$14),2,0))</f>
        <v/>
      </c>
      <c r="DE14" t="str">
        <f ca="1">IF(OR(Tulokset!$M$15="",INDIRECT("'"&amp;$A14&amp;"'!$P$17")=""),"",IF(TRIM(INDIRECT("'"&amp;$A14&amp;"'!$P$17"))=TRIM(Tulokset!$M$15),2,0))</f>
        <v/>
      </c>
      <c r="DF14" t="str">
        <f ca="1">IF(OR(Tulokset!$N$12="",INDIRECT("'"&amp;$A14&amp;"'!$Q$14")=""),"",IF(TRIM(INDIRECT("'"&amp;$A14&amp;"'!$Q$14"))=TRIM(Tulokset!$N$12),2,0))</f>
        <v/>
      </c>
      <c r="DG14" t="str">
        <f ca="1">IF(OR(Tulokset!$N$13="",INDIRECT("'"&amp;$A14&amp;"'!$Q$15")=""),"",IF(TRIM(INDIRECT("'"&amp;$A14&amp;"'!$Q$15"))=TRIM(Tulokset!$N$13),2,0))</f>
        <v/>
      </c>
      <c r="DH14" t="str">
        <f ca="1">IF(OR(Tulokset!$N$14="",INDIRECT("'"&amp;$A14&amp;"'!$Q$16")=""),"",IF(TRIM(INDIRECT("'"&amp;$A14&amp;"'!$Q$16"))=TRIM(Tulokset!$N$14),2,0))</f>
        <v/>
      </c>
      <c r="DI14" t="str">
        <f ca="1">IF(OR(Tulokset!$N$15="",INDIRECT("'"&amp;$A14&amp;"'!$Q$17")=""),"",IF(TRIM(INDIRECT("'"&amp;$A14&amp;"'!$Q$17"))=TRIM(Tulokset!$N$15),2,0))</f>
        <v/>
      </c>
      <c r="DJ14" t="str">
        <f ca="1">IF(OR(Tulokset!$O$12="",INDIRECT("'"&amp;$A14&amp;"'!$R$14")=""),"",IF(TRIM(INDIRECT("'"&amp;$A14&amp;"'!$R$14"))=TRIM(Tulokset!$O$12),2,0))</f>
        <v/>
      </c>
      <c r="DK14" t="str">
        <f ca="1">IF(OR(Tulokset!$O$13="",INDIRECT("'"&amp;$A14&amp;"'!$R$15")=""),"",IF(TRIM(INDIRECT("'"&amp;$A14&amp;"'!$R$15"))=TRIM(Tulokset!$O$13),2,0))</f>
        <v/>
      </c>
      <c r="DL14" t="str">
        <f ca="1">IF(OR(Tulokset!$O$14="",INDIRECT("'"&amp;$A14&amp;"'!$R$16")=""),"",IF(TRIM(INDIRECT("'"&amp;$A14&amp;"'!$R$16"))=TRIM(Tulokset!$O$14),2,0))</f>
        <v/>
      </c>
      <c r="DM14" t="str">
        <f ca="1">IF(OR(Tulokset!$O$15="",INDIRECT("'"&amp;$A14&amp;"'!$R$17")=""),"",IF(TRIM(INDIRECT("'"&amp;$A14&amp;"'!$R$17"))=TRIM(Tulokset!$O$15),2,0))</f>
        <v/>
      </c>
      <c r="DN14" t="str">
        <f ca="1">IF(OR(Tulokset!$P$12="",INDIRECT("'"&amp;$A14&amp;"'!$S$14")=""),"",IF(TRIM(INDIRECT("'"&amp;$A14&amp;"'!$S$14"))=TRIM(Tulokset!$P$12),2,0))</f>
        <v/>
      </c>
      <c r="DO14" t="str">
        <f ca="1">IF(OR(Tulokset!$P$13="",INDIRECT("'"&amp;$A14&amp;"'!$S$15")=""),"",IF(TRIM(INDIRECT("'"&amp;$A14&amp;"'!$S$15"))=TRIM(Tulokset!$P$13),2,0))</f>
        <v/>
      </c>
      <c r="DP14" t="str">
        <f ca="1">IF(OR(Tulokset!$P$14="",INDIRECT("'"&amp;$A14&amp;"'!$S$16")=""),"",IF(TRIM(INDIRECT("'"&amp;$A14&amp;"'!$S$16"))=TRIM(Tulokset!$P$14),2,0))</f>
        <v/>
      </c>
      <c r="DQ14" t="str">
        <f ca="1">IF(OR(Tulokset!$P$15="",INDIRECT("'"&amp;$A14&amp;"'!$S$17")=""),"",IF(TRIM(INDIRECT("'"&amp;$A14&amp;"'!$S$17"))=TRIM(Tulokset!$P$15),2,0))</f>
        <v/>
      </c>
      <c r="DR14" t="str">
        <f ca="1">IF(OR(Tulokset!$Q$12="",INDIRECT("'"&amp;$A14&amp;"'!$T$14")=""),"",IF(TRIM(INDIRECT("'"&amp;$A14&amp;"'!$T$14"))=TRIM(Tulokset!$Q$12),2,0))</f>
        <v/>
      </c>
      <c r="DS14" t="str">
        <f ca="1">IF(OR(Tulokset!$Q$13="",INDIRECT("'"&amp;$A14&amp;"'!$T$15")=""),"",IF(TRIM(INDIRECT("'"&amp;$A14&amp;"'!$T$15"))=TRIM(Tulokset!$Q$13),2,0))</f>
        <v/>
      </c>
      <c r="DT14" t="str">
        <f ca="1">IF(OR(Tulokset!$Q$14="",INDIRECT("'"&amp;$A14&amp;"'!$T$16")=""),"",IF(TRIM(INDIRECT("'"&amp;$A14&amp;"'!$T$16"))=TRIM(Tulokset!$Q$14),2,0))</f>
        <v/>
      </c>
      <c r="DU14" t="str">
        <f ca="1">IF(OR(Tulokset!$Q$15="",INDIRECT("'"&amp;$A14&amp;"'!$T$17")=""),"",IF(TRIM(INDIRECT("'"&amp;$A14&amp;"'!$T$17"))=TRIM(Tulokset!$Q$15),2,0))</f>
        <v/>
      </c>
      <c r="DV14" t="str">
        <f ca="1">IF(OR(Tulokset!$R$12="",INDIRECT("'"&amp;$A14&amp;"'!$U$14")=""),"",IF(TRIM(INDIRECT("'"&amp;$A14&amp;"'!$U$14"))=TRIM(Tulokset!$R$12),2,0))</f>
        <v/>
      </c>
      <c r="DW14" t="str">
        <f ca="1">IF(OR(Tulokset!$R$13="",INDIRECT("'"&amp;$A14&amp;"'!$U$15")=""),"",IF(TRIM(INDIRECT("'"&amp;$A14&amp;"'!$U$15"))=TRIM(Tulokset!$R$13),2,0))</f>
        <v/>
      </c>
      <c r="DX14" t="str">
        <f ca="1">IF(OR(Tulokset!$R$14="",INDIRECT("'"&amp;$A14&amp;"'!$U$16")=""),"",IF(TRIM(INDIRECT("'"&amp;$A14&amp;"'!$U$16"))=TRIM(Tulokset!$R$14),2,0))</f>
        <v/>
      </c>
      <c r="DY14" t="str">
        <f ca="1">IF(OR(Tulokset!$R$15="",INDIRECT("'"&amp;$A14&amp;"'!$U$17")=""),"",IF(TRIM(INDIRECT("'"&amp;$A14&amp;"'!$U$17"))=TRIM(Tulokset!$R$15),2,0))</f>
        <v/>
      </c>
      <c r="EA14" t="str">
        <f ca="1">IF(OR(INDIRECT("'"&amp;$A14&amp;"'!$E$79")="",COUNTA(Tulokset!$M$20:$M$21)=0),"",IF(COUNTIF(Tulokset!$M$20:$M$21,INDIRECT("'"&amp;$A14&amp;"'!$E$79"))&gt;0,2,0))</f>
        <v/>
      </c>
      <c r="EB14" t="str">
        <f ca="1">IF(OR(INDIRECT("'"&amp;$A14&amp;"'!$G$79")="",COUNTA(Tulokset!$M$20:$M$21)=0),"",IF(COUNTIF(Tulokset!$M$20:$M$21,INDIRECT("'"&amp;$A14&amp;"'!$G$79"))&gt;0,2,0))</f>
        <v/>
      </c>
      <c r="EC14" t="str">
        <f ca="1">IF(OR(INDIRECT("'"&amp;$A14&amp;"'!$E$80")="",COUNTA(Tulokset!$M$23:$M$24)=0),"",IF(COUNTIF(Tulokset!$M$23:$M$24,INDIRECT("'"&amp;$A14&amp;"'!$E$80"))&gt;0,2,0))</f>
        <v/>
      </c>
      <c r="ED14" t="str">
        <f ca="1">IF(OR(INDIRECT("'"&amp;$A14&amp;"'!$G$80")="",COUNTA(Tulokset!$M$23:$M$24)=0),"",IF(COUNTIF(Tulokset!$M$23:$M$24,INDIRECT("'"&amp;$A14&amp;"'!$G$80"))&gt;0,2,0))</f>
        <v/>
      </c>
    </row>
    <row r="15" spans="1:134">
      <c r="A15" t="s">
        <v>230</v>
      </c>
      <c r="B15" t="str">
        <f t="shared" ca="1" si="0"/>
        <v>Xhakku</v>
      </c>
      <c r="C15" s="95">
        <f t="shared" si="1"/>
        <v>0</v>
      </c>
      <c r="D15" s="95">
        <f t="shared" ca="1" si="2"/>
        <v>0</v>
      </c>
      <c r="E15" s="95">
        <f t="shared" ca="1" si="3"/>
        <v>0</v>
      </c>
      <c r="F15" s="95">
        <f t="shared" ca="1" si="4"/>
        <v>0</v>
      </c>
      <c r="G15" s="95">
        <f t="shared" si="5"/>
        <v>0</v>
      </c>
      <c r="H15" t="str">
        <f>IF(OR(Tulokset!$G$6="",Tulokset!$I$6="",'12'!$I$7="",'12'!$K$7=""),"",IF(SIGN('12'!$I$7-'12'!$K$7)&lt;&gt;SIGN(Tulokset!$G$6-Tulokset!$I$6),0,IF(Tulokset!$G$6=Tulokset!$I$6,IF(AND('12'!$I$7=Tulokset!$G$6,'12'!$K$7=Tulokset!$I$6),6,3),MAX(0,6-(ABS('12'!$I$7-Tulokset!$G$6)+ABS('12'!$K$7-Tulokset!$I$6))))))</f>
        <v/>
      </c>
      <c r="I15" t="str">
        <f>IF(OR(Tulokset!$G$7="",Tulokset!$I$7="",'12'!$I$8="",'12'!$K$8=""),"",IF(SIGN('12'!$I$8-'12'!$K$8)&lt;&gt;SIGN(Tulokset!$G$7-Tulokset!$I$7),0,IF(Tulokset!$G$7=Tulokset!$I$7,IF(AND('12'!$I$8=Tulokset!$G$7,'12'!$K$8=Tulokset!$I$7),6,3),MAX(0,6-(ABS('12'!$I$8-Tulokset!$G$7)+ABS('12'!$K$8-Tulokset!$I$7))))))</f>
        <v/>
      </c>
      <c r="J15" t="str">
        <f>IF(OR(Tulokset!$G$8="",Tulokset!$I$8="",'12'!$I$9="",'12'!$K$9=""),"",IF(SIGN('12'!$I$9-'12'!$K$9)&lt;&gt;SIGN(Tulokset!$G$8-Tulokset!$I$8),0,IF(Tulokset!$G$8=Tulokset!$I$8,IF(AND('12'!$I$9=Tulokset!$G$8,'12'!$K$9=Tulokset!$I$8),6,3),MAX(0,6-(ABS('12'!$I$9-Tulokset!$G$8)+ABS('12'!$K$9-Tulokset!$I$8))))))</f>
        <v/>
      </c>
      <c r="K15" t="str">
        <f>IF(OR(Tulokset!$G$9="",Tulokset!$I$9="",'12'!$I$10="",'12'!$K$10=""),"",IF(SIGN('12'!$I$10-'12'!$K$10)&lt;&gt;SIGN(Tulokset!$G$9-Tulokset!$I$9),0,IF(Tulokset!$G$9=Tulokset!$I$9,IF(AND('12'!$I$10=Tulokset!$G$9,'12'!$K$10=Tulokset!$I$9),6,3),MAX(0,6-(ABS('12'!$I$10-Tulokset!$G$9)+ABS('12'!$K$10-Tulokset!$I$9))))))</f>
        <v/>
      </c>
      <c r="L15" t="str">
        <f>IF(OR(Tulokset!$G$10="",Tulokset!$I$10="",'12'!$I$11="",'12'!$K$11=""),"",IF(SIGN('12'!$I$11-'12'!$K$11)&lt;&gt;SIGN(Tulokset!$G$10-Tulokset!$I$10),0,IF(Tulokset!$G$10=Tulokset!$I$10,IF(AND('12'!$I$11=Tulokset!$G$10,'12'!$K$11=Tulokset!$I$10),6,3),MAX(0,6-(ABS('12'!$I$11-Tulokset!$G$10)+ABS('12'!$K$11-Tulokset!$I$10))))))</f>
        <v/>
      </c>
      <c r="M15" t="str">
        <f>IF(OR(Tulokset!$G$11="",Tulokset!$I$11="",'12'!$I$12="",'12'!$K$12=""),"",IF(SIGN('12'!$I$12-'12'!$K$12)&lt;&gt;SIGN(Tulokset!$G$11-Tulokset!$I$11),0,IF(Tulokset!$G$11=Tulokset!$I$11,IF(AND('12'!$I$12=Tulokset!$G$11,'12'!$K$12=Tulokset!$I$11),6,3),MAX(0,6-(ABS('12'!$I$12-Tulokset!$G$11)+ABS('12'!$K$12-Tulokset!$I$11))))))</f>
        <v/>
      </c>
      <c r="N15" t="str">
        <f>IF(OR(Tulokset!$G$12="",Tulokset!$I$12="",'12'!$I$13="",'12'!$K$13=""),"",IF(SIGN('12'!$I$13-'12'!$K$13)&lt;&gt;SIGN(Tulokset!$G$12-Tulokset!$I$12),0,IF(Tulokset!$G$12=Tulokset!$I$12,IF(AND('12'!$I$13=Tulokset!$G$12,'12'!$K$13=Tulokset!$I$12),6,3),MAX(0,6-(ABS('12'!$I$13-Tulokset!$G$12)+ABS('12'!$K$13-Tulokset!$I$12))))))</f>
        <v/>
      </c>
      <c r="O15" t="str">
        <f>IF(OR(Tulokset!$G$13="",Tulokset!$I$13="",'12'!$I$14="",'12'!$K$14=""),"",IF(SIGN('12'!$I$14-'12'!$K$14)&lt;&gt;SIGN(Tulokset!$G$13-Tulokset!$I$13),0,IF(Tulokset!$G$13=Tulokset!$I$13,IF(AND('12'!$I$14=Tulokset!$G$13,'12'!$K$14=Tulokset!$I$13),6,3),MAX(0,6-(ABS('12'!$I$14-Tulokset!$G$13)+ABS('12'!$K$14-Tulokset!$I$13))))))</f>
        <v/>
      </c>
      <c r="P15" t="str">
        <f>IF(OR(Tulokset!$G$14="",Tulokset!$I$14="",'12'!$I$15="",'12'!$K$15=""),"",IF(SIGN('12'!$I$15-'12'!$K$15)&lt;&gt;SIGN(Tulokset!$G$14-Tulokset!$I$14),0,IF(Tulokset!$G$14=Tulokset!$I$14,IF(AND('12'!$I$15=Tulokset!$G$14,'12'!$K$15=Tulokset!$I$14),6,3),MAX(0,6-(ABS('12'!$I$15-Tulokset!$G$14)+ABS('12'!$K$15-Tulokset!$I$14))))))</f>
        <v/>
      </c>
      <c r="Q15" t="str">
        <f>IF(OR(Tulokset!$G$15="",Tulokset!$I$15="",'12'!$I$16="",'12'!$K$16=""),"",IF(SIGN('12'!$I$16-'12'!$K$16)&lt;&gt;SIGN(Tulokset!$G$15-Tulokset!$I$15),0,IF(Tulokset!$G$15=Tulokset!$I$15,IF(AND('12'!$I$16=Tulokset!$G$15,'12'!$K$16=Tulokset!$I$15),6,3),MAX(0,6-(ABS('12'!$I$16-Tulokset!$G$15)+ABS('12'!$K$16-Tulokset!$I$15))))))</f>
        <v/>
      </c>
      <c r="R15" t="str">
        <f>IF(OR(Tulokset!$G$16="",Tulokset!$I$16="",'12'!$I$17="",'12'!$K$17=""),"",IF(SIGN('12'!$I$17-'12'!$K$17)&lt;&gt;SIGN(Tulokset!$G$16-Tulokset!$I$16),0,IF(Tulokset!$G$16=Tulokset!$I$16,IF(AND('12'!$I$17=Tulokset!$G$16,'12'!$K$17=Tulokset!$I$16),6,3),MAX(0,6-(ABS('12'!$I$17-Tulokset!$G$16)+ABS('12'!$K$17-Tulokset!$I$16))))))</f>
        <v/>
      </c>
      <c r="S15" t="str">
        <f>IF(OR(Tulokset!$G$17="",Tulokset!$I$17="",'12'!$I$18="",'12'!$K$18=""),"",IF(SIGN('12'!$I$18-'12'!$K$18)&lt;&gt;SIGN(Tulokset!$G$17-Tulokset!$I$17),0,IF(Tulokset!$G$17=Tulokset!$I$17,IF(AND('12'!$I$18=Tulokset!$G$17,'12'!$K$18=Tulokset!$I$17),6,3),MAX(0,6-(ABS('12'!$I$18-Tulokset!$G$17)+ABS('12'!$K$18-Tulokset!$I$17))))))</f>
        <v/>
      </c>
      <c r="T15" t="str">
        <f>IF(OR(Tulokset!$G$18="",Tulokset!$I$18="",'12'!$I$19="",'12'!$K$19=""),"",IF(SIGN('12'!$I$19-'12'!$K$19)&lt;&gt;SIGN(Tulokset!$G$18-Tulokset!$I$18),0,IF(Tulokset!$G$18=Tulokset!$I$18,IF(AND('12'!$I$19=Tulokset!$G$18,'12'!$K$19=Tulokset!$I$18),6,3),MAX(0,6-(ABS('12'!$I$19-Tulokset!$G$18)+ABS('12'!$K$19-Tulokset!$I$18))))))</f>
        <v/>
      </c>
      <c r="U15" t="str">
        <f>IF(OR(Tulokset!$G$19="",Tulokset!$I$19="",'12'!$I$20="",'12'!$K$20=""),"",IF(SIGN('12'!$I$20-'12'!$K$20)&lt;&gt;SIGN(Tulokset!$G$19-Tulokset!$I$19),0,IF(Tulokset!$G$19=Tulokset!$I$19,IF(AND('12'!$I$20=Tulokset!$G$19,'12'!$K$20=Tulokset!$I$19),6,3),MAX(0,6-(ABS('12'!$I$20-Tulokset!$G$19)+ABS('12'!$K$20-Tulokset!$I$19))))))</f>
        <v/>
      </c>
      <c r="V15" t="str">
        <f>IF(OR(Tulokset!$G$20="",Tulokset!$I$20="",'12'!$I$21="",'12'!$K$21=""),"",IF(SIGN('12'!$I$21-'12'!$K$21)&lt;&gt;SIGN(Tulokset!$G$20-Tulokset!$I$20),0,IF(Tulokset!$G$20=Tulokset!$I$20,IF(AND('12'!$I$21=Tulokset!$G$20,'12'!$K$21=Tulokset!$I$20),6,3),MAX(0,6-(ABS('12'!$I$21-Tulokset!$G$20)+ABS('12'!$K$21-Tulokset!$I$20))))))</f>
        <v/>
      </c>
      <c r="W15" t="str">
        <f>IF(OR(Tulokset!$G$21="",Tulokset!$I$21="",'12'!$I$22="",'12'!$K$22=""),"",IF(SIGN('12'!$I$22-'12'!$K$22)&lt;&gt;SIGN(Tulokset!$G$21-Tulokset!$I$21),0,IF(Tulokset!$G$21=Tulokset!$I$21,IF(AND('12'!$I$22=Tulokset!$G$21,'12'!$K$22=Tulokset!$I$21),6,3),MAX(0,6-(ABS('12'!$I$22-Tulokset!$G$21)+ABS('12'!$K$22-Tulokset!$I$21))))))</f>
        <v/>
      </c>
      <c r="X15" t="str">
        <f>IF(OR(Tulokset!$G$22="",Tulokset!$I$22="",'12'!$I$23="",'12'!$K$23=""),"",IF(SIGN('12'!$I$23-'12'!$K$23)&lt;&gt;SIGN(Tulokset!$G$22-Tulokset!$I$22),0,IF(Tulokset!$G$22=Tulokset!$I$22,IF(AND('12'!$I$23=Tulokset!$G$22,'12'!$K$23=Tulokset!$I$22),6,3),MAX(0,6-(ABS('12'!$I$23-Tulokset!$G$22)+ABS('12'!$K$23-Tulokset!$I$22))))))</f>
        <v/>
      </c>
      <c r="Y15" t="str">
        <f>IF(OR(Tulokset!$G$23="",Tulokset!$I$23="",'12'!$I$24="",'12'!$K$24=""),"",IF(SIGN('12'!$I$24-'12'!$K$24)&lt;&gt;SIGN(Tulokset!$G$23-Tulokset!$I$23),0,IF(Tulokset!$G$23=Tulokset!$I$23,IF(AND('12'!$I$24=Tulokset!$G$23,'12'!$K$24=Tulokset!$I$23),6,3),MAX(0,6-(ABS('12'!$I$24-Tulokset!$G$23)+ABS('12'!$K$24-Tulokset!$I$23))))))</f>
        <v/>
      </c>
      <c r="Z15" t="str">
        <f>IF(OR(Tulokset!$G$24="",Tulokset!$I$24="",'12'!$I$25="",'12'!$K$25=""),"",IF(SIGN('12'!$I$25-'12'!$K$25)&lt;&gt;SIGN(Tulokset!$G$24-Tulokset!$I$24),0,IF(Tulokset!$G$24=Tulokset!$I$24,IF(AND('12'!$I$25=Tulokset!$G$24,'12'!$K$25=Tulokset!$I$24),6,3),MAX(0,6-(ABS('12'!$I$25-Tulokset!$G$24)+ABS('12'!$K$25-Tulokset!$I$24))))))</f>
        <v/>
      </c>
      <c r="AA15" t="str">
        <f>IF(OR(Tulokset!$G$25="",Tulokset!$I$25="",'12'!$I$26="",'12'!$K$26=""),"",IF(SIGN('12'!$I$26-'12'!$K$26)&lt;&gt;SIGN(Tulokset!$G$25-Tulokset!$I$25),0,IF(Tulokset!$G$25=Tulokset!$I$25,IF(AND('12'!$I$26=Tulokset!$G$25,'12'!$K$26=Tulokset!$I$25),6,3),MAX(0,6-(ABS('12'!$I$26-Tulokset!$G$25)+ABS('12'!$K$26-Tulokset!$I$25))))))</f>
        <v/>
      </c>
      <c r="AB15" t="str">
        <f>IF(OR(Tulokset!$G$26="",Tulokset!$I$26="",'12'!$I$27="",'12'!$K$27=""),"",IF(SIGN('12'!$I$27-'12'!$K$27)&lt;&gt;SIGN(Tulokset!$G$26-Tulokset!$I$26),0,IF(Tulokset!$G$26=Tulokset!$I$26,IF(AND('12'!$I$27=Tulokset!$G$26,'12'!$K$27=Tulokset!$I$26),6,3),MAX(0,6-(ABS('12'!$I$27-Tulokset!$G$26)+ABS('12'!$K$27-Tulokset!$I$26))))))</f>
        <v/>
      </c>
      <c r="AC15" t="str">
        <f>IF(OR(Tulokset!$G$27="",Tulokset!$I$27="",'12'!$I$28="",'12'!$K$28=""),"",IF(SIGN('12'!$I$28-'12'!$K$28)&lt;&gt;SIGN(Tulokset!$G$27-Tulokset!$I$27),0,IF(Tulokset!$G$27=Tulokset!$I$27,IF(AND('12'!$I$28=Tulokset!$G$27,'12'!$K$28=Tulokset!$I$27),6,3),MAX(0,6-(ABS('12'!$I$28-Tulokset!$G$27)+ABS('12'!$K$28-Tulokset!$I$27))))))</f>
        <v/>
      </c>
      <c r="AD15" t="str">
        <f>IF(OR(Tulokset!$G$28="",Tulokset!$I$28="",'12'!$I$29="",'12'!$K$29=""),"",IF(SIGN('12'!$I$29-'12'!$K$29)&lt;&gt;SIGN(Tulokset!$G$28-Tulokset!$I$28),0,IF(Tulokset!$G$28=Tulokset!$I$28,IF(AND('12'!$I$29=Tulokset!$G$28,'12'!$K$29=Tulokset!$I$28),6,3),MAX(0,6-(ABS('12'!$I$29-Tulokset!$G$28)+ABS('12'!$K$29-Tulokset!$I$28))))))</f>
        <v/>
      </c>
      <c r="AE15" t="str">
        <f>IF(OR(Tulokset!$G$29="",Tulokset!$I$29="",'12'!$I$30="",'12'!$K$30=""),"",IF(SIGN('12'!$I$30-'12'!$K$30)&lt;&gt;SIGN(Tulokset!$G$29-Tulokset!$I$29),0,IF(Tulokset!$G$29=Tulokset!$I$29,IF(AND('12'!$I$30=Tulokset!$G$29,'12'!$K$30=Tulokset!$I$29),6,3),MAX(0,6-(ABS('12'!$I$30-Tulokset!$G$29)+ABS('12'!$K$30-Tulokset!$I$29))))))</f>
        <v/>
      </c>
      <c r="AF15" t="str">
        <f>IF(OR(Tulokset!$G$30="",Tulokset!$I$30="",'12'!$I$31="",'12'!$K$31=""),"",IF(SIGN('12'!$I$31-'12'!$K$31)&lt;&gt;SIGN(Tulokset!$G$30-Tulokset!$I$30),0,IF(Tulokset!$G$30=Tulokset!$I$30,IF(AND('12'!$I$31=Tulokset!$G$30,'12'!$K$31=Tulokset!$I$30),6,3),MAX(0,6-(ABS('12'!$I$31-Tulokset!$G$30)+ABS('12'!$K$31-Tulokset!$I$30))))))</f>
        <v/>
      </c>
      <c r="AG15" t="str">
        <f>IF(OR(Tulokset!$G$31="",Tulokset!$I$31="",'12'!$I$32="",'12'!$K$32=""),"",IF(SIGN('12'!$I$32-'12'!$K$32)&lt;&gt;SIGN(Tulokset!$G$31-Tulokset!$I$31),0,IF(Tulokset!$G$31=Tulokset!$I$31,IF(AND('12'!$I$32=Tulokset!$G$31,'12'!$K$32=Tulokset!$I$31),6,3),MAX(0,6-(ABS('12'!$I$32-Tulokset!$G$31)+ABS('12'!$K$32-Tulokset!$I$31))))))</f>
        <v/>
      </c>
      <c r="AH15" t="str">
        <f>IF(OR(Tulokset!$G$32="",Tulokset!$I$32="",'12'!$I$33="",'12'!$K$33=""),"",IF(SIGN('12'!$I$33-'12'!$K$33)&lt;&gt;SIGN(Tulokset!$G$32-Tulokset!$I$32),0,IF(Tulokset!$G$32=Tulokset!$I$32,IF(AND('12'!$I$33=Tulokset!$G$32,'12'!$K$33=Tulokset!$I$32),6,3),MAX(0,6-(ABS('12'!$I$33-Tulokset!$G$32)+ABS('12'!$K$33-Tulokset!$I$32))))))</f>
        <v/>
      </c>
      <c r="AI15" t="str">
        <f>IF(OR(Tulokset!$G$33="",Tulokset!$I$33="",'12'!$I$34="",'12'!$K$34=""),"",IF(SIGN('12'!$I$34-'12'!$K$34)&lt;&gt;SIGN(Tulokset!$G$33-Tulokset!$I$33),0,IF(Tulokset!$G$33=Tulokset!$I$33,IF(AND('12'!$I$34=Tulokset!$G$33,'12'!$K$34=Tulokset!$I$33),6,3),MAX(0,6-(ABS('12'!$I$34-Tulokset!$G$33)+ABS('12'!$K$34-Tulokset!$I$33))))))</f>
        <v/>
      </c>
      <c r="AJ15" t="str">
        <f>IF(OR(Tulokset!$G$34="",Tulokset!$I$34="",'12'!$I$35="",'12'!$K$35=""),"",IF(SIGN('12'!$I$35-'12'!$K$35)&lt;&gt;SIGN(Tulokset!$G$34-Tulokset!$I$34),0,IF(Tulokset!$G$34=Tulokset!$I$34,IF(AND('12'!$I$35=Tulokset!$G$34,'12'!$K$35=Tulokset!$I$34),6,3),MAX(0,6-(ABS('12'!$I$35-Tulokset!$G$34)+ABS('12'!$K$35-Tulokset!$I$34))))))</f>
        <v/>
      </c>
      <c r="AK15" t="str">
        <f>IF(OR(Tulokset!$G$35="",Tulokset!$I$35="",'12'!$I$36="",'12'!$K$36=""),"",IF(SIGN('12'!$I$36-'12'!$K$36)&lt;&gt;SIGN(Tulokset!$G$35-Tulokset!$I$35),0,IF(Tulokset!$G$35=Tulokset!$I$35,IF(AND('12'!$I$36=Tulokset!$G$35,'12'!$K$36=Tulokset!$I$35),6,3),MAX(0,6-(ABS('12'!$I$36-Tulokset!$G$35)+ABS('12'!$K$36-Tulokset!$I$35))))))</f>
        <v/>
      </c>
      <c r="AL15" t="str">
        <f>IF(OR(Tulokset!$G$36="",Tulokset!$I$36="",'12'!$I$37="",'12'!$K$37=""),"",IF(SIGN('12'!$I$37-'12'!$K$37)&lt;&gt;SIGN(Tulokset!$G$36-Tulokset!$I$36),0,IF(Tulokset!$G$36=Tulokset!$I$36,IF(AND('12'!$I$37=Tulokset!$G$36,'12'!$K$37=Tulokset!$I$36),6,3),MAX(0,6-(ABS('12'!$I$37-Tulokset!$G$36)+ABS('12'!$K$37-Tulokset!$I$36))))))</f>
        <v/>
      </c>
      <c r="AM15" t="str">
        <f>IF(OR(Tulokset!$G$37="",Tulokset!$I$37="",'12'!$I$38="",'12'!$K$38=""),"",IF(SIGN('12'!$I$38-'12'!$K$38)&lt;&gt;SIGN(Tulokset!$G$37-Tulokset!$I$37),0,IF(Tulokset!$G$37=Tulokset!$I$37,IF(AND('12'!$I$38=Tulokset!$G$37,'12'!$K$38=Tulokset!$I$37),6,3),MAX(0,6-(ABS('12'!$I$38-Tulokset!$G$37)+ABS('12'!$K$38-Tulokset!$I$37))))))</f>
        <v/>
      </c>
      <c r="AN15" t="str">
        <f>IF(OR(Tulokset!$G$38="",Tulokset!$I$38="",'12'!$I$39="",'12'!$K$39=""),"",IF(SIGN('12'!$I$39-'12'!$K$39)&lt;&gt;SIGN(Tulokset!$G$38-Tulokset!$I$38),0,IF(Tulokset!$G$38=Tulokset!$I$38,IF(AND('12'!$I$39=Tulokset!$G$38,'12'!$K$39=Tulokset!$I$38),6,3),MAX(0,6-(ABS('12'!$I$39-Tulokset!$G$38)+ABS('12'!$K$39-Tulokset!$I$38))))))</f>
        <v/>
      </c>
      <c r="AO15" t="str">
        <f>IF(OR(Tulokset!$G$39="",Tulokset!$I$39="",'12'!$I$40="",'12'!$K$40=""),"",IF(SIGN('12'!$I$40-'12'!$K$40)&lt;&gt;SIGN(Tulokset!$G$39-Tulokset!$I$39),0,IF(Tulokset!$G$39=Tulokset!$I$39,IF(AND('12'!$I$40=Tulokset!$G$39,'12'!$K$40=Tulokset!$I$39),6,3),MAX(0,6-(ABS('12'!$I$40-Tulokset!$G$39)+ABS('12'!$K$40-Tulokset!$I$39))))))</f>
        <v/>
      </c>
      <c r="AP15" t="str">
        <f>IF(OR(Tulokset!$G$40="",Tulokset!$I$40="",'12'!$I$41="",'12'!$K$41=""),"",IF(SIGN('12'!$I$41-'12'!$K$41)&lt;&gt;SIGN(Tulokset!$G$40-Tulokset!$I$40),0,IF(Tulokset!$G$40=Tulokset!$I$40,IF(AND('12'!$I$41=Tulokset!$G$40,'12'!$K$41=Tulokset!$I$40),6,3),MAX(0,6-(ABS('12'!$I$41-Tulokset!$G$40)+ABS('12'!$K$41-Tulokset!$I$40))))))</f>
        <v/>
      </c>
      <c r="AQ15" t="str">
        <f>IF(OR(Tulokset!$G$41="",Tulokset!$I$41="",'12'!$I$42="",'12'!$K$42=""),"",IF(SIGN('12'!$I$42-'12'!$K$42)&lt;&gt;SIGN(Tulokset!$G$41-Tulokset!$I$41),0,IF(Tulokset!$G$41=Tulokset!$I$41,IF(AND('12'!$I$42=Tulokset!$G$41,'12'!$K$42=Tulokset!$I$41),6,3),MAX(0,6-(ABS('12'!$I$42-Tulokset!$G$41)+ABS('12'!$K$42-Tulokset!$I$41))))))</f>
        <v/>
      </c>
      <c r="AR15" t="str">
        <f>IF(OR(Tulokset!$G$42="",Tulokset!$I$42="",'12'!$I$43="",'12'!$K$43=""),"",IF(SIGN('12'!$I$43-'12'!$K$43)&lt;&gt;SIGN(Tulokset!$G$42-Tulokset!$I$42),0,IF(Tulokset!$G$42=Tulokset!$I$42,IF(AND('12'!$I$43=Tulokset!$G$42,'12'!$K$43=Tulokset!$I$42),6,3),MAX(0,6-(ABS('12'!$I$43-Tulokset!$G$42)+ABS('12'!$K$43-Tulokset!$I$42))))))</f>
        <v/>
      </c>
      <c r="AS15" t="str">
        <f>IF(OR(Tulokset!$G$43="",Tulokset!$I$43="",'12'!$I$44="",'12'!$K$44=""),"",IF(SIGN('12'!$I$44-'12'!$K$44)&lt;&gt;SIGN(Tulokset!$G$43-Tulokset!$I$43),0,IF(Tulokset!$G$43=Tulokset!$I$43,IF(AND('12'!$I$44=Tulokset!$G$43,'12'!$K$44=Tulokset!$I$43),6,3),MAX(0,6-(ABS('12'!$I$44-Tulokset!$G$43)+ABS('12'!$K$44-Tulokset!$I$43))))))</f>
        <v/>
      </c>
      <c r="AT15" t="str">
        <f>IF(OR(Tulokset!$G$44="",Tulokset!$I$44="",'12'!$I$45="",'12'!$K$45=""),"",IF(SIGN('12'!$I$45-'12'!$K$45)&lt;&gt;SIGN(Tulokset!$G$44-Tulokset!$I$44),0,IF(Tulokset!$G$44=Tulokset!$I$44,IF(AND('12'!$I$45=Tulokset!$G$44,'12'!$K$45=Tulokset!$I$44),6,3),MAX(0,6-(ABS('12'!$I$45-Tulokset!$G$44)+ABS('12'!$K$45-Tulokset!$I$44))))))</f>
        <v/>
      </c>
      <c r="AU15" t="str">
        <f>IF(OR(Tulokset!$G$45="",Tulokset!$I$45="",'12'!$I$46="",'12'!$K$46=""),"",IF(SIGN('12'!$I$46-'12'!$K$46)&lt;&gt;SIGN(Tulokset!$G$45-Tulokset!$I$45),0,IF(Tulokset!$G$45=Tulokset!$I$45,IF(AND('12'!$I$46=Tulokset!$G$45,'12'!$K$46=Tulokset!$I$45),6,3),MAX(0,6-(ABS('12'!$I$46-Tulokset!$G$45)+ABS('12'!$K$46-Tulokset!$I$45))))))</f>
        <v/>
      </c>
      <c r="AV15" t="str">
        <f>IF(OR(Tulokset!$G$46="",Tulokset!$I$46="",'12'!$I$47="",'12'!$K$47=""),"",IF(SIGN('12'!$I$47-'12'!$K$47)&lt;&gt;SIGN(Tulokset!$G$46-Tulokset!$I$46),0,IF(Tulokset!$G$46=Tulokset!$I$46,IF(AND('12'!$I$47=Tulokset!$G$46,'12'!$K$47=Tulokset!$I$46),6,3),MAX(0,6-(ABS('12'!$I$47-Tulokset!$G$46)+ABS('12'!$K$47-Tulokset!$I$46))))))</f>
        <v/>
      </c>
      <c r="AW15" t="str">
        <f>IF(OR(Tulokset!$G$47="",Tulokset!$I$47="",'12'!$I$48="",'12'!$K$48=""),"",IF(SIGN('12'!$I$48-'12'!$K$48)&lt;&gt;SIGN(Tulokset!$G$47-Tulokset!$I$47),0,IF(Tulokset!$G$47=Tulokset!$I$47,IF(AND('12'!$I$48=Tulokset!$G$47,'12'!$K$48=Tulokset!$I$47),6,3),MAX(0,6-(ABS('12'!$I$48-Tulokset!$G$47)+ABS('12'!$K$48-Tulokset!$I$47))))))</f>
        <v/>
      </c>
      <c r="AX15" t="str">
        <f>IF(OR(Tulokset!$G$48="",Tulokset!$I$48="",'12'!$I$49="",'12'!$K$49=""),"",IF(SIGN('12'!$I$49-'12'!$K$49)&lt;&gt;SIGN(Tulokset!$G$48-Tulokset!$I$48),0,IF(Tulokset!$G$48=Tulokset!$I$48,IF(AND('12'!$I$49=Tulokset!$G$48,'12'!$K$49=Tulokset!$I$48),6,3),MAX(0,6-(ABS('12'!$I$49-Tulokset!$G$48)+ABS('12'!$K$49-Tulokset!$I$48))))))</f>
        <v/>
      </c>
      <c r="AY15" t="str">
        <f>IF(OR(Tulokset!$G$49="",Tulokset!$I$49="",'12'!$I$50="",'12'!$K$50=""),"",IF(SIGN('12'!$I$50-'12'!$K$50)&lt;&gt;SIGN(Tulokset!$G$49-Tulokset!$I$49),0,IF(Tulokset!$G$49=Tulokset!$I$49,IF(AND('12'!$I$50=Tulokset!$G$49,'12'!$K$50=Tulokset!$I$49),6,3),MAX(0,6-(ABS('12'!$I$50-Tulokset!$G$49)+ABS('12'!$K$50-Tulokset!$I$49))))))</f>
        <v/>
      </c>
      <c r="AZ15" t="str">
        <f>IF(OR(Tulokset!$G$50="",Tulokset!$I$50="",'12'!$I$51="",'12'!$K$51=""),"",IF(SIGN('12'!$I$51-'12'!$K$51)&lt;&gt;SIGN(Tulokset!$G$50-Tulokset!$I$50),0,IF(Tulokset!$G$50=Tulokset!$I$50,IF(AND('12'!$I$51=Tulokset!$G$50,'12'!$K$51=Tulokset!$I$50),6,3),MAX(0,6-(ABS('12'!$I$51-Tulokset!$G$50)+ABS('12'!$K$51-Tulokset!$I$50))))))</f>
        <v/>
      </c>
      <c r="BA15" t="str">
        <f>IF(OR(Tulokset!$G$51="",Tulokset!$I$51="",'12'!$I$52="",'12'!$K$52=""),"",IF(SIGN('12'!$I$52-'12'!$K$52)&lt;&gt;SIGN(Tulokset!$G$51-Tulokset!$I$51),0,IF(Tulokset!$G$51=Tulokset!$I$51,IF(AND('12'!$I$52=Tulokset!$G$51,'12'!$K$52=Tulokset!$I$51),6,3),MAX(0,6-(ABS('12'!$I$52-Tulokset!$G$51)+ABS('12'!$K$52-Tulokset!$I$51))))))</f>
        <v/>
      </c>
      <c r="BB15" t="str">
        <f>IF(OR(Tulokset!$G$52="",Tulokset!$I$52="",'12'!$I$53="",'12'!$K$53=""),"",IF(SIGN('12'!$I$53-'12'!$K$53)&lt;&gt;SIGN(Tulokset!$G$52-Tulokset!$I$52),0,IF(Tulokset!$G$52=Tulokset!$I$52,IF(AND('12'!$I$53=Tulokset!$G$52,'12'!$K$53=Tulokset!$I$52),6,3),MAX(0,6-(ABS('12'!$I$53-Tulokset!$G$52)+ABS('12'!$K$53-Tulokset!$I$52))))))</f>
        <v/>
      </c>
      <c r="BC15" t="str">
        <f>IF(OR(Tulokset!$G$53="",Tulokset!$I$53="",'12'!$I$54="",'12'!$K$54=""),"",IF(SIGN('12'!$I$54-'12'!$K$54)&lt;&gt;SIGN(Tulokset!$G$53-Tulokset!$I$53),0,IF(Tulokset!$G$53=Tulokset!$I$53,IF(AND('12'!$I$54=Tulokset!$G$53,'12'!$K$54=Tulokset!$I$53),6,3),MAX(0,6-(ABS('12'!$I$54-Tulokset!$G$53)+ABS('12'!$K$54-Tulokset!$I$53))))))</f>
        <v/>
      </c>
      <c r="BD15" t="str">
        <f>IF(OR(Tulokset!$G$54="",Tulokset!$I$54="",'12'!$I$55="",'12'!$K$55=""),"",IF(SIGN('12'!$I$55-'12'!$K$55)&lt;&gt;SIGN(Tulokset!$G$54-Tulokset!$I$54),0,IF(Tulokset!$G$54=Tulokset!$I$54,IF(AND('12'!$I$55=Tulokset!$G$54,'12'!$K$55=Tulokset!$I$54),6,3),MAX(0,6-(ABS('12'!$I$55-Tulokset!$G$54)+ABS('12'!$K$55-Tulokset!$I$54))))))</f>
        <v/>
      </c>
      <c r="BE15" t="str">
        <f>IF(OR(Tulokset!$G$55="",Tulokset!$I$55="",'12'!$I$56="",'12'!$K$56=""),"",IF(SIGN('12'!$I$56-'12'!$K$56)&lt;&gt;SIGN(Tulokset!$G$55-Tulokset!$I$55),0,IF(Tulokset!$G$55=Tulokset!$I$55,IF(AND('12'!$I$56=Tulokset!$G$55,'12'!$K$56=Tulokset!$I$55),6,3),MAX(0,6-(ABS('12'!$I$56-Tulokset!$G$55)+ABS('12'!$K$56-Tulokset!$I$55))))))</f>
        <v/>
      </c>
      <c r="BF15" t="str">
        <f>IF(OR(Tulokset!$G$56="",Tulokset!$I$56="",'12'!$I$57="",'12'!$K$57=""),"",IF(SIGN('12'!$I$57-'12'!$K$57)&lt;&gt;SIGN(Tulokset!$G$56-Tulokset!$I$56),0,IF(Tulokset!$G$56=Tulokset!$I$56,IF(AND('12'!$I$57=Tulokset!$G$56,'12'!$K$57=Tulokset!$I$56),6,3),MAX(0,6-(ABS('12'!$I$57-Tulokset!$G$56)+ABS('12'!$K$57-Tulokset!$I$56))))))</f>
        <v/>
      </c>
      <c r="BG15" t="str">
        <f>IF(OR(Tulokset!$G$57="",Tulokset!$I$57="",'12'!$I$58="",'12'!$K$58=""),"",IF(SIGN('12'!$I$58-'12'!$K$58)&lt;&gt;SIGN(Tulokset!$G$57-Tulokset!$I$57),0,IF(Tulokset!$G$57=Tulokset!$I$57,IF(AND('12'!$I$58=Tulokset!$G$57,'12'!$K$58=Tulokset!$I$57),6,3),MAX(0,6-(ABS('12'!$I$58-Tulokset!$G$57)+ABS('12'!$K$58-Tulokset!$I$57))))))</f>
        <v/>
      </c>
      <c r="BH15" t="str">
        <f>IF(OR(Tulokset!$G$58="",Tulokset!$I$58="",'12'!$I$59="",'12'!$K$59=""),"",IF(SIGN('12'!$I$59-'12'!$K$59)&lt;&gt;SIGN(Tulokset!$G$58-Tulokset!$I$58),0,IF(Tulokset!$G$58=Tulokset!$I$58,IF(AND('12'!$I$59=Tulokset!$G$58,'12'!$K$59=Tulokset!$I$58),6,3),MAX(0,6-(ABS('12'!$I$59-Tulokset!$G$58)+ABS('12'!$K$59-Tulokset!$I$58))))))</f>
        <v/>
      </c>
      <c r="BI15" t="str">
        <f>IF(OR(Tulokset!$G$59="",Tulokset!$I$59="",'12'!$I$60="",'12'!$K$60=""),"",IF(SIGN('12'!$I$60-'12'!$K$60)&lt;&gt;SIGN(Tulokset!$G$59-Tulokset!$I$59),0,IF(Tulokset!$G$59=Tulokset!$I$59,IF(AND('12'!$I$60=Tulokset!$G$59,'12'!$K$60=Tulokset!$I$59),6,3),MAX(0,6-(ABS('12'!$I$60-Tulokset!$G$59)+ABS('12'!$K$60-Tulokset!$I$59))))))</f>
        <v/>
      </c>
      <c r="BJ15" t="str">
        <f>IF(OR(Tulokset!$G$60="",Tulokset!$I$60="",'12'!$I$61="",'12'!$K$61=""),"",IF(SIGN('12'!$I$61-'12'!$K$61)&lt;&gt;SIGN(Tulokset!$G$60-Tulokset!$I$60),0,IF(Tulokset!$G$60=Tulokset!$I$60,IF(AND('12'!$I$61=Tulokset!$G$60,'12'!$K$61=Tulokset!$I$60),6,3),MAX(0,6-(ABS('12'!$I$61-Tulokset!$G$60)+ABS('12'!$K$61-Tulokset!$I$60))))))</f>
        <v/>
      </c>
      <c r="BK15" t="str">
        <f>IF(OR(Tulokset!$G$61="",Tulokset!$I$61="",'12'!$I$62="",'12'!$K$62=""),"",IF(SIGN('12'!$I$62-'12'!$K$62)&lt;&gt;SIGN(Tulokset!$G$61-Tulokset!$I$61),0,IF(Tulokset!$G$61=Tulokset!$I$61,IF(AND('12'!$I$62=Tulokset!$G$61,'12'!$K$62=Tulokset!$I$61),6,3),MAX(0,6-(ABS('12'!$I$62-Tulokset!$G$61)+ABS('12'!$K$62-Tulokset!$I$61))))))</f>
        <v/>
      </c>
      <c r="BL15" t="str">
        <f>IF(OR(Tulokset!$G$62="",Tulokset!$I$62="",'12'!$I$63="",'12'!$K$63=""),"",IF(SIGN('12'!$I$63-'12'!$K$63)&lt;&gt;SIGN(Tulokset!$G$62-Tulokset!$I$62),0,IF(Tulokset!$G$62=Tulokset!$I$62,IF(AND('12'!$I$63=Tulokset!$G$62,'12'!$K$63=Tulokset!$I$62),6,3),MAX(0,6-(ABS('12'!$I$63-Tulokset!$G$62)+ABS('12'!$K$63-Tulokset!$I$62))))))</f>
        <v/>
      </c>
      <c r="BM15" t="str">
        <f>IF(OR(Tulokset!$G$63="",Tulokset!$I$63="",'12'!$I$64="",'12'!$K$64=""),"",IF(SIGN('12'!$I$64-'12'!$K$64)&lt;&gt;SIGN(Tulokset!$G$63-Tulokset!$I$63),0,IF(Tulokset!$G$63=Tulokset!$I$63,IF(AND('12'!$I$64=Tulokset!$G$63,'12'!$K$64=Tulokset!$I$63),6,3),MAX(0,6-(ABS('12'!$I$64-Tulokset!$G$63)+ABS('12'!$K$64-Tulokset!$I$63))))))</f>
        <v/>
      </c>
      <c r="BN15" t="str">
        <f>IF(OR(Tulokset!$G$64="",Tulokset!$I$64="",'12'!$I$65="",'12'!$K$65=""),"",IF(SIGN('12'!$I$65-'12'!$K$65)&lt;&gt;SIGN(Tulokset!$G$64-Tulokset!$I$64),0,IF(Tulokset!$G$64=Tulokset!$I$64,IF(AND('12'!$I$65=Tulokset!$G$64,'12'!$K$65=Tulokset!$I$64),6,3),MAX(0,6-(ABS('12'!$I$65-Tulokset!$G$64)+ABS('12'!$K$65-Tulokset!$I$64))))))</f>
        <v/>
      </c>
      <c r="BO15" t="str">
        <f>IF(OR(Tulokset!$G$65="",Tulokset!$I$65="",'12'!$I$66="",'12'!$K$66=""),"",IF(SIGN('12'!$I$66-'12'!$K$66)&lt;&gt;SIGN(Tulokset!$G$65-Tulokset!$I$65),0,IF(Tulokset!$G$65=Tulokset!$I$65,IF(AND('12'!$I$66=Tulokset!$G$65,'12'!$K$66=Tulokset!$I$65),6,3),MAX(0,6-(ABS('12'!$I$66-Tulokset!$G$65)+ABS('12'!$K$66-Tulokset!$I$65))))))</f>
        <v/>
      </c>
      <c r="BP15" t="str">
        <f>IF(OR(Tulokset!$G$66="",Tulokset!$I$66="",'12'!$I$67="",'12'!$K$67=""),"",IF(SIGN('12'!$I$67-'12'!$K$67)&lt;&gt;SIGN(Tulokset!$G$66-Tulokset!$I$66),0,IF(Tulokset!$G$66=Tulokset!$I$66,IF(AND('12'!$I$67=Tulokset!$G$66,'12'!$K$67=Tulokset!$I$66),6,3),MAX(0,6-(ABS('12'!$I$67-Tulokset!$G$66)+ABS('12'!$K$67-Tulokset!$I$66))))))</f>
        <v/>
      </c>
      <c r="BQ15" t="str">
        <f>IF(OR(Tulokset!$G$67="",Tulokset!$I$67="",'12'!$I$68="",'12'!$K$68=""),"",IF(SIGN('12'!$I$68-'12'!$K$68)&lt;&gt;SIGN(Tulokset!$G$67-Tulokset!$I$67),0,IF(Tulokset!$G$67=Tulokset!$I$67,IF(AND('12'!$I$68=Tulokset!$G$67,'12'!$K$68=Tulokset!$I$67),6,3),MAX(0,6-(ABS('12'!$I$68-Tulokset!$G$67)+ABS('12'!$K$68-Tulokset!$I$67))))))</f>
        <v/>
      </c>
      <c r="BR15" t="str">
        <f>IF(OR(Tulokset!$G$68="",Tulokset!$I$68="",'12'!$I$69="",'12'!$K$69=""),"",IF(SIGN('12'!$I$69-'12'!$K$69)&lt;&gt;SIGN(Tulokset!$G$68-Tulokset!$I$68),0,IF(Tulokset!$G$68=Tulokset!$I$68,IF(AND('12'!$I$69=Tulokset!$G$68,'12'!$K$69=Tulokset!$I$68),6,3),MAX(0,6-(ABS('12'!$I$69-Tulokset!$G$68)+ABS('12'!$K$69-Tulokset!$I$68))))))</f>
        <v/>
      </c>
      <c r="BS15" t="str">
        <f>IF(OR(Tulokset!$G$69="",Tulokset!$I$69="",'12'!$I$70="",'12'!$K$70=""),"",IF(SIGN('12'!$I$70-'12'!$K$70)&lt;&gt;SIGN(Tulokset!$G$69-Tulokset!$I$69),0,IF(Tulokset!$G$69=Tulokset!$I$69,IF(AND('12'!$I$70=Tulokset!$G$69,'12'!$K$70=Tulokset!$I$69),6,3),MAX(0,6-(ABS('12'!$I$70-Tulokset!$G$69)+ABS('12'!$K$70-Tulokset!$I$69))))))</f>
        <v/>
      </c>
      <c r="BT15" t="str">
        <f>IF(OR(Tulokset!$G$70="",Tulokset!$I$70="",'12'!$I$71="",'12'!$K$71=""),"",IF(SIGN('12'!$I$71-'12'!$K$71)&lt;&gt;SIGN(Tulokset!$G$70-Tulokset!$I$70),0,IF(Tulokset!$G$70=Tulokset!$I$70,IF(AND('12'!$I$71=Tulokset!$G$70,'12'!$K$71=Tulokset!$I$70),6,3),MAX(0,6-(ABS('12'!$I$71-Tulokset!$G$70)+ABS('12'!$K$71-Tulokset!$I$70))))))</f>
        <v/>
      </c>
      <c r="BU15" t="str">
        <f>IF(OR(Tulokset!$G$71="",Tulokset!$I$71="",'12'!$I$72="",'12'!$K$72=""),"",IF(SIGN('12'!$I$72-'12'!$K$72)&lt;&gt;SIGN(Tulokset!$G$71-Tulokset!$I$71),0,IF(Tulokset!$G$71=Tulokset!$I$71,IF(AND('12'!$I$72=Tulokset!$G$71,'12'!$K$72=Tulokset!$I$71),6,3),MAX(0,6-(ABS('12'!$I$72-Tulokset!$G$71)+ABS('12'!$K$72-Tulokset!$I$71))))))</f>
        <v/>
      </c>
      <c r="BV15" t="str">
        <f>IF(OR(Tulokset!$G$72="",Tulokset!$I$72="",'12'!$I$73="",'12'!$K$73=""),"",IF(SIGN('12'!$I$73-'12'!$K$73)&lt;&gt;SIGN(Tulokset!$G$72-Tulokset!$I$72),0,IF(Tulokset!$G$72=Tulokset!$I$72,IF(AND('12'!$I$73=Tulokset!$G$72,'12'!$K$73=Tulokset!$I$72),6,3),MAX(0,6-(ABS('12'!$I$73-Tulokset!$G$72)+ABS('12'!$K$73-Tulokset!$I$72))))))</f>
        <v/>
      </c>
      <c r="BW15" t="str">
        <f>IF(OR(Tulokset!$G$73="",Tulokset!$I$73="",'12'!$I$74="",'12'!$K$74=""),"",IF(SIGN('12'!$I$74-'12'!$K$74)&lt;&gt;SIGN(Tulokset!$G$73-Tulokset!$I$73),0,IF(Tulokset!$G$73=Tulokset!$I$73,IF(AND('12'!$I$74=Tulokset!$G$73,'12'!$K$74=Tulokset!$I$73),6,3),MAX(0,6-(ABS('12'!$I$74-Tulokset!$G$73)+ABS('12'!$K$74-Tulokset!$I$73))))))</f>
        <v/>
      </c>
      <c r="BX15" t="str">
        <f>IF(OR(Tulokset!$G$74="",Tulokset!$I$74="",'12'!$I$75="",'12'!$K$75=""),"",IF(SIGN('12'!$I$75-'12'!$K$75)&lt;&gt;SIGN(Tulokset!$G$74-Tulokset!$I$74),0,IF(Tulokset!$G$74=Tulokset!$I$74,IF(AND('12'!$I$75=Tulokset!$G$74,'12'!$K$75=Tulokset!$I$74),6,3),MAX(0,6-(ABS('12'!$I$75-Tulokset!$G$74)+ABS('12'!$K$75-Tulokset!$I$74))))))</f>
        <v/>
      </c>
      <c r="BY15" t="str">
        <f>IF(OR(Tulokset!$G$75="",Tulokset!$I$75="",'12'!$I$76="",'12'!$K$76=""),"",IF(SIGN('12'!$I$76-'12'!$K$76)&lt;&gt;SIGN(Tulokset!$G$75-Tulokset!$I$75),0,IF(Tulokset!$G$75=Tulokset!$I$75,IF(AND('12'!$I$76=Tulokset!$G$75,'12'!$K$76=Tulokset!$I$75),6,3),MAX(0,6-(ABS('12'!$I$76-Tulokset!$G$75)+ABS('12'!$K$76-Tulokset!$I$75))))))</f>
        <v/>
      </c>
      <c r="BZ15" t="str">
        <f>IF(OR(Tulokset!$G$76="",Tulokset!$I$76="",'12'!$I$77="",'12'!$K$77=""),"",IF(SIGN('12'!$I$77-'12'!$K$77)&lt;&gt;SIGN(Tulokset!$G$76-Tulokset!$I$76),0,IF(Tulokset!$G$76=Tulokset!$I$76,IF(AND('12'!$I$77=Tulokset!$G$76,'12'!$K$77=Tulokset!$I$76),6,3),MAX(0,6-(ABS('12'!$I$77-Tulokset!$G$76)+ABS('12'!$K$77-Tulokset!$I$76))))))</f>
        <v/>
      </c>
      <c r="CA15" t="str">
        <f>IF(OR(Tulokset!$G$77="",Tulokset!$I$77="",'12'!$I$78="",'12'!$K$78=""),"",IF(SIGN('12'!$I$78-'12'!$K$78)&lt;&gt;SIGN(Tulokset!$G$77-Tulokset!$I$77),0,IF(Tulokset!$G$77=Tulokset!$I$77,IF(AND('12'!$I$78=Tulokset!$G$77,'12'!$K$78=Tulokset!$I$77),6,3),MAX(0,6-(ABS('12'!$I$78-Tulokset!$G$77)+ABS('12'!$K$78-Tulokset!$I$77))))))</f>
        <v/>
      </c>
      <c r="CD15" t="str">
        <f ca="1">IF(OR(Tulokset!$M$6="",INDIRECT("'"&amp;$A15&amp;"'!$P$8")=""),"",IF(TRIM(INDIRECT("'"&amp;$A15&amp;"'!$P$8"))=TRIM(Tulokset!$M$6),2,0))</f>
        <v/>
      </c>
      <c r="CE15" t="str">
        <f ca="1">IF(OR(Tulokset!$M$7="",INDIRECT("'"&amp;$A15&amp;"'!$P$9")=""),"",IF(TRIM(INDIRECT("'"&amp;$A15&amp;"'!$P$9"))=TRIM(Tulokset!$M$7),2,0))</f>
        <v/>
      </c>
      <c r="CF15" t="str">
        <f ca="1">IF(OR(Tulokset!$M$8="",INDIRECT("'"&amp;$A15&amp;"'!$P$10")=""),"",IF(TRIM(INDIRECT("'"&amp;$A15&amp;"'!$P$10"))=TRIM(Tulokset!$M$8),2,0))</f>
        <v/>
      </c>
      <c r="CG15" t="str">
        <f ca="1">IF(OR(Tulokset!$M$9="",INDIRECT("'"&amp;$A15&amp;"'!$P$11")=""),"",IF(TRIM(INDIRECT("'"&amp;$A15&amp;"'!$P$11"))=TRIM(Tulokset!$M$9),2,0))</f>
        <v/>
      </c>
      <c r="CH15" t="str">
        <f ca="1">IF(OR(Tulokset!$N$6="",INDIRECT("'"&amp;$A15&amp;"'!$Q$8")=""),"",IF(TRIM(INDIRECT("'"&amp;$A15&amp;"'!$Q$8"))=TRIM(Tulokset!$N$6),2,0))</f>
        <v/>
      </c>
      <c r="CI15" t="str">
        <f ca="1">IF(OR(Tulokset!$N$7="",INDIRECT("'"&amp;$A15&amp;"'!$Q$9")=""),"",IF(TRIM(INDIRECT("'"&amp;$A15&amp;"'!$Q$9"))=TRIM(Tulokset!$N$7),2,0))</f>
        <v/>
      </c>
      <c r="CJ15" t="str">
        <f ca="1">IF(OR(Tulokset!$N$8="",INDIRECT("'"&amp;$A15&amp;"'!$Q$10")=""),"",IF(TRIM(INDIRECT("'"&amp;$A15&amp;"'!$Q$10"))=TRIM(Tulokset!$N$8),2,0))</f>
        <v/>
      </c>
      <c r="CK15" t="str">
        <f ca="1">IF(OR(Tulokset!$N$9="",INDIRECT("'"&amp;$A15&amp;"'!$Q$11")=""),"",IF(TRIM(INDIRECT("'"&amp;$A15&amp;"'!$Q$11"))=TRIM(Tulokset!$N$9),2,0))</f>
        <v/>
      </c>
      <c r="CL15" t="str">
        <f ca="1">IF(OR(Tulokset!$O$6="",INDIRECT("'"&amp;$A15&amp;"'!$R$8")=""),"",IF(TRIM(INDIRECT("'"&amp;$A15&amp;"'!$R$8"))=TRIM(Tulokset!$O$6),2,0))</f>
        <v/>
      </c>
      <c r="CM15" t="str">
        <f ca="1">IF(OR(Tulokset!$O$7="",INDIRECT("'"&amp;$A15&amp;"'!$R$9")=""),"",IF(TRIM(INDIRECT("'"&amp;$A15&amp;"'!$R$9"))=TRIM(Tulokset!$O$7),2,0))</f>
        <v/>
      </c>
      <c r="CN15" t="str">
        <f ca="1">IF(OR(Tulokset!$O$8="",INDIRECT("'"&amp;$A15&amp;"'!$R$10")=""),"",IF(TRIM(INDIRECT("'"&amp;$A15&amp;"'!$R$10"))=TRIM(Tulokset!$O$8),2,0))</f>
        <v/>
      </c>
      <c r="CO15" t="str">
        <f ca="1">IF(OR(Tulokset!$O$9="",INDIRECT("'"&amp;$A15&amp;"'!$R$11")=""),"",IF(TRIM(INDIRECT("'"&amp;$A15&amp;"'!$R$11"))=TRIM(Tulokset!$O$9),2,0))</f>
        <v/>
      </c>
      <c r="CP15" t="str">
        <f ca="1">IF(OR(Tulokset!$P$6="",INDIRECT("'"&amp;$A15&amp;"'!$S$8")=""),"",IF(TRIM(INDIRECT("'"&amp;$A15&amp;"'!$S$8"))=TRIM(Tulokset!$P$6),2,0))</f>
        <v/>
      </c>
      <c r="CQ15" t="str">
        <f ca="1">IF(OR(Tulokset!$P$7="",INDIRECT("'"&amp;$A15&amp;"'!$S$9")=""),"",IF(TRIM(INDIRECT("'"&amp;$A15&amp;"'!$S$9"))=TRIM(Tulokset!$P$7),2,0))</f>
        <v/>
      </c>
      <c r="CR15" t="str">
        <f ca="1">IF(OR(Tulokset!$P$8="",INDIRECT("'"&amp;$A15&amp;"'!$S$10")=""),"",IF(TRIM(INDIRECT("'"&amp;$A15&amp;"'!$S$10"))=TRIM(Tulokset!$P$8),2,0))</f>
        <v/>
      </c>
      <c r="CS15" t="str">
        <f ca="1">IF(OR(Tulokset!$P$9="",INDIRECT("'"&amp;$A15&amp;"'!$S$11")=""),"",IF(TRIM(INDIRECT("'"&amp;$A15&amp;"'!$S$11"))=TRIM(Tulokset!$P$9),2,0))</f>
        <v/>
      </c>
      <c r="CT15" t="str">
        <f ca="1">IF(OR(Tulokset!$Q$6="",INDIRECT("'"&amp;$A15&amp;"'!$T$8")=""),"",IF(TRIM(INDIRECT("'"&amp;$A15&amp;"'!$T$8"))=TRIM(Tulokset!$Q$6),2,0))</f>
        <v/>
      </c>
      <c r="CU15" t="str">
        <f ca="1">IF(OR(Tulokset!$Q$7="",INDIRECT("'"&amp;$A15&amp;"'!$T$9")=""),"",IF(TRIM(INDIRECT("'"&amp;$A15&amp;"'!$T$9"))=TRIM(Tulokset!$Q$7),2,0))</f>
        <v/>
      </c>
      <c r="CV15" t="str">
        <f ca="1">IF(OR(Tulokset!$Q$8="",INDIRECT("'"&amp;$A15&amp;"'!$T$10")=""),"",IF(TRIM(INDIRECT("'"&amp;$A15&amp;"'!$T$10"))=TRIM(Tulokset!$Q$8),2,0))</f>
        <v/>
      </c>
      <c r="CW15" t="str">
        <f ca="1">IF(OR(Tulokset!$Q$9="",INDIRECT("'"&amp;$A15&amp;"'!$T$11")=""),"",IF(TRIM(INDIRECT("'"&amp;$A15&amp;"'!$T$11"))=TRIM(Tulokset!$Q$9),2,0))</f>
        <v/>
      </c>
      <c r="CX15" t="str">
        <f ca="1">IF(OR(Tulokset!$R$6="",INDIRECT("'"&amp;$A15&amp;"'!$U$8")=""),"",IF(TRIM(INDIRECT("'"&amp;$A15&amp;"'!$U$8"))=TRIM(Tulokset!$R$6),2,0))</f>
        <v/>
      </c>
      <c r="CY15" t="str">
        <f ca="1">IF(OR(Tulokset!$R$7="",INDIRECT("'"&amp;$A15&amp;"'!$U$9")=""),"",IF(TRIM(INDIRECT("'"&amp;$A15&amp;"'!$U$9"))=TRIM(Tulokset!$R$7),2,0))</f>
        <v/>
      </c>
      <c r="CZ15" t="str">
        <f ca="1">IF(OR(Tulokset!$R$8="",INDIRECT("'"&amp;$A15&amp;"'!$U$10")=""),"",IF(TRIM(INDIRECT("'"&amp;$A15&amp;"'!$U$10"))=TRIM(Tulokset!$R$8),2,0))</f>
        <v/>
      </c>
      <c r="DA15" t="str">
        <f ca="1">IF(OR(Tulokset!$R$9="",INDIRECT("'"&amp;$A15&amp;"'!$U$11")=""),"",IF(TRIM(INDIRECT("'"&amp;$A15&amp;"'!$U$11"))=TRIM(Tulokset!$R$9),2,0))</f>
        <v/>
      </c>
      <c r="DB15" t="str">
        <f ca="1">IF(OR(Tulokset!$M$12="",INDIRECT("'"&amp;$A15&amp;"'!$P$14")=""),"",IF(TRIM(INDIRECT("'"&amp;$A15&amp;"'!$P$14"))=TRIM(Tulokset!$M$12),2,0))</f>
        <v/>
      </c>
      <c r="DC15" t="str">
        <f ca="1">IF(OR(Tulokset!$M$13="",INDIRECT("'"&amp;$A15&amp;"'!$P$15")=""),"",IF(TRIM(INDIRECT("'"&amp;$A15&amp;"'!$P$15"))=TRIM(Tulokset!$M$13),2,0))</f>
        <v/>
      </c>
      <c r="DD15" t="str">
        <f ca="1">IF(OR(Tulokset!$M$14="",INDIRECT("'"&amp;$A15&amp;"'!$P$16")=""),"",IF(TRIM(INDIRECT("'"&amp;$A15&amp;"'!$P$16"))=TRIM(Tulokset!$M$14),2,0))</f>
        <v/>
      </c>
      <c r="DE15" t="str">
        <f ca="1">IF(OR(Tulokset!$M$15="",INDIRECT("'"&amp;$A15&amp;"'!$P$17")=""),"",IF(TRIM(INDIRECT("'"&amp;$A15&amp;"'!$P$17"))=TRIM(Tulokset!$M$15),2,0))</f>
        <v/>
      </c>
      <c r="DF15" t="str">
        <f ca="1">IF(OR(Tulokset!$N$12="",INDIRECT("'"&amp;$A15&amp;"'!$Q$14")=""),"",IF(TRIM(INDIRECT("'"&amp;$A15&amp;"'!$Q$14"))=TRIM(Tulokset!$N$12),2,0))</f>
        <v/>
      </c>
      <c r="DG15" t="str">
        <f ca="1">IF(OR(Tulokset!$N$13="",INDIRECT("'"&amp;$A15&amp;"'!$Q$15")=""),"",IF(TRIM(INDIRECT("'"&amp;$A15&amp;"'!$Q$15"))=TRIM(Tulokset!$N$13),2,0))</f>
        <v/>
      </c>
      <c r="DH15" t="str">
        <f ca="1">IF(OR(Tulokset!$N$14="",INDIRECT("'"&amp;$A15&amp;"'!$Q$16")=""),"",IF(TRIM(INDIRECT("'"&amp;$A15&amp;"'!$Q$16"))=TRIM(Tulokset!$N$14),2,0))</f>
        <v/>
      </c>
      <c r="DI15" t="str">
        <f ca="1">IF(OR(Tulokset!$N$15="",INDIRECT("'"&amp;$A15&amp;"'!$Q$17")=""),"",IF(TRIM(INDIRECT("'"&amp;$A15&amp;"'!$Q$17"))=TRIM(Tulokset!$N$15),2,0))</f>
        <v/>
      </c>
      <c r="DJ15" t="str">
        <f ca="1">IF(OR(Tulokset!$O$12="",INDIRECT("'"&amp;$A15&amp;"'!$R$14")=""),"",IF(TRIM(INDIRECT("'"&amp;$A15&amp;"'!$R$14"))=TRIM(Tulokset!$O$12),2,0))</f>
        <v/>
      </c>
      <c r="DK15" t="str">
        <f ca="1">IF(OR(Tulokset!$O$13="",INDIRECT("'"&amp;$A15&amp;"'!$R$15")=""),"",IF(TRIM(INDIRECT("'"&amp;$A15&amp;"'!$R$15"))=TRIM(Tulokset!$O$13),2,0))</f>
        <v/>
      </c>
      <c r="DL15" t="str">
        <f ca="1">IF(OR(Tulokset!$O$14="",INDIRECT("'"&amp;$A15&amp;"'!$R$16")=""),"",IF(TRIM(INDIRECT("'"&amp;$A15&amp;"'!$R$16"))=TRIM(Tulokset!$O$14),2,0))</f>
        <v/>
      </c>
      <c r="DM15" t="str">
        <f ca="1">IF(OR(Tulokset!$O$15="",INDIRECT("'"&amp;$A15&amp;"'!$R$17")=""),"",IF(TRIM(INDIRECT("'"&amp;$A15&amp;"'!$R$17"))=TRIM(Tulokset!$O$15),2,0))</f>
        <v/>
      </c>
      <c r="DN15" t="str">
        <f ca="1">IF(OR(Tulokset!$P$12="",INDIRECT("'"&amp;$A15&amp;"'!$S$14")=""),"",IF(TRIM(INDIRECT("'"&amp;$A15&amp;"'!$S$14"))=TRIM(Tulokset!$P$12),2,0))</f>
        <v/>
      </c>
      <c r="DO15" t="str">
        <f ca="1">IF(OR(Tulokset!$P$13="",INDIRECT("'"&amp;$A15&amp;"'!$S$15")=""),"",IF(TRIM(INDIRECT("'"&amp;$A15&amp;"'!$S$15"))=TRIM(Tulokset!$P$13),2,0))</f>
        <v/>
      </c>
      <c r="DP15" t="str">
        <f ca="1">IF(OR(Tulokset!$P$14="",INDIRECT("'"&amp;$A15&amp;"'!$S$16")=""),"",IF(TRIM(INDIRECT("'"&amp;$A15&amp;"'!$S$16"))=TRIM(Tulokset!$P$14),2,0))</f>
        <v/>
      </c>
      <c r="DQ15" t="str">
        <f ca="1">IF(OR(Tulokset!$P$15="",INDIRECT("'"&amp;$A15&amp;"'!$S$17")=""),"",IF(TRIM(INDIRECT("'"&amp;$A15&amp;"'!$S$17"))=TRIM(Tulokset!$P$15),2,0))</f>
        <v/>
      </c>
      <c r="DR15" t="str">
        <f ca="1">IF(OR(Tulokset!$Q$12="",INDIRECT("'"&amp;$A15&amp;"'!$T$14")=""),"",IF(TRIM(INDIRECT("'"&amp;$A15&amp;"'!$T$14"))=TRIM(Tulokset!$Q$12),2,0))</f>
        <v/>
      </c>
      <c r="DS15" t="str">
        <f ca="1">IF(OR(Tulokset!$Q$13="",INDIRECT("'"&amp;$A15&amp;"'!$T$15")=""),"",IF(TRIM(INDIRECT("'"&amp;$A15&amp;"'!$T$15"))=TRIM(Tulokset!$Q$13),2,0))</f>
        <v/>
      </c>
      <c r="DT15" t="str">
        <f ca="1">IF(OR(Tulokset!$Q$14="",INDIRECT("'"&amp;$A15&amp;"'!$T$16")=""),"",IF(TRIM(INDIRECT("'"&amp;$A15&amp;"'!$T$16"))=TRIM(Tulokset!$Q$14),2,0))</f>
        <v/>
      </c>
      <c r="DU15" t="str">
        <f ca="1">IF(OR(Tulokset!$Q$15="",INDIRECT("'"&amp;$A15&amp;"'!$T$17")=""),"",IF(TRIM(INDIRECT("'"&amp;$A15&amp;"'!$T$17"))=TRIM(Tulokset!$Q$15),2,0))</f>
        <v/>
      </c>
      <c r="DV15" t="str">
        <f ca="1">IF(OR(Tulokset!$R$12="",INDIRECT("'"&amp;$A15&amp;"'!$U$14")=""),"",IF(TRIM(INDIRECT("'"&amp;$A15&amp;"'!$U$14"))=TRIM(Tulokset!$R$12),2,0))</f>
        <v/>
      </c>
      <c r="DW15" t="str">
        <f ca="1">IF(OR(Tulokset!$R$13="",INDIRECT("'"&amp;$A15&amp;"'!$U$15")=""),"",IF(TRIM(INDIRECT("'"&amp;$A15&amp;"'!$U$15"))=TRIM(Tulokset!$R$13),2,0))</f>
        <v/>
      </c>
      <c r="DX15" t="str">
        <f ca="1">IF(OR(Tulokset!$R$14="",INDIRECT("'"&amp;$A15&amp;"'!$U$16")=""),"",IF(TRIM(INDIRECT("'"&amp;$A15&amp;"'!$U$16"))=TRIM(Tulokset!$R$14),2,0))</f>
        <v/>
      </c>
      <c r="DY15" t="str">
        <f ca="1">IF(OR(Tulokset!$R$15="",INDIRECT("'"&amp;$A15&amp;"'!$U$17")=""),"",IF(TRIM(INDIRECT("'"&amp;$A15&amp;"'!$U$17"))=TRIM(Tulokset!$R$15),2,0))</f>
        <v/>
      </c>
      <c r="EA15" t="str">
        <f ca="1">IF(OR(INDIRECT("'"&amp;$A15&amp;"'!$E$79")="",COUNTA(Tulokset!$M$20:$M$21)=0),"",IF(COUNTIF(Tulokset!$M$20:$M$21,INDIRECT("'"&amp;$A15&amp;"'!$E$79"))&gt;0,2,0))</f>
        <v/>
      </c>
      <c r="EB15" t="str">
        <f ca="1">IF(OR(INDIRECT("'"&amp;$A15&amp;"'!$G$79")="",COUNTA(Tulokset!$M$20:$M$21)=0),"",IF(COUNTIF(Tulokset!$M$20:$M$21,INDIRECT("'"&amp;$A15&amp;"'!$G$79"))&gt;0,2,0))</f>
        <v/>
      </c>
      <c r="EC15" t="str">
        <f ca="1">IF(OR(INDIRECT("'"&amp;$A15&amp;"'!$E$80")="",COUNTA(Tulokset!$M$23:$M$24)=0),"",IF(COUNTIF(Tulokset!$M$23:$M$24,INDIRECT("'"&amp;$A15&amp;"'!$E$80"))&gt;0,2,0))</f>
        <v/>
      </c>
      <c r="ED15" t="str">
        <f ca="1">IF(OR(INDIRECT("'"&amp;$A15&amp;"'!$G$80")="",COUNTA(Tulokset!$M$23:$M$24)=0),"",IF(COUNTIF(Tulokset!$M$23:$M$24,INDIRECT("'"&amp;$A15&amp;"'!$G$80"))&gt;0,2,0))</f>
        <v/>
      </c>
    </row>
    <row r="16" spans="1:134">
      <c r="A16" t="s">
        <v>231</v>
      </c>
      <c r="B16" t="str">
        <f t="shared" ca="1" si="0"/>
        <v>Ice Cold</v>
      </c>
      <c r="C16" s="95">
        <f t="shared" si="1"/>
        <v>0</v>
      </c>
      <c r="D16" s="95">
        <f t="shared" ca="1" si="2"/>
        <v>0</v>
      </c>
      <c r="E16" s="95">
        <f t="shared" ca="1" si="3"/>
        <v>0</v>
      </c>
      <c r="F16" s="95">
        <f t="shared" ca="1" si="4"/>
        <v>0</v>
      </c>
      <c r="G16" s="95">
        <f t="shared" si="5"/>
        <v>0</v>
      </c>
      <c r="H16" t="str">
        <f>IF(OR(Tulokset!$G$6="",Tulokset!$I$6="",'13'!$I$7="",'13'!$K$7=""),"",IF(SIGN('13'!$I$7-'13'!$K$7)&lt;&gt;SIGN(Tulokset!$G$6-Tulokset!$I$6),0,IF(Tulokset!$G$6=Tulokset!$I$6,IF(AND('13'!$I$7=Tulokset!$G$6,'13'!$K$7=Tulokset!$I$6),6,3),MAX(0,6-(ABS('13'!$I$7-Tulokset!$G$6)+ABS('13'!$K$7-Tulokset!$I$6))))))</f>
        <v/>
      </c>
      <c r="I16" t="str">
        <f>IF(OR(Tulokset!$G$7="",Tulokset!$I$7="",'13'!$I$8="",'13'!$K$8=""),"",IF(SIGN('13'!$I$8-'13'!$K$8)&lt;&gt;SIGN(Tulokset!$G$7-Tulokset!$I$7),0,IF(Tulokset!$G$7=Tulokset!$I$7,IF(AND('13'!$I$8=Tulokset!$G$7,'13'!$K$8=Tulokset!$I$7),6,3),MAX(0,6-(ABS('13'!$I$8-Tulokset!$G$7)+ABS('13'!$K$8-Tulokset!$I$7))))))</f>
        <v/>
      </c>
      <c r="J16" t="str">
        <f>IF(OR(Tulokset!$G$8="",Tulokset!$I$8="",'13'!$I$9="",'13'!$K$9=""),"",IF(SIGN('13'!$I$9-'13'!$K$9)&lt;&gt;SIGN(Tulokset!$G$8-Tulokset!$I$8),0,IF(Tulokset!$G$8=Tulokset!$I$8,IF(AND('13'!$I$9=Tulokset!$G$8,'13'!$K$9=Tulokset!$I$8),6,3),MAX(0,6-(ABS('13'!$I$9-Tulokset!$G$8)+ABS('13'!$K$9-Tulokset!$I$8))))))</f>
        <v/>
      </c>
      <c r="K16" t="str">
        <f>IF(OR(Tulokset!$G$9="",Tulokset!$I$9="",'13'!$I$10="",'13'!$K$10=""),"",IF(SIGN('13'!$I$10-'13'!$K$10)&lt;&gt;SIGN(Tulokset!$G$9-Tulokset!$I$9),0,IF(Tulokset!$G$9=Tulokset!$I$9,IF(AND('13'!$I$10=Tulokset!$G$9,'13'!$K$10=Tulokset!$I$9),6,3),MAX(0,6-(ABS('13'!$I$10-Tulokset!$G$9)+ABS('13'!$K$10-Tulokset!$I$9))))))</f>
        <v/>
      </c>
      <c r="L16" t="str">
        <f>IF(OR(Tulokset!$G$10="",Tulokset!$I$10="",'13'!$I$11="",'13'!$K$11=""),"",IF(SIGN('13'!$I$11-'13'!$K$11)&lt;&gt;SIGN(Tulokset!$G$10-Tulokset!$I$10),0,IF(Tulokset!$G$10=Tulokset!$I$10,IF(AND('13'!$I$11=Tulokset!$G$10,'13'!$K$11=Tulokset!$I$10),6,3),MAX(0,6-(ABS('13'!$I$11-Tulokset!$G$10)+ABS('13'!$K$11-Tulokset!$I$10))))))</f>
        <v/>
      </c>
      <c r="M16" t="str">
        <f>IF(OR(Tulokset!$G$11="",Tulokset!$I$11="",'13'!$I$12="",'13'!$K$12=""),"",IF(SIGN('13'!$I$12-'13'!$K$12)&lt;&gt;SIGN(Tulokset!$G$11-Tulokset!$I$11),0,IF(Tulokset!$G$11=Tulokset!$I$11,IF(AND('13'!$I$12=Tulokset!$G$11,'13'!$K$12=Tulokset!$I$11),6,3),MAX(0,6-(ABS('13'!$I$12-Tulokset!$G$11)+ABS('13'!$K$12-Tulokset!$I$11))))))</f>
        <v/>
      </c>
      <c r="N16" t="str">
        <f>IF(OR(Tulokset!$G$12="",Tulokset!$I$12="",'13'!$I$13="",'13'!$K$13=""),"",IF(SIGN('13'!$I$13-'13'!$K$13)&lt;&gt;SIGN(Tulokset!$G$12-Tulokset!$I$12),0,IF(Tulokset!$G$12=Tulokset!$I$12,IF(AND('13'!$I$13=Tulokset!$G$12,'13'!$K$13=Tulokset!$I$12),6,3),MAX(0,6-(ABS('13'!$I$13-Tulokset!$G$12)+ABS('13'!$K$13-Tulokset!$I$12))))))</f>
        <v/>
      </c>
      <c r="O16" t="str">
        <f>IF(OR(Tulokset!$G$13="",Tulokset!$I$13="",'13'!$I$14="",'13'!$K$14=""),"",IF(SIGN('13'!$I$14-'13'!$K$14)&lt;&gt;SIGN(Tulokset!$G$13-Tulokset!$I$13),0,IF(Tulokset!$G$13=Tulokset!$I$13,IF(AND('13'!$I$14=Tulokset!$G$13,'13'!$K$14=Tulokset!$I$13),6,3),MAX(0,6-(ABS('13'!$I$14-Tulokset!$G$13)+ABS('13'!$K$14-Tulokset!$I$13))))))</f>
        <v/>
      </c>
      <c r="P16" t="str">
        <f>IF(OR(Tulokset!$G$14="",Tulokset!$I$14="",'13'!$I$15="",'13'!$K$15=""),"",IF(SIGN('13'!$I$15-'13'!$K$15)&lt;&gt;SIGN(Tulokset!$G$14-Tulokset!$I$14),0,IF(Tulokset!$G$14=Tulokset!$I$14,IF(AND('13'!$I$15=Tulokset!$G$14,'13'!$K$15=Tulokset!$I$14),6,3),MAX(0,6-(ABS('13'!$I$15-Tulokset!$G$14)+ABS('13'!$K$15-Tulokset!$I$14))))))</f>
        <v/>
      </c>
      <c r="Q16" t="str">
        <f>IF(OR(Tulokset!$G$15="",Tulokset!$I$15="",'13'!$I$16="",'13'!$K$16=""),"",IF(SIGN('13'!$I$16-'13'!$K$16)&lt;&gt;SIGN(Tulokset!$G$15-Tulokset!$I$15),0,IF(Tulokset!$G$15=Tulokset!$I$15,IF(AND('13'!$I$16=Tulokset!$G$15,'13'!$K$16=Tulokset!$I$15),6,3),MAX(0,6-(ABS('13'!$I$16-Tulokset!$G$15)+ABS('13'!$K$16-Tulokset!$I$15))))))</f>
        <v/>
      </c>
      <c r="R16" t="str">
        <f>IF(OR(Tulokset!$G$16="",Tulokset!$I$16="",'13'!$I$17="",'13'!$K$17=""),"",IF(SIGN('13'!$I$17-'13'!$K$17)&lt;&gt;SIGN(Tulokset!$G$16-Tulokset!$I$16),0,IF(Tulokset!$G$16=Tulokset!$I$16,IF(AND('13'!$I$17=Tulokset!$G$16,'13'!$K$17=Tulokset!$I$16),6,3),MAX(0,6-(ABS('13'!$I$17-Tulokset!$G$16)+ABS('13'!$K$17-Tulokset!$I$16))))))</f>
        <v/>
      </c>
      <c r="S16" t="str">
        <f>IF(OR(Tulokset!$G$17="",Tulokset!$I$17="",'13'!$I$18="",'13'!$K$18=""),"",IF(SIGN('13'!$I$18-'13'!$K$18)&lt;&gt;SIGN(Tulokset!$G$17-Tulokset!$I$17),0,IF(Tulokset!$G$17=Tulokset!$I$17,IF(AND('13'!$I$18=Tulokset!$G$17,'13'!$K$18=Tulokset!$I$17),6,3),MAX(0,6-(ABS('13'!$I$18-Tulokset!$G$17)+ABS('13'!$K$18-Tulokset!$I$17))))))</f>
        <v/>
      </c>
      <c r="T16" t="str">
        <f>IF(OR(Tulokset!$G$18="",Tulokset!$I$18="",'13'!$I$19="",'13'!$K$19=""),"",IF(SIGN('13'!$I$19-'13'!$K$19)&lt;&gt;SIGN(Tulokset!$G$18-Tulokset!$I$18),0,IF(Tulokset!$G$18=Tulokset!$I$18,IF(AND('13'!$I$19=Tulokset!$G$18,'13'!$K$19=Tulokset!$I$18),6,3),MAX(0,6-(ABS('13'!$I$19-Tulokset!$G$18)+ABS('13'!$K$19-Tulokset!$I$18))))))</f>
        <v/>
      </c>
      <c r="U16" t="str">
        <f>IF(OR(Tulokset!$G$19="",Tulokset!$I$19="",'13'!$I$20="",'13'!$K$20=""),"",IF(SIGN('13'!$I$20-'13'!$K$20)&lt;&gt;SIGN(Tulokset!$G$19-Tulokset!$I$19),0,IF(Tulokset!$G$19=Tulokset!$I$19,IF(AND('13'!$I$20=Tulokset!$G$19,'13'!$K$20=Tulokset!$I$19),6,3),MAX(0,6-(ABS('13'!$I$20-Tulokset!$G$19)+ABS('13'!$K$20-Tulokset!$I$19))))))</f>
        <v/>
      </c>
      <c r="V16" t="str">
        <f>IF(OR(Tulokset!$G$20="",Tulokset!$I$20="",'13'!$I$21="",'13'!$K$21=""),"",IF(SIGN('13'!$I$21-'13'!$K$21)&lt;&gt;SIGN(Tulokset!$G$20-Tulokset!$I$20),0,IF(Tulokset!$G$20=Tulokset!$I$20,IF(AND('13'!$I$21=Tulokset!$G$20,'13'!$K$21=Tulokset!$I$20),6,3),MAX(0,6-(ABS('13'!$I$21-Tulokset!$G$20)+ABS('13'!$K$21-Tulokset!$I$20))))))</f>
        <v/>
      </c>
      <c r="W16" t="str">
        <f>IF(OR(Tulokset!$G$21="",Tulokset!$I$21="",'13'!$I$22="",'13'!$K$22=""),"",IF(SIGN('13'!$I$22-'13'!$K$22)&lt;&gt;SIGN(Tulokset!$G$21-Tulokset!$I$21),0,IF(Tulokset!$G$21=Tulokset!$I$21,IF(AND('13'!$I$22=Tulokset!$G$21,'13'!$K$22=Tulokset!$I$21),6,3),MAX(0,6-(ABS('13'!$I$22-Tulokset!$G$21)+ABS('13'!$K$22-Tulokset!$I$21))))))</f>
        <v/>
      </c>
      <c r="X16" t="str">
        <f>IF(OR(Tulokset!$G$22="",Tulokset!$I$22="",'13'!$I$23="",'13'!$K$23=""),"",IF(SIGN('13'!$I$23-'13'!$K$23)&lt;&gt;SIGN(Tulokset!$G$22-Tulokset!$I$22),0,IF(Tulokset!$G$22=Tulokset!$I$22,IF(AND('13'!$I$23=Tulokset!$G$22,'13'!$K$23=Tulokset!$I$22),6,3),MAX(0,6-(ABS('13'!$I$23-Tulokset!$G$22)+ABS('13'!$K$23-Tulokset!$I$22))))))</f>
        <v/>
      </c>
      <c r="Y16" t="str">
        <f>IF(OR(Tulokset!$G$23="",Tulokset!$I$23="",'13'!$I$24="",'13'!$K$24=""),"",IF(SIGN('13'!$I$24-'13'!$K$24)&lt;&gt;SIGN(Tulokset!$G$23-Tulokset!$I$23),0,IF(Tulokset!$G$23=Tulokset!$I$23,IF(AND('13'!$I$24=Tulokset!$G$23,'13'!$K$24=Tulokset!$I$23),6,3),MAX(0,6-(ABS('13'!$I$24-Tulokset!$G$23)+ABS('13'!$K$24-Tulokset!$I$23))))))</f>
        <v/>
      </c>
      <c r="Z16" t="str">
        <f>IF(OR(Tulokset!$G$24="",Tulokset!$I$24="",'13'!$I$25="",'13'!$K$25=""),"",IF(SIGN('13'!$I$25-'13'!$K$25)&lt;&gt;SIGN(Tulokset!$G$24-Tulokset!$I$24),0,IF(Tulokset!$G$24=Tulokset!$I$24,IF(AND('13'!$I$25=Tulokset!$G$24,'13'!$K$25=Tulokset!$I$24),6,3),MAX(0,6-(ABS('13'!$I$25-Tulokset!$G$24)+ABS('13'!$K$25-Tulokset!$I$24))))))</f>
        <v/>
      </c>
      <c r="AA16" t="str">
        <f>IF(OR(Tulokset!$G$25="",Tulokset!$I$25="",'13'!$I$26="",'13'!$K$26=""),"",IF(SIGN('13'!$I$26-'13'!$K$26)&lt;&gt;SIGN(Tulokset!$G$25-Tulokset!$I$25),0,IF(Tulokset!$G$25=Tulokset!$I$25,IF(AND('13'!$I$26=Tulokset!$G$25,'13'!$K$26=Tulokset!$I$25),6,3),MAX(0,6-(ABS('13'!$I$26-Tulokset!$G$25)+ABS('13'!$K$26-Tulokset!$I$25))))))</f>
        <v/>
      </c>
      <c r="AB16" t="str">
        <f>IF(OR(Tulokset!$G$26="",Tulokset!$I$26="",'13'!$I$27="",'13'!$K$27=""),"",IF(SIGN('13'!$I$27-'13'!$K$27)&lt;&gt;SIGN(Tulokset!$G$26-Tulokset!$I$26),0,IF(Tulokset!$G$26=Tulokset!$I$26,IF(AND('13'!$I$27=Tulokset!$G$26,'13'!$K$27=Tulokset!$I$26),6,3),MAX(0,6-(ABS('13'!$I$27-Tulokset!$G$26)+ABS('13'!$K$27-Tulokset!$I$26))))))</f>
        <v/>
      </c>
      <c r="AC16" t="str">
        <f>IF(OR(Tulokset!$G$27="",Tulokset!$I$27="",'13'!$I$28="",'13'!$K$28=""),"",IF(SIGN('13'!$I$28-'13'!$K$28)&lt;&gt;SIGN(Tulokset!$G$27-Tulokset!$I$27),0,IF(Tulokset!$G$27=Tulokset!$I$27,IF(AND('13'!$I$28=Tulokset!$G$27,'13'!$K$28=Tulokset!$I$27),6,3),MAX(0,6-(ABS('13'!$I$28-Tulokset!$G$27)+ABS('13'!$K$28-Tulokset!$I$27))))))</f>
        <v/>
      </c>
      <c r="AD16" t="str">
        <f>IF(OR(Tulokset!$G$28="",Tulokset!$I$28="",'13'!$I$29="",'13'!$K$29=""),"",IF(SIGN('13'!$I$29-'13'!$K$29)&lt;&gt;SIGN(Tulokset!$G$28-Tulokset!$I$28),0,IF(Tulokset!$G$28=Tulokset!$I$28,IF(AND('13'!$I$29=Tulokset!$G$28,'13'!$K$29=Tulokset!$I$28),6,3),MAX(0,6-(ABS('13'!$I$29-Tulokset!$G$28)+ABS('13'!$K$29-Tulokset!$I$28))))))</f>
        <v/>
      </c>
      <c r="AE16" t="str">
        <f>IF(OR(Tulokset!$G$29="",Tulokset!$I$29="",'13'!$I$30="",'13'!$K$30=""),"",IF(SIGN('13'!$I$30-'13'!$K$30)&lt;&gt;SIGN(Tulokset!$G$29-Tulokset!$I$29),0,IF(Tulokset!$G$29=Tulokset!$I$29,IF(AND('13'!$I$30=Tulokset!$G$29,'13'!$K$30=Tulokset!$I$29),6,3),MAX(0,6-(ABS('13'!$I$30-Tulokset!$G$29)+ABS('13'!$K$30-Tulokset!$I$29))))))</f>
        <v/>
      </c>
      <c r="AF16" t="str">
        <f>IF(OR(Tulokset!$G$30="",Tulokset!$I$30="",'13'!$I$31="",'13'!$K$31=""),"",IF(SIGN('13'!$I$31-'13'!$K$31)&lt;&gt;SIGN(Tulokset!$G$30-Tulokset!$I$30),0,IF(Tulokset!$G$30=Tulokset!$I$30,IF(AND('13'!$I$31=Tulokset!$G$30,'13'!$K$31=Tulokset!$I$30),6,3),MAX(0,6-(ABS('13'!$I$31-Tulokset!$G$30)+ABS('13'!$K$31-Tulokset!$I$30))))))</f>
        <v/>
      </c>
      <c r="AG16" t="str">
        <f>IF(OR(Tulokset!$G$31="",Tulokset!$I$31="",'13'!$I$32="",'13'!$K$32=""),"",IF(SIGN('13'!$I$32-'13'!$K$32)&lt;&gt;SIGN(Tulokset!$G$31-Tulokset!$I$31),0,IF(Tulokset!$G$31=Tulokset!$I$31,IF(AND('13'!$I$32=Tulokset!$G$31,'13'!$K$32=Tulokset!$I$31),6,3),MAX(0,6-(ABS('13'!$I$32-Tulokset!$G$31)+ABS('13'!$K$32-Tulokset!$I$31))))))</f>
        <v/>
      </c>
      <c r="AH16" t="str">
        <f>IF(OR(Tulokset!$G$32="",Tulokset!$I$32="",'13'!$I$33="",'13'!$K$33=""),"",IF(SIGN('13'!$I$33-'13'!$K$33)&lt;&gt;SIGN(Tulokset!$G$32-Tulokset!$I$32),0,IF(Tulokset!$G$32=Tulokset!$I$32,IF(AND('13'!$I$33=Tulokset!$G$32,'13'!$K$33=Tulokset!$I$32),6,3),MAX(0,6-(ABS('13'!$I$33-Tulokset!$G$32)+ABS('13'!$K$33-Tulokset!$I$32))))))</f>
        <v/>
      </c>
      <c r="AI16" t="str">
        <f>IF(OR(Tulokset!$G$33="",Tulokset!$I$33="",'13'!$I$34="",'13'!$K$34=""),"",IF(SIGN('13'!$I$34-'13'!$K$34)&lt;&gt;SIGN(Tulokset!$G$33-Tulokset!$I$33),0,IF(Tulokset!$G$33=Tulokset!$I$33,IF(AND('13'!$I$34=Tulokset!$G$33,'13'!$K$34=Tulokset!$I$33),6,3),MAX(0,6-(ABS('13'!$I$34-Tulokset!$G$33)+ABS('13'!$K$34-Tulokset!$I$33))))))</f>
        <v/>
      </c>
      <c r="AJ16" t="str">
        <f>IF(OR(Tulokset!$G$34="",Tulokset!$I$34="",'13'!$I$35="",'13'!$K$35=""),"",IF(SIGN('13'!$I$35-'13'!$K$35)&lt;&gt;SIGN(Tulokset!$G$34-Tulokset!$I$34),0,IF(Tulokset!$G$34=Tulokset!$I$34,IF(AND('13'!$I$35=Tulokset!$G$34,'13'!$K$35=Tulokset!$I$34),6,3),MAX(0,6-(ABS('13'!$I$35-Tulokset!$G$34)+ABS('13'!$K$35-Tulokset!$I$34))))))</f>
        <v/>
      </c>
      <c r="AK16" t="str">
        <f>IF(OR(Tulokset!$G$35="",Tulokset!$I$35="",'13'!$I$36="",'13'!$K$36=""),"",IF(SIGN('13'!$I$36-'13'!$K$36)&lt;&gt;SIGN(Tulokset!$G$35-Tulokset!$I$35),0,IF(Tulokset!$G$35=Tulokset!$I$35,IF(AND('13'!$I$36=Tulokset!$G$35,'13'!$K$36=Tulokset!$I$35),6,3),MAX(0,6-(ABS('13'!$I$36-Tulokset!$G$35)+ABS('13'!$K$36-Tulokset!$I$35))))))</f>
        <v/>
      </c>
      <c r="AL16" t="str">
        <f>IF(OR(Tulokset!$G$36="",Tulokset!$I$36="",'13'!$I$37="",'13'!$K$37=""),"",IF(SIGN('13'!$I$37-'13'!$K$37)&lt;&gt;SIGN(Tulokset!$G$36-Tulokset!$I$36),0,IF(Tulokset!$G$36=Tulokset!$I$36,IF(AND('13'!$I$37=Tulokset!$G$36,'13'!$K$37=Tulokset!$I$36),6,3),MAX(0,6-(ABS('13'!$I$37-Tulokset!$G$36)+ABS('13'!$K$37-Tulokset!$I$36))))))</f>
        <v/>
      </c>
      <c r="AM16" t="str">
        <f>IF(OR(Tulokset!$G$37="",Tulokset!$I$37="",'13'!$I$38="",'13'!$K$38=""),"",IF(SIGN('13'!$I$38-'13'!$K$38)&lt;&gt;SIGN(Tulokset!$G$37-Tulokset!$I$37),0,IF(Tulokset!$G$37=Tulokset!$I$37,IF(AND('13'!$I$38=Tulokset!$G$37,'13'!$K$38=Tulokset!$I$37),6,3),MAX(0,6-(ABS('13'!$I$38-Tulokset!$G$37)+ABS('13'!$K$38-Tulokset!$I$37))))))</f>
        <v/>
      </c>
      <c r="AN16" t="str">
        <f>IF(OR(Tulokset!$G$38="",Tulokset!$I$38="",'13'!$I$39="",'13'!$K$39=""),"",IF(SIGN('13'!$I$39-'13'!$K$39)&lt;&gt;SIGN(Tulokset!$G$38-Tulokset!$I$38),0,IF(Tulokset!$G$38=Tulokset!$I$38,IF(AND('13'!$I$39=Tulokset!$G$38,'13'!$K$39=Tulokset!$I$38),6,3),MAX(0,6-(ABS('13'!$I$39-Tulokset!$G$38)+ABS('13'!$K$39-Tulokset!$I$38))))))</f>
        <v/>
      </c>
      <c r="AO16" t="str">
        <f>IF(OR(Tulokset!$G$39="",Tulokset!$I$39="",'13'!$I$40="",'13'!$K$40=""),"",IF(SIGN('13'!$I$40-'13'!$K$40)&lt;&gt;SIGN(Tulokset!$G$39-Tulokset!$I$39),0,IF(Tulokset!$G$39=Tulokset!$I$39,IF(AND('13'!$I$40=Tulokset!$G$39,'13'!$K$40=Tulokset!$I$39),6,3),MAX(0,6-(ABS('13'!$I$40-Tulokset!$G$39)+ABS('13'!$K$40-Tulokset!$I$39))))))</f>
        <v/>
      </c>
      <c r="AP16" t="str">
        <f>IF(OR(Tulokset!$G$40="",Tulokset!$I$40="",'13'!$I$41="",'13'!$K$41=""),"",IF(SIGN('13'!$I$41-'13'!$K$41)&lt;&gt;SIGN(Tulokset!$G$40-Tulokset!$I$40),0,IF(Tulokset!$G$40=Tulokset!$I$40,IF(AND('13'!$I$41=Tulokset!$G$40,'13'!$K$41=Tulokset!$I$40),6,3),MAX(0,6-(ABS('13'!$I$41-Tulokset!$G$40)+ABS('13'!$K$41-Tulokset!$I$40))))))</f>
        <v/>
      </c>
      <c r="AQ16" t="str">
        <f>IF(OR(Tulokset!$G$41="",Tulokset!$I$41="",'13'!$I$42="",'13'!$K$42=""),"",IF(SIGN('13'!$I$42-'13'!$K$42)&lt;&gt;SIGN(Tulokset!$G$41-Tulokset!$I$41),0,IF(Tulokset!$G$41=Tulokset!$I$41,IF(AND('13'!$I$42=Tulokset!$G$41,'13'!$K$42=Tulokset!$I$41),6,3),MAX(0,6-(ABS('13'!$I$42-Tulokset!$G$41)+ABS('13'!$K$42-Tulokset!$I$41))))))</f>
        <v/>
      </c>
      <c r="AR16" t="str">
        <f>IF(OR(Tulokset!$G$42="",Tulokset!$I$42="",'13'!$I$43="",'13'!$K$43=""),"",IF(SIGN('13'!$I$43-'13'!$K$43)&lt;&gt;SIGN(Tulokset!$G$42-Tulokset!$I$42),0,IF(Tulokset!$G$42=Tulokset!$I$42,IF(AND('13'!$I$43=Tulokset!$G$42,'13'!$K$43=Tulokset!$I$42),6,3),MAX(0,6-(ABS('13'!$I$43-Tulokset!$G$42)+ABS('13'!$K$43-Tulokset!$I$42))))))</f>
        <v/>
      </c>
      <c r="AS16" t="str">
        <f>IF(OR(Tulokset!$G$43="",Tulokset!$I$43="",'13'!$I$44="",'13'!$K$44=""),"",IF(SIGN('13'!$I$44-'13'!$K$44)&lt;&gt;SIGN(Tulokset!$G$43-Tulokset!$I$43),0,IF(Tulokset!$G$43=Tulokset!$I$43,IF(AND('13'!$I$44=Tulokset!$G$43,'13'!$K$44=Tulokset!$I$43),6,3),MAX(0,6-(ABS('13'!$I$44-Tulokset!$G$43)+ABS('13'!$K$44-Tulokset!$I$43))))))</f>
        <v/>
      </c>
      <c r="AT16" t="str">
        <f>IF(OR(Tulokset!$G$44="",Tulokset!$I$44="",'13'!$I$45="",'13'!$K$45=""),"",IF(SIGN('13'!$I$45-'13'!$K$45)&lt;&gt;SIGN(Tulokset!$G$44-Tulokset!$I$44),0,IF(Tulokset!$G$44=Tulokset!$I$44,IF(AND('13'!$I$45=Tulokset!$G$44,'13'!$K$45=Tulokset!$I$44),6,3),MAX(0,6-(ABS('13'!$I$45-Tulokset!$G$44)+ABS('13'!$K$45-Tulokset!$I$44))))))</f>
        <v/>
      </c>
      <c r="AU16" t="str">
        <f>IF(OR(Tulokset!$G$45="",Tulokset!$I$45="",'13'!$I$46="",'13'!$K$46=""),"",IF(SIGN('13'!$I$46-'13'!$K$46)&lt;&gt;SIGN(Tulokset!$G$45-Tulokset!$I$45),0,IF(Tulokset!$G$45=Tulokset!$I$45,IF(AND('13'!$I$46=Tulokset!$G$45,'13'!$K$46=Tulokset!$I$45),6,3),MAX(0,6-(ABS('13'!$I$46-Tulokset!$G$45)+ABS('13'!$K$46-Tulokset!$I$45))))))</f>
        <v/>
      </c>
      <c r="AV16" t="str">
        <f>IF(OR(Tulokset!$G$46="",Tulokset!$I$46="",'13'!$I$47="",'13'!$K$47=""),"",IF(SIGN('13'!$I$47-'13'!$K$47)&lt;&gt;SIGN(Tulokset!$G$46-Tulokset!$I$46),0,IF(Tulokset!$G$46=Tulokset!$I$46,IF(AND('13'!$I$47=Tulokset!$G$46,'13'!$K$47=Tulokset!$I$46),6,3),MAX(0,6-(ABS('13'!$I$47-Tulokset!$G$46)+ABS('13'!$K$47-Tulokset!$I$46))))))</f>
        <v/>
      </c>
      <c r="AW16" t="str">
        <f>IF(OR(Tulokset!$G$47="",Tulokset!$I$47="",'13'!$I$48="",'13'!$K$48=""),"",IF(SIGN('13'!$I$48-'13'!$K$48)&lt;&gt;SIGN(Tulokset!$G$47-Tulokset!$I$47),0,IF(Tulokset!$G$47=Tulokset!$I$47,IF(AND('13'!$I$48=Tulokset!$G$47,'13'!$K$48=Tulokset!$I$47),6,3),MAX(0,6-(ABS('13'!$I$48-Tulokset!$G$47)+ABS('13'!$K$48-Tulokset!$I$47))))))</f>
        <v/>
      </c>
      <c r="AX16" t="str">
        <f>IF(OR(Tulokset!$G$48="",Tulokset!$I$48="",'13'!$I$49="",'13'!$K$49=""),"",IF(SIGN('13'!$I$49-'13'!$K$49)&lt;&gt;SIGN(Tulokset!$G$48-Tulokset!$I$48),0,IF(Tulokset!$G$48=Tulokset!$I$48,IF(AND('13'!$I$49=Tulokset!$G$48,'13'!$K$49=Tulokset!$I$48),6,3),MAX(0,6-(ABS('13'!$I$49-Tulokset!$G$48)+ABS('13'!$K$49-Tulokset!$I$48))))))</f>
        <v/>
      </c>
      <c r="AY16" t="str">
        <f>IF(OR(Tulokset!$G$49="",Tulokset!$I$49="",'13'!$I$50="",'13'!$K$50=""),"",IF(SIGN('13'!$I$50-'13'!$K$50)&lt;&gt;SIGN(Tulokset!$G$49-Tulokset!$I$49),0,IF(Tulokset!$G$49=Tulokset!$I$49,IF(AND('13'!$I$50=Tulokset!$G$49,'13'!$K$50=Tulokset!$I$49),6,3),MAX(0,6-(ABS('13'!$I$50-Tulokset!$G$49)+ABS('13'!$K$50-Tulokset!$I$49))))))</f>
        <v/>
      </c>
      <c r="AZ16" t="str">
        <f>IF(OR(Tulokset!$G$50="",Tulokset!$I$50="",'13'!$I$51="",'13'!$K$51=""),"",IF(SIGN('13'!$I$51-'13'!$K$51)&lt;&gt;SIGN(Tulokset!$G$50-Tulokset!$I$50),0,IF(Tulokset!$G$50=Tulokset!$I$50,IF(AND('13'!$I$51=Tulokset!$G$50,'13'!$K$51=Tulokset!$I$50),6,3),MAX(0,6-(ABS('13'!$I$51-Tulokset!$G$50)+ABS('13'!$K$51-Tulokset!$I$50))))))</f>
        <v/>
      </c>
      <c r="BA16" t="str">
        <f>IF(OR(Tulokset!$G$51="",Tulokset!$I$51="",'13'!$I$52="",'13'!$K$52=""),"",IF(SIGN('13'!$I$52-'13'!$K$52)&lt;&gt;SIGN(Tulokset!$G$51-Tulokset!$I$51),0,IF(Tulokset!$G$51=Tulokset!$I$51,IF(AND('13'!$I$52=Tulokset!$G$51,'13'!$K$52=Tulokset!$I$51),6,3),MAX(0,6-(ABS('13'!$I$52-Tulokset!$G$51)+ABS('13'!$K$52-Tulokset!$I$51))))))</f>
        <v/>
      </c>
      <c r="BB16" t="str">
        <f>IF(OR(Tulokset!$G$52="",Tulokset!$I$52="",'13'!$I$53="",'13'!$K$53=""),"",IF(SIGN('13'!$I$53-'13'!$K$53)&lt;&gt;SIGN(Tulokset!$G$52-Tulokset!$I$52),0,IF(Tulokset!$G$52=Tulokset!$I$52,IF(AND('13'!$I$53=Tulokset!$G$52,'13'!$K$53=Tulokset!$I$52),6,3),MAX(0,6-(ABS('13'!$I$53-Tulokset!$G$52)+ABS('13'!$K$53-Tulokset!$I$52))))))</f>
        <v/>
      </c>
      <c r="BC16" t="str">
        <f>IF(OR(Tulokset!$G$53="",Tulokset!$I$53="",'13'!$I$54="",'13'!$K$54=""),"",IF(SIGN('13'!$I$54-'13'!$K$54)&lt;&gt;SIGN(Tulokset!$G$53-Tulokset!$I$53),0,IF(Tulokset!$G$53=Tulokset!$I$53,IF(AND('13'!$I$54=Tulokset!$G$53,'13'!$K$54=Tulokset!$I$53),6,3),MAX(0,6-(ABS('13'!$I$54-Tulokset!$G$53)+ABS('13'!$K$54-Tulokset!$I$53))))))</f>
        <v/>
      </c>
      <c r="BD16" t="str">
        <f>IF(OR(Tulokset!$G$54="",Tulokset!$I$54="",'13'!$I$55="",'13'!$K$55=""),"",IF(SIGN('13'!$I$55-'13'!$K$55)&lt;&gt;SIGN(Tulokset!$G$54-Tulokset!$I$54),0,IF(Tulokset!$G$54=Tulokset!$I$54,IF(AND('13'!$I$55=Tulokset!$G$54,'13'!$K$55=Tulokset!$I$54),6,3),MAX(0,6-(ABS('13'!$I$55-Tulokset!$G$54)+ABS('13'!$K$55-Tulokset!$I$54))))))</f>
        <v/>
      </c>
      <c r="BE16" t="str">
        <f>IF(OR(Tulokset!$G$55="",Tulokset!$I$55="",'13'!$I$56="",'13'!$K$56=""),"",IF(SIGN('13'!$I$56-'13'!$K$56)&lt;&gt;SIGN(Tulokset!$G$55-Tulokset!$I$55),0,IF(Tulokset!$G$55=Tulokset!$I$55,IF(AND('13'!$I$56=Tulokset!$G$55,'13'!$K$56=Tulokset!$I$55),6,3),MAX(0,6-(ABS('13'!$I$56-Tulokset!$G$55)+ABS('13'!$K$56-Tulokset!$I$55))))))</f>
        <v/>
      </c>
      <c r="BF16" t="str">
        <f>IF(OR(Tulokset!$G$56="",Tulokset!$I$56="",'13'!$I$57="",'13'!$K$57=""),"",IF(SIGN('13'!$I$57-'13'!$K$57)&lt;&gt;SIGN(Tulokset!$G$56-Tulokset!$I$56),0,IF(Tulokset!$G$56=Tulokset!$I$56,IF(AND('13'!$I$57=Tulokset!$G$56,'13'!$K$57=Tulokset!$I$56),6,3),MAX(0,6-(ABS('13'!$I$57-Tulokset!$G$56)+ABS('13'!$K$57-Tulokset!$I$56))))))</f>
        <v/>
      </c>
      <c r="BG16" t="str">
        <f>IF(OR(Tulokset!$G$57="",Tulokset!$I$57="",'13'!$I$58="",'13'!$K$58=""),"",IF(SIGN('13'!$I$58-'13'!$K$58)&lt;&gt;SIGN(Tulokset!$G$57-Tulokset!$I$57),0,IF(Tulokset!$G$57=Tulokset!$I$57,IF(AND('13'!$I$58=Tulokset!$G$57,'13'!$K$58=Tulokset!$I$57),6,3),MAX(0,6-(ABS('13'!$I$58-Tulokset!$G$57)+ABS('13'!$K$58-Tulokset!$I$57))))))</f>
        <v/>
      </c>
      <c r="BH16" t="str">
        <f>IF(OR(Tulokset!$G$58="",Tulokset!$I$58="",'13'!$I$59="",'13'!$K$59=""),"",IF(SIGN('13'!$I$59-'13'!$K$59)&lt;&gt;SIGN(Tulokset!$G$58-Tulokset!$I$58),0,IF(Tulokset!$G$58=Tulokset!$I$58,IF(AND('13'!$I$59=Tulokset!$G$58,'13'!$K$59=Tulokset!$I$58),6,3),MAX(0,6-(ABS('13'!$I$59-Tulokset!$G$58)+ABS('13'!$K$59-Tulokset!$I$58))))))</f>
        <v/>
      </c>
      <c r="BI16" t="str">
        <f>IF(OR(Tulokset!$G$59="",Tulokset!$I$59="",'13'!$I$60="",'13'!$K$60=""),"",IF(SIGN('13'!$I$60-'13'!$K$60)&lt;&gt;SIGN(Tulokset!$G$59-Tulokset!$I$59),0,IF(Tulokset!$G$59=Tulokset!$I$59,IF(AND('13'!$I$60=Tulokset!$G$59,'13'!$K$60=Tulokset!$I$59),6,3),MAX(0,6-(ABS('13'!$I$60-Tulokset!$G$59)+ABS('13'!$K$60-Tulokset!$I$59))))))</f>
        <v/>
      </c>
      <c r="BJ16" t="str">
        <f>IF(OR(Tulokset!$G$60="",Tulokset!$I$60="",'13'!$I$61="",'13'!$K$61=""),"",IF(SIGN('13'!$I$61-'13'!$K$61)&lt;&gt;SIGN(Tulokset!$G$60-Tulokset!$I$60),0,IF(Tulokset!$G$60=Tulokset!$I$60,IF(AND('13'!$I$61=Tulokset!$G$60,'13'!$K$61=Tulokset!$I$60),6,3),MAX(0,6-(ABS('13'!$I$61-Tulokset!$G$60)+ABS('13'!$K$61-Tulokset!$I$60))))))</f>
        <v/>
      </c>
      <c r="BK16" t="str">
        <f>IF(OR(Tulokset!$G$61="",Tulokset!$I$61="",'13'!$I$62="",'13'!$K$62=""),"",IF(SIGN('13'!$I$62-'13'!$K$62)&lt;&gt;SIGN(Tulokset!$G$61-Tulokset!$I$61),0,IF(Tulokset!$G$61=Tulokset!$I$61,IF(AND('13'!$I$62=Tulokset!$G$61,'13'!$K$62=Tulokset!$I$61),6,3),MAX(0,6-(ABS('13'!$I$62-Tulokset!$G$61)+ABS('13'!$K$62-Tulokset!$I$61))))))</f>
        <v/>
      </c>
      <c r="BL16" t="str">
        <f>IF(OR(Tulokset!$G$62="",Tulokset!$I$62="",'13'!$I$63="",'13'!$K$63=""),"",IF(SIGN('13'!$I$63-'13'!$K$63)&lt;&gt;SIGN(Tulokset!$G$62-Tulokset!$I$62),0,IF(Tulokset!$G$62=Tulokset!$I$62,IF(AND('13'!$I$63=Tulokset!$G$62,'13'!$K$63=Tulokset!$I$62),6,3),MAX(0,6-(ABS('13'!$I$63-Tulokset!$G$62)+ABS('13'!$K$63-Tulokset!$I$62))))))</f>
        <v/>
      </c>
      <c r="BM16" t="str">
        <f>IF(OR(Tulokset!$G$63="",Tulokset!$I$63="",'13'!$I$64="",'13'!$K$64=""),"",IF(SIGN('13'!$I$64-'13'!$K$64)&lt;&gt;SIGN(Tulokset!$G$63-Tulokset!$I$63),0,IF(Tulokset!$G$63=Tulokset!$I$63,IF(AND('13'!$I$64=Tulokset!$G$63,'13'!$K$64=Tulokset!$I$63),6,3),MAX(0,6-(ABS('13'!$I$64-Tulokset!$G$63)+ABS('13'!$K$64-Tulokset!$I$63))))))</f>
        <v/>
      </c>
      <c r="BN16" t="str">
        <f>IF(OR(Tulokset!$G$64="",Tulokset!$I$64="",'13'!$I$65="",'13'!$K$65=""),"",IF(SIGN('13'!$I$65-'13'!$K$65)&lt;&gt;SIGN(Tulokset!$G$64-Tulokset!$I$64),0,IF(Tulokset!$G$64=Tulokset!$I$64,IF(AND('13'!$I$65=Tulokset!$G$64,'13'!$K$65=Tulokset!$I$64),6,3),MAX(0,6-(ABS('13'!$I$65-Tulokset!$G$64)+ABS('13'!$K$65-Tulokset!$I$64))))))</f>
        <v/>
      </c>
      <c r="BO16" t="str">
        <f>IF(OR(Tulokset!$G$65="",Tulokset!$I$65="",'13'!$I$66="",'13'!$K$66=""),"",IF(SIGN('13'!$I$66-'13'!$K$66)&lt;&gt;SIGN(Tulokset!$G$65-Tulokset!$I$65),0,IF(Tulokset!$G$65=Tulokset!$I$65,IF(AND('13'!$I$66=Tulokset!$G$65,'13'!$K$66=Tulokset!$I$65),6,3),MAX(0,6-(ABS('13'!$I$66-Tulokset!$G$65)+ABS('13'!$K$66-Tulokset!$I$65))))))</f>
        <v/>
      </c>
      <c r="BP16" t="str">
        <f>IF(OR(Tulokset!$G$66="",Tulokset!$I$66="",'13'!$I$67="",'13'!$K$67=""),"",IF(SIGN('13'!$I$67-'13'!$K$67)&lt;&gt;SIGN(Tulokset!$G$66-Tulokset!$I$66),0,IF(Tulokset!$G$66=Tulokset!$I$66,IF(AND('13'!$I$67=Tulokset!$G$66,'13'!$K$67=Tulokset!$I$66),6,3),MAX(0,6-(ABS('13'!$I$67-Tulokset!$G$66)+ABS('13'!$K$67-Tulokset!$I$66))))))</f>
        <v/>
      </c>
      <c r="BQ16" t="str">
        <f>IF(OR(Tulokset!$G$67="",Tulokset!$I$67="",'13'!$I$68="",'13'!$K$68=""),"",IF(SIGN('13'!$I$68-'13'!$K$68)&lt;&gt;SIGN(Tulokset!$G$67-Tulokset!$I$67),0,IF(Tulokset!$G$67=Tulokset!$I$67,IF(AND('13'!$I$68=Tulokset!$G$67,'13'!$K$68=Tulokset!$I$67),6,3),MAX(0,6-(ABS('13'!$I$68-Tulokset!$G$67)+ABS('13'!$K$68-Tulokset!$I$67))))))</f>
        <v/>
      </c>
      <c r="BR16" t="str">
        <f>IF(OR(Tulokset!$G$68="",Tulokset!$I$68="",'13'!$I$69="",'13'!$K$69=""),"",IF(SIGN('13'!$I$69-'13'!$K$69)&lt;&gt;SIGN(Tulokset!$G$68-Tulokset!$I$68),0,IF(Tulokset!$G$68=Tulokset!$I$68,IF(AND('13'!$I$69=Tulokset!$G$68,'13'!$K$69=Tulokset!$I$68),6,3),MAX(0,6-(ABS('13'!$I$69-Tulokset!$G$68)+ABS('13'!$K$69-Tulokset!$I$68))))))</f>
        <v/>
      </c>
      <c r="BS16" t="str">
        <f>IF(OR(Tulokset!$G$69="",Tulokset!$I$69="",'13'!$I$70="",'13'!$K$70=""),"",IF(SIGN('13'!$I$70-'13'!$K$70)&lt;&gt;SIGN(Tulokset!$G$69-Tulokset!$I$69),0,IF(Tulokset!$G$69=Tulokset!$I$69,IF(AND('13'!$I$70=Tulokset!$G$69,'13'!$K$70=Tulokset!$I$69),6,3),MAX(0,6-(ABS('13'!$I$70-Tulokset!$G$69)+ABS('13'!$K$70-Tulokset!$I$69))))))</f>
        <v/>
      </c>
      <c r="BT16" t="str">
        <f>IF(OR(Tulokset!$G$70="",Tulokset!$I$70="",'13'!$I$71="",'13'!$K$71=""),"",IF(SIGN('13'!$I$71-'13'!$K$71)&lt;&gt;SIGN(Tulokset!$G$70-Tulokset!$I$70),0,IF(Tulokset!$G$70=Tulokset!$I$70,IF(AND('13'!$I$71=Tulokset!$G$70,'13'!$K$71=Tulokset!$I$70),6,3),MAX(0,6-(ABS('13'!$I$71-Tulokset!$G$70)+ABS('13'!$K$71-Tulokset!$I$70))))))</f>
        <v/>
      </c>
      <c r="BU16" t="str">
        <f>IF(OR(Tulokset!$G$71="",Tulokset!$I$71="",'13'!$I$72="",'13'!$K$72=""),"",IF(SIGN('13'!$I$72-'13'!$K$72)&lt;&gt;SIGN(Tulokset!$G$71-Tulokset!$I$71),0,IF(Tulokset!$G$71=Tulokset!$I$71,IF(AND('13'!$I$72=Tulokset!$G$71,'13'!$K$72=Tulokset!$I$71),6,3),MAX(0,6-(ABS('13'!$I$72-Tulokset!$G$71)+ABS('13'!$K$72-Tulokset!$I$71))))))</f>
        <v/>
      </c>
      <c r="BV16" t="str">
        <f>IF(OR(Tulokset!$G$72="",Tulokset!$I$72="",'13'!$I$73="",'13'!$K$73=""),"",IF(SIGN('13'!$I$73-'13'!$K$73)&lt;&gt;SIGN(Tulokset!$G$72-Tulokset!$I$72),0,IF(Tulokset!$G$72=Tulokset!$I$72,IF(AND('13'!$I$73=Tulokset!$G$72,'13'!$K$73=Tulokset!$I$72),6,3),MAX(0,6-(ABS('13'!$I$73-Tulokset!$G$72)+ABS('13'!$K$73-Tulokset!$I$72))))))</f>
        <v/>
      </c>
      <c r="BW16" t="str">
        <f>IF(OR(Tulokset!$G$73="",Tulokset!$I$73="",'13'!$I$74="",'13'!$K$74=""),"",IF(SIGN('13'!$I$74-'13'!$K$74)&lt;&gt;SIGN(Tulokset!$G$73-Tulokset!$I$73),0,IF(Tulokset!$G$73=Tulokset!$I$73,IF(AND('13'!$I$74=Tulokset!$G$73,'13'!$K$74=Tulokset!$I$73),6,3),MAX(0,6-(ABS('13'!$I$74-Tulokset!$G$73)+ABS('13'!$K$74-Tulokset!$I$73))))))</f>
        <v/>
      </c>
      <c r="BX16" t="str">
        <f>IF(OR(Tulokset!$G$74="",Tulokset!$I$74="",'13'!$I$75="",'13'!$K$75=""),"",IF(SIGN('13'!$I$75-'13'!$K$75)&lt;&gt;SIGN(Tulokset!$G$74-Tulokset!$I$74),0,IF(Tulokset!$G$74=Tulokset!$I$74,IF(AND('13'!$I$75=Tulokset!$G$74,'13'!$K$75=Tulokset!$I$74),6,3),MAX(0,6-(ABS('13'!$I$75-Tulokset!$G$74)+ABS('13'!$K$75-Tulokset!$I$74))))))</f>
        <v/>
      </c>
      <c r="BY16" t="str">
        <f>IF(OR(Tulokset!$G$75="",Tulokset!$I$75="",'13'!$I$76="",'13'!$K$76=""),"",IF(SIGN('13'!$I$76-'13'!$K$76)&lt;&gt;SIGN(Tulokset!$G$75-Tulokset!$I$75),0,IF(Tulokset!$G$75=Tulokset!$I$75,IF(AND('13'!$I$76=Tulokset!$G$75,'13'!$K$76=Tulokset!$I$75),6,3),MAX(0,6-(ABS('13'!$I$76-Tulokset!$G$75)+ABS('13'!$K$76-Tulokset!$I$75))))))</f>
        <v/>
      </c>
      <c r="BZ16" t="str">
        <f>IF(OR(Tulokset!$G$76="",Tulokset!$I$76="",'13'!$I$77="",'13'!$K$77=""),"",IF(SIGN('13'!$I$77-'13'!$K$77)&lt;&gt;SIGN(Tulokset!$G$76-Tulokset!$I$76),0,IF(Tulokset!$G$76=Tulokset!$I$76,IF(AND('13'!$I$77=Tulokset!$G$76,'13'!$K$77=Tulokset!$I$76),6,3),MAX(0,6-(ABS('13'!$I$77-Tulokset!$G$76)+ABS('13'!$K$77-Tulokset!$I$76))))))</f>
        <v/>
      </c>
      <c r="CA16" t="str">
        <f>IF(OR(Tulokset!$G$77="",Tulokset!$I$77="",'13'!$I$78="",'13'!$K$78=""),"",IF(SIGN('13'!$I$78-'13'!$K$78)&lt;&gt;SIGN(Tulokset!$G$77-Tulokset!$I$77),0,IF(Tulokset!$G$77=Tulokset!$I$77,IF(AND('13'!$I$78=Tulokset!$G$77,'13'!$K$78=Tulokset!$I$77),6,3),MAX(0,6-(ABS('13'!$I$78-Tulokset!$G$77)+ABS('13'!$K$78-Tulokset!$I$77))))))</f>
        <v/>
      </c>
      <c r="CD16" t="str">
        <f ca="1">IF(OR(Tulokset!$M$6="",INDIRECT("'"&amp;$A16&amp;"'!$P$8")=""),"",IF(TRIM(INDIRECT("'"&amp;$A16&amp;"'!$P$8"))=TRIM(Tulokset!$M$6),2,0))</f>
        <v/>
      </c>
      <c r="CE16" t="str">
        <f ca="1">IF(OR(Tulokset!$M$7="",INDIRECT("'"&amp;$A16&amp;"'!$P$9")=""),"",IF(TRIM(INDIRECT("'"&amp;$A16&amp;"'!$P$9"))=TRIM(Tulokset!$M$7),2,0))</f>
        <v/>
      </c>
      <c r="CF16" t="str">
        <f ca="1">IF(OR(Tulokset!$M$8="",INDIRECT("'"&amp;$A16&amp;"'!$P$10")=""),"",IF(TRIM(INDIRECT("'"&amp;$A16&amp;"'!$P$10"))=TRIM(Tulokset!$M$8),2,0))</f>
        <v/>
      </c>
      <c r="CG16" t="str">
        <f ca="1">IF(OR(Tulokset!$M$9="",INDIRECT("'"&amp;$A16&amp;"'!$P$11")=""),"",IF(TRIM(INDIRECT("'"&amp;$A16&amp;"'!$P$11"))=TRIM(Tulokset!$M$9),2,0))</f>
        <v/>
      </c>
      <c r="CH16" t="str">
        <f ca="1">IF(OR(Tulokset!$N$6="",INDIRECT("'"&amp;$A16&amp;"'!$Q$8")=""),"",IF(TRIM(INDIRECT("'"&amp;$A16&amp;"'!$Q$8"))=TRIM(Tulokset!$N$6),2,0))</f>
        <v/>
      </c>
      <c r="CI16" t="str">
        <f ca="1">IF(OR(Tulokset!$N$7="",INDIRECT("'"&amp;$A16&amp;"'!$Q$9")=""),"",IF(TRIM(INDIRECT("'"&amp;$A16&amp;"'!$Q$9"))=TRIM(Tulokset!$N$7),2,0))</f>
        <v/>
      </c>
      <c r="CJ16" t="str">
        <f ca="1">IF(OR(Tulokset!$N$8="",INDIRECT("'"&amp;$A16&amp;"'!$Q$10")=""),"",IF(TRIM(INDIRECT("'"&amp;$A16&amp;"'!$Q$10"))=TRIM(Tulokset!$N$8),2,0))</f>
        <v/>
      </c>
      <c r="CK16" t="str">
        <f ca="1">IF(OR(Tulokset!$N$9="",INDIRECT("'"&amp;$A16&amp;"'!$Q$11")=""),"",IF(TRIM(INDIRECT("'"&amp;$A16&amp;"'!$Q$11"))=TRIM(Tulokset!$N$9),2,0))</f>
        <v/>
      </c>
      <c r="CL16" t="str">
        <f ca="1">IF(OR(Tulokset!$O$6="",INDIRECT("'"&amp;$A16&amp;"'!$R$8")=""),"",IF(TRIM(INDIRECT("'"&amp;$A16&amp;"'!$R$8"))=TRIM(Tulokset!$O$6),2,0))</f>
        <v/>
      </c>
      <c r="CM16" t="str">
        <f ca="1">IF(OR(Tulokset!$O$7="",INDIRECT("'"&amp;$A16&amp;"'!$R$9")=""),"",IF(TRIM(INDIRECT("'"&amp;$A16&amp;"'!$R$9"))=TRIM(Tulokset!$O$7),2,0))</f>
        <v/>
      </c>
      <c r="CN16" t="str">
        <f ca="1">IF(OR(Tulokset!$O$8="",INDIRECT("'"&amp;$A16&amp;"'!$R$10")=""),"",IF(TRIM(INDIRECT("'"&amp;$A16&amp;"'!$R$10"))=TRIM(Tulokset!$O$8),2,0))</f>
        <v/>
      </c>
      <c r="CO16" t="str">
        <f ca="1">IF(OR(Tulokset!$O$9="",INDIRECT("'"&amp;$A16&amp;"'!$R$11")=""),"",IF(TRIM(INDIRECT("'"&amp;$A16&amp;"'!$R$11"))=TRIM(Tulokset!$O$9),2,0))</f>
        <v/>
      </c>
      <c r="CP16" t="str">
        <f ca="1">IF(OR(Tulokset!$P$6="",INDIRECT("'"&amp;$A16&amp;"'!$S$8")=""),"",IF(TRIM(INDIRECT("'"&amp;$A16&amp;"'!$S$8"))=TRIM(Tulokset!$P$6),2,0))</f>
        <v/>
      </c>
      <c r="CQ16" t="str">
        <f ca="1">IF(OR(Tulokset!$P$7="",INDIRECT("'"&amp;$A16&amp;"'!$S$9")=""),"",IF(TRIM(INDIRECT("'"&amp;$A16&amp;"'!$S$9"))=TRIM(Tulokset!$P$7),2,0))</f>
        <v/>
      </c>
      <c r="CR16" t="str">
        <f ca="1">IF(OR(Tulokset!$P$8="",INDIRECT("'"&amp;$A16&amp;"'!$S$10")=""),"",IF(TRIM(INDIRECT("'"&amp;$A16&amp;"'!$S$10"))=TRIM(Tulokset!$P$8),2,0))</f>
        <v/>
      </c>
      <c r="CS16" t="str">
        <f ca="1">IF(OR(Tulokset!$P$9="",INDIRECT("'"&amp;$A16&amp;"'!$S$11")=""),"",IF(TRIM(INDIRECT("'"&amp;$A16&amp;"'!$S$11"))=TRIM(Tulokset!$P$9),2,0))</f>
        <v/>
      </c>
      <c r="CT16" t="str">
        <f ca="1">IF(OR(Tulokset!$Q$6="",INDIRECT("'"&amp;$A16&amp;"'!$T$8")=""),"",IF(TRIM(INDIRECT("'"&amp;$A16&amp;"'!$T$8"))=TRIM(Tulokset!$Q$6),2,0))</f>
        <v/>
      </c>
      <c r="CU16" t="str">
        <f ca="1">IF(OR(Tulokset!$Q$7="",INDIRECT("'"&amp;$A16&amp;"'!$T$9")=""),"",IF(TRIM(INDIRECT("'"&amp;$A16&amp;"'!$T$9"))=TRIM(Tulokset!$Q$7),2,0))</f>
        <v/>
      </c>
      <c r="CV16" t="str">
        <f ca="1">IF(OR(Tulokset!$Q$8="",INDIRECT("'"&amp;$A16&amp;"'!$T$10")=""),"",IF(TRIM(INDIRECT("'"&amp;$A16&amp;"'!$T$10"))=TRIM(Tulokset!$Q$8),2,0))</f>
        <v/>
      </c>
      <c r="CW16" t="str">
        <f ca="1">IF(OR(Tulokset!$Q$9="",INDIRECT("'"&amp;$A16&amp;"'!$T$11")=""),"",IF(TRIM(INDIRECT("'"&amp;$A16&amp;"'!$T$11"))=TRIM(Tulokset!$Q$9),2,0))</f>
        <v/>
      </c>
      <c r="CX16" t="str">
        <f ca="1">IF(OR(Tulokset!$R$6="",INDIRECT("'"&amp;$A16&amp;"'!$U$8")=""),"",IF(TRIM(INDIRECT("'"&amp;$A16&amp;"'!$U$8"))=TRIM(Tulokset!$R$6),2,0))</f>
        <v/>
      </c>
      <c r="CY16" t="str">
        <f ca="1">IF(OR(Tulokset!$R$7="",INDIRECT("'"&amp;$A16&amp;"'!$U$9")=""),"",IF(TRIM(INDIRECT("'"&amp;$A16&amp;"'!$U$9"))=TRIM(Tulokset!$R$7),2,0))</f>
        <v/>
      </c>
      <c r="CZ16" t="str">
        <f ca="1">IF(OR(Tulokset!$R$8="",INDIRECT("'"&amp;$A16&amp;"'!$U$10")=""),"",IF(TRIM(INDIRECT("'"&amp;$A16&amp;"'!$U$10"))=TRIM(Tulokset!$R$8),2,0))</f>
        <v/>
      </c>
      <c r="DA16" t="str">
        <f ca="1">IF(OR(Tulokset!$R$9="",INDIRECT("'"&amp;$A16&amp;"'!$U$11")=""),"",IF(TRIM(INDIRECT("'"&amp;$A16&amp;"'!$U$11"))=TRIM(Tulokset!$R$9),2,0))</f>
        <v/>
      </c>
      <c r="DB16" t="str">
        <f ca="1">IF(OR(Tulokset!$M$12="",INDIRECT("'"&amp;$A16&amp;"'!$P$14")=""),"",IF(TRIM(INDIRECT("'"&amp;$A16&amp;"'!$P$14"))=TRIM(Tulokset!$M$12),2,0))</f>
        <v/>
      </c>
      <c r="DC16" t="str">
        <f ca="1">IF(OR(Tulokset!$M$13="",INDIRECT("'"&amp;$A16&amp;"'!$P$15")=""),"",IF(TRIM(INDIRECT("'"&amp;$A16&amp;"'!$P$15"))=TRIM(Tulokset!$M$13),2,0))</f>
        <v/>
      </c>
      <c r="DD16" t="str">
        <f ca="1">IF(OR(Tulokset!$M$14="",INDIRECT("'"&amp;$A16&amp;"'!$P$16")=""),"",IF(TRIM(INDIRECT("'"&amp;$A16&amp;"'!$P$16"))=TRIM(Tulokset!$M$14),2,0))</f>
        <v/>
      </c>
      <c r="DE16" t="str">
        <f ca="1">IF(OR(Tulokset!$M$15="",INDIRECT("'"&amp;$A16&amp;"'!$P$17")=""),"",IF(TRIM(INDIRECT("'"&amp;$A16&amp;"'!$P$17"))=TRIM(Tulokset!$M$15),2,0))</f>
        <v/>
      </c>
      <c r="DF16" t="str">
        <f ca="1">IF(OR(Tulokset!$N$12="",INDIRECT("'"&amp;$A16&amp;"'!$Q$14")=""),"",IF(TRIM(INDIRECT("'"&amp;$A16&amp;"'!$Q$14"))=TRIM(Tulokset!$N$12),2,0))</f>
        <v/>
      </c>
      <c r="DG16" t="str">
        <f ca="1">IF(OR(Tulokset!$N$13="",INDIRECT("'"&amp;$A16&amp;"'!$Q$15")=""),"",IF(TRIM(INDIRECT("'"&amp;$A16&amp;"'!$Q$15"))=TRIM(Tulokset!$N$13),2,0))</f>
        <v/>
      </c>
      <c r="DH16" t="str">
        <f ca="1">IF(OR(Tulokset!$N$14="",INDIRECT("'"&amp;$A16&amp;"'!$Q$16")=""),"",IF(TRIM(INDIRECT("'"&amp;$A16&amp;"'!$Q$16"))=TRIM(Tulokset!$N$14),2,0))</f>
        <v/>
      </c>
      <c r="DI16" t="str">
        <f ca="1">IF(OR(Tulokset!$N$15="",INDIRECT("'"&amp;$A16&amp;"'!$Q$17")=""),"",IF(TRIM(INDIRECT("'"&amp;$A16&amp;"'!$Q$17"))=TRIM(Tulokset!$N$15),2,0))</f>
        <v/>
      </c>
      <c r="DJ16" t="str">
        <f ca="1">IF(OR(Tulokset!$O$12="",INDIRECT("'"&amp;$A16&amp;"'!$R$14")=""),"",IF(TRIM(INDIRECT("'"&amp;$A16&amp;"'!$R$14"))=TRIM(Tulokset!$O$12),2,0))</f>
        <v/>
      </c>
      <c r="DK16" t="str">
        <f ca="1">IF(OR(Tulokset!$O$13="",INDIRECT("'"&amp;$A16&amp;"'!$R$15")=""),"",IF(TRIM(INDIRECT("'"&amp;$A16&amp;"'!$R$15"))=TRIM(Tulokset!$O$13),2,0))</f>
        <v/>
      </c>
      <c r="DL16" t="str">
        <f ca="1">IF(OR(Tulokset!$O$14="",INDIRECT("'"&amp;$A16&amp;"'!$R$16")=""),"",IF(TRIM(INDIRECT("'"&amp;$A16&amp;"'!$R$16"))=TRIM(Tulokset!$O$14),2,0))</f>
        <v/>
      </c>
      <c r="DM16" t="str">
        <f ca="1">IF(OR(Tulokset!$O$15="",INDIRECT("'"&amp;$A16&amp;"'!$R$17")=""),"",IF(TRIM(INDIRECT("'"&amp;$A16&amp;"'!$R$17"))=TRIM(Tulokset!$O$15),2,0))</f>
        <v/>
      </c>
      <c r="DN16" t="str">
        <f ca="1">IF(OR(Tulokset!$P$12="",INDIRECT("'"&amp;$A16&amp;"'!$S$14")=""),"",IF(TRIM(INDIRECT("'"&amp;$A16&amp;"'!$S$14"))=TRIM(Tulokset!$P$12),2,0))</f>
        <v/>
      </c>
      <c r="DO16" t="str">
        <f ca="1">IF(OR(Tulokset!$P$13="",INDIRECT("'"&amp;$A16&amp;"'!$S$15")=""),"",IF(TRIM(INDIRECT("'"&amp;$A16&amp;"'!$S$15"))=TRIM(Tulokset!$P$13),2,0))</f>
        <v/>
      </c>
      <c r="DP16" t="str">
        <f ca="1">IF(OR(Tulokset!$P$14="",INDIRECT("'"&amp;$A16&amp;"'!$S$16")=""),"",IF(TRIM(INDIRECT("'"&amp;$A16&amp;"'!$S$16"))=TRIM(Tulokset!$P$14),2,0))</f>
        <v/>
      </c>
      <c r="DQ16" t="str">
        <f ca="1">IF(OR(Tulokset!$P$15="",INDIRECT("'"&amp;$A16&amp;"'!$S$17")=""),"",IF(TRIM(INDIRECT("'"&amp;$A16&amp;"'!$S$17"))=TRIM(Tulokset!$P$15),2,0))</f>
        <v/>
      </c>
      <c r="DR16" t="str">
        <f ca="1">IF(OR(Tulokset!$Q$12="",INDIRECT("'"&amp;$A16&amp;"'!$T$14")=""),"",IF(TRIM(INDIRECT("'"&amp;$A16&amp;"'!$T$14"))=TRIM(Tulokset!$Q$12),2,0))</f>
        <v/>
      </c>
      <c r="DS16" t="str">
        <f ca="1">IF(OR(Tulokset!$Q$13="",INDIRECT("'"&amp;$A16&amp;"'!$T$15")=""),"",IF(TRIM(INDIRECT("'"&amp;$A16&amp;"'!$T$15"))=TRIM(Tulokset!$Q$13),2,0))</f>
        <v/>
      </c>
      <c r="DT16" t="str">
        <f ca="1">IF(OR(Tulokset!$Q$14="",INDIRECT("'"&amp;$A16&amp;"'!$T$16")=""),"",IF(TRIM(INDIRECT("'"&amp;$A16&amp;"'!$T$16"))=TRIM(Tulokset!$Q$14),2,0))</f>
        <v/>
      </c>
      <c r="DU16" t="str">
        <f ca="1">IF(OR(Tulokset!$Q$15="",INDIRECT("'"&amp;$A16&amp;"'!$T$17")=""),"",IF(TRIM(INDIRECT("'"&amp;$A16&amp;"'!$T$17"))=TRIM(Tulokset!$Q$15),2,0))</f>
        <v/>
      </c>
      <c r="DV16" t="str">
        <f ca="1">IF(OR(Tulokset!$R$12="",INDIRECT("'"&amp;$A16&amp;"'!$U$14")=""),"",IF(TRIM(INDIRECT("'"&amp;$A16&amp;"'!$U$14"))=TRIM(Tulokset!$R$12),2,0))</f>
        <v/>
      </c>
      <c r="DW16" t="str">
        <f ca="1">IF(OR(Tulokset!$R$13="",INDIRECT("'"&amp;$A16&amp;"'!$U$15")=""),"",IF(TRIM(INDIRECT("'"&amp;$A16&amp;"'!$U$15"))=TRIM(Tulokset!$R$13),2,0))</f>
        <v/>
      </c>
      <c r="DX16" t="str">
        <f ca="1">IF(OR(Tulokset!$R$14="",INDIRECT("'"&amp;$A16&amp;"'!$U$16")=""),"",IF(TRIM(INDIRECT("'"&amp;$A16&amp;"'!$U$16"))=TRIM(Tulokset!$R$14),2,0))</f>
        <v/>
      </c>
      <c r="DY16" t="str">
        <f ca="1">IF(OR(Tulokset!$R$15="",INDIRECT("'"&amp;$A16&amp;"'!$U$17")=""),"",IF(TRIM(INDIRECT("'"&amp;$A16&amp;"'!$U$17"))=TRIM(Tulokset!$R$15),2,0))</f>
        <v/>
      </c>
      <c r="EA16" t="str">
        <f ca="1">IF(OR(INDIRECT("'"&amp;$A16&amp;"'!$E$79")="",COUNTA(Tulokset!$M$20:$M$21)=0),"",IF(COUNTIF(Tulokset!$M$20:$M$21,INDIRECT("'"&amp;$A16&amp;"'!$E$79"))&gt;0,2,0))</f>
        <v/>
      </c>
      <c r="EB16" t="str">
        <f ca="1">IF(OR(INDIRECT("'"&amp;$A16&amp;"'!$G$79")="",COUNTA(Tulokset!$M$20:$M$21)=0),"",IF(COUNTIF(Tulokset!$M$20:$M$21,INDIRECT("'"&amp;$A16&amp;"'!$G$79"))&gt;0,2,0))</f>
        <v/>
      </c>
      <c r="EC16" t="str">
        <f ca="1">IF(OR(INDIRECT("'"&amp;$A16&amp;"'!$E$80")="",COUNTA(Tulokset!$M$23:$M$24)=0),"",IF(COUNTIF(Tulokset!$M$23:$M$24,INDIRECT("'"&amp;$A16&amp;"'!$E$80"))&gt;0,2,0))</f>
        <v/>
      </c>
      <c r="ED16" t="str">
        <f ca="1">IF(OR(INDIRECT("'"&amp;$A16&amp;"'!$G$80")="",COUNTA(Tulokset!$M$23:$M$24)=0),"",IF(COUNTIF(Tulokset!$M$23:$M$24,INDIRECT("'"&amp;$A16&amp;"'!$G$80"))&gt;0,2,0))</f>
        <v/>
      </c>
    </row>
    <row r="17" spans="1:134">
      <c r="A17" t="s">
        <v>232</v>
      </c>
      <c r="B17" t="str">
        <f t="shared" ca="1" si="0"/>
        <v>Eski66</v>
      </c>
      <c r="C17" s="95">
        <f t="shared" si="1"/>
        <v>0</v>
      </c>
      <c r="D17" s="95">
        <f t="shared" ca="1" si="2"/>
        <v>0</v>
      </c>
      <c r="E17" s="95">
        <f t="shared" ca="1" si="3"/>
        <v>0</v>
      </c>
      <c r="F17" s="95">
        <f t="shared" ca="1" si="4"/>
        <v>0</v>
      </c>
      <c r="G17" s="95">
        <f t="shared" si="5"/>
        <v>0</v>
      </c>
      <c r="H17" t="str">
        <f>IF(OR(Tulokset!$G$6="",Tulokset!$I$6="",'14'!$I$7="",'14'!$K$7=""),"",IF(SIGN('14'!$I$7-'14'!$K$7)&lt;&gt;SIGN(Tulokset!$G$6-Tulokset!$I$6),0,IF(Tulokset!$G$6=Tulokset!$I$6,IF(AND('14'!$I$7=Tulokset!$G$6,'14'!$K$7=Tulokset!$I$6),6,3),MAX(0,6-(ABS('14'!$I$7-Tulokset!$G$6)+ABS('14'!$K$7-Tulokset!$I$6))))))</f>
        <v/>
      </c>
      <c r="I17" t="str">
        <f>IF(OR(Tulokset!$G$7="",Tulokset!$I$7="",'14'!$I$8="",'14'!$K$8=""),"",IF(SIGN('14'!$I$8-'14'!$K$8)&lt;&gt;SIGN(Tulokset!$G$7-Tulokset!$I$7),0,IF(Tulokset!$G$7=Tulokset!$I$7,IF(AND('14'!$I$8=Tulokset!$G$7,'14'!$K$8=Tulokset!$I$7),6,3),MAX(0,6-(ABS('14'!$I$8-Tulokset!$G$7)+ABS('14'!$K$8-Tulokset!$I$7))))))</f>
        <v/>
      </c>
      <c r="J17" t="str">
        <f>IF(OR(Tulokset!$G$8="",Tulokset!$I$8="",'14'!$I$9="",'14'!$K$9=""),"",IF(SIGN('14'!$I$9-'14'!$K$9)&lt;&gt;SIGN(Tulokset!$G$8-Tulokset!$I$8),0,IF(Tulokset!$G$8=Tulokset!$I$8,IF(AND('14'!$I$9=Tulokset!$G$8,'14'!$K$9=Tulokset!$I$8),6,3),MAX(0,6-(ABS('14'!$I$9-Tulokset!$G$8)+ABS('14'!$K$9-Tulokset!$I$8))))))</f>
        <v/>
      </c>
      <c r="K17" t="str">
        <f>IF(OR(Tulokset!$G$9="",Tulokset!$I$9="",'14'!$I$10="",'14'!$K$10=""),"",IF(SIGN('14'!$I$10-'14'!$K$10)&lt;&gt;SIGN(Tulokset!$G$9-Tulokset!$I$9),0,IF(Tulokset!$G$9=Tulokset!$I$9,IF(AND('14'!$I$10=Tulokset!$G$9,'14'!$K$10=Tulokset!$I$9),6,3),MAX(0,6-(ABS('14'!$I$10-Tulokset!$G$9)+ABS('14'!$K$10-Tulokset!$I$9))))))</f>
        <v/>
      </c>
      <c r="L17" t="str">
        <f>IF(OR(Tulokset!$G$10="",Tulokset!$I$10="",'14'!$I$11="",'14'!$K$11=""),"",IF(SIGN('14'!$I$11-'14'!$K$11)&lt;&gt;SIGN(Tulokset!$G$10-Tulokset!$I$10),0,IF(Tulokset!$G$10=Tulokset!$I$10,IF(AND('14'!$I$11=Tulokset!$G$10,'14'!$K$11=Tulokset!$I$10),6,3),MAX(0,6-(ABS('14'!$I$11-Tulokset!$G$10)+ABS('14'!$K$11-Tulokset!$I$10))))))</f>
        <v/>
      </c>
      <c r="M17" t="str">
        <f>IF(OR(Tulokset!$G$11="",Tulokset!$I$11="",'14'!$I$12="",'14'!$K$12=""),"",IF(SIGN('14'!$I$12-'14'!$K$12)&lt;&gt;SIGN(Tulokset!$G$11-Tulokset!$I$11),0,IF(Tulokset!$G$11=Tulokset!$I$11,IF(AND('14'!$I$12=Tulokset!$G$11,'14'!$K$12=Tulokset!$I$11),6,3),MAX(0,6-(ABS('14'!$I$12-Tulokset!$G$11)+ABS('14'!$K$12-Tulokset!$I$11))))))</f>
        <v/>
      </c>
      <c r="N17" t="str">
        <f>IF(OR(Tulokset!$G$12="",Tulokset!$I$12="",'14'!$I$13="",'14'!$K$13=""),"",IF(SIGN('14'!$I$13-'14'!$K$13)&lt;&gt;SIGN(Tulokset!$G$12-Tulokset!$I$12),0,IF(Tulokset!$G$12=Tulokset!$I$12,IF(AND('14'!$I$13=Tulokset!$G$12,'14'!$K$13=Tulokset!$I$12),6,3),MAX(0,6-(ABS('14'!$I$13-Tulokset!$G$12)+ABS('14'!$K$13-Tulokset!$I$12))))))</f>
        <v/>
      </c>
      <c r="O17" t="str">
        <f>IF(OR(Tulokset!$G$13="",Tulokset!$I$13="",'14'!$I$14="",'14'!$K$14=""),"",IF(SIGN('14'!$I$14-'14'!$K$14)&lt;&gt;SIGN(Tulokset!$G$13-Tulokset!$I$13),0,IF(Tulokset!$G$13=Tulokset!$I$13,IF(AND('14'!$I$14=Tulokset!$G$13,'14'!$K$14=Tulokset!$I$13),6,3),MAX(0,6-(ABS('14'!$I$14-Tulokset!$G$13)+ABS('14'!$K$14-Tulokset!$I$13))))))</f>
        <v/>
      </c>
      <c r="P17" t="str">
        <f>IF(OR(Tulokset!$G$14="",Tulokset!$I$14="",'14'!$I$15="",'14'!$K$15=""),"",IF(SIGN('14'!$I$15-'14'!$K$15)&lt;&gt;SIGN(Tulokset!$G$14-Tulokset!$I$14),0,IF(Tulokset!$G$14=Tulokset!$I$14,IF(AND('14'!$I$15=Tulokset!$G$14,'14'!$K$15=Tulokset!$I$14),6,3),MAX(0,6-(ABS('14'!$I$15-Tulokset!$G$14)+ABS('14'!$K$15-Tulokset!$I$14))))))</f>
        <v/>
      </c>
      <c r="Q17" t="str">
        <f>IF(OR(Tulokset!$G$15="",Tulokset!$I$15="",'14'!$I$16="",'14'!$K$16=""),"",IF(SIGN('14'!$I$16-'14'!$K$16)&lt;&gt;SIGN(Tulokset!$G$15-Tulokset!$I$15),0,IF(Tulokset!$G$15=Tulokset!$I$15,IF(AND('14'!$I$16=Tulokset!$G$15,'14'!$K$16=Tulokset!$I$15),6,3),MAX(0,6-(ABS('14'!$I$16-Tulokset!$G$15)+ABS('14'!$K$16-Tulokset!$I$15))))))</f>
        <v/>
      </c>
      <c r="R17" t="str">
        <f>IF(OR(Tulokset!$G$16="",Tulokset!$I$16="",'14'!$I$17="",'14'!$K$17=""),"",IF(SIGN('14'!$I$17-'14'!$K$17)&lt;&gt;SIGN(Tulokset!$G$16-Tulokset!$I$16),0,IF(Tulokset!$G$16=Tulokset!$I$16,IF(AND('14'!$I$17=Tulokset!$G$16,'14'!$K$17=Tulokset!$I$16),6,3),MAX(0,6-(ABS('14'!$I$17-Tulokset!$G$16)+ABS('14'!$K$17-Tulokset!$I$16))))))</f>
        <v/>
      </c>
      <c r="S17" t="str">
        <f>IF(OR(Tulokset!$G$17="",Tulokset!$I$17="",'14'!$I$18="",'14'!$K$18=""),"",IF(SIGN('14'!$I$18-'14'!$K$18)&lt;&gt;SIGN(Tulokset!$G$17-Tulokset!$I$17),0,IF(Tulokset!$G$17=Tulokset!$I$17,IF(AND('14'!$I$18=Tulokset!$G$17,'14'!$K$18=Tulokset!$I$17),6,3),MAX(0,6-(ABS('14'!$I$18-Tulokset!$G$17)+ABS('14'!$K$18-Tulokset!$I$17))))))</f>
        <v/>
      </c>
      <c r="T17" t="str">
        <f>IF(OR(Tulokset!$G$18="",Tulokset!$I$18="",'14'!$I$19="",'14'!$K$19=""),"",IF(SIGN('14'!$I$19-'14'!$K$19)&lt;&gt;SIGN(Tulokset!$G$18-Tulokset!$I$18),0,IF(Tulokset!$G$18=Tulokset!$I$18,IF(AND('14'!$I$19=Tulokset!$G$18,'14'!$K$19=Tulokset!$I$18),6,3),MAX(0,6-(ABS('14'!$I$19-Tulokset!$G$18)+ABS('14'!$K$19-Tulokset!$I$18))))))</f>
        <v/>
      </c>
      <c r="U17" t="str">
        <f>IF(OR(Tulokset!$G$19="",Tulokset!$I$19="",'14'!$I$20="",'14'!$K$20=""),"",IF(SIGN('14'!$I$20-'14'!$K$20)&lt;&gt;SIGN(Tulokset!$G$19-Tulokset!$I$19),0,IF(Tulokset!$G$19=Tulokset!$I$19,IF(AND('14'!$I$20=Tulokset!$G$19,'14'!$K$20=Tulokset!$I$19),6,3),MAX(0,6-(ABS('14'!$I$20-Tulokset!$G$19)+ABS('14'!$K$20-Tulokset!$I$19))))))</f>
        <v/>
      </c>
      <c r="V17" t="str">
        <f>IF(OR(Tulokset!$G$20="",Tulokset!$I$20="",'14'!$I$21="",'14'!$K$21=""),"",IF(SIGN('14'!$I$21-'14'!$K$21)&lt;&gt;SIGN(Tulokset!$G$20-Tulokset!$I$20),0,IF(Tulokset!$G$20=Tulokset!$I$20,IF(AND('14'!$I$21=Tulokset!$G$20,'14'!$K$21=Tulokset!$I$20),6,3),MAX(0,6-(ABS('14'!$I$21-Tulokset!$G$20)+ABS('14'!$K$21-Tulokset!$I$20))))))</f>
        <v/>
      </c>
      <c r="W17" t="str">
        <f>IF(OR(Tulokset!$G$21="",Tulokset!$I$21="",'14'!$I$22="",'14'!$K$22=""),"",IF(SIGN('14'!$I$22-'14'!$K$22)&lt;&gt;SIGN(Tulokset!$G$21-Tulokset!$I$21),0,IF(Tulokset!$G$21=Tulokset!$I$21,IF(AND('14'!$I$22=Tulokset!$G$21,'14'!$K$22=Tulokset!$I$21),6,3),MAX(0,6-(ABS('14'!$I$22-Tulokset!$G$21)+ABS('14'!$K$22-Tulokset!$I$21))))))</f>
        <v/>
      </c>
      <c r="X17" t="str">
        <f>IF(OR(Tulokset!$G$22="",Tulokset!$I$22="",'14'!$I$23="",'14'!$K$23=""),"",IF(SIGN('14'!$I$23-'14'!$K$23)&lt;&gt;SIGN(Tulokset!$G$22-Tulokset!$I$22),0,IF(Tulokset!$G$22=Tulokset!$I$22,IF(AND('14'!$I$23=Tulokset!$G$22,'14'!$K$23=Tulokset!$I$22),6,3),MAX(0,6-(ABS('14'!$I$23-Tulokset!$G$22)+ABS('14'!$K$23-Tulokset!$I$22))))))</f>
        <v/>
      </c>
      <c r="Y17" t="str">
        <f>IF(OR(Tulokset!$G$23="",Tulokset!$I$23="",'14'!$I$24="",'14'!$K$24=""),"",IF(SIGN('14'!$I$24-'14'!$K$24)&lt;&gt;SIGN(Tulokset!$G$23-Tulokset!$I$23),0,IF(Tulokset!$G$23=Tulokset!$I$23,IF(AND('14'!$I$24=Tulokset!$G$23,'14'!$K$24=Tulokset!$I$23),6,3),MAX(0,6-(ABS('14'!$I$24-Tulokset!$G$23)+ABS('14'!$K$24-Tulokset!$I$23))))))</f>
        <v/>
      </c>
      <c r="Z17" t="str">
        <f>IF(OR(Tulokset!$G$24="",Tulokset!$I$24="",'14'!$I$25="",'14'!$K$25=""),"",IF(SIGN('14'!$I$25-'14'!$K$25)&lt;&gt;SIGN(Tulokset!$G$24-Tulokset!$I$24),0,IF(Tulokset!$G$24=Tulokset!$I$24,IF(AND('14'!$I$25=Tulokset!$G$24,'14'!$K$25=Tulokset!$I$24),6,3),MAX(0,6-(ABS('14'!$I$25-Tulokset!$G$24)+ABS('14'!$K$25-Tulokset!$I$24))))))</f>
        <v/>
      </c>
      <c r="AA17" t="str">
        <f>IF(OR(Tulokset!$G$25="",Tulokset!$I$25="",'14'!$I$26="",'14'!$K$26=""),"",IF(SIGN('14'!$I$26-'14'!$K$26)&lt;&gt;SIGN(Tulokset!$G$25-Tulokset!$I$25),0,IF(Tulokset!$G$25=Tulokset!$I$25,IF(AND('14'!$I$26=Tulokset!$G$25,'14'!$K$26=Tulokset!$I$25),6,3),MAX(0,6-(ABS('14'!$I$26-Tulokset!$G$25)+ABS('14'!$K$26-Tulokset!$I$25))))))</f>
        <v/>
      </c>
      <c r="AB17" t="str">
        <f>IF(OR(Tulokset!$G$26="",Tulokset!$I$26="",'14'!$I$27="",'14'!$K$27=""),"",IF(SIGN('14'!$I$27-'14'!$K$27)&lt;&gt;SIGN(Tulokset!$G$26-Tulokset!$I$26),0,IF(Tulokset!$G$26=Tulokset!$I$26,IF(AND('14'!$I$27=Tulokset!$G$26,'14'!$K$27=Tulokset!$I$26),6,3),MAX(0,6-(ABS('14'!$I$27-Tulokset!$G$26)+ABS('14'!$K$27-Tulokset!$I$26))))))</f>
        <v/>
      </c>
      <c r="AC17" t="str">
        <f>IF(OR(Tulokset!$G$27="",Tulokset!$I$27="",'14'!$I$28="",'14'!$K$28=""),"",IF(SIGN('14'!$I$28-'14'!$K$28)&lt;&gt;SIGN(Tulokset!$G$27-Tulokset!$I$27),0,IF(Tulokset!$G$27=Tulokset!$I$27,IF(AND('14'!$I$28=Tulokset!$G$27,'14'!$K$28=Tulokset!$I$27),6,3),MAX(0,6-(ABS('14'!$I$28-Tulokset!$G$27)+ABS('14'!$K$28-Tulokset!$I$27))))))</f>
        <v/>
      </c>
      <c r="AD17" t="str">
        <f>IF(OR(Tulokset!$G$28="",Tulokset!$I$28="",'14'!$I$29="",'14'!$K$29=""),"",IF(SIGN('14'!$I$29-'14'!$K$29)&lt;&gt;SIGN(Tulokset!$G$28-Tulokset!$I$28),0,IF(Tulokset!$G$28=Tulokset!$I$28,IF(AND('14'!$I$29=Tulokset!$G$28,'14'!$K$29=Tulokset!$I$28),6,3),MAX(0,6-(ABS('14'!$I$29-Tulokset!$G$28)+ABS('14'!$K$29-Tulokset!$I$28))))))</f>
        <v/>
      </c>
      <c r="AE17" t="str">
        <f>IF(OR(Tulokset!$G$29="",Tulokset!$I$29="",'14'!$I$30="",'14'!$K$30=""),"",IF(SIGN('14'!$I$30-'14'!$K$30)&lt;&gt;SIGN(Tulokset!$G$29-Tulokset!$I$29),0,IF(Tulokset!$G$29=Tulokset!$I$29,IF(AND('14'!$I$30=Tulokset!$G$29,'14'!$K$30=Tulokset!$I$29),6,3),MAX(0,6-(ABS('14'!$I$30-Tulokset!$G$29)+ABS('14'!$K$30-Tulokset!$I$29))))))</f>
        <v/>
      </c>
      <c r="AF17" t="str">
        <f>IF(OR(Tulokset!$G$30="",Tulokset!$I$30="",'14'!$I$31="",'14'!$K$31=""),"",IF(SIGN('14'!$I$31-'14'!$K$31)&lt;&gt;SIGN(Tulokset!$G$30-Tulokset!$I$30),0,IF(Tulokset!$G$30=Tulokset!$I$30,IF(AND('14'!$I$31=Tulokset!$G$30,'14'!$K$31=Tulokset!$I$30),6,3),MAX(0,6-(ABS('14'!$I$31-Tulokset!$G$30)+ABS('14'!$K$31-Tulokset!$I$30))))))</f>
        <v/>
      </c>
      <c r="AG17" t="str">
        <f>IF(OR(Tulokset!$G$31="",Tulokset!$I$31="",'14'!$I$32="",'14'!$K$32=""),"",IF(SIGN('14'!$I$32-'14'!$K$32)&lt;&gt;SIGN(Tulokset!$G$31-Tulokset!$I$31),0,IF(Tulokset!$G$31=Tulokset!$I$31,IF(AND('14'!$I$32=Tulokset!$G$31,'14'!$K$32=Tulokset!$I$31),6,3),MAX(0,6-(ABS('14'!$I$32-Tulokset!$G$31)+ABS('14'!$K$32-Tulokset!$I$31))))))</f>
        <v/>
      </c>
      <c r="AH17" t="str">
        <f>IF(OR(Tulokset!$G$32="",Tulokset!$I$32="",'14'!$I$33="",'14'!$K$33=""),"",IF(SIGN('14'!$I$33-'14'!$K$33)&lt;&gt;SIGN(Tulokset!$G$32-Tulokset!$I$32),0,IF(Tulokset!$G$32=Tulokset!$I$32,IF(AND('14'!$I$33=Tulokset!$G$32,'14'!$K$33=Tulokset!$I$32),6,3),MAX(0,6-(ABS('14'!$I$33-Tulokset!$G$32)+ABS('14'!$K$33-Tulokset!$I$32))))))</f>
        <v/>
      </c>
      <c r="AI17" t="str">
        <f>IF(OR(Tulokset!$G$33="",Tulokset!$I$33="",'14'!$I$34="",'14'!$K$34=""),"",IF(SIGN('14'!$I$34-'14'!$K$34)&lt;&gt;SIGN(Tulokset!$G$33-Tulokset!$I$33),0,IF(Tulokset!$G$33=Tulokset!$I$33,IF(AND('14'!$I$34=Tulokset!$G$33,'14'!$K$34=Tulokset!$I$33),6,3),MAX(0,6-(ABS('14'!$I$34-Tulokset!$G$33)+ABS('14'!$K$34-Tulokset!$I$33))))))</f>
        <v/>
      </c>
      <c r="AJ17" t="str">
        <f>IF(OR(Tulokset!$G$34="",Tulokset!$I$34="",'14'!$I$35="",'14'!$K$35=""),"",IF(SIGN('14'!$I$35-'14'!$K$35)&lt;&gt;SIGN(Tulokset!$G$34-Tulokset!$I$34),0,IF(Tulokset!$G$34=Tulokset!$I$34,IF(AND('14'!$I$35=Tulokset!$G$34,'14'!$K$35=Tulokset!$I$34),6,3),MAX(0,6-(ABS('14'!$I$35-Tulokset!$G$34)+ABS('14'!$K$35-Tulokset!$I$34))))))</f>
        <v/>
      </c>
      <c r="AK17" t="str">
        <f>IF(OR(Tulokset!$G$35="",Tulokset!$I$35="",'14'!$I$36="",'14'!$K$36=""),"",IF(SIGN('14'!$I$36-'14'!$K$36)&lt;&gt;SIGN(Tulokset!$G$35-Tulokset!$I$35),0,IF(Tulokset!$G$35=Tulokset!$I$35,IF(AND('14'!$I$36=Tulokset!$G$35,'14'!$K$36=Tulokset!$I$35),6,3),MAX(0,6-(ABS('14'!$I$36-Tulokset!$G$35)+ABS('14'!$K$36-Tulokset!$I$35))))))</f>
        <v/>
      </c>
      <c r="AL17" t="str">
        <f>IF(OR(Tulokset!$G$36="",Tulokset!$I$36="",'14'!$I$37="",'14'!$K$37=""),"",IF(SIGN('14'!$I$37-'14'!$K$37)&lt;&gt;SIGN(Tulokset!$G$36-Tulokset!$I$36),0,IF(Tulokset!$G$36=Tulokset!$I$36,IF(AND('14'!$I$37=Tulokset!$G$36,'14'!$K$37=Tulokset!$I$36),6,3),MAX(0,6-(ABS('14'!$I$37-Tulokset!$G$36)+ABS('14'!$K$37-Tulokset!$I$36))))))</f>
        <v/>
      </c>
      <c r="AM17" t="str">
        <f>IF(OR(Tulokset!$G$37="",Tulokset!$I$37="",'14'!$I$38="",'14'!$K$38=""),"",IF(SIGN('14'!$I$38-'14'!$K$38)&lt;&gt;SIGN(Tulokset!$G$37-Tulokset!$I$37),0,IF(Tulokset!$G$37=Tulokset!$I$37,IF(AND('14'!$I$38=Tulokset!$G$37,'14'!$K$38=Tulokset!$I$37),6,3),MAX(0,6-(ABS('14'!$I$38-Tulokset!$G$37)+ABS('14'!$K$38-Tulokset!$I$37))))))</f>
        <v/>
      </c>
      <c r="AN17" t="str">
        <f>IF(OR(Tulokset!$G$38="",Tulokset!$I$38="",'14'!$I$39="",'14'!$K$39=""),"",IF(SIGN('14'!$I$39-'14'!$K$39)&lt;&gt;SIGN(Tulokset!$G$38-Tulokset!$I$38),0,IF(Tulokset!$G$38=Tulokset!$I$38,IF(AND('14'!$I$39=Tulokset!$G$38,'14'!$K$39=Tulokset!$I$38),6,3),MAX(0,6-(ABS('14'!$I$39-Tulokset!$G$38)+ABS('14'!$K$39-Tulokset!$I$38))))))</f>
        <v/>
      </c>
      <c r="AO17" t="str">
        <f>IF(OR(Tulokset!$G$39="",Tulokset!$I$39="",'14'!$I$40="",'14'!$K$40=""),"",IF(SIGN('14'!$I$40-'14'!$K$40)&lt;&gt;SIGN(Tulokset!$G$39-Tulokset!$I$39),0,IF(Tulokset!$G$39=Tulokset!$I$39,IF(AND('14'!$I$40=Tulokset!$G$39,'14'!$K$40=Tulokset!$I$39),6,3),MAX(0,6-(ABS('14'!$I$40-Tulokset!$G$39)+ABS('14'!$K$40-Tulokset!$I$39))))))</f>
        <v/>
      </c>
      <c r="AP17" t="str">
        <f>IF(OR(Tulokset!$G$40="",Tulokset!$I$40="",'14'!$I$41="",'14'!$K$41=""),"",IF(SIGN('14'!$I$41-'14'!$K$41)&lt;&gt;SIGN(Tulokset!$G$40-Tulokset!$I$40),0,IF(Tulokset!$G$40=Tulokset!$I$40,IF(AND('14'!$I$41=Tulokset!$G$40,'14'!$K$41=Tulokset!$I$40),6,3),MAX(0,6-(ABS('14'!$I$41-Tulokset!$G$40)+ABS('14'!$K$41-Tulokset!$I$40))))))</f>
        <v/>
      </c>
      <c r="AQ17" t="str">
        <f>IF(OR(Tulokset!$G$41="",Tulokset!$I$41="",'14'!$I$42="",'14'!$K$42=""),"",IF(SIGN('14'!$I$42-'14'!$K$42)&lt;&gt;SIGN(Tulokset!$G$41-Tulokset!$I$41),0,IF(Tulokset!$G$41=Tulokset!$I$41,IF(AND('14'!$I$42=Tulokset!$G$41,'14'!$K$42=Tulokset!$I$41),6,3),MAX(0,6-(ABS('14'!$I$42-Tulokset!$G$41)+ABS('14'!$K$42-Tulokset!$I$41))))))</f>
        <v/>
      </c>
      <c r="AR17" t="str">
        <f>IF(OR(Tulokset!$G$42="",Tulokset!$I$42="",'14'!$I$43="",'14'!$K$43=""),"",IF(SIGN('14'!$I$43-'14'!$K$43)&lt;&gt;SIGN(Tulokset!$G$42-Tulokset!$I$42),0,IF(Tulokset!$G$42=Tulokset!$I$42,IF(AND('14'!$I$43=Tulokset!$G$42,'14'!$K$43=Tulokset!$I$42),6,3),MAX(0,6-(ABS('14'!$I$43-Tulokset!$G$42)+ABS('14'!$K$43-Tulokset!$I$42))))))</f>
        <v/>
      </c>
      <c r="AS17" t="str">
        <f>IF(OR(Tulokset!$G$43="",Tulokset!$I$43="",'14'!$I$44="",'14'!$K$44=""),"",IF(SIGN('14'!$I$44-'14'!$K$44)&lt;&gt;SIGN(Tulokset!$G$43-Tulokset!$I$43),0,IF(Tulokset!$G$43=Tulokset!$I$43,IF(AND('14'!$I$44=Tulokset!$G$43,'14'!$K$44=Tulokset!$I$43),6,3),MAX(0,6-(ABS('14'!$I$44-Tulokset!$G$43)+ABS('14'!$K$44-Tulokset!$I$43))))))</f>
        <v/>
      </c>
      <c r="AT17" t="str">
        <f>IF(OR(Tulokset!$G$44="",Tulokset!$I$44="",'14'!$I$45="",'14'!$K$45=""),"",IF(SIGN('14'!$I$45-'14'!$K$45)&lt;&gt;SIGN(Tulokset!$G$44-Tulokset!$I$44),0,IF(Tulokset!$G$44=Tulokset!$I$44,IF(AND('14'!$I$45=Tulokset!$G$44,'14'!$K$45=Tulokset!$I$44),6,3),MAX(0,6-(ABS('14'!$I$45-Tulokset!$G$44)+ABS('14'!$K$45-Tulokset!$I$44))))))</f>
        <v/>
      </c>
      <c r="AU17" t="str">
        <f>IF(OR(Tulokset!$G$45="",Tulokset!$I$45="",'14'!$I$46="",'14'!$K$46=""),"",IF(SIGN('14'!$I$46-'14'!$K$46)&lt;&gt;SIGN(Tulokset!$G$45-Tulokset!$I$45),0,IF(Tulokset!$G$45=Tulokset!$I$45,IF(AND('14'!$I$46=Tulokset!$G$45,'14'!$K$46=Tulokset!$I$45),6,3),MAX(0,6-(ABS('14'!$I$46-Tulokset!$G$45)+ABS('14'!$K$46-Tulokset!$I$45))))))</f>
        <v/>
      </c>
      <c r="AV17" t="str">
        <f>IF(OR(Tulokset!$G$46="",Tulokset!$I$46="",'14'!$I$47="",'14'!$K$47=""),"",IF(SIGN('14'!$I$47-'14'!$K$47)&lt;&gt;SIGN(Tulokset!$G$46-Tulokset!$I$46),0,IF(Tulokset!$G$46=Tulokset!$I$46,IF(AND('14'!$I$47=Tulokset!$G$46,'14'!$K$47=Tulokset!$I$46),6,3),MAX(0,6-(ABS('14'!$I$47-Tulokset!$G$46)+ABS('14'!$K$47-Tulokset!$I$46))))))</f>
        <v/>
      </c>
      <c r="AW17" t="str">
        <f>IF(OR(Tulokset!$G$47="",Tulokset!$I$47="",'14'!$I$48="",'14'!$K$48=""),"",IF(SIGN('14'!$I$48-'14'!$K$48)&lt;&gt;SIGN(Tulokset!$G$47-Tulokset!$I$47),0,IF(Tulokset!$G$47=Tulokset!$I$47,IF(AND('14'!$I$48=Tulokset!$G$47,'14'!$K$48=Tulokset!$I$47),6,3),MAX(0,6-(ABS('14'!$I$48-Tulokset!$G$47)+ABS('14'!$K$48-Tulokset!$I$47))))))</f>
        <v/>
      </c>
      <c r="AX17" t="str">
        <f>IF(OR(Tulokset!$G$48="",Tulokset!$I$48="",'14'!$I$49="",'14'!$K$49=""),"",IF(SIGN('14'!$I$49-'14'!$K$49)&lt;&gt;SIGN(Tulokset!$G$48-Tulokset!$I$48),0,IF(Tulokset!$G$48=Tulokset!$I$48,IF(AND('14'!$I$49=Tulokset!$G$48,'14'!$K$49=Tulokset!$I$48),6,3),MAX(0,6-(ABS('14'!$I$49-Tulokset!$G$48)+ABS('14'!$K$49-Tulokset!$I$48))))))</f>
        <v/>
      </c>
      <c r="AY17" t="str">
        <f>IF(OR(Tulokset!$G$49="",Tulokset!$I$49="",'14'!$I$50="",'14'!$K$50=""),"",IF(SIGN('14'!$I$50-'14'!$K$50)&lt;&gt;SIGN(Tulokset!$G$49-Tulokset!$I$49),0,IF(Tulokset!$G$49=Tulokset!$I$49,IF(AND('14'!$I$50=Tulokset!$G$49,'14'!$K$50=Tulokset!$I$49),6,3),MAX(0,6-(ABS('14'!$I$50-Tulokset!$G$49)+ABS('14'!$K$50-Tulokset!$I$49))))))</f>
        <v/>
      </c>
      <c r="AZ17" t="str">
        <f>IF(OR(Tulokset!$G$50="",Tulokset!$I$50="",'14'!$I$51="",'14'!$K$51=""),"",IF(SIGN('14'!$I$51-'14'!$K$51)&lt;&gt;SIGN(Tulokset!$G$50-Tulokset!$I$50),0,IF(Tulokset!$G$50=Tulokset!$I$50,IF(AND('14'!$I$51=Tulokset!$G$50,'14'!$K$51=Tulokset!$I$50),6,3),MAX(0,6-(ABS('14'!$I$51-Tulokset!$G$50)+ABS('14'!$K$51-Tulokset!$I$50))))))</f>
        <v/>
      </c>
      <c r="BA17" t="str">
        <f>IF(OR(Tulokset!$G$51="",Tulokset!$I$51="",'14'!$I$52="",'14'!$K$52=""),"",IF(SIGN('14'!$I$52-'14'!$K$52)&lt;&gt;SIGN(Tulokset!$G$51-Tulokset!$I$51),0,IF(Tulokset!$G$51=Tulokset!$I$51,IF(AND('14'!$I$52=Tulokset!$G$51,'14'!$K$52=Tulokset!$I$51),6,3),MAX(0,6-(ABS('14'!$I$52-Tulokset!$G$51)+ABS('14'!$K$52-Tulokset!$I$51))))))</f>
        <v/>
      </c>
      <c r="BB17" t="str">
        <f>IF(OR(Tulokset!$G$52="",Tulokset!$I$52="",'14'!$I$53="",'14'!$K$53=""),"",IF(SIGN('14'!$I$53-'14'!$K$53)&lt;&gt;SIGN(Tulokset!$G$52-Tulokset!$I$52),0,IF(Tulokset!$G$52=Tulokset!$I$52,IF(AND('14'!$I$53=Tulokset!$G$52,'14'!$K$53=Tulokset!$I$52),6,3),MAX(0,6-(ABS('14'!$I$53-Tulokset!$G$52)+ABS('14'!$K$53-Tulokset!$I$52))))))</f>
        <v/>
      </c>
      <c r="BC17" t="str">
        <f>IF(OR(Tulokset!$G$53="",Tulokset!$I$53="",'14'!$I$54="",'14'!$K$54=""),"",IF(SIGN('14'!$I$54-'14'!$K$54)&lt;&gt;SIGN(Tulokset!$G$53-Tulokset!$I$53),0,IF(Tulokset!$G$53=Tulokset!$I$53,IF(AND('14'!$I$54=Tulokset!$G$53,'14'!$K$54=Tulokset!$I$53),6,3),MAX(0,6-(ABS('14'!$I$54-Tulokset!$G$53)+ABS('14'!$K$54-Tulokset!$I$53))))))</f>
        <v/>
      </c>
      <c r="BD17" t="str">
        <f>IF(OR(Tulokset!$G$54="",Tulokset!$I$54="",'14'!$I$55="",'14'!$K$55=""),"",IF(SIGN('14'!$I$55-'14'!$K$55)&lt;&gt;SIGN(Tulokset!$G$54-Tulokset!$I$54),0,IF(Tulokset!$G$54=Tulokset!$I$54,IF(AND('14'!$I$55=Tulokset!$G$54,'14'!$K$55=Tulokset!$I$54),6,3),MAX(0,6-(ABS('14'!$I$55-Tulokset!$G$54)+ABS('14'!$K$55-Tulokset!$I$54))))))</f>
        <v/>
      </c>
      <c r="BE17" t="str">
        <f>IF(OR(Tulokset!$G$55="",Tulokset!$I$55="",'14'!$I$56="",'14'!$K$56=""),"",IF(SIGN('14'!$I$56-'14'!$K$56)&lt;&gt;SIGN(Tulokset!$G$55-Tulokset!$I$55),0,IF(Tulokset!$G$55=Tulokset!$I$55,IF(AND('14'!$I$56=Tulokset!$G$55,'14'!$K$56=Tulokset!$I$55),6,3),MAX(0,6-(ABS('14'!$I$56-Tulokset!$G$55)+ABS('14'!$K$56-Tulokset!$I$55))))))</f>
        <v/>
      </c>
      <c r="BF17" t="str">
        <f>IF(OR(Tulokset!$G$56="",Tulokset!$I$56="",'14'!$I$57="",'14'!$K$57=""),"",IF(SIGN('14'!$I$57-'14'!$K$57)&lt;&gt;SIGN(Tulokset!$G$56-Tulokset!$I$56),0,IF(Tulokset!$G$56=Tulokset!$I$56,IF(AND('14'!$I$57=Tulokset!$G$56,'14'!$K$57=Tulokset!$I$56),6,3),MAX(0,6-(ABS('14'!$I$57-Tulokset!$G$56)+ABS('14'!$K$57-Tulokset!$I$56))))))</f>
        <v/>
      </c>
      <c r="BG17" t="str">
        <f>IF(OR(Tulokset!$G$57="",Tulokset!$I$57="",'14'!$I$58="",'14'!$K$58=""),"",IF(SIGN('14'!$I$58-'14'!$K$58)&lt;&gt;SIGN(Tulokset!$G$57-Tulokset!$I$57),0,IF(Tulokset!$G$57=Tulokset!$I$57,IF(AND('14'!$I$58=Tulokset!$G$57,'14'!$K$58=Tulokset!$I$57),6,3),MAX(0,6-(ABS('14'!$I$58-Tulokset!$G$57)+ABS('14'!$K$58-Tulokset!$I$57))))))</f>
        <v/>
      </c>
      <c r="BH17" t="str">
        <f>IF(OR(Tulokset!$G$58="",Tulokset!$I$58="",'14'!$I$59="",'14'!$K$59=""),"",IF(SIGN('14'!$I$59-'14'!$K$59)&lt;&gt;SIGN(Tulokset!$G$58-Tulokset!$I$58),0,IF(Tulokset!$G$58=Tulokset!$I$58,IF(AND('14'!$I$59=Tulokset!$G$58,'14'!$K$59=Tulokset!$I$58),6,3),MAX(0,6-(ABS('14'!$I$59-Tulokset!$G$58)+ABS('14'!$K$59-Tulokset!$I$58))))))</f>
        <v/>
      </c>
      <c r="BI17" t="str">
        <f>IF(OR(Tulokset!$G$59="",Tulokset!$I$59="",'14'!$I$60="",'14'!$K$60=""),"",IF(SIGN('14'!$I$60-'14'!$K$60)&lt;&gt;SIGN(Tulokset!$G$59-Tulokset!$I$59),0,IF(Tulokset!$G$59=Tulokset!$I$59,IF(AND('14'!$I$60=Tulokset!$G$59,'14'!$K$60=Tulokset!$I$59),6,3),MAX(0,6-(ABS('14'!$I$60-Tulokset!$G$59)+ABS('14'!$K$60-Tulokset!$I$59))))))</f>
        <v/>
      </c>
      <c r="BJ17" t="str">
        <f>IF(OR(Tulokset!$G$60="",Tulokset!$I$60="",'14'!$I$61="",'14'!$K$61=""),"",IF(SIGN('14'!$I$61-'14'!$K$61)&lt;&gt;SIGN(Tulokset!$G$60-Tulokset!$I$60),0,IF(Tulokset!$G$60=Tulokset!$I$60,IF(AND('14'!$I$61=Tulokset!$G$60,'14'!$K$61=Tulokset!$I$60),6,3),MAX(0,6-(ABS('14'!$I$61-Tulokset!$G$60)+ABS('14'!$K$61-Tulokset!$I$60))))))</f>
        <v/>
      </c>
      <c r="BK17" t="str">
        <f>IF(OR(Tulokset!$G$61="",Tulokset!$I$61="",'14'!$I$62="",'14'!$K$62=""),"",IF(SIGN('14'!$I$62-'14'!$K$62)&lt;&gt;SIGN(Tulokset!$G$61-Tulokset!$I$61),0,IF(Tulokset!$G$61=Tulokset!$I$61,IF(AND('14'!$I$62=Tulokset!$G$61,'14'!$K$62=Tulokset!$I$61),6,3),MAX(0,6-(ABS('14'!$I$62-Tulokset!$G$61)+ABS('14'!$K$62-Tulokset!$I$61))))))</f>
        <v/>
      </c>
      <c r="BL17" t="str">
        <f>IF(OR(Tulokset!$G$62="",Tulokset!$I$62="",'14'!$I$63="",'14'!$K$63=""),"",IF(SIGN('14'!$I$63-'14'!$K$63)&lt;&gt;SIGN(Tulokset!$G$62-Tulokset!$I$62),0,IF(Tulokset!$G$62=Tulokset!$I$62,IF(AND('14'!$I$63=Tulokset!$G$62,'14'!$K$63=Tulokset!$I$62),6,3),MAX(0,6-(ABS('14'!$I$63-Tulokset!$G$62)+ABS('14'!$K$63-Tulokset!$I$62))))))</f>
        <v/>
      </c>
      <c r="BM17" t="str">
        <f>IF(OR(Tulokset!$G$63="",Tulokset!$I$63="",'14'!$I$64="",'14'!$K$64=""),"",IF(SIGN('14'!$I$64-'14'!$K$64)&lt;&gt;SIGN(Tulokset!$G$63-Tulokset!$I$63),0,IF(Tulokset!$G$63=Tulokset!$I$63,IF(AND('14'!$I$64=Tulokset!$G$63,'14'!$K$64=Tulokset!$I$63),6,3),MAX(0,6-(ABS('14'!$I$64-Tulokset!$G$63)+ABS('14'!$K$64-Tulokset!$I$63))))))</f>
        <v/>
      </c>
      <c r="BN17" t="str">
        <f>IF(OR(Tulokset!$G$64="",Tulokset!$I$64="",'14'!$I$65="",'14'!$K$65=""),"",IF(SIGN('14'!$I$65-'14'!$K$65)&lt;&gt;SIGN(Tulokset!$G$64-Tulokset!$I$64),0,IF(Tulokset!$G$64=Tulokset!$I$64,IF(AND('14'!$I$65=Tulokset!$G$64,'14'!$K$65=Tulokset!$I$64),6,3),MAX(0,6-(ABS('14'!$I$65-Tulokset!$G$64)+ABS('14'!$K$65-Tulokset!$I$64))))))</f>
        <v/>
      </c>
      <c r="BO17" t="str">
        <f>IF(OR(Tulokset!$G$65="",Tulokset!$I$65="",'14'!$I$66="",'14'!$K$66=""),"",IF(SIGN('14'!$I$66-'14'!$K$66)&lt;&gt;SIGN(Tulokset!$G$65-Tulokset!$I$65),0,IF(Tulokset!$G$65=Tulokset!$I$65,IF(AND('14'!$I$66=Tulokset!$G$65,'14'!$K$66=Tulokset!$I$65),6,3),MAX(0,6-(ABS('14'!$I$66-Tulokset!$G$65)+ABS('14'!$K$66-Tulokset!$I$65))))))</f>
        <v/>
      </c>
      <c r="BP17" t="str">
        <f>IF(OR(Tulokset!$G$66="",Tulokset!$I$66="",'14'!$I$67="",'14'!$K$67=""),"",IF(SIGN('14'!$I$67-'14'!$K$67)&lt;&gt;SIGN(Tulokset!$G$66-Tulokset!$I$66),0,IF(Tulokset!$G$66=Tulokset!$I$66,IF(AND('14'!$I$67=Tulokset!$G$66,'14'!$K$67=Tulokset!$I$66),6,3),MAX(0,6-(ABS('14'!$I$67-Tulokset!$G$66)+ABS('14'!$K$67-Tulokset!$I$66))))))</f>
        <v/>
      </c>
      <c r="BQ17" t="str">
        <f>IF(OR(Tulokset!$G$67="",Tulokset!$I$67="",'14'!$I$68="",'14'!$K$68=""),"",IF(SIGN('14'!$I$68-'14'!$K$68)&lt;&gt;SIGN(Tulokset!$G$67-Tulokset!$I$67),0,IF(Tulokset!$G$67=Tulokset!$I$67,IF(AND('14'!$I$68=Tulokset!$G$67,'14'!$K$68=Tulokset!$I$67),6,3),MAX(0,6-(ABS('14'!$I$68-Tulokset!$G$67)+ABS('14'!$K$68-Tulokset!$I$67))))))</f>
        <v/>
      </c>
      <c r="BR17" t="str">
        <f>IF(OR(Tulokset!$G$68="",Tulokset!$I$68="",'14'!$I$69="",'14'!$K$69=""),"",IF(SIGN('14'!$I$69-'14'!$K$69)&lt;&gt;SIGN(Tulokset!$G$68-Tulokset!$I$68),0,IF(Tulokset!$G$68=Tulokset!$I$68,IF(AND('14'!$I$69=Tulokset!$G$68,'14'!$K$69=Tulokset!$I$68),6,3),MAX(0,6-(ABS('14'!$I$69-Tulokset!$G$68)+ABS('14'!$K$69-Tulokset!$I$68))))))</f>
        <v/>
      </c>
      <c r="BS17" t="str">
        <f>IF(OR(Tulokset!$G$69="",Tulokset!$I$69="",'14'!$I$70="",'14'!$K$70=""),"",IF(SIGN('14'!$I$70-'14'!$K$70)&lt;&gt;SIGN(Tulokset!$G$69-Tulokset!$I$69),0,IF(Tulokset!$G$69=Tulokset!$I$69,IF(AND('14'!$I$70=Tulokset!$G$69,'14'!$K$70=Tulokset!$I$69),6,3),MAX(0,6-(ABS('14'!$I$70-Tulokset!$G$69)+ABS('14'!$K$70-Tulokset!$I$69))))))</f>
        <v/>
      </c>
      <c r="BT17" t="str">
        <f>IF(OR(Tulokset!$G$70="",Tulokset!$I$70="",'14'!$I$71="",'14'!$K$71=""),"",IF(SIGN('14'!$I$71-'14'!$K$71)&lt;&gt;SIGN(Tulokset!$G$70-Tulokset!$I$70),0,IF(Tulokset!$G$70=Tulokset!$I$70,IF(AND('14'!$I$71=Tulokset!$G$70,'14'!$K$71=Tulokset!$I$70),6,3),MAX(0,6-(ABS('14'!$I$71-Tulokset!$G$70)+ABS('14'!$K$71-Tulokset!$I$70))))))</f>
        <v/>
      </c>
      <c r="BU17" t="str">
        <f>IF(OR(Tulokset!$G$71="",Tulokset!$I$71="",'14'!$I$72="",'14'!$K$72=""),"",IF(SIGN('14'!$I$72-'14'!$K$72)&lt;&gt;SIGN(Tulokset!$G$71-Tulokset!$I$71),0,IF(Tulokset!$G$71=Tulokset!$I$71,IF(AND('14'!$I$72=Tulokset!$G$71,'14'!$K$72=Tulokset!$I$71),6,3),MAX(0,6-(ABS('14'!$I$72-Tulokset!$G$71)+ABS('14'!$K$72-Tulokset!$I$71))))))</f>
        <v/>
      </c>
      <c r="BV17" t="str">
        <f>IF(OR(Tulokset!$G$72="",Tulokset!$I$72="",'14'!$I$73="",'14'!$K$73=""),"",IF(SIGN('14'!$I$73-'14'!$K$73)&lt;&gt;SIGN(Tulokset!$G$72-Tulokset!$I$72),0,IF(Tulokset!$G$72=Tulokset!$I$72,IF(AND('14'!$I$73=Tulokset!$G$72,'14'!$K$73=Tulokset!$I$72),6,3),MAX(0,6-(ABS('14'!$I$73-Tulokset!$G$72)+ABS('14'!$K$73-Tulokset!$I$72))))))</f>
        <v/>
      </c>
      <c r="BW17" t="str">
        <f>IF(OR(Tulokset!$G$73="",Tulokset!$I$73="",'14'!$I$74="",'14'!$K$74=""),"",IF(SIGN('14'!$I$74-'14'!$K$74)&lt;&gt;SIGN(Tulokset!$G$73-Tulokset!$I$73),0,IF(Tulokset!$G$73=Tulokset!$I$73,IF(AND('14'!$I$74=Tulokset!$G$73,'14'!$K$74=Tulokset!$I$73),6,3),MAX(0,6-(ABS('14'!$I$74-Tulokset!$G$73)+ABS('14'!$K$74-Tulokset!$I$73))))))</f>
        <v/>
      </c>
      <c r="BX17" t="str">
        <f>IF(OR(Tulokset!$G$74="",Tulokset!$I$74="",'14'!$I$75="",'14'!$K$75=""),"",IF(SIGN('14'!$I$75-'14'!$K$75)&lt;&gt;SIGN(Tulokset!$G$74-Tulokset!$I$74),0,IF(Tulokset!$G$74=Tulokset!$I$74,IF(AND('14'!$I$75=Tulokset!$G$74,'14'!$K$75=Tulokset!$I$74),6,3),MAX(0,6-(ABS('14'!$I$75-Tulokset!$G$74)+ABS('14'!$K$75-Tulokset!$I$74))))))</f>
        <v/>
      </c>
      <c r="BY17" t="str">
        <f>IF(OR(Tulokset!$G$75="",Tulokset!$I$75="",'14'!$I$76="",'14'!$K$76=""),"",IF(SIGN('14'!$I$76-'14'!$K$76)&lt;&gt;SIGN(Tulokset!$G$75-Tulokset!$I$75),0,IF(Tulokset!$G$75=Tulokset!$I$75,IF(AND('14'!$I$76=Tulokset!$G$75,'14'!$K$76=Tulokset!$I$75),6,3),MAX(0,6-(ABS('14'!$I$76-Tulokset!$G$75)+ABS('14'!$K$76-Tulokset!$I$75))))))</f>
        <v/>
      </c>
      <c r="BZ17" t="str">
        <f>IF(OR(Tulokset!$G$76="",Tulokset!$I$76="",'14'!$I$77="",'14'!$K$77=""),"",IF(SIGN('14'!$I$77-'14'!$K$77)&lt;&gt;SIGN(Tulokset!$G$76-Tulokset!$I$76),0,IF(Tulokset!$G$76=Tulokset!$I$76,IF(AND('14'!$I$77=Tulokset!$G$76,'14'!$K$77=Tulokset!$I$76),6,3),MAX(0,6-(ABS('14'!$I$77-Tulokset!$G$76)+ABS('14'!$K$77-Tulokset!$I$76))))))</f>
        <v/>
      </c>
      <c r="CA17" t="str">
        <f>IF(OR(Tulokset!$G$77="",Tulokset!$I$77="",'14'!$I$78="",'14'!$K$78=""),"",IF(SIGN('14'!$I$78-'14'!$K$78)&lt;&gt;SIGN(Tulokset!$G$77-Tulokset!$I$77),0,IF(Tulokset!$G$77=Tulokset!$I$77,IF(AND('14'!$I$78=Tulokset!$G$77,'14'!$K$78=Tulokset!$I$77),6,3),MAX(0,6-(ABS('14'!$I$78-Tulokset!$G$77)+ABS('14'!$K$78-Tulokset!$I$77))))))</f>
        <v/>
      </c>
      <c r="CD17" t="str">
        <f ca="1">IF(OR(Tulokset!$M$6="",INDIRECT("'"&amp;$A17&amp;"'!$P$8")=""),"",IF(TRIM(INDIRECT("'"&amp;$A17&amp;"'!$P$8"))=TRIM(Tulokset!$M$6),2,0))</f>
        <v/>
      </c>
      <c r="CE17" t="str">
        <f ca="1">IF(OR(Tulokset!$M$7="",INDIRECT("'"&amp;$A17&amp;"'!$P$9")=""),"",IF(TRIM(INDIRECT("'"&amp;$A17&amp;"'!$P$9"))=TRIM(Tulokset!$M$7),2,0))</f>
        <v/>
      </c>
      <c r="CF17" t="str">
        <f ca="1">IF(OR(Tulokset!$M$8="",INDIRECT("'"&amp;$A17&amp;"'!$P$10")=""),"",IF(TRIM(INDIRECT("'"&amp;$A17&amp;"'!$P$10"))=TRIM(Tulokset!$M$8),2,0))</f>
        <v/>
      </c>
      <c r="CG17" t="str">
        <f ca="1">IF(OR(Tulokset!$M$9="",INDIRECT("'"&amp;$A17&amp;"'!$P$11")=""),"",IF(TRIM(INDIRECT("'"&amp;$A17&amp;"'!$P$11"))=TRIM(Tulokset!$M$9),2,0))</f>
        <v/>
      </c>
      <c r="CH17" t="str">
        <f ca="1">IF(OR(Tulokset!$N$6="",INDIRECT("'"&amp;$A17&amp;"'!$Q$8")=""),"",IF(TRIM(INDIRECT("'"&amp;$A17&amp;"'!$Q$8"))=TRIM(Tulokset!$N$6),2,0))</f>
        <v/>
      </c>
      <c r="CI17" t="str">
        <f ca="1">IF(OR(Tulokset!$N$7="",INDIRECT("'"&amp;$A17&amp;"'!$Q$9")=""),"",IF(TRIM(INDIRECT("'"&amp;$A17&amp;"'!$Q$9"))=TRIM(Tulokset!$N$7),2,0))</f>
        <v/>
      </c>
      <c r="CJ17" t="str">
        <f ca="1">IF(OR(Tulokset!$N$8="",INDIRECT("'"&amp;$A17&amp;"'!$Q$10")=""),"",IF(TRIM(INDIRECT("'"&amp;$A17&amp;"'!$Q$10"))=TRIM(Tulokset!$N$8),2,0))</f>
        <v/>
      </c>
      <c r="CK17" t="str">
        <f ca="1">IF(OR(Tulokset!$N$9="",INDIRECT("'"&amp;$A17&amp;"'!$Q$11")=""),"",IF(TRIM(INDIRECT("'"&amp;$A17&amp;"'!$Q$11"))=TRIM(Tulokset!$N$9),2,0))</f>
        <v/>
      </c>
      <c r="CL17" t="str">
        <f ca="1">IF(OR(Tulokset!$O$6="",INDIRECT("'"&amp;$A17&amp;"'!$R$8")=""),"",IF(TRIM(INDIRECT("'"&amp;$A17&amp;"'!$R$8"))=TRIM(Tulokset!$O$6),2,0))</f>
        <v/>
      </c>
      <c r="CM17" t="str">
        <f ca="1">IF(OR(Tulokset!$O$7="",INDIRECT("'"&amp;$A17&amp;"'!$R$9")=""),"",IF(TRIM(INDIRECT("'"&amp;$A17&amp;"'!$R$9"))=TRIM(Tulokset!$O$7),2,0))</f>
        <v/>
      </c>
      <c r="CN17" t="str">
        <f ca="1">IF(OR(Tulokset!$O$8="",INDIRECT("'"&amp;$A17&amp;"'!$R$10")=""),"",IF(TRIM(INDIRECT("'"&amp;$A17&amp;"'!$R$10"))=TRIM(Tulokset!$O$8),2,0))</f>
        <v/>
      </c>
      <c r="CO17" t="str">
        <f ca="1">IF(OR(Tulokset!$O$9="",INDIRECT("'"&amp;$A17&amp;"'!$R$11")=""),"",IF(TRIM(INDIRECT("'"&amp;$A17&amp;"'!$R$11"))=TRIM(Tulokset!$O$9),2,0))</f>
        <v/>
      </c>
      <c r="CP17" t="str">
        <f ca="1">IF(OR(Tulokset!$P$6="",INDIRECT("'"&amp;$A17&amp;"'!$S$8")=""),"",IF(TRIM(INDIRECT("'"&amp;$A17&amp;"'!$S$8"))=TRIM(Tulokset!$P$6),2,0))</f>
        <v/>
      </c>
      <c r="CQ17" t="str">
        <f ca="1">IF(OR(Tulokset!$P$7="",INDIRECT("'"&amp;$A17&amp;"'!$S$9")=""),"",IF(TRIM(INDIRECT("'"&amp;$A17&amp;"'!$S$9"))=TRIM(Tulokset!$P$7),2,0))</f>
        <v/>
      </c>
      <c r="CR17" t="str">
        <f ca="1">IF(OR(Tulokset!$P$8="",INDIRECT("'"&amp;$A17&amp;"'!$S$10")=""),"",IF(TRIM(INDIRECT("'"&amp;$A17&amp;"'!$S$10"))=TRIM(Tulokset!$P$8),2,0))</f>
        <v/>
      </c>
      <c r="CS17" t="str">
        <f ca="1">IF(OR(Tulokset!$P$9="",INDIRECT("'"&amp;$A17&amp;"'!$S$11")=""),"",IF(TRIM(INDIRECT("'"&amp;$A17&amp;"'!$S$11"))=TRIM(Tulokset!$P$9),2,0))</f>
        <v/>
      </c>
      <c r="CT17" t="str">
        <f ca="1">IF(OR(Tulokset!$Q$6="",INDIRECT("'"&amp;$A17&amp;"'!$T$8")=""),"",IF(TRIM(INDIRECT("'"&amp;$A17&amp;"'!$T$8"))=TRIM(Tulokset!$Q$6),2,0))</f>
        <v/>
      </c>
      <c r="CU17" t="str">
        <f ca="1">IF(OR(Tulokset!$Q$7="",INDIRECT("'"&amp;$A17&amp;"'!$T$9")=""),"",IF(TRIM(INDIRECT("'"&amp;$A17&amp;"'!$T$9"))=TRIM(Tulokset!$Q$7),2,0))</f>
        <v/>
      </c>
      <c r="CV17" t="str">
        <f ca="1">IF(OR(Tulokset!$Q$8="",INDIRECT("'"&amp;$A17&amp;"'!$T$10")=""),"",IF(TRIM(INDIRECT("'"&amp;$A17&amp;"'!$T$10"))=TRIM(Tulokset!$Q$8),2,0))</f>
        <v/>
      </c>
      <c r="CW17" t="str">
        <f ca="1">IF(OR(Tulokset!$Q$9="",INDIRECT("'"&amp;$A17&amp;"'!$T$11")=""),"",IF(TRIM(INDIRECT("'"&amp;$A17&amp;"'!$T$11"))=TRIM(Tulokset!$Q$9),2,0))</f>
        <v/>
      </c>
      <c r="CX17" t="str">
        <f ca="1">IF(OR(Tulokset!$R$6="",INDIRECT("'"&amp;$A17&amp;"'!$U$8")=""),"",IF(TRIM(INDIRECT("'"&amp;$A17&amp;"'!$U$8"))=TRIM(Tulokset!$R$6),2,0))</f>
        <v/>
      </c>
      <c r="CY17" t="str">
        <f ca="1">IF(OR(Tulokset!$R$7="",INDIRECT("'"&amp;$A17&amp;"'!$U$9")=""),"",IF(TRIM(INDIRECT("'"&amp;$A17&amp;"'!$U$9"))=TRIM(Tulokset!$R$7),2,0))</f>
        <v/>
      </c>
      <c r="CZ17" t="str">
        <f ca="1">IF(OR(Tulokset!$R$8="",INDIRECT("'"&amp;$A17&amp;"'!$U$10")=""),"",IF(TRIM(INDIRECT("'"&amp;$A17&amp;"'!$U$10"))=TRIM(Tulokset!$R$8),2,0))</f>
        <v/>
      </c>
      <c r="DA17" t="str">
        <f ca="1">IF(OR(Tulokset!$R$9="",INDIRECT("'"&amp;$A17&amp;"'!$U$11")=""),"",IF(TRIM(INDIRECT("'"&amp;$A17&amp;"'!$U$11"))=TRIM(Tulokset!$R$9),2,0))</f>
        <v/>
      </c>
      <c r="DB17" t="str">
        <f ca="1">IF(OR(Tulokset!$M$12="",INDIRECT("'"&amp;$A17&amp;"'!$P$14")=""),"",IF(TRIM(INDIRECT("'"&amp;$A17&amp;"'!$P$14"))=TRIM(Tulokset!$M$12),2,0))</f>
        <v/>
      </c>
      <c r="DC17" t="str">
        <f ca="1">IF(OR(Tulokset!$M$13="",INDIRECT("'"&amp;$A17&amp;"'!$P$15")=""),"",IF(TRIM(INDIRECT("'"&amp;$A17&amp;"'!$P$15"))=TRIM(Tulokset!$M$13),2,0))</f>
        <v/>
      </c>
      <c r="DD17" t="str">
        <f ca="1">IF(OR(Tulokset!$M$14="",INDIRECT("'"&amp;$A17&amp;"'!$P$16")=""),"",IF(TRIM(INDIRECT("'"&amp;$A17&amp;"'!$P$16"))=TRIM(Tulokset!$M$14),2,0))</f>
        <v/>
      </c>
      <c r="DE17" t="str">
        <f ca="1">IF(OR(Tulokset!$M$15="",INDIRECT("'"&amp;$A17&amp;"'!$P$17")=""),"",IF(TRIM(INDIRECT("'"&amp;$A17&amp;"'!$P$17"))=TRIM(Tulokset!$M$15),2,0))</f>
        <v/>
      </c>
      <c r="DF17" t="str">
        <f ca="1">IF(OR(Tulokset!$N$12="",INDIRECT("'"&amp;$A17&amp;"'!$Q$14")=""),"",IF(TRIM(INDIRECT("'"&amp;$A17&amp;"'!$Q$14"))=TRIM(Tulokset!$N$12),2,0))</f>
        <v/>
      </c>
      <c r="DG17" t="str">
        <f ca="1">IF(OR(Tulokset!$N$13="",INDIRECT("'"&amp;$A17&amp;"'!$Q$15")=""),"",IF(TRIM(INDIRECT("'"&amp;$A17&amp;"'!$Q$15"))=TRIM(Tulokset!$N$13),2,0))</f>
        <v/>
      </c>
      <c r="DH17" t="str">
        <f ca="1">IF(OR(Tulokset!$N$14="",INDIRECT("'"&amp;$A17&amp;"'!$Q$16")=""),"",IF(TRIM(INDIRECT("'"&amp;$A17&amp;"'!$Q$16"))=TRIM(Tulokset!$N$14),2,0))</f>
        <v/>
      </c>
      <c r="DI17" t="str">
        <f ca="1">IF(OR(Tulokset!$N$15="",INDIRECT("'"&amp;$A17&amp;"'!$Q$17")=""),"",IF(TRIM(INDIRECT("'"&amp;$A17&amp;"'!$Q$17"))=TRIM(Tulokset!$N$15),2,0))</f>
        <v/>
      </c>
      <c r="DJ17" t="str">
        <f ca="1">IF(OR(Tulokset!$O$12="",INDIRECT("'"&amp;$A17&amp;"'!$R$14")=""),"",IF(TRIM(INDIRECT("'"&amp;$A17&amp;"'!$R$14"))=TRIM(Tulokset!$O$12),2,0))</f>
        <v/>
      </c>
      <c r="DK17" t="str">
        <f ca="1">IF(OR(Tulokset!$O$13="",INDIRECT("'"&amp;$A17&amp;"'!$R$15")=""),"",IF(TRIM(INDIRECT("'"&amp;$A17&amp;"'!$R$15"))=TRIM(Tulokset!$O$13),2,0))</f>
        <v/>
      </c>
      <c r="DL17" t="str">
        <f ca="1">IF(OR(Tulokset!$O$14="",INDIRECT("'"&amp;$A17&amp;"'!$R$16")=""),"",IF(TRIM(INDIRECT("'"&amp;$A17&amp;"'!$R$16"))=TRIM(Tulokset!$O$14),2,0))</f>
        <v/>
      </c>
      <c r="DM17" t="str">
        <f ca="1">IF(OR(Tulokset!$O$15="",INDIRECT("'"&amp;$A17&amp;"'!$R$17")=""),"",IF(TRIM(INDIRECT("'"&amp;$A17&amp;"'!$R$17"))=TRIM(Tulokset!$O$15),2,0))</f>
        <v/>
      </c>
      <c r="DN17" t="str">
        <f ca="1">IF(OR(Tulokset!$P$12="",INDIRECT("'"&amp;$A17&amp;"'!$S$14")=""),"",IF(TRIM(INDIRECT("'"&amp;$A17&amp;"'!$S$14"))=TRIM(Tulokset!$P$12),2,0))</f>
        <v/>
      </c>
      <c r="DO17" t="str">
        <f ca="1">IF(OR(Tulokset!$P$13="",INDIRECT("'"&amp;$A17&amp;"'!$S$15")=""),"",IF(TRIM(INDIRECT("'"&amp;$A17&amp;"'!$S$15"))=TRIM(Tulokset!$P$13),2,0))</f>
        <v/>
      </c>
      <c r="DP17" t="str">
        <f ca="1">IF(OR(Tulokset!$P$14="",INDIRECT("'"&amp;$A17&amp;"'!$S$16")=""),"",IF(TRIM(INDIRECT("'"&amp;$A17&amp;"'!$S$16"))=TRIM(Tulokset!$P$14),2,0))</f>
        <v/>
      </c>
      <c r="DQ17" t="str">
        <f ca="1">IF(OR(Tulokset!$P$15="",INDIRECT("'"&amp;$A17&amp;"'!$S$17")=""),"",IF(TRIM(INDIRECT("'"&amp;$A17&amp;"'!$S$17"))=TRIM(Tulokset!$P$15),2,0))</f>
        <v/>
      </c>
      <c r="DR17" t="str">
        <f ca="1">IF(OR(Tulokset!$Q$12="",INDIRECT("'"&amp;$A17&amp;"'!$T$14")=""),"",IF(TRIM(INDIRECT("'"&amp;$A17&amp;"'!$T$14"))=TRIM(Tulokset!$Q$12),2,0))</f>
        <v/>
      </c>
      <c r="DS17" t="str">
        <f ca="1">IF(OR(Tulokset!$Q$13="",INDIRECT("'"&amp;$A17&amp;"'!$T$15")=""),"",IF(TRIM(INDIRECT("'"&amp;$A17&amp;"'!$T$15"))=TRIM(Tulokset!$Q$13),2,0))</f>
        <v/>
      </c>
      <c r="DT17" t="str">
        <f ca="1">IF(OR(Tulokset!$Q$14="",INDIRECT("'"&amp;$A17&amp;"'!$T$16")=""),"",IF(TRIM(INDIRECT("'"&amp;$A17&amp;"'!$T$16"))=TRIM(Tulokset!$Q$14),2,0))</f>
        <v/>
      </c>
      <c r="DU17" t="str">
        <f ca="1">IF(OR(Tulokset!$Q$15="",INDIRECT("'"&amp;$A17&amp;"'!$T$17")=""),"",IF(TRIM(INDIRECT("'"&amp;$A17&amp;"'!$T$17"))=TRIM(Tulokset!$Q$15),2,0))</f>
        <v/>
      </c>
      <c r="DV17" t="str">
        <f ca="1">IF(OR(Tulokset!$R$12="",INDIRECT("'"&amp;$A17&amp;"'!$U$14")=""),"",IF(TRIM(INDIRECT("'"&amp;$A17&amp;"'!$U$14"))=TRIM(Tulokset!$R$12),2,0))</f>
        <v/>
      </c>
      <c r="DW17" t="str">
        <f ca="1">IF(OR(Tulokset!$R$13="",INDIRECT("'"&amp;$A17&amp;"'!$U$15")=""),"",IF(TRIM(INDIRECT("'"&amp;$A17&amp;"'!$U$15"))=TRIM(Tulokset!$R$13),2,0))</f>
        <v/>
      </c>
      <c r="DX17" t="str">
        <f ca="1">IF(OR(Tulokset!$R$14="",INDIRECT("'"&amp;$A17&amp;"'!$U$16")=""),"",IF(TRIM(INDIRECT("'"&amp;$A17&amp;"'!$U$16"))=TRIM(Tulokset!$R$14),2,0))</f>
        <v/>
      </c>
      <c r="DY17" t="str">
        <f ca="1">IF(OR(Tulokset!$R$15="",INDIRECT("'"&amp;$A17&amp;"'!$U$17")=""),"",IF(TRIM(INDIRECT("'"&amp;$A17&amp;"'!$U$17"))=TRIM(Tulokset!$R$15),2,0))</f>
        <v/>
      </c>
      <c r="EA17" t="str">
        <f ca="1">IF(OR(INDIRECT("'"&amp;$A17&amp;"'!$E$79")="",COUNTA(Tulokset!$M$20:$M$21)=0),"",IF(COUNTIF(Tulokset!$M$20:$M$21,INDIRECT("'"&amp;$A17&amp;"'!$E$79"))&gt;0,2,0))</f>
        <v/>
      </c>
      <c r="EB17" t="str">
        <f ca="1">IF(OR(INDIRECT("'"&amp;$A17&amp;"'!$G$79")="",COUNTA(Tulokset!$M$20:$M$21)=0),"",IF(COUNTIF(Tulokset!$M$20:$M$21,INDIRECT("'"&amp;$A17&amp;"'!$G$79"))&gt;0,2,0))</f>
        <v/>
      </c>
      <c r="EC17" t="str">
        <f ca="1">IF(OR(INDIRECT("'"&amp;$A17&amp;"'!$E$80")="",COUNTA(Tulokset!$M$23:$M$24)=0),"",IF(COUNTIF(Tulokset!$M$23:$M$24,INDIRECT("'"&amp;$A17&amp;"'!$E$80"))&gt;0,2,0))</f>
        <v/>
      </c>
      <c r="ED17" t="str">
        <f ca="1">IF(OR(INDIRECT("'"&amp;$A17&amp;"'!$G$80")="",COUNTA(Tulokset!$M$23:$M$24)=0),"",IF(COUNTIF(Tulokset!$M$23:$M$24,INDIRECT("'"&amp;$A17&amp;"'!$G$80"))&gt;0,2,0))</f>
        <v/>
      </c>
    </row>
    <row r="18" spans="1:134">
      <c r="A18" t="s">
        <v>233</v>
      </c>
      <c r="B18" t="str">
        <f t="shared" ca="1" si="0"/>
        <v>Suomaldinho</v>
      </c>
      <c r="C18" s="95">
        <f t="shared" si="1"/>
        <v>0</v>
      </c>
      <c r="D18" s="95">
        <f t="shared" ca="1" si="2"/>
        <v>0</v>
      </c>
      <c r="E18" s="95">
        <f t="shared" ca="1" si="3"/>
        <v>0</v>
      </c>
      <c r="F18" s="95">
        <f t="shared" ca="1" si="4"/>
        <v>0</v>
      </c>
      <c r="G18" s="95">
        <f t="shared" si="5"/>
        <v>0</v>
      </c>
      <c r="H18" t="str">
        <f>IF(OR(Tulokset!$G$6="",Tulokset!$I$6="",'15'!$I$7="",'15'!$K$7=""),"",IF(SIGN('15'!$I$7-'15'!$K$7)&lt;&gt;SIGN(Tulokset!$G$6-Tulokset!$I$6),0,IF(Tulokset!$G$6=Tulokset!$I$6,IF(AND('15'!$I$7=Tulokset!$G$6,'15'!$K$7=Tulokset!$I$6),6,3),MAX(0,6-(ABS('15'!$I$7-Tulokset!$G$6)+ABS('15'!$K$7-Tulokset!$I$6))))))</f>
        <v/>
      </c>
      <c r="I18" t="str">
        <f>IF(OR(Tulokset!$G$7="",Tulokset!$I$7="",'15'!$I$8="",'15'!$K$8=""),"",IF(SIGN('15'!$I$8-'15'!$K$8)&lt;&gt;SIGN(Tulokset!$G$7-Tulokset!$I$7),0,IF(Tulokset!$G$7=Tulokset!$I$7,IF(AND('15'!$I$8=Tulokset!$G$7,'15'!$K$8=Tulokset!$I$7),6,3),MAX(0,6-(ABS('15'!$I$8-Tulokset!$G$7)+ABS('15'!$K$8-Tulokset!$I$7))))))</f>
        <v/>
      </c>
      <c r="J18" t="str">
        <f>IF(OR(Tulokset!$G$8="",Tulokset!$I$8="",'15'!$I$9="",'15'!$K$9=""),"",IF(SIGN('15'!$I$9-'15'!$K$9)&lt;&gt;SIGN(Tulokset!$G$8-Tulokset!$I$8),0,IF(Tulokset!$G$8=Tulokset!$I$8,IF(AND('15'!$I$9=Tulokset!$G$8,'15'!$K$9=Tulokset!$I$8),6,3),MAX(0,6-(ABS('15'!$I$9-Tulokset!$G$8)+ABS('15'!$K$9-Tulokset!$I$8))))))</f>
        <v/>
      </c>
      <c r="K18" t="str">
        <f>IF(OR(Tulokset!$G$9="",Tulokset!$I$9="",'15'!$I$10="",'15'!$K$10=""),"",IF(SIGN('15'!$I$10-'15'!$K$10)&lt;&gt;SIGN(Tulokset!$G$9-Tulokset!$I$9),0,IF(Tulokset!$G$9=Tulokset!$I$9,IF(AND('15'!$I$10=Tulokset!$G$9,'15'!$K$10=Tulokset!$I$9),6,3),MAX(0,6-(ABS('15'!$I$10-Tulokset!$G$9)+ABS('15'!$K$10-Tulokset!$I$9))))))</f>
        <v/>
      </c>
      <c r="L18" t="str">
        <f>IF(OR(Tulokset!$G$10="",Tulokset!$I$10="",'15'!$I$11="",'15'!$K$11=""),"",IF(SIGN('15'!$I$11-'15'!$K$11)&lt;&gt;SIGN(Tulokset!$G$10-Tulokset!$I$10),0,IF(Tulokset!$G$10=Tulokset!$I$10,IF(AND('15'!$I$11=Tulokset!$G$10,'15'!$K$11=Tulokset!$I$10),6,3),MAX(0,6-(ABS('15'!$I$11-Tulokset!$G$10)+ABS('15'!$K$11-Tulokset!$I$10))))))</f>
        <v/>
      </c>
      <c r="M18" t="str">
        <f>IF(OR(Tulokset!$G$11="",Tulokset!$I$11="",'15'!$I$12="",'15'!$K$12=""),"",IF(SIGN('15'!$I$12-'15'!$K$12)&lt;&gt;SIGN(Tulokset!$G$11-Tulokset!$I$11),0,IF(Tulokset!$G$11=Tulokset!$I$11,IF(AND('15'!$I$12=Tulokset!$G$11,'15'!$K$12=Tulokset!$I$11),6,3),MAX(0,6-(ABS('15'!$I$12-Tulokset!$G$11)+ABS('15'!$K$12-Tulokset!$I$11))))))</f>
        <v/>
      </c>
      <c r="N18" t="str">
        <f>IF(OR(Tulokset!$G$12="",Tulokset!$I$12="",'15'!$I$13="",'15'!$K$13=""),"",IF(SIGN('15'!$I$13-'15'!$K$13)&lt;&gt;SIGN(Tulokset!$G$12-Tulokset!$I$12),0,IF(Tulokset!$G$12=Tulokset!$I$12,IF(AND('15'!$I$13=Tulokset!$G$12,'15'!$K$13=Tulokset!$I$12),6,3),MAX(0,6-(ABS('15'!$I$13-Tulokset!$G$12)+ABS('15'!$K$13-Tulokset!$I$12))))))</f>
        <v/>
      </c>
      <c r="O18" t="str">
        <f>IF(OR(Tulokset!$G$13="",Tulokset!$I$13="",'15'!$I$14="",'15'!$K$14=""),"",IF(SIGN('15'!$I$14-'15'!$K$14)&lt;&gt;SIGN(Tulokset!$G$13-Tulokset!$I$13),0,IF(Tulokset!$G$13=Tulokset!$I$13,IF(AND('15'!$I$14=Tulokset!$G$13,'15'!$K$14=Tulokset!$I$13),6,3),MAX(0,6-(ABS('15'!$I$14-Tulokset!$G$13)+ABS('15'!$K$14-Tulokset!$I$13))))))</f>
        <v/>
      </c>
      <c r="P18" t="str">
        <f>IF(OR(Tulokset!$G$14="",Tulokset!$I$14="",'15'!$I$15="",'15'!$K$15=""),"",IF(SIGN('15'!$I$15-'15'!$K$15)&lt;&gt;SIGN(Tulokset!$G$14-Tulokset!$I$14),0,IF(Tulokset!$G$14=Tulokset!$I$14,IF(AND('15'!$I$15=Tulokset!$G$14,'15'!$K$15=Tulokset!$I$14),6,3),MAX(0,6-(ABS('15'!$I$15-Tulokset!$G$14)+ABS('15'!$K$15-Tulokset!$I$14))))))</f>
        <v/>
      </c>
      <c r="Q18" t="str">
        <f>IF(OR(Tulokset!$G$15="",Tulokset!$I$15="",'15'!$I$16="",'15'!$K$16=""),"",IF(SIGN('15'!$I$16-'15'!$K$16)&lt;&gt;SIGN(Tulokset!$G$15-Tulokset!$I$15),0,IF(Tulokset!$G$15=Tulokset!$I$15,IF(AND('15'!$I$16=Tulokset!$G$15,'15'!$K$16=Tulokset!$I$15),6,3),MAX(0,6-(ABS('15'!$I$16-Tulokset!$G$15)+ABS('15'!$K$16-Tulokset!$I$15))))))</f>
        <v/>
      </c>
      <c r="R18" t="str">
        <f>IF(OR(Tulokset!$G$16="",Tulokset!$I$16="",'15'!$I$17="",'15'!$K$17=""),"",IF(SIGN('15'!$I$17-'15'!$K$17)&lt;&gt;SIGN(Tulokset!$G$16-Tulokset!$I$16),0,IF(Tulokset!$G$16=Tulokset!$I$16,IF(AND('15'!$I$17=Tulokset!$G$16,'15'!$K$17=Tulokset!$I$16),6,3),MAX(0,6-(ABS('15'!$I$17-Tulokset!$G$16)+ABS('15'!$K$17-Tulokset!$I$16))))))</f>
        <v/>
      </c>
      <c r="S18" t="str">
        <f>IF(OR(Tulokset!$G$17="",Tulokset!$I$17="",'15'!$I$18="",'15'!$K$18=""),"",IF(SIGN('15'!$I$18-'15'!$K$18)&lt;&gt;SIGN(Tulokset!$G$17-Tulokset!$I$17),0,IF(Tulokset!$G$17=Tulokset!$I$17,IF(AND('15'!$I$18=Tulokset!$G$17,'15'!$K$18=Tulokset!$I$17),6,3),MAX(0,6-(ABS('15'!$I$18-Tulokset!$G$17)+ABS('15'!$K$18-Tulokset!$I$17))))))</f>
        <v/>
      </c>
      <c r="T18" t="str">
        <f>IF(OR(Tulokset!$G$18="",Tulokset!$I$18="",'15'!$I$19="",'15'!$K$19=""),"",IF(SIGN('15'!$I$19-'15'!$K$19)&lt;&gt;SIGN(Tulokset!$G$18-Tulokset!$I$18),0,IF(Tulokset!$G$18=Tulokset!$I$18,IF(AND('15'!$I$19=Tulokset!$G$18,'15'!$K$19=Tulokset!$I$18),6,3),MAX(0,6-(ABS('15'!$I$19-Tulokset!$G$18)+ABS('15'!$K$19-Tulokset!$I$18))))))</f>
        <v/>
      </c>
      <c r="U18" t="str">
        <f>IF(OR(Tulokset!$G$19="",Tulokset!$I$19="",'15'!$I$20="",'15'!$K$20=""),"",IF(SIGN('15'!$I$20-'15'!$K$20)&lt;&gt;SIGN(Tulokset!$G$19-Tulokset!$I$19),0,IF(Tulokset!$G$19=Tulokset!$I$19,IF(AND('15'!$I$20=Tulokset!$G$19,'15'!$K$20=Tulokset!$I$19),6,3),MAX(0,6-(ABS('15'!$I$20-Tulokset!$G$19)+ABS('15'!$K$20-Tulokset!$I$19))))))</f>
        <v/>
      </c>
      <c r="V18" t="str">
        <f>IF(OR(Tulokset!$G$20="",Tulokset!$I$20="",'15'!$I$21="",'15'!$K$21=""),"",IF(SIGN('15'!$I$21-'15'!$K$21)&lt;&gt;SIGN(Tulokset!$G$20-Tulokset!$I$20),0,IF(Tulokset!$G$20=Tulokset!$I$20,IF(AND('15'!$I$21=Tulokset!$G$20,'15'!$K$21=Tulokset!$I$20),6,3),MAX(0,6-(ABS('15'!$I$21-Tulokset!$G$20)+ABS('15'!$K$21-Tulokset!$I$20))))))</f>
        <v/>
      </c>
      <c r="W18" t="str">
        <f>IF(OR(Tulokset!$G$21="",Tulokset!$I$21="",'15'!$I$22="",'15'!$K$22=""),"",IF(SIGN('15'!$I$22-'15'!$K$22)&lt;&gt;SIGN(Tulokset!$G$21-Tulokset!$I$21),0,IF(Tulokset!$G$21=Tulokset!$I$21,IF(AND('15'!$I$22=Tulokset!$G$21,'15'!$K$22=Tulokset!$I$21),6,3),MAX(0,6-(ABS('15'!$I$22-Tulokset!$G$21)+ABS('15'!$K$22-Tulokset!$I$21))))))</f>
        <v/>
      </c>
      <c r="X18" t="str">
        <f>IF(OR(Tulokset!$G$22="",Tulokset!$I$22="",'15'!$I$23="",'15'!$K$23=""),"",IF(SIGN('15'!$I$23-'15'!$K$23)&lt;&gt;SIGN(Tulokset!$G$22-Tulokset!$I$22),0,IF(Tulokset!$G$22=Tulokset!$I$22,IF(AND('15'!$I$23=Tulokset!$G$22,'15'!$K$23=Tulokset!$I$22),6,3),MAX(0,6-(ABS('15'!$I$23-Tulokset!$G$22)+ABS('15'!$K$23-Tulokset!$I$22))))))</f>
        <v/>
      </c>
      <c r="Y18" t="str">
        <f>IF(OR(Tulokset!$G$23="",Tulokset!$I$23="",'15'!$I$24="",'15'!$K$24=""),"",IF(SIGN('15'!$I$24-'15'!$K$24)&lt;&gt;SIGN(Tulokset!$G$23-Tulokset!$I$23),0,IF(Tulokset!$G$23=Tulokset!$I$23,IF(AND('15'!$I$24=Tulokset!$G$23,'15'!$K$24=Tulokset!$I$23),6,3),MAX(0,6-(ABS('15'!$I$24-Tulokset!$G$23)+ABS('15'!$K$24-Tulokset!$I$23))))))</f>
        <v/>
      </c>
      <c r="Z18" t="str">
        <f>IF(OR(Tulokset!$G$24="",Tulokset!$I$24="",'15'!$I$25="",'15'!$K$25=""),"",IF(SIGN('15'!$I$25-'15'!$K$25)&lt;&gt;SIGN(Tulokset!$G$24-Tulokset!$I$24),0,IF(Tulokset!$G$24=Tulokset!$I$24,IF(AND('15'!$I$25=Tulokset!$G$24,'15'!$K$25=Tulokset!$I$24),6,3),MAX(0,6-(ABS('15'!$I$25-Tulokset!$G$24)+ABS('15'!$K$25-Tulokset!$I$24))))))</f>
        <v/>
      </c>
      <c r="AA18" t="str">
        <f>IF(OR(Tulokset!$G$25="",Tulokset!$I$25="",'15'!$I$26="",'15'!$K$26=""),"",IF(SIGN('15'!$I$26-'15'!$K$26)&lt;&gt;SIGN(Tulokset!$G$25-Tulokset!$I$25),0,IF(Tulokset!$G$25=Tulokset!$I$25,IF(AND('15'!$I$26=Tulokset!$G$25,'15'!$K$26=Tulokset!$I$25),6,3),MAX(0,6-(ABS('15'!$I$26-Tulokset!$G$25)+ABS('15'!$K$26-Tulokset!$I$25))))))</f>
        <v/>
      </c>
      <c r="AB18" t="str">
        <f>IF(OR(Tulokset!$G$26="",Tulokset!$I$26="",'15'!$I$27="",'15'!$K$27=""),"",IF(SIGN('15'!$I$27-'15'!$K$27)&lt;&gt;SIGN(Tulokset!$G$26-Tulokset!$I$26),0,IF(Tulokset!$G$26=Tulokset!$I$26,IF(AND('15'!$I$27=Tulokset!$G$26,'15'!$K$27=Tulokset!$I$26),6,3),MAX(0,6-(ABS('15'!$I$27-Tulokset!$G$26)+ABS('15'!$K$27-Tulokset!$I$26))))))</f>
        <v/>
      </c>
      <c r="AC18" t="str">
        <f>IF(OR(Tulokset!$G$27="",Tulokset!$I$27="",'15'!$I$28="",'15'!$K$28=""),"",IF(SIGN('15'!$I$28-'15'!$K$28)&lt;&gt;SIGN(Tulokset!$G$27-Tulokset!$I$27),0,IF(Tulokset!$G$27=Tulokset!$I$27,IF(AND('15'!$I$28=Tulokset!$G$27,'15'!$K$28=Tulokset!$I$27),6,3),MAX(0,6-(ABS('15'!$I$28-Tulokset!$G$27)+ABS('15'!$K$28-Tulokset!$I$27))))))</f>
        <v/>
      </c>
      <c r="AD18" t="str">
        <f>IF(OR(Tulokset!$G$28="",Tulokset!$I$28="",'15'!$I$29="",'15'!$K$29=""),"",IF(SIGN('15'!$I$29-'15'!$K$29)&lt;&gt;SIGN(Tulokset!$G$28-Tulokset!$I$28),0,IF(Tulokset!$G$28=Tulokset!$I$28,IF(AND('15'!$I$29=Tulokset!$G$28,'15'!$K$29=Tulokset!$I$28),6,3),MAX(0,6-(ABS('15'!$I$29-Tulokset!$G$28)+ABS('15'!$K$29-Tulokset!$I$28))))))</f>
        <v/>
      </c>
      <c r="AE18" t="str">
        <f>IF(OR(Tulokset!$G$29="",Tulokset!$I$29="",'15'!$I$30="",'15'!$K$30=""),"",IF(SIGN('15'!$I$30-'15'!$K$30)&lt;&gt;SIGN(Tulokset!$G$29-Tulokset!$I$29),0,IF(Tulokset!$G$29=Tulokset!$I$29,IF(AND('15'!$I$30=Tulokset!$G$29,'15'!$K$30=Tulokset!$I$29),6,3),MAX(0,6-(ABS('15'!$I$30-Tulokset!$G$29)+ABS('15'!$K$30-Tulokset!$I$29))))))</f>
        <v/>
      </c>
      <c r="AF18" t="str">
        <f>IF(OR(Tulokset!$G$30="",Tulokset!$I$30="",'15'!$I$31="",'15'!$K$31=""),"",IF(SIGN('15'!$I$31-'15'!$K$31)&lt;&gt;SIGN(Tulokset!$G$30-Tulokset!$I$30),0,IF(Tulokset!$G$30=Tulokset!$I$30,IF(AND('15'!$I$31=Tulokset!$G$30,'15'!$K$31=Tulokset!$I$30),6,3),MAX(0,6-(ABS('15'!$I$31-Tulokset!$G$30)+ABS('15'!$K$31-Tulokset!$I$30))))))</f>
        <v/>
      </c>
      <c r="AG18" t="str">
        <f>IF(OR(Tulokset!$G$31="",Tulokset!$I$31="",'15'!$I$32="",'15'!$K$32=""),"",IF(SIGN('15'!$I$32-'15'!$K$32)&lt;&gt;SIGN(Tulokset!$G$31-Tulokset!$I$31),0,IF(Tulokset!$G$31=Tulokset!$I$31,IF(AND('15'!$I$32=Tulokset!$G$31,'15'!$K$32=Tulokset!$I$31),6,3),MAX(0,6-(ABS('15'!$I$32-Tulokset!$G$31)+ABS('15'!$K$32-Tulokset!$I$31))))))</f>
        <v/>
      </c>
      <c r="AH18" t="str">
        <f>IF(OR(Tulokset!$G$32="",Tulokset!$I$32="",'15'!$I$33="",'15'!$K$33=""),"",IF(SIGN('15'!$I$33-'15'!$K$33)&lt;&gt;SIGN(Tulokset!$G$32-Tulokset!$I$32),0,IF(Tulokset!$G$32=Tulokset!$I$32,IF(AND('15'!$I$33=Tulokset!$G$32,'15'!$K$33=Tulokset!$I$32),6,3),MAX(0,6-(ABS('15'!$I$33-Tulokset!$G$32)+ABS('15'!$K$33-Tulokset!$I$32))))))</f>
        <v/>
      </c>
      <c r="AI18" t="str">
        <f>IF(OR(Tulokset!$G$33="",Tulokset!$I$33="",'15'!$I$34="",'15'!$K$34=""),"",IF(SIGN('15'!$I$34-'15'!$K$34)&lt;&gt;SIGN(Tulokset!$G$33-Tulokset!$I$33),0,IF(Tulokset!$G$33=Tulokset!$I$33,IF(AND('15'!$I$34=Tulokset!$G$33,'15'!$K$34=Tulokset!$I$33),6,3),MAX(0,6-(ABS('15'!$I$34-Tulokset!$G$33)+ABS('15'!$K$34-Tulokset!$I$33))))))</f>
        <v/>
      </c>
      <c r="AJ18" t="str">
        <f>IF(OR(Tulokset!$G$34="",Tulokset!$I$34="",'15'!$I$35="",'15'!$K$35=""),"",IF(SIGN('15'!$I$35-'15'!$K$35)&lt;&gt;SIGN(Tulokset!$G$34-Tulokset!$I$34),0,IF(Tulokset!$G$34=Tulokset!$I$34,IF(AND('15'!$I$35=Tulokset!$G$34,'15'!$K$35=Tulokset!$I$34),6,3),MAX(0,6-(ABS('15'!$I$35-Tulokset!$G$34)+ABS('15'!$K$35-Tulokset!$I$34))))))</f>
        <v/>
      </c>
      <c r="AK18" t="str">
        <f>IF(OR(Tulokset!$G$35="",Tulokset!$I$35="",'15'!$I$36="",'15'!$K$36=""),"",IF(SIGN('15'!$I$36-'15'!$K$36)&lt;&gt;SIGN(Tulokset!$G$35-Tulokset!$I$35),0,IF(Tulokset!$G$35=Tulokset!$I$35,IF(AND('15'!$I$36=Tulokset!$G$35,'15'!$K$36=Tulokset!$I$35),6,3),MAX(0,6-(ABS('15'!$I$36-Tulokset!$G$35)+ABS('15'!$K$36-Tulokset!$I$35))))))</f>
        <v/>
      </c>
      <c r="AL18" t="str">
        <f>IF(OR(Tulokset!$G$36="",Tulokset!$I$36="",'15'!$I$37="",'15'!$K$37=""),"",IF(SIGN('15'!$I$37-'15'!$K$37)&lt;&gt;SIGN(Tulokset!$G$36-Tulokset!$I$36),0,IF(Tulokset!$G$36=Tulokset!$I$36,IF(AND('15'!$I$37=Tulokset!$G$36,'15'!$K$37=Tulokset!$I$36),6,3),MAX(0,6-(ABS('15'!$I$37-Tulokset!$G$36)+ABS('15'!$K$37-Tulokset!$I$36))))))</f>
        <v/>
      </c>
      <c r="AM18" t="str">
        <f>IF(OR(Tulokset!$G$37="",Tulokset!$I$37="",'15'!$I$38="",'15'!$K$38=""),"",IF(SIGN('15'!$I$38-'15'!$K$38)&lt;&gt;SIGN(Tulokset!$G$37-Tulokset!$I$37),0,IF(Tulokset!$G$37=Tulokset!$I$37,IF(AND('15'!$I$38=Tulokset!$G$37,'15'!$K$38=Tulokset!$I$37),6,3),MAX(0,6-(ABS('15'!$I$38-Tulokset!$G$37)+ABS('15'!$K$38-Tulokset!$I$37))))))</f>
        <v/>
      </c>
      <c r="AN18" t="str">
        <f>IF(OR(Tulokset!$G$38="",Tulokset!$I$38="",'15'!$I$39="",'15'!$K$39=""),"",IF(SIGN('15'!$I$39-'15'!$K$39)&lt;&gt;SIGN(Tulokset!$G$38-Tulokset!$I$38),0,IF(Tulokset!$G$38=Tulokset!$I$38,IF(AND('15'!$I$39=Tulokset!$G$38,'15'!$K$39=Tulokset!$I$38),6,3),MAX(0,6-(ABS('15'!$I$39-Tulokset!$G$38)+ABS('15'!$K$39-Tulokset!$I$38))))))</f>
        <v/>
      </c>
      <c r="AO18" t="str">
        <f>IF(OR(Tulokset!$G$39="",Tulokset!$I$39="",'15'!$I$40="",'15'!$K$40=""),"",IF(SIGN('15'!$I$40-'15'!$K$40)&lt;&gt;SIGN(Tulokset!$G$39-Tulokset!$I$39),0,IF(Tulokset!$G$39=Tulokset!$I$39,IF(AND('15'!$I$40=Tulokset!$G$39,'15'!$K$40=Tulokset!$I$39),6,3),MAX(0,6-(ABS('15'!$I$40-Tulokset!$G$39)+ABS('15'!$K$40-Tulokset!$I$39))))))</f>
        <v/>
      </c>
      <c r="AP18" t="str">
        <f>IF(OR(Tulokset!$G$40="",Tulokset!$I$40="",'15'!$I$41="",'15'!$K$41=""),"",IF(SIGN('15'!$I$41-'15'!$K$41)&lt;&gt;SIGN(Tulokset!$G$40-Tulokset!$I$40),0,IF(Tulokset!$G$40=Tulokset!$I$40,IF(AND('15'!$I$41=Tulokset!$G$40,'15'!$K$41=Tulokset!$I$40),6,3),MAX(0,6-(ABS('15'!$I$41-Tulokset!$G$40)+ABS('15'!$K$41-Tulokset!$I$40))))))</f>
        <v/>
      </c>
      <c r="AQ18" t="str">
        <f>IF(OR(Tulokset!$G$41="",Tulokset!$I$41="",'15'!$I$42="",'15'!$K$42=""),"",IF(SIGN('15'!$I$42-'15'!$K$42)&lt;&gt;SIGN(Tulokset!$G$41-Tulokset!$I$41),0,IF(Tulokset!$G$41=Tulokset!$I$41,IF(AND('15'!$I$42=Tulokset!$G$41,'15'!$K$42=Tulokset!$I$41),6,3),MAX(0,6-(ABS('15'!$I$42-Tulokset!$G$41)+ABS('15'!$K$42-Tulokset!$I$41))))))</f>
        <v/>
      </c>
      <c r="AR18" t="str">
        <f>IF(OR(Tulokset!$G$42="",Tulokset!$I$42="",'15'!$I$43="",'15'!$K$43=""),"",IF(SIGN('15'!$I$43-'15'!$K$43)&lt;&gt;SIGN(Tulokset!$G$42-Tulokset!$I$42),0,IF(Tulokset!$G$42=Tulokset!$I$42,IF(AND('15'!$I$43=Tulokset!$G$42,'15'!$K$43=Tulokset!$I$42),6,3),MAX(0,6-(ABS('15'!$I$43-Tulokset!$G$42)+ABS('15'!$K$43-Tulokset!$I$42))))))</f>
        <v/>
      </c>
      <c r="AS18" t="str">
        <f>IF(OR(Tulokset!$G$43="",Tulokset!$I$43="",'15'!$I$44="",'15'!$K$44=""),"",IF(SIGN('15'!$I$44-'15'!$K$44)&lt;&gt;SIGN(Tulokset!$G$43-Tulokset!$I$43),0,IF(Tulokset!$G$43=Tulokset!$I$43,IF(AND('15'!$I$44=Tulokset!$G$43,'15'!$K$44=Tulokset!$I$43),6,3),MAX(0,6-(ABS('15'!$I$44-Tulokset!$G$43)+ABS('15'!$K$44-Tulokset!$I$43))))))</f>
        <v/>
      </c>
      <c r="AT18" t="str">
        <f>IF(OR(Tulokset!$G$44="",Tulokset!$I$44="",'15'!$I$45="",'15'!$K$45=""),"",IF(SIGN('15'!$I$45-'15'!$K$45)&lt;&gt;SIGN(Tulokset!$G$44-Tulokset!$I$44),0,IF(Tulokset!$G$44=Tulokset!$I$44,IF(AND('15'!$I$45=Tulokset!$G$44,'15'!$K$45=Tulokset!$I$44),6,3),MAX(0,6-(ABS('15'!$I$45-Tulokset!$G$44)+ABS('15'!$K$45-Tulokset!$I$44))))))</f>
        <v/>
      </c>
      <c r="AU18" t="str">
        <f>IF(OR(Tulokset!$G$45="",Tulokset!$I$45="",'15'!$I$46="",'15'!$K$46=""),"",IF(SIGN('15'!$I$46-'15'!$K$46)&lt;&gt;SIGN(Tulokset!$G$45-Tulokset!$I$45),0,IF(Tulokset!$G$45=Tulokset!$I$45,IF(AND('15'!$I$46=Tulokset!$G$45,'15'!$K$46=Tulokset!$I$45),6,3),MAX(0,6-(ABS('15'!$I$46-Tulokset!$G$45)+ABS('15'!$K$46-Tulokset!$I$45))))))</f>
        <v/>
      </c>
      <c r="AV18" t="str">
        <f>IF(OR(Tulokset!$G$46="",Tulokset!$I$46="",'15'!$I$47="",'15'!$K$47=""),"",IF(SIGN('15'!$I$47-'15'!$K$47)&lt;&gt;SIGN(Tulokset!$G$46-Tulokset!$I$46),0,IF(Tulokset!$G$46=Tulokset!$I$46,IF(AND('15'!$I$47=Tulokset!$G$46,'15'!$K$47=Tulokset!$I$46),6,3),MAX(0,6-(ABS('15'!$I$47-Tulokset!$G$46)+ABS('15'!$K$47-Tulokset!$I$46))))))</f>
        <v/>
      </c>
      <c r="AW18" t="str">
        <f>IF(OR(Tulokset!$G$47="",Tulokset!$I$47="",'15'!$I$48="",'15'!$K$48=""),"",IF(SIGN('15'!$I$48-'15'!$K$48)&lt;&gt;SIGN(Tulokset!$G$47-Tulokset!$I$47),0,IF(Tulokset!$G$47=Tulokset!$I$47,IF(AND('15'!$I$48=Tulokset!$G$47,'15'!$K$48=Tulokset!$I$47),6,3),MAX(0,6-(ABS('15'!$I$48-Tulokset!$G$47)+ABS('15'!$K$48-Tulokset!$I$47))))))</f>
        <v/>
      </c>
      <c r="AX18" t="str">
        <f>IF(OR(Tulokset!$G$48="",Tulokset!$I$48="",'15'!$I$49="",'15'!$K$49=""),"",IF(SIGN('15'!$I$49-'15'!$K$49)&lt;&gt;SIGN(Tulokset!$G$48-Tulokset!$I$48),0,IF(Tulokset!$G$48=Tulokset!$I$48,IF(AND('15'!$I$49=Tulokset!$G$48,'15'!$K$49=Tulokset!$I$48),6,3),MAX(0,6-(ABS('15'!$I$49-Tulokset!$G$48)+ABS('15'!$K$49-Tulokset!$I$48))))))</f>
        <v/>
      </c>
      <c r="AY18" t="str">
        <f>IF(OR(Tulokset!$G$49="",Tulokset!$I$49="",'15'!$I$50="",'15'!$K$50=""),"",IF(SIGN('15'!$I$50-'15'!$K$50)&lt;&gt;SIGN(Tulokset!$G$49-Tulokset!$I$49),0,IF(Tulokset!$G$49=Tulokset!$I$49,IF(AND('15'!$I$50=Tulokset!$G$49,'15'!$K$50=Tulokset!$I$49),6,3),MAX(0,6-(ABS('15'!$I$50-Tulokset!$G$49)+ABS('15'!$K$50-Tulokset!$I$49))))))</f>
        <v/>
      </c>
      <c r="AZ18" t="str">
        <f>IF(OR(Tulokset!$G$50="",Tulokset!$I$50="",'15'!$I$51="",'15'!$K$51=""),"",IF(SIGN('15'!$I$51-'15'!$K$51)&lt;&gt;SIGN(Tulokset!$G$50-Tulokset!$I$50),0,IF(Tulokset!$G$50=Tulokset!$I$50,IF(AND('15'!$I$51=Tulokset!$G$50,'15'!$K$51=Tulokset!$I$50),6,3),MAX(0,6-(ABS('15'!$I$51-Tulokset!$G$50)+ABS('15'!$K$51-Tulokset!$I$50))))))</f>
        <v/>
      </c>
      <c r="BA18" t="str">
        <f>IF(OR(Tulokset!$G$51="",Tulokset!$I$51="",'15'!$I$52="",'15'!$K$52=""),"",IF(SIGN('15'!$I$52-'15'!$K$52)&lt;&gt;SIGN(Tulokset!$G$51-Tulokset!$I$51),0,IF(Tulokset!$G$51=Tulokset!$I$51,IF(AND('15'!$I$52=Tulokset!$G$51,'15'!$K$52=Tulokset!$I$51),6,3),MAX(0,6-(ABS('15'!$I$52-Tulokset!$G$51)+ABS('15'!$K$52-Tulokset!$I$51))))))</f>
        <v/>
      </c>
      <c r="BB18" t="str">
        <f>IF(OR(Tulokset!$G$52="",Tulokset!$I$52="",'15'!$I$53="",'15'!$K$53=""),"",IF(SIGN('15'!$I$53-'15'!$K$53)&lt;&gt;SIGN(Tulokset!$G$52-Tulokset!$I$52),0,IF(Tulokset!$G$52=Tulokset!$I$52,IF(AND('15'!$I$53=Tulokset!$G$52,'15'!$K$53=Tulokset!$I$52),6,3),MAX(0,6-(ABS('15'!$I$53-Tulokset!$G$52)+ABS('15'!$K$53-Tulokset!$I$52))))))</f>
        <v/>
      </c>
      <c r="BC18" t="str">
        <f>IF(OR(Tulokset!$G$53="",Tulokset!$I$53="",'15'!$I$54="",'15'!$K$54=""),"",IF(SIGN('15'!$I$54-'15'!$K$54)&lt;&gt;SIGN(Tulokset!$G$53-Tulokset!$I$53),0,IF(Tulokset!$G$53=Tulokset!$I$53,IF(AND('15'!$I$54=Tulokset!$G$53,'15'!$K$54=Tulokset!$I$53),6,3),MAX(0,6-(ABS('15'!$I$54-Tulokset!$G$53)+ABS('15'!$K$54-Tulokset!$I$53))))))</f>
        <v/>
      </c>
      <c r="BD18" t="str">
        <f>IF(OR(Tulokset!$G$54="",Tulokset!$I$54="",'15'!$I$55="",'15'!$K$55=""),"",IF(SIGN('15'!$I$55-'15'!$K$55)&lt;&gt;SIGN(Tulokset!$G$54-Tulokset!$I$54),0,IF(Tulokset!$G$54=Tulokset!$I$54,IF(AND('15'!$I$55=Tulokset!$G$54,'15'!$K$55=Tulokset!$I$54),6,3),MAX(0,6-(ABS('15'!$I$55-Tulokset!$G$54)+ABS('15'!$K$55-Tulokset!$I$54))))))</f>
        <v/>
      </c>
      <c r="BE18" t="str">
        <f>IF(OR(Tulokset!$G$55="",Tulokset!$I$55="",'15'!$I$56="",'15'!$K$56=""),"",IF(SIGN('15'!$I$56-'15'!$K$56)&lt;&gt;SIGN(Tulokset!$G$55-Tulokset!$I$55),0,IF(Tulokset!$G$55=Tulokset!$I$55,IF(AND('15'!$I$56=Tulokset!$G$55,'15'!$K$56=Tulokset!$I$55),6,3),MAX(0,6-(ABS('15'!$I$56-Tulokset!$G$55)+ABS('15'!$K$56-Tulokset!$I$55))))))</f>
        <v/>
      </c>
      <c r="BF18" t="str">
        <f>IF(OR(Tulokset!$G$56="",Tulokset!$I$56="",'15'!$I$57="",'15'!$K$57=""),"",IF(SIGN('15'!$I$57-'15'!$K$57)&lt;&gt;SIGN(Tulokset!$G$56-Tulokset!$I$56),0,IF(Tulokset!$G$56=Tulokset!$I$56,IF(AND('15'!$I$57=Tulokset!$G$56,'15'!$K$57=Tulokset!$I$56),6,3),MAX(0,6-(ABS('15'!$I$57-Tulokset!$G$56)+ABS('15'!$K$57-Tulokset!$I$56))))))</f>
        <v/>
      </c>
      <c r="BG18" t="str">
        <f>IF(OR(Tulokset!$G$57="",Tulokset!$I$57="",'15'!$I$58="",'15'!$K$58=""),"",IF(SIGN('15'!$I$58-'15'!$K$58)&lt;&gt;SIGN(Tulokset!$G$57-Tulokset!$I$57),0,IF(Tulokset!$G$57=Tulokset!$I$57,IF(AND('15'!$I$58=Tulokset!$G$57,'15'!$K$58=Tulokset!$I$57),6,3),MAX(0,6-(ABS('15'!$I$58-Tulokset!$G$57)+ABS('15'!$K$58-Tulokset!$I$57))))))</f>
        <v/>
      </c>
      <c r="BH18" t="str">
        <f>IF(OR(Tulokset!$G$58="",Tulokset!$I$58="",'15'!$I$59="",'15'!$K$59=""),"",IF(SIGN('15'!$I$59-'15'!$K$59)&lt;&gt;SIGN(Tulokset!$G$58-Tulokset!$I$58),0,IF(Tulokset!$G$58=Tulokset!$I$58,IF(AND('15'!$I$59=Tulokset!$G$58,'15'!$K$59=Tulokset!$I$58),6,3),MAX(0,6-(ABS('15'!$I$59-Tulokset!$G$58)+ABS('15'!$K$59-Tulokset!$I$58))))))</f>
        <v/>
      </c>
      <c r="BI18" t="str">
        <f>IF(OR(Tulokset!$G$59="",Tulokset!$I$59="",'15'!$I$60="",'15'!$K$60=""),"",IF(SIGN('15'!$I$60-'15'!$K$60)&lt;&gt;SIGN(Tulokset!$G$59-Tulokset!$I$59),0,IF(Tulokset!$G$59=Tulokset!$I$59,IF(AND('15'!$I$60=Tulokset!$G$59,'15'!$K$60=Tulokset!$I$59),6,3),MAX(0,6-(ABS('15'!$I$60-Tulokset!$G$59)+ABS('15'!$K$60-Tulokset!$I$59))))))</f>
        <v/>
      </c>
      <c r="BJ18" t="str">
        <f>IF(OR(Tulokset!$G$60="",Tulokset!$I$60="",'15'!$I$61="",'15'!$K$61=""),"",IF(SIGN('15'!$I$61-'15'!$K$61)&lt;&gt;SIGN(Tulokset!$G$60-Tulokset!$I$60),0,IF(Tulokset!$G$60=Tulokset!$I$60,IF(AND('15'!$I$61=Tulokset!$G$60,'15'!$K$61=Tulokset!$I$60),6,3),MAX(0,6-(ABS('15'!$I$61-Tulokset!$G$60)+ABS('15'!$K$61-Tulokset!$I$60))))))</f>
        <v/>
      </c>
      <c r="BK18" t="str">
        <f>IF(OR(Tulokset!$G$61="",Tulokset!$I$61="",'15'!$I$62="",'15'!$K$62=""),"",IF(SIGN('15'!$I$62-'15'!$K$62)&lt;&gt;SIGN(Tulokset!$G$61-Tulokset!$I$61),0,IF(Tulokset!$G$61=Tulokset!$I$61,IF(AND('15'!$I$62=Tulokset!$G$61,'15'!$K$62=Tulokset!$I$61),6,3),MAX(0,6-(ABS('15'!$I$62-Tulokset!$G$61)+ABS('15'!$K$62-Tulokset!$I$61))))))</f>
        <v/>
      </c>
      <c r="BL18" t="str">
        <f>IF(OR(Tulokset!$G$62="",Tulokset!$I$62="",'15'!$I$63="",'15'!$K$63=""),"",IF(SIGN('15'!$I$63-'15'!$K$63)&lt;&gt;SIGN(Tulokset!$G$62-Tulokset!$I$62),0,IF(Tulokset!$G$62=Tulokset!$I$62,IF(AND('15'!$I$63=Tulokset!$G$62,'15'!$K$63=Tulokset!$I$62),6,3),MAX(0,6-(ABS('15'!$I$63-Tulokset!$G$62)+ABS('15'!$K$63-Tulokset!$I$62))))))</f>
        <v/>
      </c>
      <c r="BM18" t="str">
        <f>IF(OR(Tulokset!$G$63="",Tulokset!$I$63="",'15'!$I$64="",'15'!$K$64=""),"",IF(SIGN('15'!$I$64-'15'!$K$64)&lt;&gt;SIGN(Tulokset!$G$63-Tulokset!$I$63),0,IF(Tulokset!$G$63=Tulokset!$I$63,IF(AND('15'!$I$64=Tulokset!$G$63,'15'!$K$64=Tulokset!$I$63),6,3),MAX(0,6-(ABS('15'!$I$64-Tulokset!$G$63)+ABS('15'!$K$64-Tulokset!$I$63))))))</f>
        <v/>
      </c>
      <c r="BN18" t="str">
        <f>IF(OR(Tulokset!$G$64="",Tulokset!$I$64="",'15'!$I$65="",'15'!$K$65=""),"",IF(SIGN('15'!$I$65-'15'!$K$65)&lt;&gt;SIGN(Tulokset!$G$64-Tulokset!$I$64),0,IF(Tulokset!$G$64=Tulokset!$I$64,IF(AND('15'!$I$65=Tulokset!$G$64,'15'!$K$65=Tulokset!$I$64),6,3),MAX(0,6-(ABS('15'!$I$65-Tulokset!$G$64)+ABS('15'!$K$65-Tulokset!$I$64))))))</f>
        <v/>
      </c>
      <c r="BO18" t="str">
        <f>IF(OR(Tulokset!$G$65="",Tulokset!$I$65="",'15'!$I$66="",'15'!$K$66=""),"",IF(SIGN('15'!$I$66-'15'!$K$66)&lt;&gt;SIGN(Tulokset!$G$65-Tulokset!$I$65),0,IF(Tulokset!$G$65=Tulokset!$I$65,IF(AND('15'!$I$66=Tulokset!$G$65,'15'!$K$66=Tulokset!$I$65),6,3),MAX(0,6-(ABS('15'!$I$66-Tulokset!$G$65)+ABS('15'!$K$66-Tulokset!$I$65))))))</f>
        <v/>
      </c>
      <c r="BP18" t="str">
        <f>IF(OR(Tulokset!$G$66="",Tulokset!$I$66="",'15'!$I$67="",'15'!$K$67=""),"",IF(SIGN('15'!$I$67-'15'!$K$67)&lt;&gt;SIGN(Tulokset!$G$66-Tulokset!$I$66),0,IF(Tulokset!$G$66=Tulokset!$I$66,IF(AND('15'!$I$67=Tulokset!$G$66,'15'!$K$67=Tulokset!$I$66),6,3),MAX(0,6-(ABS('15'!$I$67-Tulokset!$G$66)+ABS('15'!$K$67-Tulokset!$I$66))))))</f>
        <v/>
      </c>
      <c r="BQ18" t="str">
        <f>IF(OR(Tulokset!$G$67="",Tulokset!$I$67="",'15'!$I$68="",'15'!$K$68=""),"",IF(SIGN('15'!$I$68-'15'!$K$68)&lt;&gt;SIGN(Tulokset!$G$67-Tulokset!$I$67),0,IF(Tulokset!$G$67=Tulokset!$I$67,IF(AND('15'!$I$68=Tulokset!$G$67,'15'!$K$68=Tulokset!$I$67),6,3),MAX(0,6-(ABS('15'!$I$68-Tulokset!$G$67)+ABS('15'!$K$68-Tulokset!$I$67))))))</f>
        <v/>
      </c>
      <c r="BR18" t="str">
        <f>IF(OR(Tulokset!$G$68="",Tulokset!$I$68="",'15'!$I$69="",'15'!$K$69=""),"",IF(SIGN('15'!$I$69-'15'!$K$69)&lt;&gt;SIGN(Tulokset!$G$68-Tulokset!$I$68),0,IF(Tulokset!$G$68=Tulokset!$I$68,IF(AND('15'!$I$69=Tulokset!$G$68,'15'!$K$69=Tulokset!$I$68),6,3),MAX(0,6-(ABS('15'!$I$69-Tulokset!$G$68)+ABS('15'!$K$69-Tulokset!$I$68))))))</f>
        <v/>
      </c>
      <c r="BS18" t="str">
        <f>IF(OR(Tulokset!$G$69="",Tulokset!$I$69="",'15'!$I$70="",'15'!$K$70=""),"",IF(SIGN('15'!$I$70-'15'!$K$70)&lt;&gt;SIGN(Tulokset!$G$69-Tulokset!$I$69),0,IF(Tulokset!$G$69=Tulokset!$I$69,IF(AND('15'!$I$70=Tulokset!$G$69,'15'!$K$70=Tulokset!$I$69),6,3),MAX(0,6-(ABS('15'!$I$70-Tulokset!$G$69)+ABS('15'!$K$70-Tulokset!$I$69))))))</f>
        <v/>
      </c>
      <c r="BT18" t="str">
        <f>IF(OR(Tulokset!$G$70="",Tulokset!$I$70="",'15'!$I$71="",'15'!$K$71=""),"",IF(SIGN('15'!$I$71-'15'!$K$71)&lt;&gt;SIGN(Tulokset!$G$70-Tulokset!$I$70),0,IF(Tulokset!$G$70=Tulokset!$I$70,IF(AND('15'!$I$71=Tulokset!$G$70,'15'!$K$71=Tulokset!$I$70),6,3),MAX(0,6-(ABS('15'!$I$71-Tulokset!$G$70)+ABS('15'!$K$71-Tulokset!$I$70))))))</f>
        <v/>
      </c>
      <c r="BU18" t="str">
        <f>IF(OR(Tulokset!$G$71="",Tulokset!$I$71="",'15'!$I$72="",'15'!$K$72=""),"",IF(SIGN('15'!$I$72-'15'!$K$72)&lt;&gt;SIGN(Tulokset!$G$71-Tulokset!$I$71),0,IF(Tulokset!$G$71=Tulokset!$I$71,IF(AND('15'!$I$72=Tulokset!$G$71,'15'!$K$72=Tulokset!$I$71),6,3),MAX(0,6-(ABS('15'!$I$72-Tulokset!$G$71)+ABS('15'!$K$72-Tulokset!$I$71))))))</f>
        <v/>
      </c>
      <c r="BV18" t="str">
        <f>IF(OR(Tulokset!$G$72="",Tulokset!$I$72="",'15'!$I$73="",'15'!$K$73=""),"",IF(SIGN('15'!$I$73-'15'!$K$73)&lt;&gt;SIGN(Tulokset!$G$72-Tulokset!$I$72),0,IF(Tulokset!$G$72=Tulokset!$I$72,IF(AND('15'!$I$73=Tulokset!$G$72,'15'!$K$73=Tulokset!$I$72),6,3),MAX(0,6-(ABS('15'!$I$73-Tulokset!$G$72)+ABS('15'!$K$73-Tulokset!$I$72))))))</f>
        <v/>
      </c>
      <c r="BW18" t="str">
        <f>IF(OR(Tulokset!$G$73="",Tulokset!$I$73="",'15'!$I$74="",'15'!$K$74=""),"",IF(SIGN('15'!$I$74-'15'!$K$74)&lt;&gt;SIGN(Tulokset!$G$73-Tulokset!$I$73),0,IF(Tulokset!$G$73=Tulokset!$I$73,IF(AND('15'!$I$74=Tulokset!$G$73,'15'!$K$74=Tulokset!$I$73),6,3),MAX(0,6-(ABS('15'!$I$74-Tulokset!$G$73)+ABS('15'!$K$74-Tulokset!$I$73))))))</f>
        <v/>
      </c>
      <c r="BX18" t="str">
        <f>IF(OR(Tulokset!$G$74="",Tulokset!$I$74="",'15'!$I$75="",'15'!$K$75=""),"",IF(SIGN('15'!$I$75-'15'!$K$75)&lt;&gt;SIGN(Tulokset!$G$74-Tulokset!$I$74),0,IF(Tulokset!$G$74=Tulokset!$I$74,IF(AND('15'!$I$75=Tulokset!$G$74,'15'!$K$75=Tulokset!$I$74),6,3),MAX(0,6-(ABS('15'!$I$75-Tulokset!$G$74)+ABS('15'!$K$75-Tulokset!$I$74))))))</f>
        <v/>
      </c>
      <c r="BY18" t="str">
        <f>IF(OR(Tulokset!$G$75="",Tulokset!$I$75="",'15'!$I$76="",'15'!$K$76=""),"",IF(SIGN('15'!$I$76-'15'!$K$76)&lt;&gt;SIGN(Tulokset!$G$75-Tulokset!$I$75),0,IF(Tulokset!$G$75=Tulokset!$I$75,IF(AND('15'!$I$76=Tulokset!$G$75,'15'!$K$76=Tulokset!$I$75),6,3),MAX(0,6-(ABS('15'!$I$76-Tulokset!$G$75)+ABS('15'!$K$76-Tulokset!$I$75))))))</f>
        <v/>
      </c>
      <c r="BZ18" t="str">
        <f>IF(OR(Tulokset!$G$76="",Tulokset!$I$76="",'15'!$I$77="",'15'!$K$77=""),"",IF(SIGN('15'!$I$77-'15'!$K$77)&lt;&gt;SIGN(Tulokset!$G$76-Tulokset!$I$76),0,IF(Tulokset!$G$76=Tulokset!$I$76,IF(AND('15'!$I$77=Tulokset!$G$76,'15'!$K$77=Tulokset!$I$76),6,3),MAX(0,6-(ABS('15'!$I$77-Tulokset!$G$76)+ABS('15'!$K$77-Tulokset!$I$76))))))</f>
        <v/>
      </c>
      <c r="CA18" t="str">
        <f>IF(OR(Tulokset!$G$77="",Tulokset!$I$77="",'15'!$I$78="",'15'!$K$78=""),"",IF(SIGN('15'!$I$78-'15'!$K$78)&lt;&gt;SIGN(Tulokset!$G$77-Tulokset!$I$77),0,IF(Tulokset!$G$77=Tulokset!$I$77,IF(AND('15'!$I$78=Tulokset!$G$77,'15'!$K$78=Tulokset!$I$77),6,3),MAX(0,6-(ABS('15'!$I$78-Tulokset!$G$77)+ABS('15'!$K$78-Tulokset!$I$77))))))</f>
        <v/>
      </c>
      <c r="CD18" t="str">
        <f ca="1">IF(OR(Tulokset!$M$6="",INDIRECT("'"&amp;$A18&amp;"'!$P$8")=""),"",IF(TRIM(INDIRECT("'"&amp;$A18&amp;"'!$P$8"))=TRIM(Tulokset!$M$6),2,0))</f>
        <v/>
      </c>
      <c r="CE18" t="str">
        <f ca="1">IF(OR(Tulokset!$M$7="",INDIRECT("'"&amp;$A18&amp;"'!$P$9")=""),"",IF(TRIM(INDIRECT("'"&amp;$A18&amp;"'!$P$9"))=TRIM(Tulokset!$M$7),2,0))</f>
        <v/>
      </c>
      <c r="CF18" t="str">
        <f ca="1">IF(OR(Tulokset!$M$8="",INDIRECT("'"&amp;$A18&amp;"'!$P$10")=""),"",IF(TRIM(INDIRECT("'"&amp;$A18&amp;"'!$P$10"))=TRIM(Tulokset!$M$8),2,0))</f>
        <v/>
      </c>
      <c r="CG18" t="str">
        <f ca="1">IF(OR(Tulokset!$M$9="",INDIRECT("'"&amp;$A18&amp;"'!$P$11")=""),"",IF(TRIM(INDIRECT("'"&amp;$A18&amp;"'!$P$11"))=TRIM(Tulokset!$M$9),2,0))</f>
        <v/>
      </c>
      <c r="CH18" t="str">
        <f ca="1">IF(OR(Tulokset!$N$6="",INDIRECT("'"&amp;$A18&amp;"'!$Q$8")=""),"",IF(TRIM(INDIRECT("'"&amp;$A18&amp;"'!$Q$8"))=TRIM(Tulokset!$N$6),2,0))</f>
        <v/>
      </c>
      <c r="CI18" t="str">
        <f ca="1">IF(OR(Tulokset!$N$7="",INDIRECT("'"&amp;$A18&amp;"'!$Q$9")=""),"",IF(TRIM(INDIRECT("'"&amp;$A18&amp;"'!$Q$9"))=TRIM(Tulokset!$N$7),2,0))</f>
        <v/>
      </c>
      <c r="CJ18" t="str">
        <f ca="1">IF(OR(Tulokset!$N$8="",INDIRECT("'"&amp;$A18&amp;"'!$Q$10")=""),"",IF(TRIM(INDIRECT("'"&amp;$A18&amp;"'!$Q$10"))=TRIM(Tulokset!$N$8),2,0))</f>
        <v/>
      </c>
      <c r="CK18" t="str">
        <f ca="1">IF(OR(Tulokset!$N$9="",INDIRECT("'"&amp;$A18&amp;"'!$Q$11")=""),"",IF(TRIM(INDIRECT("'"&amp;$A18&amp;"'!$Q$11"))=TRIM(Tulokset!$N$9),2,0))</f>
        <v/>
      </c>
      <c r="CL18" t="str">
        <f ca="1">IF(OR(Tulokset!$O$6="",INDIRECT("'"&amp;$A18&amp;"'!$R$8")=""),"",IF(TRIM(INDIRECT("'"&amp;$A18&amp;"'!$R$8"))=TRIM(Tulokset!$O$6),2,0))</f>
        <v/>
      </c>
      <c r="CM18" t="str">
        <f ca="1">IF(OR(Tulokset!$O$7="",INDIRECT("'"&amp;$A18&amp;"'!$R$9")=""),"",IF(TRIM(INDIRECT("'"&amp;$A18&amp;"'!$R$9"))=TRIM(Tulokset!$O$7),2,0))</f>
        <v/>
      </c>
      <c r="CN18" t="str">
        <f ca="1">IF(OR(Tulokset!$O$8="",INDIRECT("'"&amp;$A18&amp;"'!$R$10")=""),"",IF(TRIM(INDIRECT("'"&amp;$A18&amp;"'!$R$10"))=TRIM(Tulokset!$O$8),2,0))</f>
        <v/>
      </c>
      <c r="CO18" t="str">
        <f ca="1">IF(OR(Tulokset!$O$9="",INDIRECT("'"&amp;$A18&amp;"'!$R$11")=""),"",IF(TRIM(INDIRECT("'"&amp;$A18&amp;"'!$R$11"))=TRIM(Tulokset!$O$9),2,0))</f>
        <v/>
      </c>
      <c r="CP18" t="str">
        <f ca="1">IF(OR(Tulokset!$P$6="",INDIRECT("'"&amp;$A18&amp;"'!$S$8")=""),"",IF(TRIM(INDIRECT("'"&amp;$A18&amp;"'!$S$8"))=TRIM(Tulokset!$P$6),2,0))</f>
        <v/>
      </c>
      <c r="CQ18" t="str">
        <f ca="1">IF(OR(Tulokset!$P$7="",INDIRECT("'"&amp;$A18&amp;"'!$S$9")=""),"",IF(TRIM(INDIRECT("'"&amp;$A18&amp;"'!$S$9"))=TRIM(Tulokset!$P$7),2,0))</f>
        <v/>
      </c>
      <c r="CR18" t="str">
        <f ca="1">IF(OR(Tulokset!$P$8="",INDIRECT("'"&amp;$A18&amp;"'!$S$10")=""),"",IF(TRIM(INDIRECT("'"&amp;$A18&amp;"'!$S$10"))=TRIM(Tulokset!$P$8),2,0))</f>
        <v/>
      </c>
      <c r="CS18" t="str">
        <f ca="1">IF(OR(Tulokset!$P$9="",INDIRECT("'"&amp;$A18&amp;"'!$S$11")=""),"",IF(TRIM(INDIRECT("'"&amp;$A18&amp;"'!$S$11"))=TRIM(Tulokset!$P$9),2,0))</f>
        <v/>
      </c>
      <c r="CT18" t="str">
        <f ca="1">IF(OR(Tulokset!$Q$6="",INDIRECT("'"&amp;$A18&amp;"'!$T$8")=""),"",IF(TRIM(INDIRECT("'"&amp;$A18&amp;"'!$T$8"))=TRIM(Tulokset!$Q$6),2,0))</f>
        <v/>
      </c>
      <c r="CU18" t="str">
        <f ca="1">IF(OR(Tulokset!$Q$7="",INDIRECT("'"&amp;$A18&amp;"'!$T$9")=""),"",IF(TRIM(INDIRECT("'"&amp;$A18&amp;"'!$T$9"))=TRIM(Tulokset!$Q$7),2,0))</f>
        <v/>
      </c>
      <c r="CV18" t="str">
        <f ca="1">IF(OR(Tulokset!$Q$8="",INDIRECT("'"&amp;$A18&amp;"'!$T$10")=""),"",IF(TRIM(INDIRECT("'"&amp;$A18&amp;"'!$T$10"))=TRIM(Tulokset!$Q$8),2,0))</f>
        <v/>
      </c>
      <c r="CW18" t="str">
        <f ca="1">IF(OR(Tulokset!$Q$9="",INDIRECT("'"&amp;$A18&amp;"'!$T$11")=""),"",IF(TRIM(INDIRECT("'"&amp;$A18&amp;"'!$T$11"))=TRIM(Tulokset!$Q$9),2,0))</f>
        <v/>
      </c>
      <c r="CX18" t="str">
        <f ca="1">IF(OR(Tulokset!$R$6="",INDIRECT("'"&amp;$A18&amp;"'!$U$8")=""),"",IF(TRIM(INDIRECT("'"&amp;$A18&amp;"'!$U$8"))=TRIM(Tulokset!$R$6),2,0))</f>
        <v/>
      </c>
      <c r="CY18" t="str">
        <f ca="1">IF(OR(Tulokset!$R$7="",INDIRECT("'"&amp;$A18&amp;"'!$U$9")=""),"",IF(TRIM(INDIRECT("'"&amp;$A18&amp;"'!$U$9"))=TRIM(Tulokset!$R$7),2,0))</f>
        <v/>
      </c>
      <c r="CZ18" t="str">
        <f ca="1">IF(OR(Tulokset!$R$8="",INDIRECT("'"&amp;$A18&amp;"'!$U$10")=""),"",IF(TRIM(INDIRECT("'"&amp;$A18&amp;"'!$U$10"))=TRIM(Tulokset!$R$8),2,0))</f>
        <v/>
      </c>
      <c r="DA18" t="str">
        <f ca="1">IF(OR(Tulokset!$R$9="",INDIRECT("'"&amp;$A18&amp;"'!$U$11")=""),"",IF(TRIM(INDIRECT("'"&amp;$A18&amp;"'!$U$11"))=TRIM(Tulokset!$R$9),2,0))</f>
        <v/>
      </c>
      <c r="DB18" t="str">
        <f ca="1">IF(OR(Tulokset!$M$12="",INDIRECT("'"&amp;$A18&amp;"'!$P$14")=""),"",IF(TRIM(INDIRECT("'"&amp;$A18&amp;"'!$P$14"))=TRIM(Tulokset!$M$12),2,0))</f>
        <v/>
      </c>
      <c r="DC18" t="str">
        <f ca="1">IF(OR(Tulokset!$M$13="",INDIRECT("'"&amp;$A18&amp;"'!$P$15")=""),"",IF(TRIM(INDIRECT("'"&amp;$A18&amp;"'!$P$15"))=TRIM(Tulokset!$M$13),2,0))</f>
        <v/>
      </c>
      <c r="DD18" t="str">
        <f ca="1">IF(OR(Tulokset!$M$14="",INDIRECT("'"&amp;$A18&amp;"'!$P$16")=""),"",IF(TRIM(INDIRECT("'"&amp;$A18&amp;"'!$P$16"))=TRIM(Tulokset!$M$14),2,0))</f>
        <v/>
      </c>
      <c r="DE18" t="str">
        <f ca="1">IF(OR(Tulokset!$M$15="",INDIRECT("'"&amp;$A18&amp;"'!$P$17")=""),"",IF(TRIM(INDIRECT("'"&amp;$A18&amp;"'!$P$17"))=TRIM(Tulokset!$M$15),2,0))</f>
        <v/>
      </c>
      <c r="DF18" t="str">
        <f ca="1">IF(OR(Tulokset!$N$12="",INDIRECT("'"&amp;$A18&amp;"'!$Q$14")=""),"",IF(TRIM(INDIRECT("'"&amp;$A18&amp;"'!$Q$14"))=TRIM(Tulokset!$N$12),2,0))</f>
        <v/>
      </c>
      <c r="DG18" t="str">
        <f ca="1">IF(OR(Tulokset!$N$13="",INDIRECT("'"&amp;$A18&amp;"'!$Q$15")=""),"",IF(TRIM(INDIRECT("'"&amp;$A18&amp;"'!$Q$15"))=TRIM(Tulokset!$N$13),2,0))</f>
        <v/>
      </c>
      <c r="DH18" t="str">
        <f ca="1">IF(OR(Tulokset!$N$14="",INDIRECT("'"&amp;$A18&amp;"'!$Q$16")=""),"",IF(TRIM(INDIRECT("'"&amp;$A18&amp;"'!$Q$16"))=TRIM(Tulokset!$N$14),2,0))</f>
        <v/>
      </c>
      <c r="DI18" t="str">
        <f ca="1">IF(OR(Tulokset!$N$15="",INDIRECT("'"&amp;$A18&amp;"'!$Q$17")=""),"",IF(TRIM(INDIRECT("'"&amp;$A18&amp;"'!$Q$17"))=TRIM(Tulokset!$N$15),2,0))</f>
        <v/>
      </c>
      <c r="DJ18" t="str">
        <f ca="1">IF(OR(Tulokset!$O$12="",INDIRECT("'"&amp;$A18&amp;"'!$R$14")=""),"",IF(TRIM(INDIRECT("'"&amp;$A18&amp;"'!$R$14"))=TRIM(Tulokset!$O$12),2,0))</f>
        <v/>
      </c>
      <c r="DK18" t="str">
        <f ca="1">IF(OR(Tulokset!$O$13="",INDIRECT("'"&amp;$A18&amp;"'!$R$15")=""),"",IF(TRIM(INDIRECT("'"&amp;$A18&amp;"'!$R$15"))=TRIM(Tulokset!$O$13),2,0))</f>
        <v/>
      </c>
      <c r="DL18" t="str">
        <f ca="1">IF(OR(Tulokset!$O$14="",INDIRECT("'"&amp;$A18&amp;"'!$R$16")=""),"",IF(TRIM(INDIRECT("'"&amp;$A18&amp;"'!$R$16"))=TRIM(Tulokset!$O$14),2,0))</f>
        <v/>
      </c>
      <c r="DM18" t="str">
        <f ca="1">IF(OR(Tulokset!$O$15="",INDIRECT("'"&amp;$A18&amp;"'!$R$17")=""),"",IF(TRIM(INDIRECT("'"&amp;$A18&amp;"'!$R$17"))=TRIM(Tulokset!$O$15),2,0))</f>
        <v/>
      </c>
      <c r="DN18" t="str">
        <f ca="1">IF(OR(Tulokset!$P$12="",INDIRECT("'"&amp;$A18&amp;"'!$S$14")=""),"",IF(TRIM(INDIRECT("'"&amp;$A18&amp;"'!$S$14"))=TRIM(Tulokset!$P$12),2,0))</f>
        <v/>
      </c>
      <c r="DO18" t="str">
        <f ca="1">IF(OR(Tulokset!$P$13="",INDIRECT("'"&amp;$A18&amp;"'!$S$15")=""),"",IF(TRIM(INDIRECT("'"&amp;$A18&amp;"'!$S$15"))=TRIM(Tulokset!$P$13),2,0))</f>
        <v/>
      </c>
      <c r="DP18" t="str">
        <f ca="1">IF(OR(Tulokset!$P$14="",INDIRECT("'"&amp;$A18&amp;"'!$S$16")=""),"",IF(TRIM(INDIRECT("'"&amp;$A18&amp;"'!$S$16"))=TRIM(Tulokset!$P$14),2,0))</f>
        <v/>
      </c>
      <c r="DQ18" t="str">
        <f ca="1">IF(OR(Tulokset!$P$15="",INDIRECT("'"&amp;$A18&amp;"'!$S$17")=""),"",IF(TRIM(INDIRECT("'"&amp;$A18&amp;"'!$S$17"))=TRIM(Tulokset!$P$15),2,0))</f>
        <v/>
      </c>
      <c r="DR18" t="str">
        <f ca="1">IF(OR(Tulokset!$Q$12="",INDIRECT("'"&amp;$A18&amp;"'!$T$14")=""),"",IF(TRIM(INDIRECT("'"&amp;$A18&amp;"'!$T$14"))=TRIM(Tulokset!$Q$12),2,0))</f>
        <v/>
      </c>
      <c r="DS18" t="str">
        <f ca="1">IF(OR(Tulokset!$Q$13="",INDIRECT("'"&amp;$A18&amp;"'!$T$15")=""),"",IF(TRIM(INDIRECT("'"&amp;$A18&amp;"'!$T$15"))=TRIM(Tulokset!$Q$13),2,0))</f>
        <v/>
      </c>
      <c r="DT18" t="str">
        <f ca="1">IF(OR(Tulokset!$Q$14="",INDIRECT("'"&amp;$A18&amp;"'!$T$16")=""),"",IF(TRIM(INDIRECT("'"&amp;$A18&amp;"'!$T$16"))=TRIM(Tulokset!$Q$14),2,0))</f>
        <v/>
      </c>
      <c r="DU18" t="str">
        <f ca="1">IF(OR(Tulokset!$Q$15="",INDIRECT("'"&amp;$A18&amp;"'!$T$17")=""),"",IF(TRIM(INDIRECT("'"&amp;$A18&amp;"'!$T$17"))=TRIM(Tulokset!$Q$15),2,0))</f>
        <v/>
      </c>
      <c r="DV18" t="str">
        <f ca="1">IF(OR(Tulokset!$R$12="",INDIRECT("'"&amp;$A18&amp;"'!$U$14")=""),"",IF(TRIM(INDIRECT("'"&amp;$A18&amp;"'!$U$14"))=TRIM(Tulokset!$R$12),2,0))</f>
        <v/>
      </c>
      <c r="DW18" t="str">
        <f ca="1">IF(OR(Tulokset!$R$13="",INDIRECT("'"&amp;$A18&amp;"'!$U$15")=""),"",IF(TRIM(INDIRECT("'"&amp;$A18&amp;"'!$U$15"))=TRIM(Tulokset!$R$13),2,0))</f>
        <v/>
      </c>
      <c r="DX18" t="str">
        <f ca="1">IF(OR(Tulokset!$R$14="",INDIRECT("'"&amp;$A18&amp;"'!$U$16")=""),"",IF(TRIM(INDIRECT("'"&amp;$A18&amp;"'!$U$16"))=TRIM(Tulokset!$R$14),2,0))</f>
        <v/>
      </c>
      <c r="DY18" t="str">
        <f ca="1">IF(OR(Tulokset!$R$15="",INDIRECT("'"&amp;$A18&amp;"'!$U$17")=""),"",IF(TRIM(INDIRECT("'"&amp;$A18&amp;"'!$U$17"))=TRIM(Tulokset!$R$15),2,0))</f>
        <v/>
      </c>
      <c r="EA18" t="str">
        <f ca="1">IF(OR(INDIRECT("'"&amp;$A18&amp;"'!$E$79")="",COUNTA(Tulokset!$M$20:$M$21)=0),"",IF(COUNTIF(Tulokset!$M$20:$M$21,INDIRECT("'"&amp;$A18&amp;"'!$E$79"))&gt;0,2,0))</f>
        <v/>
      </c>
      <c r="EB18" t="str">
        <f ca="1">IF(OR(INDIRECT("'"&amp;$A18&amp;"'!$G$79")="",COUNTA(Tulokset!$M$20:$M$21)=0),"",IF(COUNTIF(Tulokset!$M$20:$M$21,INDIRECT("'"&amp;$A18&amp;"'!$G$79"))&gt;0,2,0))</f>
        <v/>
      </c>
      <c r="EC18" t="str">
        <f ca="1">IF(OR(INDIRECT("'"&amp;$A18&amp;"'!$E$80")="",COUNTA(Tulokset!$M$23:$M$24)=0),"",IF(COUNTIF(Tulokset!$M$23:$M$24,INDIRECT("'"&amp;$A18&amp;"'!$E$80"))&gt;0,2,0))</f>
        <v/>
      </c>
      <c r="ED18" t="str">
        <f ca="1">IF(OR(INDIRECT("'"&amp;$A18&amp;"'!$G$80")="",COUNTA(Tulokset!$M$23:$M$24)=0),"",IF(COUNTIF(Tulokset!$M$23:$M$24,INDIRECT("'"&amp;$A18&amp;"'!$G$80"))&gt;0,2,0))</f>
        <v/>
      </c>
    </row>
    <row r="19" spans="1:134">
      <c r="A19" t="s">
        <v>234</v>
      </c>
      <c r="B19" t="str">
        <f t="shared" ca="1" si="0"/>
        <v>Sipolovic</v>
      </c>
      <c r="C19" s="95">
        <f t="shared" si="1"/>
        <v>0</v>
      </c>
      <c r="D19" s="95">
        <f t="shared" ca="1" si="2"/>
        <v>0</v>
      </c>
      <c r="E19" s="95">
        <f t="shared" ca="1" si="3"/>
        <v>0</v>
      </c>
      <c r="F19" s="95">
        <f t="shared" ca="1" si="4"/>
        <v>0</v>
      </c>
      <c r="G19" s="95">
        <f t="shared" si="5"/>
        <v>0</v>
      </c>
      <c r="H19" t="str">
        <f>IF(OR(Tulokset!$G$6="",Tulokset!$I$6="",'16'!$I$7="",'16'!$K$7=""),"",IF(SIGN('16'!$I$7-'16'!$K$7)&lt;&gt;SIGN(Tulokset!$G$6-Tulokset!$I$6),0,IF(Tulokset!$G$6=Tulokset!$I$6,IF(AND('16'!$I$7=Tulokset!$G$6,'16'!$K$7=Tulokset!$I$6),6,3),MAX(0,6-(ABS('16'!$I$7-Tulokset!$G$6)+ABS('16'!$K$7-Tulokset!$I$6))))))</f>
        <v/>
      </c>
      <c r="I19" t="str">
        <f>IF(OR(Tulokset!$G$7="",Tulokset!$I$7="",'16'!$I$8="",'16'!$K$8=""),"",IF(SIGN('16'!$I$8-'16'!$K$8)&lt;&gt;SIGN(Tulokset!$G$7-Tulokset!$I$7),0,IF(Tulokset!$G$7=Tulokset!$I$7,IF(AND('16'!$I$8=Tulokset!$G$7,'16'!$K$8=Tulokset!$I$7),6,3),MAX(0,6-(ABS('16'!$I$8-Tulokset!$G$7)+ABS('16'!$K$8-Tulokset!$I$7))))))</f>
        <v/>
      </c>
      <c r="J19" t="str">
        <f>IF(OR(Tulokset!$G$8="",Tulokset!$I$8="",'16'!$I$9="",'16'!$K$9=""),"",IF(SIGN('16'!$I$9-'16'!$K$9)&lt;&gt;SIGN(Tulokset!$G$8-Tulokset!$I$8),0,IF(Tulokset!$G$8=Tulokset!$I$8,IF(AND('16'!$I$9=Tulokset!$G$8,'16'!$K$9=Tulokset!$I$8),6,3),MAX(0,6-(ABS('16'!$I$9-Tulokset!$G$8)+ABS('16'!$K$9-Tulokset!$I$8))))))</f>
        <v/>
      </c>
      <c r="K19" t="str">
        <f>IF(OR(Tulokset!$G$9="",Tulokset!$I$9="",'16'!$I$10="",'16'!$K$10=""),"",IF(SIGN('16'!$I$10-'16'!$K$10)&lt;&gt;SIGN(Tulokset!$G$9-Tulokset!$I$9),0,IF(Tulokset!$G$9=Tulokset!$I$9,IF(AND('16'!$I$10=Tulokset!$G$9,'16'!$K$10=Tulokset!$I$9),6,3),MAX(0,6-(ABS('16'!$I$10-Tulokset!$G$9)+ABS('16'!$K$10-Tulokset!$I$9))))))</f>
        <v/>
      </c>
      <c r="L19" t="str">
        <f>IF(OR(Tulokset!$G$10="",Tulokset!$I$10="",'16'!$I$11="",'16'!$K$11=""),"",IF(SIGN('16'!$I$11-'16'!$K$11)&lt;&gt;SIGN(Tulokset!$G$10-Tulokset!$I$10),0,IF(Tulokset!$G$10=Tulokset!$I$10,IF(AND('16'!$I$11=Tulokset!$G$10,'16'!$K$11=Tulokset!$I$10),6,3),MAX(0,6-(ABS('16'!$I$11-Tulokset!$G$10)+ABS('16'!$K$11-Tulokset!$I$10))))))</f>
        <v/>
      </c>
      <c r="M19" t="str">
        <f>IF(OR(Tulokset!$G$11="",Tulokset!$I$11="",'16'!$I$12="",'16'!$K$12=""),"",IF(SIGN('16'!$I$12-'16'!$K$12)&lt;&gt;SIGN(Tulokset!$G$11-Tulokset!$I$11),0,IF(Tulokset!$G$11=Tulokset!$I$11,IF(AND('16'!$I$12=Tulokset!$G$11,'16'!$K$12=Tulokset!$I$11),6,3),MAX(0,6-(ABS('16'!$I$12-Tulokset!$G$11)+ABS('16'!$K$12-Tulokset!$I$11))))))</f>
        <v/>
      </c>
      <c r="N19" t="str">
        <f>IF(OR(Tulokset!$G$12="",Tulokset!$I$12="",'16'!$I$13="",'16'!$K$13=""),"",IF(SIGN('16'!$I$13-'16'!$K$13)&lt;&gt;SIGN(Tulokset!$G$12-Tulokset!$I$12),0,IF(Tulokset!$G$12=Tulokset!$I$12,IF(AND('16'!$I$13=Tulokset!$G$12,'16'!$K$13=Tulokset!$I$12),6,3),MAX(0,6-(ABS('16'!$I$13-Tulokset!$G$12)+ABS('16'!$K$13-Tulokset!$I$12))))))</f>
        <v/>
      </c>
      <c r="O19" t="str">
        <f>IF(OR(Tulokset!$G$13="",Tulokset!$I$13="",'16'!$I$14="",'16'!$K$14=""),"",IF(SIGN('16'!$I$14-'16'!$K$14)&lt;&gt;SIGN(Tulokset!$G$13-Tulokset!$I$13),0,IF(Tulokset!$G$13=Tulokset!$I$13,IF(AND('16'!$I$14=Tulokset!$G$13,'16'!$K$14=Tulokset!$I$13),6,3),MAX(0,6-(ABS('16'!$I$14-Tulokset!$G$13)+ABS('16'!$K$14-Tulokset!$I$13))))))</f>
        <v/>
      </c>
      <c r="P19" t="str">
        <f>IF(OR(Tulokset!$G$14="",Tulokset!$I$14="",'16'!$I$15="",'16'!$K$15=""),"",IF(SIGN('16'!$I$15-'16'!$K$15)&lt;&gt;SIGN(Tulokset!$G$14-Tulokset!$I$14),0,IF(Tulokset!$G$14=Tulokset!$I$14,IF(AND('16'!$I$15=Tulokset!$G$14,'16'!$K$15=Tulokset!$I$14),6,3),MAX(0,6-(ABS('16'!$I$15-Tulokset!$G$14)+ABS('16'!$K$15-Tulokset!$I$14))))))</f>
        <v/>
      </c>
      <c r="Q19" t="str">
        <f>IF(OR(Tulokset!$G$15="",Tulokset!$I$15="",'16'!$I$16="",'16'!$K$16=""),"",IF(SIGN('16'!$I$16-'16'!$K$16)&lt;&gt;SIGN(Tulokset!$G$15-Tulokset!$I$15),0,IF(Tulokset!$G$15=Tulokset!$I$15,IF(AND('16'!$I$16=Tulokset!$G$15,'16'!$K$16=Tulokset!$I$15),6,3),MAX(0,6-(ABS('16'!$I$16-Tulokset!$G$15)+ABS('16'!$K$16-Tulokset!$I$15))))))</f>
        <v/>
      </c>
      <c r="R19" t="str">
        <f>IF(OR(Tulokset!$G$16="",Tulokset!$I$16="",'16'!$I$17="",'16'!$K$17=""),"",IF(SIGN('16'!$I$17-'16'!$K$17)&lt;&gt;SIGN(Tulokset!$G$16-Tulokset!$I$16),0,IF(Tulokset!$G$16=Tulokset!$I$16,IF(AND('16'!$I$17=Tulokset!$G$16,'16'!$K$17=Tulokset!$I$16),6,3),MAX(0,6-(ABS('16'!$I$17-Tulokset!$G$16)+ABS('16'!$K$17-Tulokset!$I$16))))))</f>
        <v/>
      </c>
      <c r="S19" t="str">
        <f>IF(OR(Tulokset!$G$17="",Tulokset!$I$17="",'16'!$I$18="",'16'!$K$18=""),"",IF(SIGN('16'!$I$18-'16'!$K$18)&lt;&gt;SIGN(Tulokset!$G$17-Tulokset!$I$17),0,IF(Tulokset!$G$17=Tulokset!$I$17,IF(AND('16'!$I$18=Tulokset!$G$17,'16'!$K$18=Tulokset!$I$17),6,3),MAX(0,6-(ABS('16'!$I$18-Tulokset!$G$17)+ABS('16'!$K$18-Tulokset!$I$17))))))</f>
        <v/>
      </c>
      <c r="T19" t="str">
        <f>IF(OR(Tulokset!$G$18="",Tulokset!$I$18="",'16'!$I$19="",'16'!$K$19=""),"",IF(SIGN('16'!$I$19-'16'!$K$19)&lt;&gt;SIGN(Tulokset!$G$18-Tulokset!$I$18),0,IF(Tulokset!$G$18=Tulokset!$I$18,IF(AND('16'!$I$19=Tulokset!$G$18,'16'!$K$19=Tulokset!$I$18),6,3),MAX(0,6-(ABS('16'!$I$19-Tulokset!$G$18)+ABS('16'!$K$19-Tulokset!$I$18))))))</f>
        <v/>
      </c>
      <c r="U19" t="str">
        <f>IF(OR(Tulokset!$G$19="",Tulokset!$I$19="",'16'!$I$20="",'16'!$K$20=""),"",IF(SIGN('16'!$I$20-'16'!$K$20)&lt;&gt;SIGN(Tulokset!$G$19-Tulokset!$I$19),0,IF(Tulokset!$G$19=Tulokset!$I$19,IF(AND('16'!$I$20=Tulokset!$G$19,'16'!$K$20=Tulokset!$I$19),6,3),MAX(0,6-(ABS('16'!$I$20-Tulokset!$G$19)+ABS('16'!$K$20-Tulokset!$I$19))))))</f>
        <v/>
      </c>
      <c r="V19" t="str">
        <f>IF(OR(Tulokset!$G$20="",Tulokset!$I$20="",'16'!$I$21="",'16'!$K$21=""),"",IF(SIGN('16'!$I$21-'16'!$K$21)&lt;&gt;SIGN(Tulokset!$G$20-Tulokset!$I$20),0,IF(Tulokset!$G$20=Tulokset!$I$20,IF(AND('16'!$I$21=Tulokset!$G$20,'16'!$K$21=Tulokset!$I$20),6,3),MAX(0,6-(ABS('16'!$I$21-Tulokset!$G$20)+ABS('16'!$K$21-Tulokset!$I$20))))))</f>
        <v/>
      </c>
      <c r="W19" t="str">
        <f>IF(OR(Tulokset!$G$21="",Tulokset!$I$21="",'16'!$I$22="",'16'!$K$22=""),"",IF(SIGN('16'!$I$22-'16'!$K$22)&lt;&gt;SIGN(Tulokset!$G$21-Tulokset!$I$21),0,IF(Tulokset!$G$21=Tulokset!$I$21,IF(AND('16'!$I$22=Tulokset!$G$21,'16'!$K$22=Tulokset!$I$21),6,3),MAX(0,6-(ABS('16'!$I$22-Tulokset!$G$21)+ABS('16'!$K$22-Tulokset!$I$21))))))</f>
        <v/>
      </c>
      <c r="X19" t="str">
        <f>IF(OR(Tulokset!$G$22="",Tulokset!$I$22="",'16'!$I$23="",'16'!$K$23=""),"",IF(SIGN('16'!$I$23-'16'!$K$23)&lt;&gt;SIGN(Tulokset!$G$22-Tulokset!$I$22),0,IF(Tulokset!$G$22=Tulokset!$I$22,IF(AND('16'!$I$23=Tulokset!$G$22,'16'!$K$23=Tulokset!$I$22),6,3),MAX(0,6-(ABS('16'!$I$23-Tulokset!$G$22)+ABS('16'!$K$23-Tulokset!$I$22))))))</f>
        <v/>
      </c>
      <c r="Y19" t="str">
        <f>IF(OR(Tulokset!$G$23="",Tulokset!$I$23="",'16'!$I$24="",'16'!$K$24=""),"",IF(SIGN('16'!$I$24-'16'!$K$24)&lt;&gt;SIGN(Tulokset!$G$23-Tulokset!$I$23),0,IF(Tulokset!$G$23=Tulokset!$I$23,IF(AND('16'!$I$24=Tulokset!$G$23,'16'!$K$24=Tulokset!$I$23),6,3),MAX(0,6-(ABS('16'!$I$24-Tulokset!$G$23)+ABS('16'!$K$24-Tulokset!$I$23))))))</f>
        <v/>
      </c>
      <c r="Z19" t="str">
        <f>IF(OR(Tulokset!$G$24="",Tulokset!$I$24="",'16'!$I$25="",'16'!$K$25=""),"",IF(SIGN('16'!$I$25-'16'!$K$25)&lt;&gt;SIGN(Tulokset!$G$24-Tulokset!$I$24),0,IF(Tulokset!$G$24=Tulokset!$I$24,IF(AND('16'!$I$25=Tulokset!$G$24,'16'!$K$25=Tulokset!$I$24),6,3),MAX(0,6-(ABS('16'!$I$25-Tulokset!$G$24)+ABS('16'!$K$25-Tulokset!$I$24))))))</f>
        <v/>
      </c>
      <c r="AA19" t="str">
        <f>IF(OR(Tulokset!$G$25="",Tulokset!$I$25="",'16'!$I$26="",'16'!$K$26=""),"",IF(SIGN('16'!$I$26-'16'!$K$26)&lt;&gt;SIGN(Tulokset!$G$25-Tulokset!$I$25),0,IF(Tulokset!$G$25=Tulokset!$I$25,IF(AND('16'!$I$26=Tulokset!$G$25,'16'!$K$26=Tulokset!$I$25),6,3),MAX(0,6-(ABS('16'!$I$26-Tulokset!$G$25)+ABS('16'!$K$26-Tulokset!$I$25))))))</f>
        <v/>
      </c>
      <c r="AB19" t="str">
        <f>IF(OR(Tulokset!$G$26="",Tulokset!$I$26="",'16'!$I$27="",'16'!$K$27=""),"",IF(SIGN('16'!$I$27-'16'!$K$27)&lt;&gt;SIGN(Tulokset!$G$26-Tulokset!$I$26),0,IF(Tulokset!$G$26=Tulokset!$I$26,IF(AND('16'!$I$27=Tulokset!$G$26,'16'!$K$27=Tulokset!$I$26),6,3),MAX(0,6-(ABS('16'!$I$27-Tulokset!$G$26)+ABS('16'!$K$27-Tulokset!$I$26))))))</f>
        <v/>
      </c>
      <c r="AC19" t="str">
        <f>IF(OR(Tulokset!$G$27="",Tulokset!$I$27="",'16'!$I$28="",'16'!$K$28=""),"",IF(SIGN('16'!$I$28-'16'!$K$28)&lt;&gt;SIGN(Tulokset!$G$27-Tulokset!$I$27),0,IF(Tulokset!$G$27=Tulokset!$I$27,IF(AND('16'!$I$28=Tulokset!$G$27,'16'!$K$28=Tulokset!$I$27),6,3),MAX(0,6-(ABS('16'!$I$28-Tulokset!$G$27)+ABS('16'!$K$28-Tulokset!$I$27))))))</f>
        <v/>
      </c>
      <c r="AD19" t="str">
        <f>IF(OR(Tulokset!$G$28="",Tulokset!$I$28="",'16'!$I$29="",'16'!$K$29=""),"",IF(SIGN('16'!$I$29-'16'!$K$29)&lt;&gt;SIGN(Tulokset!$G$28-Tulokset!$I$28),0,IF(Tulokset!$G$28=Tulokset!$I$28,IF(AND('16'!$I$29=Tulokset!$G$28,'16'!$K$29=Tulokset!$I$28),6,3),MAX(0,6-(ABS('16'!$I$29-Tulokset!$G$28)+ABS('16'!$K$29-Tulokset!$I$28))))))</f>
        <v/>
      </c>
      <c r="AE19" t="str">
        <f>IF(OR(Tulokset!$G$29="",Tulokset!$I$29="",'16'!$I$30="",'16'!$K$30=""),"",IF(SIGN('16'!$I$30-'16'!$K$30)&lt;&gt;SIGN(Tulokset!$G$29-Tulokset!$I$29),0,IF(Tulokset!$G$29=Tulokset!$I$29,IF(AND('16'!$I$30=Tulokset!$G$29,'16'!$K$30=Tulokset!$I$29),6,3),MAX(0,6-(ABS('16'!$I$30-Tulokset!$G$29)+ABS('16'!$K$30-Tulokset!$I$29))))))</f>
        <v/>
      </c>
      <c r="AF19" t="str">
        <f>IF(OR(Tulokset!$G$30="",Tulokset!$I$30="",'16'!$I$31="",'16'!$K$31=""),"",IF(SIGN('16'!$I$31-'16'!$K$31)&lt;&gt;SIGN(Tulokset!$G$30-Tulokset!$I$30),0,IF(Tulokset!$G$30=Tulokset!$I$30,IF(AND('16'!$I$31=Tulokset!$G$30,'16'!$K$31=Tulokset!$I$30),6,3),MAX(0,6-(ABS('16'!$I$31-Tulokset!$G$30)+ABS('16'!$K$31-Tulokset!$I$30))))))</f>
        <v/>
      </c>
      <c r="AG19" t="str">
        <f>IF(OR(Tulokset!$G$31="",Tulokset!$I$31="",'16'!$I$32="",'16'!$K$32=""),"",IF(SIGN('16'!$I$32-'16'!$K$32)&lt;&gt;SIGN(Tulokset!$G$31-Tulokset!$I$31),0,IF(Tulokset!$G$31=Tulokset!$I$31,IF(AND('16'!$I$32=Tulokset!$G$31,'16'!$K$32=Tulokset!$I$31),6,3),MAX(0,6-(ABS('16'!$I$32-Tulokset!$G$31)+ABS('16'!$K$32-Tulokset!$I$31))))))</f>
        <v/>
      </c>
      <c r="AH19" t="str">
        <f>IF(OR(Tulokset!$G$32="",Tulokset!$I$32="",'16'!$I$33="",'16'!$K$33=""),"",IF(SIGN('16'!$I$33-'16'!$K$33)&lt;&gt;SIGN(Tulokset!$G$32-Tulokset!$I$32),0,IF(Tulokset!$G$32=Tulokset!$I$32,IF(AND('16'!$I$33=Tulokset!$G$32,'16'!$K$33=Tulokset!$I$32),6,3),MAX(0,6-(ABS('16'!$I$33-Tulokset!$G$32)+ABS('16'!$K$33-Tulokset!$I$32))))))</f>
        <v/>
      </c>
      <c r="AI19" t="str">
        <f>IF(OR(Tulokset!$G$33="",Tulokset!$I$33="",'16'!$I$34="",'16'!$K$34=""),"",IF(SIGN('16'!$I$34-'16'!$K$34)&lt;&gt;SIGN(Tulokset!$G$33-Tulokset!$I$33),0,IF(Tulokset!$G$33=Tulokset!$I$33,IF(AND('16'!$I$34=Tulokset!$G$33,'16'!$K$34=Tulokset!$I$33),6,3),MAX(0,6-(ABS('16'!$I$34-Tulokset!$G$33)+ABS('16'!$K$34-Tulokset!$I$33))))))</f>
        <v/>
      </c>
      <c r="AJ19" t="str">
        <f>IF(OR(Tulokset!$G$34="",Tulokset!$I$34="",'16'!$I$35="",'16'!$K$35=""),"",IF(SIGN('16'!$I$35-'16'!$K$35)&lt;&gt;SIGN(Tulokset!$G$34-Tulokset!$I$34),0,IF(Tulokset!$G$34=Tulokset!$I$34,IF(AND('16'!$I$35=Tulokset!$G$34,'16'!$K$35=Tulokset!$I$34),6,3),MAX(0,6-(ABS('16'!$I$35-Tulokset!$G$34)+ABS('16'!$K$35-Tulokset!$I$34))))))</f>
        <v/>
      </c>
      <c r="AK19" t="str">
        <f>IF(OR(Tulokset!$G$35="",Tulokset!$I$35="",'16'!$I$36="",'16'!$K$36=""),"",IF(SIGN('16'!$I$36-'16'!$K$36)&lt;&gt;SIGN(Tulokset!$G$35-Tulokset!$I$35),0,IF(Tulokset!$G$35=Tulokset!$I$35,IF(AND('16'!$I$36=Tulokset!$G$35,'16'!$K$36=Tulokset!$I$35),6,3),MAX(0,6-(ABS('16'!$I$36-Tulokset!$G$35)+ABS('16'!$K$36-Tulokset!$I$35))))))</f>
        <v/>
      </c>
      <c r="AL19" t="str">
        <f>IF(OR(Tulokset!$G$36="",Tulokset!$I$36="",'16'!$I$37="",'16'!$K$37=""),"",IF(SIGN('16'!$I$37-'16'!$K$37)&lt;&gt;SIGN(Tulokset!$G$36-Tulokset!$I$36),0,IF(Tulokset!$G$36=Tulokset!$I$36,IF(AND('16'!$I$37=Tulokset!$G$36,'16'!$K$37=Tulokset!$I$36),6,3),MAX(0,6-(ABS('16'!$I$37-Tulokset!$G$36)+ABS('16'!$K$37-Tulokset!$I$36))))))</f>
        <v/>
      </c>
      <c r="AM19" t="str">
        <f>IF(OR(Tulokset!$G$37="",Tulokset!$I$37="",'16'!$I$38="",'16'!$K$38=""),"",IF(SIGN('16'!$I$38-'16'!$K$38)&lt;&gt;SIGN(Tulokset!$G$37-Tulokset!$I$37),0,IF(Tulokset!$G$37=Tulokset!$I$37,IF(AND('16'!$I$38=Tulokset!$G$37,'16'!$K$38=Tulokset!$I$37),6,3),MAX(0,6-(ABS('16'!$I$38-Tulokset!$G$37)+ABS('16'!$K$38-Tulokset!$I$37))))))</f>
        <v/>
      </c>
      <c r="AN19" t="str">
        <f>IF(OR(Tulokset!$G$38="",Tulokset!$I$38="",'16'!$I$39="",'16'!$K$39=""),"",IF(SIGN('16'!$I$39-'16'!$K$39)&lt;&gt;SIGN(Tulokset!$G$38-Tulokset!$I$38),0,IF(Tulokset!$G$38=Tulokset!$I$38,IF(AND('16'!$I$39=Tulokset!$G$38,'16'!$K$39=Tulokset!$I$38),6,3),MAX(0,6-(ABS('16'!$I$39-Tulokset!$G$38)+ABS('16'!$K$39-Tulokset!$I$38))))))</f>
        <v/>
      </c>
      <c r="AO19" t="str">
        <f>IF(OR(Tulokset!$G$39="",Tulokset!$I$39="",'16'!$I$40="",'16'!$K$40=""),"",IF(SIGN('16'!$I$40-'16'!$K$40)&lt;&gt;SIGN(Tulokset!$G$39-Tulokset!$I$39),0,IF(Tulokset!$G$39=Tulokset!$I$39,IF(AND('16'!$I$40=Tulokset!$G$39,'16'!$K$40=Tulokset!$I$39),6,3),MAX(0,6-(ABS('16'!$I$40-Tulokset!$G$39)+ABS('16'!$K$40-Tulokset!$I$39))))))</f>
        <v/>
      </c>
      <c r="AP19" t="str">
        <f>IF(OR(Tulokset!$G$40="",Tulokset!$I$40="",'16'!$I$41="",'16'!$K$41=""),"",IF(SIGN('16'!$I$41-'16'!$K$41)&lt;&gt;SIGN(Tulokset!$G$40-Tulokset!$I$40),0,IF(Tulokset!$G$40=Tulokset!$I$40,IF(AND('16'!$I$41=Tulokset!$G$40,'16'!$K$41=Tulokset!$I$40),6,3),MAX(0,6-(ABS('16'!$I$41-Tulokset!$G$40)+ABS('16'!$K$41-Tulokset!$I$40))))))</f>
        <v/>
      </c>
      <c r="AQ19" t="str">
        <f>IF(OR(Tulokset!$G$41="",Tulokset!$I$41="",'16'!$I$42="",'16'!$K$42=""),"",IF(SIGN('16'!$I$42-'16'!$K$42)&lt;&gt;SIGN(Tulokset!$G$41-Tulokset!$I$41),0,IF(Tulokset!$G$41=Tulokset!$I$41,IF(AND('16'!$I$42=Tulokset!$G$41,'16'!$K$42=Tulokset!$I$41),6,3),MAX(0,6-(ABS('16'!$I$42-Tulokset!$G$41)+ABS('16'!$K$42-Tulokset!$I$41))))))</f>
        <v/>
      </c>
      <c r="AR19" t="str">
        <f>IF(OR(Tulokset!$G$42="",Tulokset!$I$42="",'16'!$I$43="",'16'!$K$43=""),"",IF(SIGN('16'!$I$43-'16'!$K$43)&lt;&gt;SIGN(Tulokset!$G$42-Tulokset!$I$42),0,IF(Tulokset!$G$42=Tulokset!$I$42,IF(AND('16'!$I$43=Tulokset!$G$42,'16'!$K$43=Tulokset!$I$42),6,3),MAX(0,6-(ABS('16'!$I$43-Tulokset!$G$42)+ABS('16'!$K$43-Tulokset!$I$42))))))</f>
        <v/>
      </c>
      <c r="AS19" t="str">
        <f>IF(OR(Tulokset!$G$43="",Tulokset!$I$43="",'16'!$I$44="",'16'!$K$44=""),"",IF(SIGN('16'!$I$44-'16'!$K$44)&lt;&gt;SIGN(Tulokset!$G$43-Tulokset!$I$43),0,IF(Tulokset!$G$43=Tulokset!$I$43,IF(AND('16'!$I$44=Tulokset!$G$43,'16'!$K$44=Tulokset!$I$43),6,3),MAX(0,6-(ABS('16'!$I$44-Tulokset!$G$43)+ABS('16'!$K$44-Tulokset!$I$43))))))</f>
        <v/>
      </c>
      <c r="AT19" t="str">
        <f>IF(OR(Tulokset!$G$44="",Tulokset!$I$44="",'16'!$I$45="",'16'!$K$45=""),"",IF(SIGN('16'!$I$45-'16'!$K$45)&lt;&gt;SIGN(Tulokset!$G$44-Tulokset!$I$44),0,IF(Tulokset!$G$44=Tulokset!$I$44,IF(AND('16'!$I$45=Tulokset!$G$44,'16'!$K$45=Tulokset!$I$44),6,3),MAX(0,6-(ABS('16'!$I$45-Tulokset!$G$44)+ABS('16'!$K$45-Tulokset!$I$44))))))</f>
        <v/>
      </c>
      <c r="AU19" t="str">
        <f>IF(OR(Tulokset!$G$45="",Tulokset!$I$45="",'16'!$I$46="",'16'!$K$46=""),"",IF(SIGN('16'!$I$46-'16'!$K$46)&lt;&gt;SIGN(Tulokset!$G$45-Tulokset!$I$45),0,IF(Tulokset!$G$45=Tulokset!$I$45,IF(AND('16'!$I$46=Tulokset!$G$45,'16'!$K$46=Tulokset!$I$45),6,3),MAX(0,6-(ABS('16'!$I$46-Tulokset!$G$45)+ABS('16'!$K$46-Tulokset!$I$45))))))</f>
        <v/>
      </c>
      <c r="AV19" t="str">
        <f>IF(OR(Tulokset!$G$46="",Tulokset!$I$46="",'16'!$I$47="",'16'!$K$47=""),"",IF(SIGN('16'!$I$47-'16'!$K$47)&lt;&gt;SIGN(Tulokset!$G$46-Tulokset!$I$46),0,IF(Tulokset!$G$46=Tulokset!$I$46,IF(AND('16'!$I$47=Tulokset!$G$46,'16'!$K$47=Tulokset!$I$46),6,3),MAX(0,6-(ABS('16'!$I$47-Tulokset!$G$46)+ABS('16'!$K$47-Tulokset!$I$46))))))</f>
        <v/>
      </c>
      <c r="AW19" t="str">
        <f>IF(OR(Tulokset!$G$47="",Tulokset!$I$47="",'16'!$I$48="",'16'!$K$48=""),"",IF(SIGN('16'!$I$48-'16'!$K$48)&lt;&gt;SIGN(Tulokset!$G$47-Tulokset!$I$47),0,IF(Tulokset!$G$47=Tulokset!$I$47,IF(AND('16'!$I$48=Tulokset!$G$47,'16'!$K$48=Tulokset!$I$47),6,3),MAX(0,6-(ABS('16'!$I$48-Tulokset!$G$47)+ABS('16'!$K$48-Tulokset!$I$47))))))</f>
        <v/>
      </c>
      <c r="AX19" t="str">
        <f>IF(OR(Tulokset!$G$48="",Tulokset!$I$48="",'16'!$I$49="",'16'!$K$49=""),"",IF(SIGN('16'!$I$49-'16'!$K$49)&lt;&gt;SIGN(Tulokset!$G$48-Tulokset!$I$48),0,IF(Tulokset!$G$48=Tulokset!$I$48,IF(AND('16'!$I$49=Tulokset!$G$48,'16'!$K$49=Tulokset!$I$48),6,3),MAX(0,6-(ABS('16'!$I$49-Tulokset!$G$48)+ABS('16'!$K$49-Tulokset!$I$48))))))</f>
        <v/>
      </c>
      <c r="AY19" t="str">
        <f>IF(OR(Tulokset!$G$49="",Tulokset!$I$49="",'16'!$I$50="",'16'!$K$50=""),"",IF(SIGN('16'!$I$50-'16'!$K$50)&lt;&gt;SIGN(Tulokset!$G$49-Tulokset!$I$49),0,IF(Tulokset!$G$49=Tulokset!$I$49,IF(AND('16'!$I$50=Tulokset!$G$49,'16'!$K$50=Tulokset!$I$49),6,3),MAX(0,6-(ABS('16'!$I$50-Tulokset!$G$49)+ABS('16'!$K$50-Tulokset!$I$49))))))</f>
        <v/>
      </c>
      <c r="AZ19" t="str">
        <f>IF(OR(Tulokset!$G$50="",Tulokset!$I$50="",'16'!$I$51="",'16'!$K$51=""),"",IF(SIGN('16'!$I$51-'16'!$K$51)&lt;&gt;SIGN(Tulokset!$G$50-Tulokset!$I$50),0,IF(Tulokset!$G$50=Tulokset!$I$50,IF(AND('16'!$I$51=Tulokset!$G$50,'16'!$K$51=Tulokset!$I$50),6,3),MAX(0,6-(ABS('16'!$I$51-Tulokset!$G$50)+ABS('16'!$K$51-Tulokset!$I$50))))))</f>
        <v/>
      </c>
      <c r="BA19" t="str">
        <f>IF(OR(Tulokset!$G$51="",Tulokset!$I$51="",'16'!$I$52="",'16'!$K$52=""),"",IF(SIGN('16'!$I$52-'16'!$K$52)&lt;&gt;SIGN(Tulokset!$G$51-Tulokset!$I$51),0,IF(Tulokset!$G$51=Tulokset!$I$51,IF(AND('16'!$I$52=Tulokset!$G$51,'16'!$K$52=Tulokset!$I$51),6,3),MAX(0,6-(ABS('16'!$I$52-Tulokset!$G$51)+ABS('16'!$K$52-Tulokset!$I$51))))))</f>
        <v/>
      </c>
      <c r="BB19" t="str">
        <f>IF(OR(Tulokset!$G$52="",Tulokset!$I$52="",'16'!$I$53="",'16'!$K$53=""),"",IF(SIGN('16'!$I$53-'16'!$K$53)&lt;&gt;SIGN(Tulokset!$G$52-Tulokset!$I$52),0,IF(Tulokset!$G$52=Tulokset!$I$52,IF(AND('16'!$I$53=Tulokset!$G$52,'16'!$K$53=Tulokset!$I$52),6,3),MAX(0,6-(ABS('16'!$I$53-Tulokset!$G$52)+ABS('16'!$K$53-Tulokset!$I$52))))))</f>
        <v/>
      </c>
      <c r="BC19" t="str">
        <f>IF(OR(Tulokset!$G$53="",Tulokset!$I$53="",'16'!$I$54="",'16'!$K$54=""),"",IF(SIGN('16'!$I$54-'16'!$K$54)&lt;&gt;SIGN(Tulokset!$G$53-Tulokset!$I$53),0,IF(Tulokset!$G$53=Tulokset!$I$53,IF(AND('16'!$I$54=Tulokset!$G$53,'16'!$K$54=Tulokset!$I$53),6,3),MAX(0,6-(ABS('16'!$I$54-Tulokset!$G$53)+ABS('16'!$K$54-Tulokset!$I$53))))))</f>
        <v/>
      </c>
      <c r="BD19" t="str">
        <f>IF(OR(Tulokset!$G$54="",Tulokset!$I$54="",'16'!$I$55="",'16'!$K$55=""),"",IF(SIGN('16'!$I$55-'16'!$K$55)&lt;&gt;SIGN(Tulokset!$G$54-Tulokset!$I$54),0,IF(Tulokset!$G$54=Tulokset!$I$54,IF(AND('16'!$I$55=Tulokset!$G$54,'16'!$K$55=Tulokset!$I$54),6,3),MAX(0,6-(ABS('16'!$I$55-Tulokset!$G$54)+ABS('16'!$K$55-Tulokset!$I$54))))))</f>
        <v/>
      </c>
      <c r="BE19" t="str">
        <f>IF(OR(Tulokset!$G$55="",Tulokset!$I$55="",'16'!$I$56="",'16'!$K$56=""),"",IF(SIGN('16'!$I$56-'16'!$K$56)&lt;&gt;SIGN(Tulokset!$G$55-Tulokset!$I$55),0,IF(Tulokset!$G$55=Tulokset!$I$55,IF(AND('16'!$I$56=Tulokset!$G$55,'16'!$K$56=Tulokset!$I$55),6,3),MAX(0,6-(ABS('16'!$I$56-Tulokset!$G$55)+ABS('16'!$K$56-Tulokset!$I$55))))))</f>
        <v/>
      </c>
      <c r="BF19" t="str">
        <f>IF(OR(Tulokset!$G$56="",Tulokset!$I$56="",'16'!$I$57="",'16'!$K$57=""),"",IF(SIGN('16'!$I$57-'16'!$K$57)&lt;&gt;SIGN(Tulokset!$G$56-Tulokset!$I$56),0,IF(Tulokset!$G$56=Tulokset!$I$56,IF(AND('16'!$I$57=Tulokset!$G$56,'16'!$K$57=Tulokset!$I$56),6,3),MAX(0,6-(ABS('16'!$I$57-Tulokset!$G$56)+ABS('16'!$K$57-Tulokset!$I$56))))))</f>
        <v/>
      </c>
      <c r="BG19" t="str">
        <f>IF(OR(Tulokset!$G$57="",Tulokset!$I$57="",'16'!$I$58="",'16'!$K$58=""),"",IF(SIGN('16'!$I$58-'16'!$K$58)&lt;&gt;SIGN(Tulokset!$G$57-Tulokset!$I$57),0,IF(Tulokset!$G$57=Tulokset!$I$57,IF(AND('16'!$I$58=Tulokset!$G$57,'16'!$K$58=Tulokset!$I$57),6,3),MAX(0,6-(ABS('16'!$I$58-Tulokset!$G$57)+ABS('16'!$K$58-Tulokset!$I$57))))))</f>
        <v/>
      </c>
      <c r="BH19" t="str">
        <f>IF(OR(Tulokset!$G$58="",Tulokset!$I$58="",'16'!$I$59="",'16'!$K$59=""),"",IF(SIGN('16'!$I$59-'16'!$K$59)&lt;&gt;SIGN(Tulokset!$G$58-Tulokset!$I$58),0,IF(Tulokset!$G$58=Tulokset!$I$58,IF(AND('16'!$I$59=Tulokset!$G$58,'16'!$K$59=Tulokset!$I$58),6,3),MAX(0,6-(ABS('16'!$I$59-Tulokset!$G$58)+ABS('16'!$K$59-Tulokset!$I$58))))))</f>
        <v/>
      </c>
      <c r="BI19" t="str">
        <f>IF(OR(Tulokset!$G$59="",Tulokset!$I$59="",'16'!$I$60="",'16'!$K$60=""),"",IF(SIGN('16'!$I$60-'16'!$K$60)&lt;&gt;SIGN(Tulokset!$G$59-Tulokset!$I$59),0,IF(Tulokset!$G$59=Tulokset!$I$59,IF(AND('16'!$I$60=Tulokset!$G$59,'16'!$K$60=Tulokset!$I$59),6,3),MAX(0,6-(ABS('16'!$I$60-Tulokset!$G$59)+ABS('16'!$K$60-Tulokset!$I$59))))))</f>
        <v/>
      </c>
      <c r="BJ19" t="str">
        <f>IF(OR(Tulokset!$G$60="",Tulokset!$I$60="",'16'!$I$61="",'16'!$K$61=""),"",IF(SIGN('16'!$I$61-'16'!$K$61)&lt;&gt;SIGN(Tulokset!$G$60-Tulokset!$I$60),0,IF(Tulokset!$G$60=Tulokset!$I$60,IF(AND('16'!$I$61=Tulokset!$G$60,'16'!$K$61=Tulokset!$I$60),6,3),MAX(0,6-(ABS('16'!$I$61-Tulokset!$G$60)+ABS('16'!$K$61-Tulokset!$I$60))))))</f>
        <v/>
      </c>
      <c r="BK19" t="str">
        <f>IF(OR(Tulokset!$G$61="",Tulokset!$I$61="",'16'!$I$62="",'16'!$K$62=""),"",IF(SIGN('16'!$I$62-'16'!$K$62)&lt;&gt;SIGN(Tulokset!$G$61-Tulokset!$I$61),0,IF(Tulokset!$G$61=Tulokset!$I$61,IF(AND('16'!$I$62=Tulokset!$G$61,'16'!$K$62=Tulokset!$I$61),6,3),MAX(0,6-(ABS('16'!$I$62-Tulokset!$G$61)+ABS('16'!$K$62-Tulokset!$I$61))))))</f>
        <v/>
      </c>
      <c r="BL19" t="str">
        <f>IF(OR(Tulokset!$G$62="",Tulokset!$I$62="",'16'!$I$63="",'16'!$K$63=""),"",IF(SIGN('16'!$I$63-'16'!$K$63)&lt;&gt;SIGN(Tulokset!$G$62-Tulokset!$I$62),0,IF(Tulokset!$G$62=Tulokset!$I$62,IF(AND('16'!$I$63=Tulokset!$G$62,'16'!$K$63=Tulokset!$I$62),6,3),MAX(0,6-(ABS('16'!$I$63-Tulokset!$G$62)+ABS('16'!$K$63-Tulokset!$I$62))))))</f>
        <v/>
      </c>
      <c r="BM19" t="str">
        <f>IF(OR(Tulokset!$G$63="",Tulokset!$I$63="",'16'!$I$64="",'16'!$K$64=""),"",IF(SIGN('16'!$I$64-'16'!$K$64)&lt;&gt;SIGN(Tulokset!$G$63-Tulokset!$I$63),0,IF(Tulokset!$G$63=Tulokset!$I$63,IF(AND('16'!$I$64=Tulokset!$G$63,'16'!$K$64=Tulokset!$I$63),6,3),MAX(0,6-(ABS('16'!$I$64-Tulokset!$G$63)+ABS('16'!$K$64-Tulokset!$I$63))))))</f>
        <v/>
      </c>
      <c r="BN19" t="str">
        <f>IF(OR(Tulokset!$G$64="",Tulokset!$I$64="",'16'!$I$65="",'16'!$K$65=""),"",IF(SIGN('16'!$I$65-'16'!$K$65)&lt;&gt;SIGN(Tulokset!$G$64-Tulokset!$I$64),0,IF(Tulokset!$G$64=Tulokset!$I$64,IF(AND('16'!$I$65=Tulokset!$G$64,'16'!$K$65=Tulokset!$I$64),6,3),MAX(0,6-(ABS('16'!$I$65-Tulokset!$G$64)+ABS('16'!$K$65-Tulokset!$I$64))))))</f>
        <v/>
      </c>
      <c r="BO19" t="str">
        <f>IF(OR(Tulokset!$G$65="",Tulokset!$I$65="",'16'!$I$66="",'16'!$K$66=""),"",IF(SIGN('16'!$I$66-'16'!$K$66)&lt;&gt;SIGN(Tulokset!$G$65-Tulokset!$I$65),0,IF(Tulokset!$G$65=Tulokset!$I$65,IF(AND('16'!$I$66=Tulokset!$G$65,'16'!$K$66=Tulokset!$I$65),6,3),MAX(0,6-(ABS('16'!$I$66-Tulokset!$G$65)+ABS('16'!$K$66-Tulokset!$I$65))))))</f>
        <v/>
      </c>
      <c r="BP19" t="str">
        <f>IF(OR(Tulokset!$G$66="",Tulokset!$I$66="",'16'!$I$67="",'16'!$K$67=""),"",IF(SIGN('16'!$I$67-'16'!$K$67)&lt;&gt;SIGN(Tulokset!$G$66-Tulokset!$I$66),0,IF(Tulokset!$G$66=Tulokset!$I$66,IF(AND('16'!$I$67=Tulokset!$G$66,'16'!$K$67=Tulokset!$I$66),6,3),MAX(0,6-(ABS('16'!$I$67-Tulokset!$G$66)+ABS('16'!$K$67-Tulokset!$I$66))))))</f>
        <v/>
      </c>
      <c r="BQ19" t="str">
        <f>IF(OR(Tulokset!$G$67="",Tulokset!$I$67="",'16'!$I$68="",'16'!$K$68=""),"",IF(SIGN('16'!$I$68-'16'!$K$68)&lt;&gt;SIGN(Tulokset!$G$67-Tulokset!$I$67),0,IF(Tulokset!$G$67=Tulokset!$I$67,IF(AND('16'!$I$68=Tulokset!$G$67,'16'!$K$68=Tulokset!$I$67),6,3),MAX(0,6-(ABS('16'!$I$68-Tulokset!$G$67)+ABS('16'!$K$68-Tulokset!$I$67))))))</f>
        <v/>
      </c>
      <c r="BR19" t="str">
        <f>IF(OR(Tulokset!$G$68="",Tulokset!$I$68="",'16'!$I$69="",'16'!$K$69=""),"",IF(SIGN('16'!$I$69-'16'!$K$69)&lt;&gt;SIGN(Tulokset!$G$68-Tulokset!$I$68),0,IF(Tulokset!$G$68=Tulokset!$I$68,IF(AND('16'!$I$69=Tulokset!$G$68,'16'!$K$69=Tulokset!$I$68),6,3),MAX(0,6-(ABS('16'!$I$69-Tulokset!$G$68)+ABS('16'!$K$69-Tulokset!$I$68))))))</f>
        <v/>
      </c>
      <c r="BS19" t="str">
        <f>IF(OR(Tulokset!$G$69="",Tulokset!$I$69="",'16'!$I$70="",'16'!$K$70=""),"",IF(SIGN('16'!$I$70-'16'!$K$70)&lt;&gt;SIGN(Tulokset!$G$69-Tulokset!$I$69),0,IF(Tulokset!$G$69=Tulokset!$I$69,IF(AND('16'!$I$70=Tulokset!$G$69,'16'!$K$70=Tulokset!$I$69),6,3),MAX(0,6-(ABS('16'!$I$70-Tulokset!$G$69)+ABS('16'!$K$70-Tulokset!$I$69))))))</f>
        <v/>
      </c>
      <c r="BT19" t="str">
        <f>IF(OR(Tulokset!$G$70="",Tulokset!$I$70="",'16'!$I$71="",'16'!$K$71=""),"",IF(SIGN('16'!$I$71-'16'!$K$71)&lt;&gt;SIGN(Tulokset!$G$70-Tulokset!$I$70),0,IF(Tulokset!$G$70=Tulokset!$I$70,IF(AND('16'!$I$71=Tulokset!$G$70,'16'!$K$71=Tulokset!$I$70),6,3),MAX(0,6-(ABS('16'!$I$71-Tulokset!$G$70)+ABS('16'!$K$71-Tulokset!$I$70))))))</f>
        <v/>
      </c>
      <c r="BU19" t="str">
        <f>IF(OR(Tulokset!$G$71="",Tulokset!$I$71="",'16'!$I$72="",'16'!$K$72=""),"",IF(SIGN('16'!$I$72-'16'!$K$72)&lt;&gt;SIGN(Tulokset!$G$71-Tulokset!$I$71),0,IF(Tulokset!$G$71=Tulokset!$I$71,IF(AND('16'!$I$72=Tulokset!$G$71,'16'!$K$72=Tulokset!$I$71),6,3),MAX(0,6-(ABS('16'!$I$72-Tulokset!$G$71)+ABS('16'!$K$72-Tulokset!$I$71))))))</f>
        <v/>
      </c>
      <c r="BV19" t="str">
        <f>IF(OR(Tulokset!$G$72="",Tulokset!$I$72="",'16'!$I$73="",'16'!$K$73=""),"",IF(SIGN('16'!$I$73-'16'!$K$73)&lt;&gt;SIGN(Tulokset!$G$72-Tulokset!$I$72),0,IF(Tulokset!$G$72=Tulokset!$I$72,IF(AND('16'!$I$73=Tulokset!$G$72,'16'!$K$73=Tulokset!$I$72),6,3),MAX(0,6-(ABS('16'!$I$73-Tulokset!$G$72)+ABS('16'!$K$73-Tulokset!$I$72))))))</f>
        <v/>
      </c>
      <c r="BW19" t="str">
        <f>IF(OR(Tulokset!$G$73="",Tulokset!$I$73="",'16'!$I$74="",'16'!$K$74=""),"",IF(SIGN('16'!$I$74-'16'!$K$74)&lt;&gt;SIGN(Tulokset!$G$73-Tulokset!$I$73),0,IF(Tulokset!$G$73=Tulokset!$I$73,IF(AND('16'!$I$74=Tulokset!$G$73,'16'!$K$74=Tulokset!$I$73),6,3),MAX(0,6-(ABS('16'!$I$74-Tulokset!$G$73)+ABS('16'!$K$74-Tulokset!$I$73))))))</f>
        <v/>
      </c>
      <c r="BX19" t="str">
        <f>IF(OR(Tulokset!$G$74="",Tulokset!$I$74="",'16'!$I$75="",'16'!$K$75=""),"",IF(SIGN('16'!$I$75-'16'!$K$75)&lt;&gt;SIGN(Tulokset!$G$74-Tulokset!$I$74),0,IF(Tulokset!$G$74=Tulokset!$I$74,IF(AND('16'!$I$75=Tulokset!$G$74,'16'!$K$75=Tulokset!$I$74),6,3),MAX(0,6-(ABS('16'!$I$75-Tulokset!$G$74)+ABS('16'!$K$75-Tulokset!$I$74))))))</f>
        <v/>
      </c>
      <c r="BY19" t="str">
        <f>IF(OR(Tulokset!$G$75="",Tulokset!$I$75="",'16'!$I$76="",'16'!$K$76=""),"",IF(SIGN('16'!$I$76-'16'!$K$76)&lt;&gt;SIGN(Tulokset!$G$75-Tulokset!$I$75),0,IF(Tulokset!$G$75=Tulokset!$I$75,IF(AND('16'!$I$76=Tulokset!$G$75,'16'!$K$76=Tulokset!$I$75),6,3),MAX(0,6-(ABS('16'!$I$76-Tulokset!$G$75)+ABS('16'!$K$76-Tulokset!$I$75))))))</f>
        <v/>
      </c>
      <c r="BZ19" t="str">
        <f>IF(OR(Tulokset!$G$76="",Tulokset!$I$76="",'16'!$I$77="",'16'!$K$77=""),"",IF(SIGN('16'!$I$77-'16'!$K$77)&lt;&gt;SIGN(Tulokset!$G$76-Tulokset!$I$76),0,IF(Tulokset!$G$76=Tulokset!$I$76,IF(AND('16'!$I$77=Tulokset!$G$76,'16'!$K$77=Tulokset!$I$76),6,3),MAX(0,6-(ABS('16'!$I$77-Tulokset!$G$76)+ABS('16'!$K$77-Tulokset!$I$76))))))</f>
        <v/>
      </c>
      <c r="CA19" t="str">
        <f>IF(OR(Tulokset!$G$77="",Tulokset!$I$77="",'16'!$I$78="",'16'!$K$78=""),"",IF(SIGN('16'!$I$78-'16'!$K$78)&lt;&gt;SIGN(Tulokset!$G$77-Tulokset!$I$77),0,IF(Tulokset!$G$77=Tulokset!$I$77,IF(AND('16'!$I$78=Tulokset!$G$77,'16'!$K$78=Tulokset!$I$77),6,3),MAX(0,6-(ABS('16'!$I$78-Tulokset!$G$77)+ABS('16'!$K$78-Tulokset!$I$77))))))</f>
        <v/>
      </c>
      <c r="CD19" t="str">
        <f ca="1">IF(OR(Tulokset!$M$6="",INDIRECT("'"&amp;$A19&amp;"'!$P$8")=""),"",IF(TRIM(INDIRECT("'"&amp;$A19&amp;"'!$P$8"))=TRIM(Tulokset!$M$6),2,0))</f>
        <v/>
      </c>
      <c r="CE19" t="str">
        <f ca="1">IF(OR(Tulokset!$M$7="",INDIRECT("'"&amp;$A19&amp;"'!$P$9")=""),"",IF(TRIM(INDIRECT("'"&amp;$A19&amp;"'!$P$9"))=TRIM(Tulokset!$M$7),2,0))</f>
        <v/>
      </c>
      <c r="CF19" t="str">
        <f ca="1">IF(OR(Tulokset!$M$8="",INDIRECT("'"&amp;$A19&amp;"'!$P$10")=""),"",IF(TRIM(INDIRECT("'"&amp;$A19&amp;"'!$P$10"))=TRIM(Tulokset!$M$8),2,0))</f>
        <v/>
      </c>
      <c r="CG19" t="str">
        <f ca="1">IF(OR(Tulokset!$M$9="",INDIRECT("'"&amp;$A19&amp;"'!$P$11")=""),"",IF(TRIM(INDIRECT("'"&amp;$A19&amp;"'!$P$11"))=TRIM(Tulokset!$M$9),2,0))</f>
        <v/>
      </c>
      <c r="CH19" t="str">
        <f ca="1">IF(OR(Tulokset!$N$6="",INDIRECT("'"&amp;$A19&amp;"'!$Q$8")=""),"",IF(TRIM(INDIRECT("'"&amp;$A19&amp;"'!$Q$8"))=TRIM(Tulokset!$N$6),2,0))</f>
        <v/>
      </c>
      <c r="CI19" t="str">
        <f ca="1">IF(OR(Tulokset!$N$7="",INDIRECT("'"&amp;$A19&amp;"'!$Q$9")=""),"",IF(TRIM(INDIRECT("'"&amp;$A19&amp;"'!$Q$9"))=TRIM(Tulokset!$N$7),2,0))</f>
        <v/>
      </c>
      <c r="CJ19" t="str">
        <f ca="1">IF(OR(Tulokset!$N$8="",INDIRECT("'"&amp;$A19&amp;"'!$Q$10")=""),"",IF(TRIM(INDIRECT("'"&amp;$A19&amp;"'!$Q$10"))=TRIM(Tulokset!$N$8),2,0))</f>
        <v/>
      </c>
      <c r="CK19" t="str">
        <f ca="1">IF(OR(Tulokset!$N$9="",INDIRECT("'"&amp;$A19&amp;"'!$Q$11")=""),"",IF(TRIM(INDIRECT("'"&amp;$A19&amp;"'!$Q$11"))=TRIM(Tulokset!$N$9),2,0))</f>
        <v/>
      </c>
      <c r="CL19" t="str">
        <f ca="1">IF(OR(Tulokset!$O$6="",INDIRECT("'"&amp;$A19&amp;"'!$R$8")=""),"",IF(TRIM(INDIRECT("'"&amp;$A19&amp;"'!$R$8"))=TRIM(Tulokset!$O$6),2,0))</f>
        <v/>
      </c>
      <c r="CM19" t="str">
        <f ca="1">IF(OR(Tulokset!$O$7="",INDIRECT("'"&amp;$A19&amp;"'!$R$9")=""),"",IF(TRIM(INDIRECT("'"&amp;$A19&amp;"'!$R$9"))=TRIM(Tulokset!$O$7),2,0))</f>
        <v/>
      </c>
      <c r="CN19" t="str">
        <f ca="1">IF(OR(Tulokset!$O$8="",INDIRECT("'"&amp;$A19&amp;"'!$R$10")=""),"",IF(TRIM(INDIRECT("'"&amp;$A19&amp;"'!$R$10"))=TRIM(Tulokset!$O$8),2,0))</f>
        <v/>
      </c>
      <c r="CO19" t="str">
        <f ca="1">IF(OR(Tulokset!$O$9="",INDIRECT("'"&amp;$A19&amp;"'!$R$11")=""),"",IF(TRIM(INDIRECT("'"&amp;$A19&amp;"'!$R$11"))=TRIM(Tulokset!$O$9),2,0))</f>
        <v/>
      </c>
      <c r="CP19" t="str">
        <f ca="1">IF(OR(Tulokset!$P$6="",INDIRECT("'"&amp;$A19&amp;"'!$S$8")=""),"",IF(TRIM(INDIRECT("'"&amp;$A19&amp;"'!$S$8"))=TRIM(Tulokset!$P$6),2,0))</f>
        <v/>
      </c>
      <c r="CQ19" t="str">
        <f ca="1">IF(OR(Tulokset!$P$7="",INDIRECT("'"&amp;$A19&amp;"'!$S$9")=""),"",IF(TRIM(INDIRECT("'"&amp;$A19&amp;"'!$S$9"))=TRIM(Tulokset!$P$7),2,0))</f>
        <v/>
      </c>
      <c r="CR19" t="str">
        <f ca="1">IF(OR(Tulokset!$P$8="",INDIRECT("'"&amp;$A19&amp;"'!$S$10")=""),"",IF(TRIM(INDIRECT("'"&amp;$A19&amp;"'!$S$10"))=TRIM(Tulokset!$P$8),2,0))</f>
        <v/>
      </c>
      <c r="CS19" t="str">
        <f ca="1">IF(OR(Tulokset!$P$9="",INDIRECT("'"&amp;$A19&amp;"'!$S$11")=""),"",IF(TRIM(INDIRECT("'"&amp;$A19&amp;"'!$S$11"))=TRIM(Tulokset!$P$9),2,0))</f>
        <v/>
      </c>
      <c r="CT19" t="str">
        <f ca="1">IF(OR(Tulokset!$Q$6="",INDIRECT("'"&amp;$A19&amp;"'!$T$8")=""),"",IF(TRIM(INDIRECT("'"&amp;$A19&amp;"'!$T$8"))=TRIM(Tulokset!$Q$6),2,0))</f>
        <v/>
      </c>
      <c r="CU19" t="str">
        <f ca="1">IF(OR(Tulokset!$Q$7="",INDIRECT("'"&amp;$A19&amp;"'!$T$9")=""),"",IF(TRIM(INDIRECT("'"&amp;$A19&amp;"'!$T$9"))=TRIM(Tulokset!$Q$7),2,0))</f>
        <v/>
      </c>
      <c r="CV19" t="str">
        <f ca="1">IF(OR(Tulokset!$Q$8="",INDIRECT("'"&amp;$A19&amp;"'!$T$10")=""),"",IF(TRIM(INDIRECT("'"&amp;$A19&amp;"'!$T$10"))=TRIM(Tulokset!$Q$8),2,0))</f>
        <v/>
      </c>
      <c r="CW19" t="str">
        <f ca="1">IF(OR(Tulokset!$Q$9="",INDIRECT("'"&amp;$A19&amp;"'!$T$11")=""),"",IF(TRIM(INDIRECT("'"&amp;$A19&amp;"'!$T$11"))=TRIM(Tulokset!$Q$9),2,0))</f>
        <v/>
      </c>
      <c r="CX19" t="str">
        <f ca="1">IF(OR(Tulokset!$R$6="",INDIRECT("'"&amp;$A19&amp;"'!$U$8")=""),"",IF(TRIM(INDIRECT("'"&amp;$A19&amp;"'!$U$8"))=TRIM(Tulokset!$R$6),2,0))</f>
        <v/>
      </c>
      <c r="CY19" t="str">
        <f ca="1">IF(OR(Tulokset!$R$7="",INDIRECT("'"&amp;$A19&amp;"'!$U$9")=""),"",IF(TRIM(INDIRECT("'"&amp;$A19&amp;"'!$U$9"))=TRIM(Tulokset!$R$7),2,0))</f>
        <v/>
      </c>
      <c r="CZ19" t="str">
        <f ca="1">IF(OR(Tulokset!$R$8="",INDIRECT("'"&amp;$A19&amp;"'!$U$10")=""),"",IF(TRIM(INDIRECT("'"&amp;$A19&amp;"'!$U$10"))=TRIM(Tulokset!$R$8),2,0))</f>
        <v/>
      </c>
      <c r="DA19" t="str">
        <f ca="1">IF(OR(Tulokset!$R$9="",INDIRECT("'"&amp;$A19&amp;"'!$U$11")=""),"",IF(TRIM(INDIRECT("'"&amp;$A19&amp;"'!$U$11"))=TRIM(Tulokset!$R$9),2,0))</f>
        <v/>
      </c>
      <c r="DB19" t="str">
        <f ca="1">IF(OR(Tulokset!$M$12="",INDIRECT("'"&amp;$A19&amp;"'!$P$14")=""),"",IF(TRIM(INDIRECT("'"&amp;$A19&amp;"'!$P$14"))=TRIM(Tulokset!$M$12),2,0))</f>
        <v/>
      </c>
      <c r="DC19" t="str">
        <f ca="1">IF(OR(Tulokset!$M$13="",INDIRECT("'"&amp;$A19&amp;"'!$P$15")=""),"",IF(TRIM(INDIRECT("'"&amp;$A19&amp;"'!$P$15"))=TRIM(Tulokset!$M$13),2,0))</f>
        <v/>
      </c>
      <c r="DD19" t="str">
        <f ca="1">IF(OR(Tulokset!$M$14="",INDIRECT("'"&amp;$A19&amp;"'!$P$16")=""),"",IF(TRIM(INDIRECT("'"&amp;$A19&amp;"'!$P$16"))=TRIM(Tulokset!$M$14),2,0))</f>
        <v/>
      </c>
      <c r="DE19" t="str">
        <f ca="1">IF(OR(Tulokset!$M$15="",INDIRECT("'"&amp;$A19&amp;"'!$P$17")=""),"",IF(TRIM(INDIRECT("'"&amp;$A19&amp;"'!$P$17"))=TRIM(Tulokset!$M$15),2,0))</f>
        <v/>
      </c>
      <c r="DF19" t="str">
        <f ca="1">IF(OR(Tulokset!$N$12="",INDIRECT("'"&amp;$A19&amp;"'!$Q$14")=""),"",IF(TRIM(INDIRECT("'"&amp;$A19&amp;"'!$Q$14"))=TRIM(Tulokset!$N$12),2,0))</f>
        <v/>
      </c>
      <c r="DG19" t="str">
        <f ca="1">IF(OR(Tulokset!$N$13="",INDIRECT("'"&amp;$A19&amp;"'!$Q$15")=""),"",IF(TRIM(INDIRECT("'"&amp;$A19&amp;"'!$Q$15"))=TRIM(Tulokset!$N$13),2,0))</f>
        <v/>
      </c>
      <c r="DH19" t="str">
        <f ca="1">IF(OR(Tulokset!$N$14="",INDIRECT("'"&amp;$A19&amp;"'!$Q$16")=""),"",IF(TRIM(INDIRECT("'"&amp;$A19&amp;"'!$Q$16"))=TRIM(Tulokset!$N$14),2,0))</f>
        <v/>
      </c>
      <c r="DI19" t="str">
        <f ca="1">IF(OR(Tulokset!$N$15="",INDIRECT("'"&amp;$A19&amp;"'!$Q$17")=""),"",IF(TRIM(INDIRECT("'"&amp;$A19&amp;"'!$Q$17"))=TRIM(Tulokset!$N$15),2,0))</f>
        <v/>
      </c>
      <c r="DJ19" t="str">
        <f ca="1">IF(OR(Tulokset!$O$12="",INDIRECT("'"&amp;$A19&amp;"'!$R$14")=""),"",IF(TRIM(INDIRECT("'"&amp;$A19&amp;"'!$R$14"))=TRIM(Tulokset!$O$12),2,0))</f>
        <v/>
      </c>
      <c r="DK19" t="str">
        <f ca="1">IF(OR(Tulokset!$O$13="",INDIRECT("'"&amp;$A19&amp;"'!$R$15")=""),"",IF(TRIM(INDIRECT("'"&amp;$A19&amp;"'!$R$15"))=TRIM(Tulokset!$O$13),2,0))</f>
        <v/>
      </c>
      <c r="DL19" t="str">
        <f ca="1">IF(OR(Tulokset!$O$14="",INDIRECT("'"&amp;$A19&amp;"'!$R$16")=""),"",IF(TRIM(INDIRECT("'"&amp;$A19&amp;"'!$R$16"))=TRIM(Tulokset!$O$14),2,0))</f>
        <v/>
      </c>
      <c r="DM19" t="str">
        <f ca="1">IF(OR(Tulokset!$O$15="",INDIRECT("'"&amp;$A19&amp;"'!$R$17")=""),"",IF(TRIM(INDIRECT("'"&amp;$A19&amp;"'!$R$17"))=TRIM(Tulokset!$O$15),2,0))</f>
        <v/>
      </c>
      <c r="DN19" t="str">
        <f ca="1">IF(OR(Tulokset!$P$12="",INDIRECT("'"&amp;$A19&amp;"'!$S$14")=""),"",IF(TRIM(INDIRECT("'"&amp;$A19&amp;"'!$S$14"))=TRIM(Tulokset!$P$12),2,0))</f>
        <v/>
      </c>
      <c r="DO19" t="str">
        <f ca="1">IF(OR(Tulokset!$P$13="",INDIRECT("'"&amp;$A19&amp;"'!$S$15")=""),"",IF(TRIM(INDIRECT("'"&amp;$A19&amp;"'!$S$15"))=TRIM(Tulokset!$P$13),2,0))</f>
        <v/>
      </c>
      <c r="DP19" t="str">
        <f ca="1">IF(OR(Tulokset!$P$14="",INDIRECT("'"&amp;$A19&amp;"'!$S$16")=""),"",IF(TRIM(INDIRECT("'"&amp;$A19&amp;"'!$S$16"))=TRIM(Tulokset!$P$14),2,0))</f>
        <v/>
      </c>
      <c r="DQ19" t="str">
        <f ca="1">IF(OR(Tulokset!$P$15="",INDIRECT("'"&amp;$A19&amp;"'!$S$17")=""),"",IF(TRIM(INDIRECT("'"&amp;$A19&amp;"'!$S$17"))=TRIM(Tulokset!$P$15),2,0))</f>
        <v/>
      </c>
      <c r="DR19" t="str">
        <f ca="1">IF(OR(Tulokset!$Q$12="",INDIRECT("'"&amp;$A19&amp;"'!$T$14")=""),"",IF(TRIM(INDIRECT("'"&amp;$A19&amp;"'!$T$14"))=TRIM(Tulokset!$Q$12),2,0))</f>
        <v/>
      </c>
      <c r="DS19" t="str">
        <f ca="1">IF(OR(Tulokset!$Q$13="",INDIRECT("'"&amp;$A19&amp;"'!$T$15")=""),"",IF(TRIM(INDIRECT("'"&amp;$A19&amp;"'!$T$15"))=TRIM(Tulokset!$Q$13),2,0))</f>
        <v/>
      </c>
      <c r="DT19" t="str">
        <f ca="1">IF(OR(Tulokset!$Q$14="",INDIRECT("'"&amp;$A19&amp;"'!$T$16")=""),"",IF(TRIM(INDIRECT("'"&amp;$A19&amp;"'!$T$16"))=TRIM(Tulokset!$Q$14),2,0))</f>
        <v/>
      </c>
      <c r="DU19" t="str">
        <f ca="1">IF(OR(Tulokset!$Q$15="",INDIRECT("'"&amp;$A19&amp;"'!$T$17")=""),"",IF(TRIM(INDIRECT("'"&amp;$A19&amp;"'!$T$17"))=TRIM(Tulokset!$Q$15),2,0))</f>
        <v/>
      </c>
      <c r="DV19" t="str">
        <f ca="1">IF(OR(Tulokset!$R$12="",INDIRECT("'"&amp;$A19&amp;"'!$U$14")=""),"",IF(TRIM(INDIRECT("'"&amp;$A19&amp;"'!$U$14"))=TRIM(Tulokset!$R$12),2,0))</f>
        <v/>
      </c>
      <c r="DW19" t="str">
        <f ca="1">IF(OR(Tulokset!$R$13="",INDIRECT("'"&amp;$A19&amp;"'!$U$15")=""),"",IF(TRIM(INDIRECT("'"&amp;$A19&amp;"'!$U$15"))=TRIM(Tulokset!$R$13),2,0))</f>
        <v/>
      </c>
      <c r="DX19" t="str">
        <f ca="1">IF(OR(Tulokset!$R$14="",INDIRECT("'"&amp;$A19&amp;"'!$U$16")=""),"",IF(TRIM(INDIRECT("'"&amp;$A19&amp;"'!$U$16"))=TRIM(Tulokset!$R$14),2,0))</f>
        <v/>
      </c>
      <c r="DY19" t="str">
        <f ca="1">IF(OR(Tulokset!$R$15="",INDIRECT("'"&amp;$A19&amp;"'!$U$17")=""),"",IF(TRIM(INDIRECT("'"&amp;$A19&amp;"'!$U$17"))=TRIM(Tulokset!$R$15),2,0))</f>
        <v/>
      </c>
      <c r="EA19" t="str">
        <f ca="1">IF(OR(INDIRECT("'"&amp;$A19&amp;"'!$E$79")="",COUNTA(Tulokset!$M$20:$M$21)=0),"",IF(COUNTIF(Tulokset!$M$20:$M$21,INDIRECT("'"&amp;$A19&amp;"'!$E$79"))&gt;0,2,0))</f>
        <v/>
      </c>
      <c r="EB19" t="str">
        <f ca="1">IF(OR(INDIRECT("'"&amp;$A19&amp;"'!$G$79")="",COUNTA(Tulokset!$M$20:$M$21)=0),"",IF(COUNTIF(Tulokset!$M$20:$M$21,INDIRECT("'"&amp;$A19&amp;"'!$G$79"))&gt;0,2,0))</f>
        <v/>
      </c>
      <c r="EC19" t="str">
        <f ca="1">IF(OR(INDIRECT("'"&amp;$A19&amp;"'!$E$80")="",COUNTA(Tulokset!$M$23:$M$24)=0),"",IF(COUNTIF(Tulokset!$M$23:$M$24,INDIRECT("'"&amp;$A19&amp;"'!$E$80"))&gt;0,2,0))</f>
        <v/>
      </c>
      <c r="ED19" t="str">
        <f ca="1">IF(OR(INDIRECT("'"&amp;$A19&amp;"'!$G$80")="",COUNTA(Tulokset!$M$23:$M$24)=0),"",IF(COUNTIF(Tulokset!$M$23:$M$24,INDIRECT("'"&amp;$A19&amp;"'!$G$80"))&gt;0,2,0))</f>
        <v/>
      </c>
    </row>
    <row r="20" spans="1:134">
      <c r="A20" t="s">
        <v>235</v>
      </c>
      <c r="B20" t="str">
        <f t="shared" ca="1" si="0"/>
        <v>Ibaldo de Lima</v>
      </c>
      <c r="C20" s="95">
        <f t="shared" si="1"/>
        <v>0</v>
      </c>
      <c r="D20" s="95">
        <f t="shared" ca="1" si="2"/>
        <v>0</v>
      </c>
      <c r="E20" s="95">
        <f t="shared" ca="1" si="3"/>
        <v>0</v>
      </c>
      <c r="F20" s="95">
        <f t="shared" ca="1" si="4"/>
        <v>0</v>
      </c>
      <c r="G20" s="95">
        <f t="shared" si="5"/>
        <v>0</v>
      </c>
      <c r="H20" t="str">
        <f>IF(OR(Tulokset!$G$6="",Tulokset!$I$6="",'17'!$I$7="",'17'!$K$7=""),"",IF(SIGN('17'!$I$7-'17'!$K$7)&lt;&gt;SIGN(Tulokset!$G$6-Tulokset!$I$6),0,IF(Tulokset!$G$6=Tulokset!$I$6,IF(AND('17'!$I$7=Tulokset!$G$6,'17'!$K$7=Tulokset!$I$6),6,3),MAX(0,6-(ABS('17'!$I$7-Tulokset!$G$6)+ABS('17'!$K$7-Tulokset!$I$6))))))</f>
        <v/>
      </c>
      <c r="I20" t="str">
        <f>IF(OR(Tulokset!$G$7="",Tulokset!$I$7="",'17'!$I$8="",'17'!$K$8=""),"",IF(SIGN('17'!$I$8-'17'!$K$8)&lt;&gt;SIGN(Tulokset!$G$7-Tulokset!$I$7),0,IF(Tulokset!$G$7=Tulokset!$I$7,IF(AND('17'!$I$8=Tulokset!$G$7,'17'!$K$8=Tulokset!$I$7),6,3),MAX(0,6-(ABS('17'!$I$8-Tulokset!$G$7)+ABS('17'!$K$8-Tulokset!$I$7))))))</f>
        <v/>
      </c>
      <c r="J20" t="str">
        <f>IF(OR(Tulokset!$G$8="",Tulokset!$I$8="",'17'!$I$9="",'17'!$K$9=""),"",IF(SIGN('17'!$I$9-'17'!$K$9)&lt;&gt;SIGN(Tulokset!$G$8-Tulokset!$I$8),0,IF(Tulokset!$G$8=Tulokset!$I$8,IF(AND('17'!$I$9=Tulokset!$G$8,'17'!$K$9=Tulokset!$I$8),6,3),MAX(0,6-(ABS('17'!$I$9-Tulokset!$G$8)+ABS('17'!$K$9-Tulokset!$I$8))))))</f>
        <v/>
      </c>
      <c r="K20" t="str">
        <f>IF(OR(Tulokset!$G$9="",Tulokset!$I$9="",'17'!$I$10="",'17'!$K$10=""),"",IF(SIGN('17'!$I$10-'17'!$K$10)&lt;&gt;SIGN(Tulokset!$G$9-Tulokset!$I$9),0,IF(Tulokset!$G$9=Tulokset!$I$9,IF(AND('17'!$I$10=Tulokset!$G$9,'17'!$K$10=Tulokset!$I$9),6,3),MAX(0,6-(ABS('17'!$I$10-Tulokset!$G$9)+ABS('17'!$K$10-Tulokset!$I$9))))))</f>
        <v/>
      </c>
      <c r="L20" t="str">
        <f>IF(OR(Tulokset!$G$10="",Tulokset!$I$10="",'17'!$I$11="",'17'!$K$11=""),"",IF(SIGN('17'!$I$11-'17'!$K$11)&lt;&gt;SIGN(Tulokset!$G$10-Tulokset!$I$10),0,IF(Tulokset!$G$10=Tulokset!$I$10,IF(AND('17'!$I$11=Tulokset!$G$10,'17'!$K$11=Tulokset!$I$10),6,3),MAX(0,6-(ABS('17'!$I$11-Tulokset!$G$10)+ABS('17'!$K$11-Tulokset!$I$10))))))</f>
        <v/>
      </c>
      <c r="M20" t="str">
        <f>IF(OR(Tulokset!$G$11="",Tulokset!$I$11="",'17'!$I$12="",'17'!$K$12=""),"",IF(SIGN('17'!$I$12-'17'!$K$12)&lt;&gt;SIGN(Tulokset!$G$11-Tulokset!$I$11),0,IF(Tulokset!$G$11=Tulokset!$I$11,IF(AND('17'!$I$12=Tulokset!$G$11,'17'!$K$12=Tulokset!$I$11),6,3),MAX(0,6-(ABS('17'!$I$12-Tulokset!$G$11)+ABS('17'!$K$12-Tulokset!$I$11))))))</f>
        <v/>
      </c>
      <c r="N20" t="str">
        <f>IF(OR(Tulokset!$G$12="",Tulokset!$I$12="",'17'!$I$13="",'17'!$K$13=""),"",IF(SIGN('17'!$I$13-'17'!$K$13)&lt;&gt;SIGN(Tulokset!$G$12-Tulokset!$I$12),0,IF(Tulokset!$G$12=Tulokset!$I$12,IF(AND('17'!$I$13=Tulokset!$G$12,'17'!$K$13=Tulokset!$I$12),6,3),MAX(0,6-(ABS('17'!$I$13-Tulokset!$G$12)+ABS('17'!$K$13-Tulokset!$I$12))))))</f>
        <v/>
      </c>
      <c r="O20" t="str">
        <f>IF(OR(Tulokset!$G$13="",Tulokset!$I$13="",'17'!$I$14="",'17'!$K$14=""),"",IF(SIGN('17'!$I$14-'17'!$K$14)&lt;&gt;SIGN(Tulokset!$G$13-Tulokset!$I$13),0,IF(Tulokset!$G$13=Tulokset!$I$13,IF(AND('17'!$I$14=Tulokset!$G$13,'17'!$K$14=Tulokset!$I$13),6,3),MAX(0,6-(ABS('17'!$I$14-Tulokset!$G$13)+ABS('17'!$K$14-Tulokset!$I$13))))))</f>
        <v/>
      </c>
      <c r="P20" t="str">
        <f>IF(OR(Tulokset!$G$14="",Tulokset!$I$14="",'17'!$I$15="",'17'!$K$15=""),"",IF(SIGN('17'!$I$15-'17'!$K$15)&lt;&gt;SIGN(Tulokset!$G$14-Tulokset!$I$14),0,IF(Tulokset!$G$14=Tulokset!$I$14,IF(AND('17'!$I$15=Tulokset!$G$14,'17'!$K$15=Tulokset!$I$14),6,3),MAX(0,6-(ABS('17'!$I$15-Tulokset!$G$14)+ABS('17'!$K$15-Tulokset!$I$14))))))</f>
        <v/>
      </c>
      <c r="Q20" t="str">
        <f>IF(OR(Tulokset!$G$15="",Tulokset!$I$15="",'17'!$I$16="",'17'!$K$16=""),"",IF(SIGN('17'!$I$16-'17'!$K$16)&lt;&gt;SIGN(Tulokset!$G$15-Tulokset!$I$15),0,IF(Tulokset!$G$15=Tulokset!$I$15,IF(AND('17'!$I$16=Tulokset!$G$15,'17'!$K$16=Tulokset!$I$15),6,3),MAX(0,6-(ABS('17'!$I$16-Tulokset!$G$15)+ABS('17'!$K$16-Tulokset!$I$15))))))</f>
        <v/>
      </c>
      <c r="R20" t="str">
        <f>IF(OR(Tulokset!$G$16="",Tulokset!$I$16="",'17'!$I$17="",'17'!$K$17=""),"",IF(SIGN('17'!$I$17-'17'!$K$17)&lt;&gt;SIGN(Tulokset!$G$16-Tulokset!$I$16),0,IF(Tulokset!$G$16=Tulokset!$I$16,IF(AND('17'!$I$17=Tulokset!$G$16,'17'!$K$17=Tulokset!$I$16),6,3),MAX(0,6-(ABS('17'!$I$17-Tulokset!$G$16)+ABS('17'!$K$17-Tulokset!$I$16))))))</f>
        <v/>
      </c>
      <c r="S20" t="str">
        <f>IF(OR(Tulokset!$G$17="",Tulokset!$I$17="",'17'!$I$18="",'17'!$K$18=""),"",IF(SIGN('17'!$I$18-'17'!$K$18)&lt;&gt;SIGN(Tulokset!$G$17-Tulokset!$I$17),0,IF(Tulokset!$G$17=Tulokset!$I$17,IF(AND('17'!$I$18=Tulokset!$G$17,'17'!$K$18=Tulokset!$I$17),6,3),MAX(0,6-(ABS('17'!$I$18-Tulokset!$G$17)+ABS('17'!$K$18-Tulokset!$I$17))))))</f>
        <v/>
      </c>
      <c r="T20" t="str">
        <f>IF(OR(Tulokset!$G$18="",Tulokset!$I$18="",'17'!$I$19="",'17'!$K$19=""),"",IF(SIGN('17'!$I$19-'17'!$K$19)&lt;&gt;SIGN(Tulokset!$G$18-Tulokset!$I$18),0,IF(Tulokset!$G$18=Tulokset!$I$18,IF(AND('17'!$I$19=Tulokset!$G$18,'17'!$K$19=Tulokset!$I$18),6,3),MAX(0,6-(ABS('17'!$I$19-Tulokset!$G$18)+ABS('17'!$K$19-Tulokset!$I$18))))))</f>
        <v/>
      </c>
      <c r="U20" t="str">
        <f>IF(OR(Tulokset!$G$19="",Tulokset!$I$19="",'17'!$I$20="",'17'!$K$20=""),"",IF(SIGN('17'!$I$20-'17'!$K$20)&lt;&gt;SIGN(Tulokset!$G$19-Tulokset!$I$19),0,IF(Tulokset!$G$19=Tulokset!$I$19,IF(AND('17'!$I$20=Tulokset!$G$19,'17'!$K$20=Tulokset!$I$19),6,3),MAX(0,6-(ABS('17'!$I$20-Tulokset!$G$19)+ABS('17'!$K$20-Tulokset!$I$19))))))</f>
        <v/>
      </c>
      <c r="V20" t="str">
        <f>IF(OR(Tulokset!$G$20="",Tulokset!$I$20="",'17'!$I$21="",'17'!$K$21=""),"",IF(SIGN('17'!$I$21-'17'!$K$21)&lt;&gt;SIGN(Tulokset!$G$20-Tulokset!$I$20),0,IF(Tulokset!$G$20=Tulokset!$I$20,IF(AND('17'!$I$21=Tulokset!$G$20,'17'!$K$21=Tulokset!$I$20),6,3),MAX(0,6-(ABS('17'!$I$21-Tulokset!$G$20)+ABS('17'!$K$21-Tulokset!$I$20))))))</f>
        <v/>
      </c>
      <c r="W20" t="str">
        <f>IF(OR(Tulokset!$G$21="",Tulokset!$I$21="",'17'!$I$22="",'17'!$K$22=""),"",IF(SIGN('17'!$I$22-'17'!$K$22)&lt;&gt;SIGN(Tulokset!$G$21-Tulokset!$I$21),0,IF(Tulokset!$G$21=Tulokset!$I$21,IF(AND('17'!$I$22=Tulokset!$G$21,'17'!$K$22=Tulokset!$I$21),6,3),MAX(0,6-(ABS('17'!$I$22-Tulokset!$G$21)+ABS('17'!$K$22-Tulokset!$I$21))))))</f>
        <v/>
      </c>
      <c r="X20" t="str">
        <f>IF(OR(Tulokset!$G$22="",Tulokset!$I$22="",'17'!$I$23="",'17'!$K$23=""),"",IF(SIGN('17'!$I$23-'17'!$K$23)&lt;&gt;SIGN(Tulokset!$G$22-Tulokset!$I$22),0,IF(Tulokset!$G$22=Tulokset!$I$22,IF(AND('17'!$I$23=Tulokset!$G$22,'17'!$K$23=Tulokset!$I$22),6,3),MAX(0,6-(ABS('17'!$I$23-Tulokset!$G$22)+ABS('17'!$K$23-Tulokset!$I$22))))))</f>
        <v/>
      </c>
      <c r="Y20" t="str">
        <f>IF(OR(Tulokset!$G$23="",Tulokset!$I$23="",'17'!$I$24="",'17'!$K$24=""),"",IF(SIGN('17'!$I$24-'17'!$K$24)&lt;&gt;SIGN(Tulokset!$G$23-Tulokset!$I$23),0,IF(Tulokset!$G$23=Tulokset!$I$23,IF(AND('17'!$I$24=Tulokset!$G$23,'17'!$K$24=Tulokset!$I$23),6,3),MAX(0,6-(ABS('17'!$I$24-Tulokset!$G$23)+ABS('17'!$K$24-Tulokset!$I$23))))))</f>
        <v/>
      </c>
      <c r="Z20" t="str">
        <f>IF(OR(Tulokset!$G$24="",Tulokset!$I$24="",'17'!$I$25="",'17'!$K$25=""),"",IF(SIGN('17'!$I$25-'17'!$K$25)&lt;&gt;SIGN(Tulokset!$G$24-Tulokset!$I$24),0,IF(Tulokset!$G$24=Tulokset!$I$24,IF(AND('17'!$I$25=Tulokset!$G$24,'17'!$K$25=Tulokset!$I$24),6,3),MAX(0,6-(ABS('17'!$I$25-Tulokset!$G$24)+ABS('17'!$K$25-Tulokset!$I$24))))))</f>
        <v/>
      </c>
      <c r="AA20" t="str">
        <f>IF(OR(Tulokset!$G$25="",Tulokset!$I$25="",'17'!$I$26="",'17'!$K$26=""),"",IF(SIGN('17'!$I$26-'17'!$K$26)&lt;&gt;SIGN(Tulokset!$G$25-Tulokset!$I$25),0,IF(Tulokset!$G$25=Tulokset!$I$25,IF(AND('17'!$I$26=Tulokset!$G$25,'17'!$K$26=Tulokset!$I$25),6,3),MAX(0,6-(ABS('17'!$I$26-Tulokset!$G$25)+ABS('17'!$K$26-Tulokset!$I$25))))))</f>
        <v/>
      </c>
      <c r="AB20" t="str">
        <f>IF(OR(Tulokset!$G$26="",Tulokset!$I$26="",'17'!$I$27="",'17'!$K$27=""),"",IF(SIGN('17'!$I$27-'17'!$K$27)&lt;&gt;SIGN(Tulokset!$G$26-Tulokset!$I$26),0,IF(Tulokset!$G$26=Tulokset!$I$26,IF(AND('17'!$I$27=Tulokset!$G$26,'17'!$K$27=Tulokset!$I$26),6,3),MAX(0,6-(ABS('17'!$I$27-Tulokset!$G$26)+ABS('17'!$K$27-Tulokset!$I$26))))))</f>
        <v/>
      </c>
      <c r="AC20" t="str">
        <f>IF(OR(Tulokset!$G$27="",Tulokset!$I$27="",'17'!$I$28="",'17'!$K$28=""),"",IF(SIGN('17'!$I$28-'17'!$K$28)&lt;&gt;SIGN(Tulokset!$G$27-Tulokset!$I$27),0,IF(Tulokset!$G$27=Tulokset!$I$27,IF(AND('17'!$I$28=Tulokset!$G$27,'17'!$K$28=Tulokset!$I$27),6,3),MAX(0,6-(ABS('17'!$I$28-Tulokset!$G$27)+ABS('17'!$K$28-Tulokset!$I$27))))))</f>
        <v/>
      </c>
      <c r="AD20" t="str">
        <f>IF(OR(Tulokset!$G$28="",Tulokset!$I$28="",'17'!$I$29="",'17'!$K$29=""),"",IF(SIGN('17'!$I$29-'17'!$K$29)&lt;&gt;SIGN(Tulokset!$G$28-Tulokset!$I$28),0,IF(Tulokset!$G$28=Tulokset!$I$28,IF(AND('17'!$I$29=Tulokset!$G$28,'17'!$K$29=Tulokset!$I$28),6,3),MAX(0,6-(ABS('17'!$I$29-Tulokset!$G$28)+ABS('17'!$K$29-Tulokset!$I$28))))))</f>
        <v/>
      </c>
      <c r="AE20" t="str">
        <f>IF(OR(Tulokset!$G$29="",Tulokset!$I$29="",'17'!$I$30="",'17'!$K$30=""),"",IF(SIGN('17'!$I$30-'17'!$K$30)&lt;&gt;SIGN(Tulokset!$G$29-Tulokset!$I$29),0,IF(Tulokset!$G$29=Tulokset!$I$29,IF(AND('17'!$I$30=Tulokset!$G$29,'17'!$K$30=Tulokset!$I$29),6,3),MAX(0,6-(ABS('17'!$I$30-Tulokset!$G$29)+ABS('17'!$K$30-Tulokset!$I$29))))))</f>
        <v/>
      </c>
      <c r="AF20" t="str">
        <f>IF(OR(Tulokset!$G$30="",Tulokset!$I$30="",'17'!$I$31="",'17'!$K$31=""),"",IF(SIGN('17'!$I$31-'17'!$K$31)&lt;&gt;SIGN(Tulokset!$G$30-Tulokset!$I$30),0,IF(Tulokset!$G$30=Tulokset!$I$30,IF(AND('17'!$I$31=Tulokset!$G$30,'17'!$K$31=Tulokset!$I$30),6,3),MAX(0,6-(ABS('17'!$I$31-Tulokset!$G$30)+ABS('17'!$K$31-Tulokset!$I$30))))))</f>
        <v/>
      </c>
      <c r="AG20" t="str">
        <f>IF(OR(Tulokset!$G$31="",Tulokset!$I$31="",'17'!$I$32="",'17'!$K$32=""),"",IF(SIGN('17'!$I$32-'17'!$K$32)&lt;&gt;SIGN(Tulokset!$G$31-Tulokset!$I$31),0,IF(Tulokset!$G$31=Tulokset!$I$31,IF(AND('17'!$I$32=Tulokset!$G$31,'17'!$K$32=Tulokset!$I$31),6,3),MAX(0,6-(ABS('17'!$I$32-Tulokset!$G$31)+ABS('17'!$K$32-Tulokset!$I$31))))))</f>
        <v/>
      </c>
      <c r="AH20" t="str">
        <f>IF(OR(Tulokset!$G$32="",Tulokset!$I$32="",'17'!$I$33="",'17'!$K$33=""),"",IF(SIGN('17'!$I$33-'17'!$K$33)&lt;&gt;SIGN(Tulokset!$G$32-Tulokset!$I$32),0,IF(Tulokset!$G$32=Tulokset!$I$32,IF(AND('17'!$I$33=Tulokset!$G$32,'17'!$K$33=Tulokset!$I$32),6,3),MAX(0,6-(ABS('17'!$I$33-Tulokset!$G$32)+ABS('17'!$K$33-Tulokset!$I$32))))))</f>
        <v/>
      </c>
      <c r="AI20" t="str">
        <f>IF(OR(Tulokset!$G$33="",Tulokset!$I$33="",'17'!$I$34="",'17'!$K$34=""),"",IF(SIGN('17'!$I$34-'17'!$K$34)&lt;&gt;SIGN(Tulokset!$G$33-Tulokset!$I$33),0,IF(Tulokset!$G$33=Tulokset!$I$33,IF(AND('17'!$I$34=Tulokset!$G$33,'17'!$K$34=Tulokset!$I$33),6,3),MAX(0,6-(ABS('17'!$I$34-Tulokset!$G$33)+ABS('17'!$K$34-Tulokset!$I$33))))))</f>
        <v/>
      </c>
      <c r="AJ20" t="str">
        <f>IF(OR(Tulokset!$G$34="",Tulokset!$I$34="",'17'!$I$35="",'17'!$K$35=""),"",IF(SIGN('17'!$I$35-'17'!$K$35)&lt;&gt;SIGN(Tulokset!$G$34-Tulokset!$I$34),0,IF(Tulokset!$G$34=Tulokset!$I$34,IF(AND('17'!$I$35=Tulokset!$G$34,'17'!$K$35=Tulokset!$I$34),6,3),MAX(0,6-(ABS('17'!$I$35-Tulokset!$G$34)+ABS('17'!$K$35-Tulokset!$I$34))))))</f>
        <v/>
      </c>
      <c r="AK20" t="str">
        <f>IF(OR(Tulokset!$G$35="",Tulokset!$I$35="",'17'!$I$36="",'17'!$K$36=""),"",IF(SIGN('17'!$I$36-'17'!$K$36)&lt;&gt;SIGN(Tulokset!$G$35-Tulokset!$I$35),0,IF(Tulokset!$G$35=Tulokset!$I$35,IF(AND('17'!$I$36=Tulokset!$G$35,'17'!$K$36=Tulokset!$I$35),6,3),MAX(0,6-(ABS('17'!$I$36-Tulokset!$G$35)+ABS('17'!$K$36-Tulokset!$I$35))))))</f>
        <v/>
      </c>
      <c r="AL20" t="str">
        <f>IF(OR(Tulokset!$G$36="",Tulokset!$I$36="",'17'!$I$37="",'17'!$K$37=""),"",IF(SIGN('17'!$I$37-'17'!$K$37)&lt;&gt;SIGN(Tulokset!$G$36-Tulokset!$I$36),0,IF(Tulokset!$G$36=Tulokset!$I$36,IF(AND('17'!$I$37=Tulokset!$G$36,'17'!$K$37=Tulokset!$I$36),6,3),MAX(0,6-(ABS('17'!$I$37-Tulokset!$G$36)+ABS('17'!$K$37-Tulokset!$I$36))))))</f>
        <v/>
      </c>
      <c r="AM20" t="str">
        <f>IF(OR(Tulokset!$G$37="",Tulokset!$I$37="",'17'!$I$38="",'17'!$K$38=""),"",IF(SIGN('17'!$I$38-'17'!$K$38)&lt;&gt;SIGN(Tulokset!$G$37-Tulokset!$I$37),0,IF(Tulokset!$G$37=Tulokset!$I$37,IF(AND('17'!$I$38=Tulokset!$G$37,'17'!$K$38=Tulokset!$I$37),6,3),MAX(0,6-(ABS('17'!$I$38-Tulokset!$G$37)+ABS('17'!$K$38-Tulokset!$I$37))))))</f>
        <v/>
      </c>
      <c r="AN20" t="str">
        <f>IF(OR(Tulokset!$G$38="",Tulokset!$I$38="",'17'!$I$39="",'17'!$K$39=""),"",IF(SIGN('17'!$I$39-'17'!$K$39)&lt;&gt;SIGN(Tulokset!$G$38-Tulokset!$I$38),0,IF(Tulokset!$G$38=Tulokset!$I$38,IF(AND('17'!$I$39=Tulokset!$G$38,'17'!$K$39=Tulokset!$I$38),6,3),MAX(0,6-(ABS('17'!$I$39-Tulokset!$G$38)+ABS('17'!$K$39-Tulokset!$I$38))))))</f>
        <v/>
      </c>
      <c r="AO20" t="str">
        <f>IF(OR(Tulokset!$G$39="",Tulokset!$I$39="",'17'!$I$40="",'17'!$K$40=""),"",IF(SIGN('17'!$I$40-'17'!$K$40)&lt;&gt;SIGN(Tulokset!$G$39-Tulokset!$I$39),0,IF(Tulokset!$G$39=Tulokset!$I$39,IF(AND('17'!$I$40=Tulokset!$G$39,'17'!$K$40=Tulokset!$I$39),6,3),MAX(0,6-(ABS('17'!$I$40-Tulokset!$G$39)+ABS('17'!$K$40-Tulokset!$I$39))))))</f>
        <v/>
      </c>
      <c r="AP20" t="str">
        <f>IF(OR(Tulokset!$G$40="",Tulokset!$I$40="",'17'!$I$41="",'17'!$K$41=""),"",IF(SIGN('17'!$I$41-'17'!$K$41)&lt;&gt;SIGN(Tulokset!$G$40-Tulokset!$I$40),0,IF(Tulokset!$G$40=Tulokset!$I$40,IF(AND('17'!$I$41=Tulokset!$G$40,'17'!$K$41=Tulokset!$I$40),6,3),MAX(0,6-(ABS('17'!$I$41-Tulokset!$G$40)+ABS('17'!$K$41-Tulokset!$I$40))))))</f>
        <v/>
      </c>
      <c r="AQ20" t="str">
        <f>IF(OR(Tulokset!$G$41="",Tulokset!$I$41="",'17'!$I$42="",'17'!$K$42=""),"",IF(SIGN('17'!$I$42-'17'!$K$42)&lt;&gt;SIGN(Tulokset!$G$41-Tulokset!$I$41),0,IF(Tulokset!$G$41=Tulokset!$I$41,IF(AND('17'!$I$42=Tulokset!$G$41,'17'!$K$42=Tulokset!$I$41),6,3),MAX(0,6-(ABS('17'!$I$42-Tulokset!$G$41)+ABS('17'!$K$42-Tulokset!$I$41))))))</f>
        <v/>
      </c>
      <c r="AR20" t="str">
        <f>IF(OR(Tulokset!$G$42="",Tulokset!$I$42="",'17'!$I$43="",'17'!$K$43=""),"",IF(SIGN('17'!$I$43-'17'!$K$43)&lt;&gt;SIGN(Tulokset!$G$42-Tulokset!$I$42),0,IF(Tulokset!$G$42=Tulokset!$I$42,IF(AND('17'!$I$43=Tulokset!$G$42,'17'!$K$43=Tulokset!$I$42),6,3),MAX(0,6-(ABS('17'!$I$43-Tulokset!$G$42)+ABS('17'!$K$43-Tulokset!$I$42))))))</f>
        <v/>
      </c>
      <c r="AS20" t="str">
        <f>IF(OR(Tulokset!$G$43="",Tulokset!$I$43="",'17'!$I$44="",'17'!$K$44=""),"",IF(SIGN('17'!$I$44-'17'!$K$44)&lt;&gt;SIGN(Tulokset!$G$43-Tulokset!$I$43),0,IF(Tulokset!$G$43=Tulokset!$I$43,IF(AND('17'!$I$44=Tulokset!$G$43,'17'!$K$44=Tulokset!$I$43),6,3),MAX(0,6-(ABS('17'!$I$44-Tulokset!$G$43)+ABS('17'!$K$44-Tulokset!$I$43))))))</f>
        <v/>
      </c>
      <c r="AT20" t="str">
        <f>IF(OR(Tulokset!$G$44="",Tulokset!$I$44="",'17'!$I$45="",'17'!$K$45=""),"",IF(SIGN('17'!$I$45-'17'!$K$45)&lt;&gt;SIGN(Tulokset!$G$44-Tulokset!$I$44),0,IF(Tulokset!$G$44=Tulokset!$I$44,IF(AND('17'!$I$45=Tulokset!$G$44,'17'!$K$45=Tulokset!$I$44),6,3),MAX(0,6-(ABS('17'!$I$45-Tulokset!$G$44)+ABS('17'!$K$45-Tulokset!$I$44))))))</f>
        <v/>
      </c>
      <c r="AU20" t="str">
        <f>IF(OR(Tulokset!$G$45="",Tulokset!$I$45="",'17'!$I$46="",'17'!$K$46=""),"",IF(SIGN('17'!$I$46-'17'!$K$46)&lt;&gt;SIGN(Tulokset!$G$45-Tulokset!$I$45),0,IF(Tulokset!$G$45=Tulokset!$I$45,IF(AND('17'!$I$46=Tulokset!$G$45,'17'!$K$46=Tulokset!$I$45),6,3),MAX(0,6-(ABS('17'!$I$46-Tulokset!$G$45)+ABS('17'!$K$46-Tulokset!$I$45))))))</f>
        <v/>
      </c>
      <c r="AV20" t="str">
        <f>IF(OR(Tulokset!$G$46="",Tulokset!$I$46="",'17'!$I$47="",'17'!$K$47=""),"",IF(SIGN('17'!$I$47-'17'!$K$47)&lt;&gt;SIGN(Tulokset!$G$46-Tulokset!$I$46),0,IF(Tulokset!$G$46=Tulokset!$I$46,IF(AND('17'!$I$47=Tulokset!$G$46,'17'!$K$47=Tulokset!$I$46),6,3),MAX(0,6-(ABS('17'!$I$47-Tulokset!$G$46)+ABS('17'!$K$47-Tulokset!$I$46))))))</f>
        <v/>
      </c>
      <c r="AW20" t="str">
        <f>IF(OR(Tulokset!$G$47="",Tulokset!$I$47="",'17'!$I$48="",'17'!$K$48=""),"",IF(SIGN('17'!$I$48-'17'!$K$48)&lt;&gt;SIGN(Tulokset!$G$47-Tulokset!$I$47),0,IF(Tulokset!$G$47=Tulokset!$I$47,IF(AND('17'!$I$48=Tulokset!$G$47,'17'!$K$48=Tulokset!$I$47),6,3),MAX(0,6-(ABS('17'!$I$48-Tulokset!$G$47)+ABS('17'!$K$48-Tulokset!$I$47))))))</f>
        <v/>
      </c>
      <c r="AX20" t="str">
        <f>IF(OR(Tulokset!$G$48="",Tulokset!$I$48="",'17'!$I$49="",'17'!$K$49=""),"",IF(SIGN('17'!$I$49-'17'!$K$49)&lt;&gt;SIGN(Tulokset!$G$48-Tulokset!$I$48),0,IF(Tulokset!$G$48=Tulokset!$I$48,IF(AND('17'!$I$49=Tulokset!$G$48,'17'!$K$49=Tulokset!$I$48),6,3),MAX(0,6-(ABS('17'!$I$49-Tulokset!$G$48)+ABS('17'!$K$49-Tulokset!$I$48))))))</f>
        <v/>
      </c>
      <c r="AY20" t="str">
        <f>IF(OR(Tulokset!$G$49="",Tulokset!$I$49="",'17'!$I$50="",'17'!$K$50=""),"",IF(SIGN('17'!$I$50-'17'!$K$50)&lt;&gt;SIGN(Tulokset!$G$49-Tulokset!$I$49),0,IF(Tulokset!$G$49=Tulokset!$I$49,IF(AND('17'!$I$50=Tulokset!$G$49,'17'!$K$50=Tulokset!$I$49),6,3),MAX(0,6-(ABS('17'!$I$50-Tulokset!$G$49)+ABS('17'!$K$50-Tulokset!$I$49))))))</f>
        <v/>
      </c>
      <c r="AZ20" t="str">
        <f>IF(OR(Tulokset!$G$50="",Tulokset!$I$50="",'17'!$I$51="",'17'!$K$51=""),"",IF(SIGN('17'!$I$51-'17'!$K$51)&lt;&gt;SIGN(Tulokset!$G$50-Tulokset!$I$50),0,IF(Tulokset!$G$50=Tulokset!$I$50,IF(AND('17'!$I$51=Tulokset!$G$50,'17'!$K$51=Tulokset!$I$50),6,3),MAX(0,6-(ABS('17'!$I$51-Tulokset!$G$50)+ABS('17'!$K$51-Tulokset!$I$50))))))</f>
        <v/>
      </c>
      <c r="BA20" t="str">
        <f>IF(OR(Tulokset!$G$51="",Tulokset!$I$51="",'17'!$I$52="",'17'!$K$52=""),"",IF(SIGN('17'!$I$52-'17'!$K$52)&lt;&gt;SIGN(Tulokset!$G$51-Tulokset!$I$51),0,IF(Tulokset!$G$51=Tulokset!$I$51,IF(AND('17'!$I$52=Tulokset!$G$51,'17'!$K$52=Tulokset!$I$51),6,3),MAX(0,6-(ABS('17'!$I$52-Tulokset!$G$51)+ABS('17'!$K$52-Tulokset!$I$51))))))</f>
        <v/>
      </c>
      <c r="BB20" t="str">
        <f>IF(OR(Tulokset!$G$52="",Tulokset!$I$52="",'17'!$I$53="",'17'!$K$53=""),"",IF(SIGN('17'!$I$53-'17'!$K$53)&lt;&gt;SIGN(Tulokset!$G$52-Tulokset!$I$52),0,IF(Tulokset!$G$52=Tulokset!$I$52,IF(AND('17'!$I$53=Tulokset!$G$52,'17'!$K$53=Tulokset!$I$52),6,3),MAX(0,6-(ABS('17'!$I$53-Tulokset!$G$52)+ABS('17'!$K$53-Tulokset!$I$52))))))</f>
        <v/>
      </c>
      <c r="BC20" t="str">
        <f>IF(OR(Tulokset!$G$53="",Tulokset!$I$53="",'17'!$I$54="",'17'!$K$54=""),"",IF(SIGN('17'!$I$54-'17'!$K$54)&lt;&gt;SIGN(Tulokset!$G$53-Tulokset!$I$53),0,IF(Tulokset!$G$53=Tulokset!$I$53,IF(AND('17'!$I$54=Tulokset!$G$53,'17'!$K$54=Tulokset!$I$53),6,3),MAX(0,6-(ABS('17'!$I$54-Tulokset!$G$53)+ABS('17'!$K$54-Tulokset!$I$53))))))</f>
        <v/>
      </c>
      <c r="BD20" t="str">
        <f>IF(OR(Tulokset!$G$54="",Tulokset!$I$54="",'17'!$I$55="",'17'!$K$55=""),"",IF(SIGN('17'!$I$55-'17'!$K$55)&lt;&gt;SIGN(Tulokset!$G$54-Tulokset!$I$54),0,IF(Tulokset!$G$54=Tulokset!$I$54,IF(AND('17'!$I$55=Tulokset!$G$54,'17'!$K$55=Tulokset!$I$54),6,3),MAX(0,6-(ABS('17'!$I$55-Tulokset!$G$54)+ABS('17'!$K$55-Tulokset!$I$54))))))</f>
        <v/>
      </c>
      <c r="BE20" t="str">
        <f>IF(OR(Tulokset!$G$55="",Tulokset!$I$55="",'17'!$I$56="",'17'!$K$56=""),"",IF(SIGN('17'!$I$56-'17'!$K$56)&lt;&gt;SIGN(Tulokset!$G$55-Tulokset!$I$55),0,IF(Tulokset!$G$55=Tulokset!$I$55,IF(AND('17'!$I$56=Tulokset!$G$55,'17'!$K$56=Tulokset!$I$55),6,3),MAX(0,6-(ABS('17'!$I$56-Tulokset!$G$55)+ABS('17'!$K$56-Tulokset!$I$55))))))</f>
        <v/>
      </c>
      <c r="BF20" t="str">
        <f>IF(OR(Tulokset!$G$56="",Tulokset!$I$56="",'17'!$I$57="",'17'!$K$57=""),"",IF(SIGN('17'!$I$57-'17'!$K$57)&lt;&gt;SIGN(Tulokset!$G$56-Tulokset!$I$56),0,IF(Tulokset!$G$56=Tulokset!$I$56,IF(AND('17'!$I$57=Tulokset!$G$56,'17'!$K$57=Tulokset!$I$56),6,3),MAX(0,6-(ABS('17'!$I$57-Tulokset!$G$56)+ABS('17'!$K$57-Tulokset!$I$56))))))</f>
        <v/>
      </c>
      <c r="BG20" t="str">
        <f>IF(OR(Tulokset!$G$57="",Tulokset!$I$57="",'17'!$I$58="",'17'!$K$58=""),"",IF(SIGN('17'!$I$58-'17'!$K$58)&lt;&gt;SIGN(Tulokset!$G$57-Tulokset!$I$57),0,IF(Tulokset!$G$57=Tulokset!$I$57,IF(AND('17'!$I$58=Tulokset!$G$57,'17'!$K$58=Tulokset!$I$57),6,3),MAX(0,6-(ABS('17'!$I$58-Tulokset!$G$57)+ABS('17'!$K$58-Tulokset!$I$57))))))</f>
        <v/>
      </c>
      <c r="BH20" t="str">
        <f>IF(OR(Tulokset!$G$58="",Tulokset!$I$58="",'17'!$I$59="",'17'!$K$59=""),"",IF(SIGN('17'!$I$59-'17'!$K$59)&lt;&gt;SIGN(Tulokset!$G$58-Tulokset!$I$58),0,IF(Tulokset!$G$58=Tulokset!$I$58,IF(AND('17'!$I$59=Tulokset!$G$58,'17'!$K$59=Tulokset!$I$58),6,3),MAX(0,6-(ABS('17'!$I$59-Tulokset!$G$58)+ABS('17'!$K$59-Tulokset!$I$58))))))</f>
        <v/>
      </c>
      <c r="BI20" t="str">
        <f>IF(OR(Tulokset!$G$59="",Tulokset!$I$59="",'17'!$I$60="",'17'!$K$60=""),"",IF(SIGN('17'!$I$60-'17'!$K$60)&lt;&gt;SIGN(Tulokset!$G$59-Tulokset!$I$59),0,IF(Tulokset!$G$59=Tulokset!$I$59,IF(AND('17'!$I$60=Tulokset!$G$59,'17'!$K$60=Tulokset!$I$59),6,3),MAX(0,6-(ABS('17'!$I$60-Tulokset!$G$59)+ABS('17'!$K$60-Tulokset!$I$59))))))</f>
        <v/>
      </c>
      <c r="BJ20" t="str">
        <f>IF(OR(Tulokset!$G$60="",Tulokset!$I$60="",'17'!$I$61="",'17'!$K$61=""),"",IF(SIGN('17'!$I$61-'17'!$K$61)&lt;&gt;SIGN(Tulokset!$G$60-Tulokset!$I$60),0,IF(Tulokset!$G$60=Tulokset!$I$60,IF(AND('17'!$I$61=Tulokset!$G$60,'17'!$K$61=Tulokset!$I$60),6,3),MAX(0,6-(ABS('17'!$I$61-Tulokset!$G$60)+ABS('17'!$K$61-Tulokset!$I$60))))))</f>
        <v/>
      </c>
      <c r="BK20" t="str">
        <f>IF(OR(Tulokset!$G$61="",Tulokset!$I$61="",'17'!$I$62="",'17'!$K$62=""),"",IF(SIGN('17'!$I$62-'17'!$K$62)&lt;&gt;SIGN(Tulokset!$G$61-Tulokset!$I$61),0,IF(Tulokset!$G$61=Tulokset!$I$61,IF(AND('17'!$I$62=Tulokset!$G$61,'17'!$K$62=Tulokset!$I$61),6,3),MAX(0,6-(ABS('17'!$I$62-Tulokset!$G$61)+ABS('17'!$K$62-Tulokset!$I$61))))))</f>
        <v/>
      </c>
      <c r="BL20" t="str">
        <f>IF(OR(Tulokset!$G$62="",Tulokset!$I$62="",'17'!$I$63="",'17'!$K$63=""),"",IF(SIGN('17'!$I$63-'17'!$K$63)&lt;&gt;SIGN(Tulokset!$G$62-Tulokset!$I$62),0,IF(Tulokset!$G$62=Tulokset!$I$62,IF(AND('17'!$I$63=Tulokset!$G$62,'17'!$K$63=Tulokset!$I$62),6,3),MAX(0,6-(ABS('17'!$I$63-Tulokset!$G$62)+ABS('17'!$K$63-Tulokset!$I$62))))))</f>
        <v/>
      </c>
      <c r="BM20" t="str">
        <f>IF(OR(Tulokset!$G$63="",Tulokset!$I$63="",'17'!$I$64="",'17'!$K$64=""),"",IF(SIGN('17'!$I$64-'17'!$K$64)&lt;&gt;SIGN(Tulokset!$G$63-Tulokset!$I$63),0,IF(Tulokset!$G$63=Tulokset!$I$63,IF(AND('17'!$I$64=Tulokset!$G$63,'17'!$K$64=Tulokset!$I$63),6,3),MAX(0,6-(ABS('17'!$I$64-Tulokset!$G$63)+ABS('17'!$K$64-Tulokset!$I$63))))))</f>
        <v/>
      </c>
      <c r="BN20" t="str">
        <f>IF(OR(Tulokset!$G$64="",Tulokset!$I$64="",'17'!$I$65="",'17'!$K$65=""),"",IF(SIGN('17'!$I$65-'17'!$K$65)&lt;&gt;SIGN(Tulokset!$G$64-Tulokset!$I$64),0,IF(Tulokset!$G$64=Tulokset!$I$64,IF(AND('17'!$I$65=Tulokset!$G$64,'17'!$K$65=Tulokset!$I$64),6,3),MAX(0,6-(ABS('17'!$I$65-Tulokset!$G$64)+ABS('17'!$K$65-Tulokset!$I$64))))))</f>
        <v/>
      </c>
      <c r="BO20" t="str">
        <f>IF(OR(Tulokset!$G$65="",Tulokset!$I$65="",'17'!$I$66="",'17'!$K$66=""),"",IF(SIGN('17'!$I$66-'17'!$K$66)&lt;&gt;SIGN(Tulokset!$G$65-Tulokset!$I$65),0,IF(Tulokset!$G$65=Tulokset!$I$65,IF(AND('17'!$I$66=Tulokset!$G$65,'17'!$K$66=Tulokset!$I$65),6,3),MAX(0,6-(ABS('17'!$I$66-Tulokset!$G$65)+ABS('17'!$K$66-Tulokset!$I$65))))))</f>
        <v/>
      </c>
      <c r="BP20" t="str">
        <f>IF(OR(Tulokset!$G$66="",Tulokset!$I$66="",'17'!$I$67="",'17'!$K$67=""),"",IF(SIGN('17'!$I$67-'17'!$K$67)&lt;&gt;SIGN(Tulokset!$G$66-Tulokset!$I$66),0,IF(Tulokset!$G$66=Tulokset!$I$66,IF(AND('17'!$I$67=Tulokset!$G$66,'17'!$K$67=Tulokset!$I$66),6,3),MAX(0,6-(ABS('17'!$I$67-Tulokset!$G$66)+ABS('17'!$K$67-Tulokset!$I$66))))))</f>
        <v/>
      </c>
      <c r="BQ20" t="str">
        <f>IF(OR(Tulokset!$G$67="",Tulokset!$I$67="",'17'!$I$68="",'17'!$K$68=""),"",IF(SIGN('17'!$I$68-'17'!$K$68)&lt;&gt;SIGN(Tulokset!$G$67-Tulokset!$I$67),0,IF(Tulokset!$G$67=Tulokset!$I$67,IF(AND('17'!$I$68=Tulokset!$G$67,'17'!$K$68=Tulokset!$I$67),6,3),MAX(0,6-(ABS('17'!$I$68-Tulokset!$G$67)+ABS('17'!$K$68-Tulokset!$I$67))))))</f>
        <v/>
      </c>
      <c r="BR20" t="str">
        <f>IF(OR(Tulokset!$G$68="",Tulokset!$I$68="",'17'!$I$69="",'17'!$K$69=""),"",IF(SIGN('17'!$I$69-'17'!$K$69)&lt;&gt;SIGN(Tulokset!$G$68-Tulokset!$I$68),0,IF(Tulokset!$G$68=Tulokset!$I$68,IF(AND('17'!$I$69=Tulokset!$G$68,'17'!$K$69=Tulokset!$I$68),6,3),MAX(0,6-(ABS('17'!$I$69-Tulokset!$G$68)+ABS('17'!$K$69-Tulokset!$I$68))))))</f>
        <v/>
      </c>
      <c r="BS20" t="str">
        <f>IF(OR(Tulokset!$G$69="",Tulokset!$I$69="",'17'!$I$70="",'17'!$K$70=""),"",IF(SIGN('17'!$I$70-'17'!$K$70)&lt;&gt;SIGN(Tulokset!$G$69-Tulokset!$I$69),0,IF(Tulokset!$G$69=Tulokset!$I$69,IF(AND('17'!$I$70=Tulokset!$G$69,'17'!$K$70=Tulokset!$I$69),6,3),MAX(0,6-(ABS('17'!$I$70-Tulokset!$G$69)+ABS('17'!$K$70-Tulokset!$I$69))))))</f>
        <v/>
      </c>
      <c r="BT20" t="str">
        <f>IF(OR(Tulokset!$G$70="",Tulokset!$I$70="",'17'!$I$71="",'17'!$K$71=""),"",IF(SIGN('17'!$I$71-'17'!$K$71)&lt;&gt;SIGN(Tulokset!$G$70-Tulokset!$I$70),0,IF(Tulokset!$G$70=Tulokset!$I$70,IF(AND('17'!$I$71=Tulokset!$G$70,'17'!$K$71=Tulokset!$I$70),6,3),MAX(0,6-(ABS('17'!$I$71-Tulokset!$G$70)+ABS('17'!$K$71-Tulokset!$I$70))))))</f>
        <v/>
      </c>
      <c r="BU20" t="str">
        <f>IF(OR(Tulokset!$G$71="",Tulokset!$I$71="",'17'!$I$72="",'17'!$K$72=""),"",IF(SIGN('17'!$I$72-'17'!$K$72)&lt;&gt;SIGN(Tulokset!$G$71-Tulokset!$I$71),0,IF(Tulokset!$G$71=Tulokset!$I$71,IF(AND('17'!$I$72=Tulokset!$G$71,'17'!$K$72=Tulokset!$I$71),6,3),MAX(0,6-(ABS('17'!$I$72-Tulokset!$G$71)+ABS('17'!$K$72-Tulokset!$I$71))))))</f>
        <v/>
      </c>
      <c r="BV20" t="str">
        <f>IF(OR(Tulokset!$G$72="",Tulokset!$I$72="",'17'!$I$73="",'17'!$K$73=""),"",IF(SIGN('17'!$I$73-'17'!$K$73)&lt;&gt;SIGN(Tulokset!$G$72-Tulokset!$I$72),0,IF(Tulokset!$G$72=Tulokset!$I$72,IF(AND('17'!$I$73=Tulokset!$G$72,'17'!$K$73=Tulokset!$I$72),6,3),MAX(0,6-(ABS('17'!$I$73-Tulokset!$G$72)+ABS('17'!$K$73-Tulokset!$I$72))))))</f>
        <v/>
      </c>
      <c r="BW20" t="str">
        <f>IF(OR(Tulokset!$G$73="",Tulokset!$I$73="",'17'!$I$74="",'17'!$K$74=""),"",IF(SIGN('17'!$I$74-'17'!$K$74)&lt;&gt;SIGN(Tulokset!$G$73-Tulokset!$I$73),0,IF(Tulokset!$G$73=Tulokset!$I$73,IF(AND('17'!$I$74=Tulokset!$G$73,'17'!$K$74=Tulokset!$I$73),6,3),MAX(0,6-(ABS('17'!$I$74-Tulokset!$G$73)+ABS('17'!$K$74-Tulokset!$I$73))))))</f>
        <v/>
      </c>
      <c r="BX20" t="str">
        <f>IF(OR(Tulokset!$G$74="",Tulokset!$I$74="",'17'!$I$75="",'17'!$K$75=""),"",IF(SIGN('17'!$I$75-'17'!$K$75)&lt;&gt;SIGN(Tulokset!$G$74-Tulokset!$I$74),0,IF(Tulokset!$G$74=Tulokset!$I$74,IF(AND('17'!$I$75=Tulokset!$G$74,'17'!$K$75=Tulokset!$I$74),6,3),MAX(0,6-(ABS('17'!$I$75-Tulokset!$G$74)+ABS('17'!$K$75-Tulokset!$I$74))))))</f>
        <v/>
      </c>
      <c r="BY20" t="str">
        <f>IF(OR(Tulokset!$G$75="",Tulokset!$I$75="",'17'!$I$76="",'17'!$K$76=""),"",IF(SIGN('17'!$I$76-'17'!$K$76)&lt;&gt;SIGN(Tulokset!$G$75-Tulokset!$I$75),0,IF(Tulokset!$G$75=Tulokset!$I$75,IF(AND('17'!$I$76=Tulokset!$G$75,'17'!$K$76=Tulokset!$I$75),6,3),MAX(0,6-(ABS('17'!$I$76-Tulokset!$G$75)+ABS('17'!$K$76-Tulokset!$I$75))))))</f>
        <v/>
      </c>
      <c r="BZ20" t="str">
        <f>IF(OR(Tulokset!$G$76="",Tulokset!$I$76="",'17'!$I$77="",'17'!$K$77=""),"",IF(SIGN('17'!$I$77-'17'!$K$77)&lt;&gt;SIGN(Tulokset!$G$76-Tulokset!$I$76),0,IF(Tulokset!$G$76=Tulokset!$I$76,IF(AND('17'!$I$77=Tulokset!$G$76,'17'!$K$77=Tulokset!$I$76),6,3),MAX(0,6-(ABS('17'!$I$77-Tulokset!$G$76)+ABS('17'!$K$77-Tulokset!$I$76))))))</f>
        <v/>
      </c>
      <c r="CA20" t="str">
        <f>IF(OR(Tulokset!$G$77="",Tulokset!$I$77="",'17'!$I$78="",'17'!$K$78=""),"",IF(SIGN('17'!$I$78-'17'!$K$78)&lt;&gt;SIGN(Tulokset!$G$77-Tulokset!$I$77),0,IF(Tulokset!$G$77=Tulokset!$I$77,IF(AND('17'!$I$78=Tulokset!$G$77,'17'!$K$78=Tulokset!$I$77),6,3),MAX(0,6-(ABS('17'!$I$78-Tulokset!$G$77)+ABS('17'!$K$78-Tulokset!$I$77))))))</f>
        <v/>
      </c>
      <c r="CD20" t="str">
        <f ca="1">IF(OR(Tulokset!$M$6="",INDIRECT("'"&amp;$A20&amp;"'!$P$8")=""),"",IF(TRIM(INDIRECT("'"&amp;$A20&amp;"'!$P$8"))=TRIM(Tulokset!$M$6),2,0))</f>
        <v/>
      </c>
      <c r="CE20" t="str">
        <f ca="1">IF(OR(Tulokset!$M$7="",INDIRECT("'"&amp;$A20&amp;"'!$P$9")=""),"",IF(TRIM(INDIRECT("'"&amp;$A20&amp;"'!$P$9"))=TRIM(Tulokset!$M$7),2,0))</f>
        <v/>
      </c>
      <c r="CF20" t="str">
        <f ca="1">IF(OR(Tulokset!$M$8="",INDIRECT("'"&amp;$A20&amp;"'!$P$10")=""),"",IF(TRIM(INDIRECT("'"&amp;$A20&amp;"'!$P$10"))=TRIM(Tulokset!$M$8),2,0))</f>
        <v/>
      </c>
      <c r="CG20" t="str">
        <f ca="1">IF(OR(Tulokset!$M$9="",INDIRECT("'"&amp;$A20&amp;"'!$P$11")=""),"",IF(TRIM(INDIRECT("'"&amp;$A20&amp;"'!$P$11"))=TRIM(Tulokset!$M$9),2,0))</f>
        <v/>
      </c>
      <c r="CH20" t="str">
        <f ca="1">IF(OR(Tulokset!$N$6="",INDIRECT("'"&amp;$A20&amp;"'!$Q$8")=""),"",IF(TRIM(INDIRECT("'"&amp;$A20&amp;"'!$Q$8"))=TRIM(Tulokset!$N$6),2,0))</f>
        <v/>
      </c>
      <c r="CI20" t="str">
        <f ca="1">IF(OR(Tulokset!$N$7="",INDIRECT("'"&amp;$A20&amp;"'!$Q$9")=""),"",IF(TRIM(INDIRECT("'"&amp;$A20&amp;"'!$Q$9"))=TRIM(Tulokset!$N$7),2,0))</f>
        <v/>
      </c>
      <c r="CJ20" t="str">
        <f ca="1">IF(OR(Tulokset!$N$8="",INDIRECT("'"&amp;$A20&amp;"'!$Q$10")=""),"",IF(TRIM(INDIRECT("'"&amp;$A20&amp;"'!$Q$10"))=TRIM(Tulokset!$N$8),2,0))</f>
        <v/>
      </c>
      <c r="CK20" t="str">
        <f ca="1">IF(OR(Tulokset!$N$9="",INDIRECT("'"&amp;$A20&amp;"'!$Q$11")=""),"",IF(TRIM(INDIRECT("'"&amp;$A20&amp;"'!$Q$11"))=TRIM(Tulokset!$N$9),2,0))</f>
        <v/>
      </c>
      <c r="CL20" t="str">
        <f ca="1">IF(OR(Tulokset!$O$6="",INDIRECT("'"&amp;$A20&amp;"'!$R$8")=""),"",IF(TRIM(INDIRECT("'"&amp;$A20&amp;"'!$R$8"))=TRIM(Tulokset!$O$6),2,0))</f>
        <v/>
      </c>
      <c r="CM20" t="str">
        <f ca="1">IF(OR(Tulokset!$O$7="",INDIRECT("'"&amp;$A20&amp;"'!$R$9")=""),"",IF(TRIM(INDIRECT("'"&amp;$A20&amp;"'!$R$9"))=TRIM(Tulokset!$O$7),2,0))</f>
        <v/>
      </c>
      <c r="CN20" t="str">
        <f ca="1">IF(OR(Tulokset!$O$8="",INDIRECT("'"&amp;$A20&amp;"'!$R$10")=""),"",IF(TRIM(INDIRECT("'"&amp;$A20&amp;"'!$R$10"))=TRIM(Tulokset!$O$8),2,0))</f>
        <v/>
      </c>
      <c r="CO20" t="str">
        <f ca="1">IF(OR(Tulokset!$O$9="",INDIRECT("'"&amp;$A20&amp;"'!$R$11")=""),"",IF(TRIM(INDIRECT("'"&amp;$A20&amp;"'!$R$11"))=TRIM(Tulokset!$O$9),2,0))</f>
        <v/>
      </c>
      <c r="CP20" t="str">
        <f ca="1">IF(OR(Tulokset!$P$6="",INDIRECT("'"&amp;$A20&amp;"'!$S$8")=""),"",IF(TRIM(INDIRECT("'"&amp;$A20&amp;"'!$S$8"))=TRIM(Tulokset!$P$6),2,0))</f>
        <v/>
      </c>
      <c r="CQ20" t="str">
        <f ca="1">IF(OR(Tulokset!$P$7="",INDIRECT("'"&amp;$A20&amp;"'!$S$9")=""),"",IF(TRIM(INDIRECT("'"&amp;$A20&amp;"'!$S$9"))=TRIM(Tulokset!$P$7),2,0))</f>
        <v/>
      </c>
      <c r="CR20" t="str">
        <f ca="1">IF(OR(Tulokset!$P$8="",INDIRECT("'"&amp;$A20&amp;"'!$S$10")=""),"",IF(TRIM(INDIRECT("'"&amp;$A20&amp;"'!$S$10"))=TRIM(Tulokset!$P$8),2,0))</f>
        <v/>
      </c>
      <c r="CS20" t="str">
        <f ca="1">IF(OR(Tulokset!$P$9="",INDIRECT("'"&amp;$A20&amp;"'!$S$11")=""),"",IF(TRIM(INDIRECT("'"&amp;$A20&amp;"'!$S$11"))=TRIM(Tulokset!$P$9),2,0))</f>
        <v/>
      </c>
      <c r="CT20" t="str">
        <f ca="1">IF(OR(Tulokset!$Q$6="",INDIRECT("'"&amp;$A20&amp;"'!$T$8")=""),"",IF(TRIM(INDIRECT("'"&amp;$A20&amp;"'!$T$8"))=TRIM(Tulokset!$Q$6),2,0))</f>
        <v/>
      </c>
      <c r="CU20" t="str">
        <f ca="1">IF(OR(Tulokset!$Q$7="",INDIRECT("'"&amp;$A20&amp;"'!$T$9")=""),"",IF(TRIM(INDIRECT("'"&amp;$A20&amp;"'!$T$9"))=TRIM(Tulokset!$Q$7),2,0))</f>
        <v/>
      </c>
      <c r="CV20" t="str">
        <f ca="1">IF(OR(Tulokset!$Q$8="",INDIRECT("'"&amp;$A20&amp;"'!$T$10")=""),"",IF(TRIM(INDIRECT("'"&amp;$A20&amp;"'!$T$10"))=TRIM(Tulokset!$Q$8),2,0))</f>
        <v/>
      </c>
      <c r="CW20" t="str">
        <f ca="1">IF(OR(Tulokset!$Q$9="",INDIRECT("'"&amp;$A20&amp;"'!$T$11")=""),"",IF(TRIM(INDIRECT("'"&amp;$A20&amp;"'!$T$11"))=TRIM(Tulokset!$Q$9),2,0))</f>
        <v/>
      </c>
      <c r="CX20" t="str">
        <f ca="1">IF(OR(Tulokset!$R$6="",INDIRECT("'"&amp;$A20&amp;"'!$U$8")=""),"",IF(TRIM(INDIRECT("'"&amp;$A20&amp;"'!$U$8"))=TRIM(Tulokset!$R$6),2,0))</f>
        <v/>
      </c>
      <c r="CY20" t="str">
        <f ca="1">IF(OR(Tulokset!$R$7="",INDIRECT("'"&amp;$A20&amp;"'!$U$9")=""),"",IF(TRIM(INDIRECT("'"&amp;$A20&amp;"'!$U$9"))=TRIM(Tulokset!$R$7),2,0))</f>
        <v/>
      </c>
      <c r="CZ20" t="str">
        <f ca="1">IF(OR(Tulokset!$R$8="",INDIRECT("'"&amp;$A20&amp;"'!$U$10")=""),"",IF(TRIM(INDIRECT("'"&amp;$A20&amp;"'!$U$10"))=TRIM(Tulokset!$R$8),2,0))</f>
        <v/>
      </c>
      <c r="DA20" t="str">
        <f ca="1">IF(OR(Tulokset!$R$9="",INDIRECT("'"&amp;$A20&amp;"'!$U$11")=""),"",IF(TRIM(INDIRECT("'"&amp;$A20&amp;"'!$U$11"))=TRIM(Tulokset!$R$9),2,0))</f>
        <v/>
      </c>
      <c r="DB20" t="str">
        <f ca="1">IF(OR(Tulokset!$M$12="",INDIRECT("'"&amp;$A20&amp;"'!$P$14")=""),"",IF(TRIM(INDIRECT("'"&amp;$A20&amp;"'!$P$14"))=TRIM(Tulokset!$M$12),2,0))</f>
        <v/>
      </c>
      <c r="DC20" t="str">
        <f ca="1">IF(OR(Tulokset!$M$13="",INDIRECT("'"&amp;$A20&amp;"'!$P$15")=""),"",IF(TRIM(INDIRECT("'"&amp;$A20&amp;"'!$P$15"))=TRIM(Tulokset!$M$13),2,0))</f>
        <v/>
      </c>
      <c r="DD20" t="str">
        <f ca="1">IF(OR(Tulokset!$M$14="",INDIRECT("'"&amp;$A20&amp;"'!$P$16")=""),"",IF(TRIM(INDIRECT("'"&amp;$A20&amp;"'!$P$16"))=TRIM(Tulokset!$M$14),2,0))</f>
        <v/>
      </c>
      <c r="DE20" t="str">
        <f ca="1">IF(OR(Tulokset!$M$15="",INDIRECT("'"&amp;$A20&amp;"'!$P$17")=""),"",IF(TRIM(INDIRECT("'"&amp;$A20&amp;"'!$P$17"))=TRIM(Tulokset!$M$15),2,0))</f>
        <v/>
      </c>
      <c r="DF20" t="str">
        <f ca="1">IF(OR(Tulokset!$N$12="",INDIRECT("'"&amp;$A20&amp;"'!$Q$14")=""),"",IF(TRIM(INDIRECT("'"&amp;$A20&amp;"'!$Q$14"))=TRIM(Tulokset!$N$12),2,0))</f>
        <v/>
      </c>
      <c r="DG20" t="str">
        <f ca="1">IF(OR(Tulokset!$N$13="",INDIRECT("'"&amp;$A20&amp;"'!$Q$15")=""),"",IF(TRIM(INDIRECT("'"&amp;$A20&amp;"'!$Q$15"))=TRIM(Tulokset!$N$13),2,0))</f>
        <v/>
      </c>
      <c r="DH20" t="str">
        <f ca="1">IF(OR(Tulokset!$N$14="",INDIRECT("'"&amp;$A20&amp;"'!$Q$16")=""),"",IF(TRIM(INDIRECT("'"&amp;$A20&amp;"'!$Q$16"))=TRIM(Tulokset!$N$14),2,0))</f>
        <v/>
      </c>
      <c r="DI20" t="str">
        <f ca="1">IF(OR(Tulokset!$N$15="",INDIRECT("'"&amp;$A20&amp;"'!$Q$17")=""),"",IF(TRIM(INDIRECT("'"&amp;$A20&amp;"'!$Q$17"))=TRIM(Tulokset!$N$15),2,0))</f>
        <v/>
      </c>
      <c r="DJ20" t="str">
        <f ca="1">IF(OR(Tulokset!$O$12="",INDIRECT("'"&amp;$A20&amp;"'!$R$14")=""),"",IF(TRIM(INDIRECT("'"&amp;$A20&amp;"'!$R$14"))=TRIM(Tulokset!$O$12),2,0))</f>
        <v/>
      </c>
      <c r="DK20" t="str">
        <f ca="1">IF(OR(Tulokset!$O$13="",INDIRECT("'"&amp;$A20&amp;"'!$R$15")=""),"",IF(TRIM(INDIRECT("'"&amp;$A20&amp;"'!$R$15"))=TRIM(Tulokset!$O$13),2,0))</f>
        <v/>
      </c>
      <c r="DL20" t="str">
        <f ca="1">IF(OR(Tulokset!$O$14="",INDIRECT("'"&amp;$A20&amp;"'!$R$16")=""),"",IF(TRIM(INDIRECT("'"&amp;$A20&amp;"'!$R$16"))=TRIM(Tulokset!$O$14),2,0))</f>
        <v/>
      </c>
      <c r="DM20" t="str">
        <f ca="1">IF(OR(Tulokset!$O$15="",INDIRECT("'"&amp;$A20&amp;"'!$R$17")=""),"",IF(TRIM(INDIRECT("'"&amp;$A20&amp;"'!$R$17"))=TRIM(Tulokset!$O$15),2,0))</f>
        <v/>
      </c>
      <c r="DN20" t="str">
        <f ca="1">IF(OR(Tulokset!$P$12="",INDIRECT("'"&amp;$A20&amp;"'!$S$14")=""),"",IF(TRIM(INDIRECT("'"&amp;$A20&amp;"'!$S$14"))=TRIM(Tulokset!$P$12),2,0))</f>
        <v/>
      </c>
      <c r="DO20" t="str">
        <f ca="1">IF(OR(Tulokset!$P$13="",INDIRECT("'"&amp;$A20&amp;"'!$S$15")=""),"",IF(TRIM(INDIRECT("'"&amp;$A20&amp;"'!$S$15"))=TRIM(Tulokset!$P$13),2,0))</f>
        <v/>
      </c>
      <c r="DP20" t="str">
        <f ca="1">IF(OR(Tulokset!$P$14="",INDIRECT("'"&amp;$A20&amp;"'!$S$16")=""),"",IF(TRIM(INDIRECT("'"&amp;$A20&amp;"'!$S$16"))=TRIM(Tulokset!$P$14),2,0))</f>
        <v/>
      </c>
      <c r="DQ20" t="str">
        <f ca="1">IF(OR(Tulokset!$P$15="",INDIRECT("'"&amp;$A20&amp;"'!$S$17")=""),"",IF(TRIM(INDIRECT("'"&amp;$A20&amp;"'!$S$17"))=TRIM(Tulokset!$P$15),2,0))</f>
        <v/>
      </c>
      <c r="DR20" t="str">
        <f ca="1">IF(OR(Tulokset!$Q$12="",INDIRECT("'"&amp;$A20&amp;"'!$T$14")=""),"",IF(TRIM(INDIRECT("'"&amp;$A20&amp;"'!$T$14"))=TRIM(Tulokset!$Q$12),2,0))</f>
        <v/>
      </c>
      <c r="DS20" t="str">
        <f ca="1">IF(OR(Tulokset!$Q$13="",INDIRECT("'"&amp;$A20&amp;"'!$T$15")=""),"",IF(TRIM(INDIRECT("'"&amp;$A20&amp;"'!$T$15"))=TRIM(Tulokset!$Q$13),2,0))</f>
        <v/>
      </c>
      <c r="DT20" t="str">
        <f ca="1">IF(OR(Tulokset!$Q$14="",INDIRECT("'"&amp;$A20&amp;"'!$T$16")=""),"",IF(TRIM(INDIRECT("'"&amp;$A20&amp;"'!$T$16"))=TRIM(Tulokset!$Q$14),2,0))</f>
        <v/>
      </c>
      <c r="DU20" t="str">
        <f ca="1">IF(OR(Tulokset!$Q$15="",INDIRECT("'"&amp;$A20&amp;"'!$T$17")=""),"",IF(TRIM(INDIRECT("'"&amp;$A20&amp;"'!$T$17"))=TRIM(Tulokset!$Q$15),2,0))</f>
        <v/>
      </c>
      <c r="DV20" t="str">
        <f ca="1">IF(OR(Tulokset!$R$12="",INDIRECT("'"&amp;$A20&amp;"'!$U$14")=""),"",IF(TRIM(INDIRECT("'"&amp;$A20&amp;"'!$U$14"))=TRIM(Tulokset!$R$12),2,0))</f>
        <v/>
      </c>
      <c r="DW20" t="str">
        <f ca="1">IF(OR(Tulokset!$R$13="",INDIRECT("'"&amp;$A20&amp;"'!$U$15")=""),"",IF(TRIM(INDIRECT("'"&amp;$A20&amp;"'!$U$15"))=TRIM(Tulokset!$R$13),2,0))</f>
        <v/>
      </c>
      <c r="DX20" t="str">
        <f ca="1">IF(OR(Tulokset!$R$14="",INDIRECT("'"&amp;$A20&amp;"'!$U$16")=""),"",IF(TRIM(INDIRECT("'"&amp;$A20&amp;"'!$U$16"))=TRIM(Tulokset!$R$14),2,0))</f>
        <v/>
      </c>
      <c r="DY20" t="str">
        <f ca="1">IF(OR(Tulokset!$R$15="",INDIRECT("'"&amp;$A20&amp;"'!$U$17")=""),"",IF(TRIM(INDIRECT("'"&amp;$A20&amp;"'!$U$17"))=TRIM(Tulokset!$R$15),2,0))</f>
        <v/>
      </c>
      <c r="EA20" t="str">
        <f ca="1">IF(OR(INDIRECT("'"&amp;$A20&amp;"'!$E$79")="",COUNTA(Tulokset!$M$20:$M$21)=0),"",IF(COUNTIF(Tulokset!$M$20:$M$21,INDIRECT("'"&amp;$A20&amp;"'!$E$79"))&gt;0,2,0))</f>
        <v/>
      </c>
      <c r="EB20" t="str">
        <f ca="1">IF(OR(INDIRECT("'"&amp;$A20&amp;"'!$G$79")="",COUNTA(Tulokset!$M$20:$M$21)=0),"",IF(COUNTIF(Tulokset!$M$20:$M$21,INDIRECT("'"&amp;$A20&amp;"'!$G$79"))&gt;0,2,0))</f>
        <v/>
      </c>
      <c r="EC20" t="str">
        <f ca="1">IF(OR(INDIRECT("'"&amp;$A20&amp;"'!$E$80")="",COUNTA(Tulokset!$M$23:$M$24)=0),"",IF(COUNTIF(Tulokset!$M$23:$M$24,INDIRECT("'"&amp;$A20&amp;"'!$E$80"))&gt;0,2,0))</f>
        <v/>
      </c>
      <c r="ED20" t="str">
        <f ca="1">IF(OR(INDIRECT("'"&amp;$A20&amp;"'!$G$80")="",COUNTA(Tulokset!$M$23:$M$24)=0),"",IF(COUNTIF(Tulokset!$M$23:$M$24,INDIRECT("'"&amp;$A20&amp;"'!$G$80"))&gt;0,2,0))</f>
        <v/>
      </c>
    </row>
    <row r="21" spans="1:134">
      <c r="A21" t="s">
        <v>236</v>
      </c>
      <c r="B21" t="str">
        <f t="shared" ca="1" si="0"/>
        <v>Teo ja Noel</v>
      </c>
      <c r="C21" s="95">
        <f t="shared" si="1"/>
        <v>0</v>
      </c>
      <c r="D21" s="95">
        <f t="shared" ca="1" si="2"/>
        <v>0</v>
      </c>
      <c r="E21" s="95">
        <f t="shared" ca="1" si="3"/>
        <v>0</v>
      </c>
      <c r="F21" s="95">
        <f t="shared" ca="1" si="4"/>
        <v>0</v>
      </c>
      <c r="G21" s="95">
        <f t="shared" si="5"/>
        <v>0</v>
      </c>
      <c r="H21" t="str">
        <f>IF(OR(Tulokset!$G$6="",Tulokset!$I$6="",'18'!$I$7="",'18'!$K$7=""),"",IF(SIGN('18'!$I$7-'18'!$K$7)&lt;&gt;SIGN(Tulokset!$G$6-Tulokset!$I$6),0,IF(Tulokset!$G$6=Tulokset!$I$6,IF(AND('18'!$I$7=Tulokset!$G$6,'18'!$K$7=Tulokset!$I$6),6,3),MAX(0,6-(ABS('18'!$I$7-Tulokset!$G$6)+ABS('18'!$K$7-Tulokset!$I$6))))))</f>
        <v/>
      </c>
      <c r="I21" t="str">
        <f>IF(OR(Tulokset!$G$7="",Tulokset!$I$7="",'18'!$I$8="",'18'!$K$8=""),"",IF(SIGN('18'!$I$8-'18'!$K$8)&lt;&gt;SIGN(Tulokset!$G$7-Tulokset!$I$7),0,IF(Tulokset!$G$7=Tulokset!$I$7,IF(AND('18'!$I$8=Tulokset!$G$7,'18'!$K$8=Tulokset!$I$7),6,3),MAX(0,6-(ABS('18'!$I$8-Tulokset!$G$7)+ABS('18'!$K$8-Tulokset!$I$7))))))</f>
        <v/>
      </c>
      <c r="J21" t="str">
        <f>IF(OR(Tulokset!$G$8="",Tulokset!$I$8="",'18'!$I$9="",'18'!$K$9=""),"",IF(SIGN('18'!$I$9-'18'!$K$9)&lt;&gt;SIGN(Tulokset!$G$8-Tulokset!$I$8),0,IF(Tulokset!$G$8=Tulokset!$I$8,IF(AND('18'!$I$9=Tulokset!$G$8,'18'!$K$9=Tulokset!$I$8),6,3),MAX(0,6-(ABS('18'!$I$9-Tulokset!$G$8)+ABS('18'!$K$9-Tulokset!$I$8))))))</f>
        <v/>
      </c>
      <c r="K21" t="str">
        <f>IF(OR(Tulokset!$G$9="",Tulokset!$I$9="",'18'!$I$10="",'18'!$K$10=""),"",IF(SIGN('18'!$I$10-'18'!$K$10)&lt;&gt;SIGN(Tulokset!$G$9-Tulokset!$I$9),0,IF(Tulokset!$G$9=Tulokset!$I$9,IF(AND('18'!$I$10=Tulokset!$G$9,'18'!$K$10=Tulokset!$I$9),6,3),MAX(0,6-(ABS('18'!$I$10-Tulokset!$G$9)+ABS('18'!$K$10-Tulokset!$I$9))))))</f>
        <v/>
      </c>
      <c r="L21" t="str">
        <f>IF(OR(Tulokset!$G$10="",Tulokset!$I$10="",'18'!$I$11="",'18'!$K$11=""),"",IF(SIGN('18'!$I$11-'18'!$K$11)&lt;&gt;SIGN(Tulokset!$G$10-Tulokset!$I$10),0,IF(Tulokset!$G$10=Tulokset!$I$10,IF(AND('18'!$I$11=Tulokset!$G$10,'18'!$K$11=Tulokset!$I$10),6,3),MAX(0,6-(ABS('18'!$I$11-Tulokset!$G$10)+ABS('18'!$K$11-Tulokset!$I$10))))))</f>
        <v/>
      </c>
      <c r="M21" t="str">
        <f>IF(OR(Tulokset!$G$11="",Tulokset!$I$11="",'18'!$I$12="",'18'!$K$12=""),"",IF(SIGN('18'!$I$12-'18'!$K$12)&lt;&gt;SIGN(Tulokset!$G$11-Tulokset!$I$11),0,IF(Tulokset!$G$11=Tulokset!$I$11,IF(AND('18'!$I$12=Tulokset!$G$11,'18'!$K$12=Tulokset!$I$11),6,3),MAX(0,6-(ABS('18'!$I$12-Tulokset!$G$11)+ABS('18'!$K$12-Tulokset!$I$11))))))</f>
        <v/>
      </c>
      <c r="N21" t="str">
        <f>IF(OR(Tulokset!$G$12="",Tulokset!$I$12="",'18'!$I$13="",'18'!$K$13=""),"",IF(SIGN('18'!$I$13-'18'!$K$13)&lt;&gt;SIGN(Tulokset!$G$12-Tulokset!$I$12),0,IF(Tulokset!$G$12=Tulokset!$I$12,IF(AND('18'!$I$13=Tulokset!$G$12,'18'!$K$13=Tulokset!$I$12),6,3),MAX(0,6-(ABS('18'!$I$13-Tulokset!$G$12)+ABS('18'!$K$13-Tulokset!$I$12))))))</f>
        <v/>
      </c>
      <c r="O21" t="str">
        <f>IF(OR(Tulokset!$G$13="",Tulokset!$I$13="",'18'!$I$14="",'18'!$K$14=""),"",IF(SIGN('18'!$I$14-'18'!$K$14)&lt;&gt;SIGN(Tulokset!$G$13-Tulokset!$I$13),0,IF(Tulokset!$G$13=Tulokset!$I$13,IF(AND('18'!$I$14=Tulokset!$G$13,'18'!$K$14=Tulokset!$I$13),6,3),MAX(0,6-(ABS('18'!$I$14-Tulokset!$G$13)+ABS('18'!$K$14-Tulokset!$I$13))))))</f>
        <v/>
      </c>
      <c r="P21" t="str">
        <f>IF(OR(Tulokset!$G$14="",Tulokset!$I$14="",'18'!$I$15="",'18'!$K$15=""),"",IF(SIGN('18'!$I$15-'18'!$K$15)&lt;&gt;SIGN(Tulokset!$G$14-Tulokset!$I$14),0,IF(Tulokset!$G$14=Tulokset!$I$14,IF(AND('18'!$I$15=Tulokset!$G$14,'18'!$K$15=Tulokset!$I$14),6,3),MAX(0,6-(ABS('18'!$I$15-Tulokset!$G$14)+ABS('18'!$K$15-Tulokset!$I$14))))))</f>
        <v/>
      </c>
      <c r="Q21" t="str">
        <f>IF(OR(Tulokset!$G$15="",Tulokset!$I$15="",'18'!$I$16="",'18'!$K$16=""),"",IF(SIGN('18'!$I$16-'18'!$K$16)&lt;&gt;SIGN(Tulokset!$G$15-Tulokset!$I$15),0,IF(Tulokset!$G$15=Tulokset!$I$15,IF(AND('18'!$I$16=Tulokset!$G$15,'18'!$K$16=Tulokset!$I$15),6,3),MAX(0,6-(ABS('18'!$I$16-Tulokset!$G$15)+ABS('18'!$K$16-Tulokset!$I$15))))))</f>
        <v/>
      </c>
      <c r="R21" t="str">
        <f>IF(OR(Tulokset!$G$16="",Tulokset!$I$16="",'18'!$I$17="",'18'!$K$17=""),"",IF(SIGN('18'!$I$17-'18'!$K$17)&lt;&gt;SIGN(Tulokset!$G$16-Tulokset!$I$16),0,IF(Tulokset!$G$16=Tulokset!$I$16,IF(AND('18'!$I$17=Tulokset!$G$16,'18'!$K$17=Tulokset!$I$16),6,3),MAX(0,6-(ABS('18'!$I$17-Tulokset!$G$16)+ABS('18'!$K$17-Tulokset!$I$16))))))</f>
        <v/>
      </c>
      <c r="S21" t="str">
        <f>IF(OR(Tulokset!$G$17="",Tulokset!$I$17="",'18'!$I$18="",'18'!$K$18=""),"",IF(SIGN('18'!$I$18-'18'!$K$18)&lt;&gt;SIGN(Tulokset!$G$17-Tulokset!$I$17),0,IF(Tulokset!$G$17=Tulokset!$I$17,IF(AND('18'!$I$18=Tulokset!$G$17,'18'!$K$18=Tulokset!$I$17),6,3),MAX(0,6-(ABS('18'!$I$18-Tulokset!$G$17)+ABS('18'!$K$18-Tulokset!$I$17))))))</f>
        <v/>
      </c>
      <c r="T21" t="str">
        <f>IF(OR(Tulokset!$G$18="",Tulokset!$I$18="",'18'!$I$19="",'18'!$K$19=""),"",IF(SIGN('18'!$I$19-'18'!$K$19)&lt;&gt;SIGN(Tulokset!$G$18-Tulokset!$I$18),0,IF(Tulokset!$G$18=Tulokset!$I$18,IF(AND('18'!$I$19=Tulokset!$G$18,'18'!$K$19=Tulokset!$I$18),6,3),MAX(0,6-(ABS('18'!$I$19-Tulokset!$G$18)+ABS('18'!$K$19-Tulokset!$I$18))))))</f>
        <v/>
      </c>
      <c r="U21" t="str">
        <f>IF(OR(Tulokset!$G$19="",Tulokset!$I$19="",'18'!$I$20="",'18'!$K$20=""),"",IF(SIGN('18'!$I$20-'18'!$K$20)&lt;&gt;SIGN(Tulokset!$G$19-Tulokset!$I$19),0,IF(Tulokset!$G$19=Tulokset!$I$19,IF(AND('18'!$I$20=Tulokset!$G$19,'18'!$K$20=Tulokset!$I$19),6,3),MAX(0,6-(ABS('18'!$I$20-Tulokset!$G$19)+ABS('18'!$K$20-Tulokset!$I$19))))))</f>
        <v/>
      </c>
      <c r="V21" t="str">
        <f>IF(OR(Tulokset!$G$20="",Tulokset!$I$20="",'18'!$I$21="",'18'!$K$21=""),"",IF(SIGN('18'!$I$21-'18'!$K$21)&lt;&gt;SIGN(Tulokset!$G$20-Tulokset!$I$20),0,IF(Tulokset!$G$20=Tulokset!$I$20,IF(AND('18'!$I$21=Tulokset!$G$20,'18'!$K$21=Tulokset!$I$20),6,3),MAX(0,6-(ABS('18'!$I$21-Tulokset!$G$20)+ABS('18'!$K$21-Tulokset!$I$20))))))</f>
        <v/>
      </c>
      <c r="W21" t="str">
        <f>IF(OR(Tulokset!$G$21="",Tulokset!$I$21="",'18'!$I$22="",'18'!$K$22=""),"",IF(SIGN('18'!$I$22-'18'!$K$22)&lt;&gt;SIGN(Tulokset!$G$21-Tulokset!$I$21),0,IF(Tulokset!$G$21=Tulokset!$I$21,IF(AND('18'!$I$22=Tulokset!$G$21,'18'!$K$22=Tulokset!$I$21),6,3),MAX(0,6-(ABS('18'!$I$22-Tulokset!$G$21)+ABS('18'!$K$22-Tulokset!$I$21))))))</f>
        <v/>
      </c>
      <c r="X21" t="str">
        <f>IF(OR(Tulokset!$G$22="",Tulokset!$I$22="",'18'!$I$23="",'18'!$K$23=""),"",IF(SIGN('18'!$I$23-'18'!$K$23)&lt;&gt;SIGN(Tulokset!$G$22-Tulokset!$I$22),0,IF(Tulokset!$G$22=Tulokset!$I$22,IF(AND('18'!$I$23=Tulokset!$G$22,'18'!$K$23=Tulokset!$I$22),6,3),MAX(0,6-(ABS('18'!$I$23-Tulokset!$G$22)+ABS('18'!$K$23-Tulokset!$I$22))))))</f>
        <v/>
      </c>
      <c r="Y21" t="str">
        <f>IF(OR(Tulokset!$G$23="",Tulokset!$I$23="",'18'!$I$24="",'18'!$K$24=""),"",IF(SIGN('18'!$I$24-'18'!$K$24)&lt;&gt;SIGN(Tulokset!$G$23-Tulokset!$I$23),0,IF(Tulokset!$G$23=Tulokset!$I$23,IF(AND('18'!$I$24=Tulokset!$G$23,'18'!$K$24=Tulokset!$I$23),6,3),MAX(0,6-(ABS('18'!$I$24-Tulokset!$G$23)+ABS('18'!$K$24-Tulokset!$I$23))))))</f>
        <v/>
      </c>
      <c r="Z21" t="str">
        <f>IF(OR(Tulokset!$G$24="",Tulokset!$I$24="",'18'!$I$25="",'18'!$K$25=""),"",IF(SIGN('18'!$I$25-'18'!$K$25)&lt;&gt;SIGN(Tulokset!$G$24-Tulokset!$I$24),0,IF(Tulokset!$G$24=Tulokset!$I$24,IF(AND('18'!$I$25=Tulokset!$G$24,'18'!$K$25=Tulokset!$I$24),6,3),MAX(0,6-(ABS('18'!$I$25-Tulokset!$G$24)+ABS('18'!$K$25-Tulokset!$I$24))))))</f>
        <v/>
      </c>
      <c r="AA21" t="str">
        <f>IF(OR(Tulokset!$G$25="",Tulokset!$I$25="",'18'!$I$26="",'18'!$K$26=""),"",IF(SIGN('18'!$I$26-'18'!$K$26)&lt;&gt;SIGN(Tulokset!$G$25-Tulokset!$I$25),0,IF(Tulokset!$G$25=Tulokset!$I$25,IF(AND('18'!$I$26=Tulokset!$G$25,'18'!$K$26=Tulokset!$I$25),6,3),MAX(0,6-(ABS('18'!$I$26-Tulokset!$G$25)+ABS('18'!$K$26-Tulokset!$I$25))))))</f>
        <v/>
      </c>
      <c r="AB21" t="str">
        <f>IF(OR(Tulokset!$G$26="",Tulokset!$I$26="",'18'!$I$27="",'18'!$K$27=""),"",IF(SIGN('18'!$I$27-'18'!$K$27)&lt;&gt;SIGN(Tulokset!$G$26-Tulokset!$I$26),0,IF(Tulokset!$G$26=Tulokset!$I$26,IF(AND('18'!$I$27=Tulokset!$G$26,'18'!$K$27=Tulokset!$I$26),6,3),MAX(0,6-(ABS('18'!$I$27-Tulokset!$G$26)+ABS('18'!$K$27-Tulokset!$I$26))))))</f>
        <v/>
      </c>
      <c r="AC21" t="str">
        <f>IF(OR(Tulokset!$G$27="",Tulokset!$I$27="",'18'!$I$28="",'18'!$K$28=""),"",IF(SIGN('18'!$I$28-'18'!$K$28)&lt;&gt;SIGN(Tulokset!$G$27-Tulokset!$I$27),0,IF(Tulokset!$G$27=Tulokset!$I$27,IF(AND('18'!$I$28=Tulokset!$G$27,'18'!$K$28=Tulokset!$I$27),6,3),MAX(0,6-(ABS('18'!$I$28-Tulokset!$G$27)+ABS('18'!$K$28-Tulokset!$I$27))))))</f>
        <v/>
      </c>
      <c r="AD21" t="str">
        <f>IF(OR(Tulokset!$G$28="",Tulokset!$I$28="",'18'!$I$29="",'18'!$K$29=""),"",IF(SIGN('18'!$I$29-'18'!$K$29)&lt;&gt;SIGN(Tulokset!$G$28-Tulokset!$I$28),0,IF(Tulokset!$G$28=Tulokset!$I$28,IF(AND('18'!$I$29=Tulokset!$G$28,'18'!$K$29=Tulokset!$I$28),6,3),MAX(0,6-(ABS('18'!$I$29-Tulokset!$G$28)+ABS('18'!$K$29-Tulokset!$I$28))))))</f>
        <v/>
      </c>
      <c r="AE21" t="str">
        <f>IF(OR(Tulokset!$G$29="",Tulokset!$I$29="",'18'!$I$30="",'18'!$K$30=""),"",IF(SIGN('18'!$I$30-'18'!$K$30)&lt;&gt;SIGN(Tulokset!$G$29-Tulokset!$I$29),0,IF(Tulokset!$G$29=Tulokset!$I$29,IF(AND('18'!$I$30=Tulokset!$G$29,'18'!$K$30=Tulokset!$I$29),6,3),MAX(0,6-(ABS('18'!$I$30-Tulokset!$G$29)+ABS('18'!$K$30-Tulokset!$I$29))))))</f>
        <v/>
      </c>
      <c r="AF21" t="str">
        <f>IF(OR(Tulokset!$G$30="",Tulokset!$I$30="",'18'!$I$31="",'18'!$K$31=""),"",IF(SIGN('18'!$I$31-'18'!$K$31)&lt;&gt;SIGN(Tulokset!$G$30-Tulokset!$I$30),0,IF(Tulokset!$G$30=Tulokset!$I$30,IF(AND('18'!$I$31=Tulokset!$G$30,'18'!$K$31=Tulokset!$I$30),6,3),MAX(0,6-(ABS('18'!$I$31-Tulokset!$G$30)+ABS('18'!$K$31-Tulokset!$I$30))))))</f>
        <v/>
      </c>
      <c r="AG21" t="str">
        <f>IF(OR(Tulokset!$G$31="",Tulokset!$I$31="",'18'!$I$32="",'18'!$K$32=""),"",IF(SIGN('18'!$I$32-'18'!$K$32)&lt;&gt;SIGN(Tulokset!$G$31-Tulokset!$I$31),0,IF(Tulokset!$G$31=Tulokset!$I$31,IF(AND('18'!$I$32=Tulokset!$G$31,'18'!$K$32=Tulokset!$I$31),6,3),MAX(0,6-(ABS('18'!$I$32-Tulokset!$G$31)+ABS('18'!$K$32-Tulokset!$I$31))))))</f>
        <v/>
      </c>
      <c r="AH21" t="str">
        <f>IF(OR(Tulokset!$G$32="",Tulokset!$I$32="",'18'!$I$33="",'18'!$K$33=""),"",IF(SIGN('18'!$I$33-'18'!$K$33)&lt;&gt;SIGN(Tulokset!$G$32-Tulokset!$I$32),0,IF(Tulokset!$G$32=Tulokset!$I$32,IF(AND('18'!$I$33=Tulokset!$G$32,'18'!$K$33=Tulokset!$I$32),6,3),MAX(0,6-(ABS('18'!$I$33-Tulokset!$G$32)+ABS('18'!$K$33-Tulokset!$I$32))))))</f>
        <v/>
      </c>
      <c r="AI21" t="str">
        <f>IF(OR(Tulokset!$G$33="",Tulokset!$I$33="",'18'!$I$34="",'18'!$K$34=""),"",IF(SIGN('18'!$I$34-'18'!$K$34)&lt;&gt;SIGN(Tulokset!$G$33-Tulokset!$I$33),0,IF(Tulokset!$G$33=Tulokset!$I$33,IF(AND('18'!$I$34=Tulokset!$G$33,'18'!$K$34=Tulokset!$I$33),6,3),MAX(0,6-(ABS('18'!$I$34-Tulokset!$G$33)+ABS('18'!$K$34-Tulokset!$I$33))))))</f>
        <v/>
      </c>
      <c r="AJ21" t="str">
        <f>IF(OR(Tulokset!$G$34="",Tulokset!$I$34="",'18'!$I$35="",'18'!$K$35=""),"",IF(SIGN('18'!$I$35-'18'!$K$35)&lt;&gt;SIGN(Tulokset!$G$34-Tulokset!$I$34),0,IF(Tulokset!$G$34=Tulokset!$I$34,IF(AND('18'!$I$35=Tulokset!$G$34,'18'!$K$35=Tulokset!$I$34),6,3),MAX(0,6-(ABS('18'!$I$35-Tulokset!$G$34)+ABS('18'!$K$35-Tulokset!$I$34))))))</f>
        <v/>
      </c>
      <c r="AK21" t="str">
        <f>IF(OR(Tulokset!$G$35="",Tulokset!$I$35="",'18'!$I$36="",'18'!$K$36=""),"",IF(SIGN('18'!$I$36-'18'!$K$36)&lt;&gt;SIGN(Tulokset!$G$35-Tulokset!$I$35),0,IF(Tulokset!$G$35=Tulokset!$I$35,IF(AND('18'!$I$36=Tulokset!$G$35,'18'!$K$36=Tulokset!$I$35),6,3),MAX(0,6-(ABS('18'!$I$36-Tulokset!$G$35)+ABS('18'!$K$36-Tulokset!$I$35))))))</f>
        <v/>
      </c>
      <c r="AL21" t="str">
        <f>IF(OR(Tulokset!$G$36="",Tulokset!$I$36="",'18'!$I$37="",'18'!$K$37=""),"",IF(SIGN('18'!$I$37-'18'!$K$37)&lt;&gt;SIGN(Tulokset!$G$36-Tulokset!$I$36),0,IF(Tulokset!$G$36=Tulokset!$I$36,IF(AND('18'!$I$37=Tulokset!$G$36,'18'!$K$37=Tulokset!$I$36),6,3),MAX(0,6-(ABS('18'!$I$37-Tulokset!$G$36)+ABS('18'!$K$37-Tulokset!$I$36))))))</f>
        <v/>
      </c>
      <c r="AM21" t="str">
        <f>IF(OR(Tulokset!$G$37="",Tulokset!$I$37="",'18'!$I$38="",'18'!$K$38=""),"",IF(SIGN('18'!$I$38-'18'!$K$38)&lt;&gt;SIGN(Tulokset!$G$37-Tulokset!$I$37),0,IF(Tulokset!$G$37=Tulokset!$I$37,IF(AND('18'!$I$38=Tulokset!$G$37,'18'!$K$38=Tulokset!$I$37),6,3),MAX(0,6-(ABS('18'!$I$38-Tulokset!$G$37)+ABS('18'!$K$38-Tulokset!$I$37))))))</f>
        <v/>
      </c>
      <c r="AN21" t="str">
        <f>IF(OR(Tulokset!$G$38="",Tulokset!$I$38="",'18'!$I$39="",'18'!$K$39=""),"",IF(SIGN('18'!$I$39-'18'!$K$39)&lt;&gt;SIGN(Tulokset!$G$38-Tulokset!$I$38),0,IF(Tulokset!$G$38=Tulokset!$I$38,IF(AND('18'!$I$39=Tulokset!$G$38,'18'!$K$39=Tulokset!$I$38),6,3),MAX(0,6-(ABS('18'!$I$39-Tulokset!$G$38)+ABS('18'!$K$39-Tulokset!$I$38))))))</f>
        <v/>
      </c>
      <c r="AO21" t="str">
        <f>IF(OR(Tulokset!$G$39="",Tulokset!$I$39="",'18'!$I$40="",'18'!$K$40=""),"",IF(SIGN('18'!$I$40-'18'!$K$40)&lt;&gt;SIGN(Tulokset!$G$39-Tulokset!$I$39),0,IF(Tulokset!$G$39=Tulokset!$I$39,IF(AND('18'!$I$40=Tulokset!$G$39,'18'!$K$40=Tulokset!$I$39),6,3),MAX(0,6-(ABS('18'!$I$40-Tulokset!$G$39)+ABS('18'!$K$40-Tulokset!$I$39))))))</f>
        <v/>
      </c>
      <c r="AP21" t="str">
        <f>IF(OR(Tulokset!$G$40="",Tulokset!$I$40="",'18'!$I$41="",'18'!$K$41=""),"",IF(SIGN('18'!$I$41-'18'!$K$41)&lt;&gt;SIGN(Tulokset!$G$40-Tulokset!$I$40),0,IF(Tulokset!$G$40=Tulokset!$I$40,IF(AND('18'!$I$41=Tulokset!$G$40,'18'!$K$41=Tulokset!$I$40),6,3),MAX(0,6-(ABS('18'!$I$41-Tulokset!$G$40)+ABS('18'!$K$41-Tulokset!$I$40))))))</f>
        <v/>
      </c>
      <c r="AQ21" t="str">
        <f>IF(OR(Tulokset!$G$41="",Tulokset!$I$41="",'18'!$I$42="",'18'!$K$42=""),"",IF(SIGN('18'!$I$42-'18'!$K$42)&lt;&gt;SIGN(Tulokset!$G$41-Tulokset!$I$41),0,IF(Tulokset!$G$41=Tulokset!$I$41,IF(AND('18'!$I$42=Tulokset!$G$41,'18'!$K$42=Tulokset!$I$41),6,3),MAX(0,6-(ABS('18'!$I$42-Tulokset!$G$41)+ABS('18'!$K$42-Tulokset!$I$41))))))</f>
        <v/>
      </c>
      <c r="AR21" t="str">
        <f>IF(OR(Tulokset!$G$42="",Tulokset!$I$42="",'18'!$I$43="",'18'!$K$43=""),"",IF(SIGN('18'!$I$43-'18'!$K$43)&lt;&gt;SIGN(Tulokset!$G$42-Tulokset!$I$42),0,IF(Tulokset!$G$42=Tulokset!$I$42,IF(AND('18'!$I$43=Tulokset!$G$42,'18'!$K$43=Tulokset!$I$42),6,3),MAX(0,6-(ABS('18'!$I$43-Tulokset!$G$42)+ABS('18'!$K$43-Tulokset!$I$42))))))</f>
        <v/>
      </c>
      <c r="AS21" t="str">
        <f>IF(OR(Tulokset!$G$43="",Tulokset!$I$43="",'18'!$I$44="",'18'!$K$44=""),"",IF(SIGN('18'!$I$44-'18'!$K$44)&lt;&gt;SIGN(Tulokset!$G$43-Tulokset!$I$43),0,IF(Tulokset!$G$43=Tulokset!$I$43,IF(AND('18'!$I$44=Tulokset!$G$43,'18'!$K$44=Tulokset!$I$43),6,3),MAX(0,6-(ABS('18'!$I$44-Tulokset!$G$43)+ABS('18'!$K$44-Tulokset!$I$43))))))</f>
        <v/>
      </c>
      <c r="AT21" t="str">
        <f>IF(OR(Tulokset!$G$44="",Tulokset!$I$44="",'18'!$I$45="",'18'!$K$45=""),"",IF(SIGN('18'!$I$45-'18'!$K$45)&lt;&gt;SIGN(Tulokset!$G$44-Tulokset!$I$44),0,IF(Tulokset!$G$44=Tulokset!$I$44,IF(AND('18'!$I$45=Tulokset!$G$44,'18'!$K$45=Tulokset!$I$44),6,3),MAX(0,6-(ABS('18'!$I$45-Tulokset!$G$44)+ABS('18'!$K$45-Tulokset!$I$44))))))</f>
        <v/>
      </c>
      <c r="AU21" t="str">
        <f>IF(OR(Tulokset!$G$45="",Tulokset!$I$45="",'18'!$I$46="",'18'!$K$46=""),"",IF(SIGN('18'!$I$46-'18'!$K$46)&lt;&gt;SIGN(Tulokset!$G$45-Tulokset!$I$45),0,IF(Tulokset!$G$45=Tulokset!$I$45,IF(AND('18'!$I$46=Tulokset!$G$45,'18'!$K$46=Tulokset!$I$45),6,3),MAX(0,6-(ABS('18'!$I$46-Tulokset!$G$45)+ABS('18'!$K$46-Tulokset!$I$45))))))</f>
        <v/>
      </c>
      <c r="AV21" t="str">
        <f>IF(OR(Tulokset!$G$46="",Tulokset!$I$46="",'18'!$I$47="",'18'!$K$47=""),"",IF(SIGN('18'!$I$47-'18'!$K$47)&lt;&gt;SIGN(Tulokset!$G$46-Tulokset!$I$46),0,IF(Tulokset!$G$46=Tulokset!$I$46,IF(AND('18'!$I$47=Tulokset!$G$46,'18'!$K$47=Tulokset!$I$46),6,3),MAX(0,6-(ABS('18'!$I$47-Tulokset!$G$46)+ABS('18'!$K$47-Tulokset!$I$46))))))</f>
        <v/>
      </c>
      <c r="AW21" t="str">
        <f>IF(OR(Tulokset!$G$47="",Tulokset!$I$47="",'18'!$I$48="",'18'!$K$48=""),"",IF(SIGN('18'!$I$48-'18'!$K$48)&lt;&gt;SIGN(Tulokset!$G$47-Tulokset!$I$47),0,IF(Tulokset!$G$47=Tulokset!$I$47,IF(AND('18'!$I$48=Tulokset!$G$47,'18'!$K$48=Tulokset!$I$47),6,3),MAX(0,6-(ABS('18'!$I$48-Tulokset!$G$47)+ABS('18'!$K$48-Tulokset!$I$47))))))</f>
        <v/>
      </c>
      <c r="AX21" t="str">
        <f>IF(OR(Tulokset!$G$48="",Tulokset!$I$48="",'18'!$I$49="",'18'!$K$49=""),"",IF(SIGN('18'!$I$49-'18'!$K$49)&lt;&gt;SIGN(Tulokset!$G$48-Tulokset!$I$48),0,IF(Tulokset!$G$48=Tulokset!$I$48,IF(AND('18'!$I$49=Tulokset!$G$48,'18'!$K$49=Tulokset!$I$48),6,3),MAX(0,6-(ABS('18'!$I$49-Tulokset!$G$48)+ABS('18'!$K$49-Tulokset!$I$48))))))</f>
        <v/>
      </c>
      <c r="AY21" t="str">
        <f>IF(OR(Tulokset!$G$49="",Tulokset!$I$49="",'18'!$I$50="",'18'!$K$50=""),"",IF(SIGN('18'!$I$50-'18'!$K$50)&lt;&gt;SIGN(Tulokset!$G$49-Tulokset!$I$49),0,IF(Tulokset!$G$49=Tulokset!$I$49,IF(AND('18'!$I$50=Tulokset!$G$49,'18'!$K$50=Tulokset!$I$49),6,3),MAX(0,6-(ABS('18'!$I$50-Tulokset!$G$49)+ABS('18'!$K$50-Tulokset!$I$49))))))</f>
        <v/>
      </c>
      <c r="AZ21" t="str">
        <f>IF(OR(Tulokset!$G$50="",Tulokset!$I$50="",'18'!$I$51="",'18'!$K$51=""),"",IF(SIGN('18'!$I$51-'18'!$K$51)&lt;&gt;SIGN(Tulokset!$G$50-Tulokset!$I$50),0,IF(Tulokset!$G$50=Tulokset!$I$50,IF(AND('18'!$I$51=Tulokset!$G$50,'18'!$K$51=Tulokset!$I$50),6,3),MAX(0,6-(ABS('18'!$I$51-Tulokset!$G$50)+ABS('18'!$K$51-Tulokset!$I$50))))))</f>
        <v/>
      </c>
      <c r="BA21" t="str">
        <f>IF(OR(Tulokset!$G$51="",Tulokset!$I$51="",'18'!$I$52="",'18'!$K$52=""),"",IF(SIGN('18'!$I$52-'18'!$K$52)&lt;&gt;SIGN(Tulokset!$G$51-Tulokset!$I$51),0,IF(Tulokset!$G$51=Tulokset!$I$51,IF(AND('18'!$I$52=Tulokset!$G$51,'18'!$K$52=Tulokset!$I$51),6,3),MAX(0,6-(ABS('18'!$I$52-Tulokset!$G$51)+ABS('18'!$K$52-Tulokset!$I$51))))))</f>
        <v/>
      </c>
      <c r="BB21" t="str">
        <f>IF(OR(Tulokset!$G$52="",Tulokset!$I$52="",'18'!$I$53="",'18'!$K$53=""),"",IF(SIGN('18'!$I$53-'18'!$K$53)&lt;&gt;SIGN(Tulokset!$G$52-Tulokset!$I$52),0,IF(Tulokset!$G$52=Tulokset!$I$52,IF(AND('18'!$I$53=Tulokset!$G$52,'18'!$K$53=Tulokset!$I$52),6,3),MAX(0,6-(ABS('18'!$I$53-Tulokset!$G$52)+ABS('18'!$K$53-Tulokset!$I$52))))))</f>
        <v/>
      </c>
      <c r="BC21" t="str">
        <f>IF(OR(Tulokset!$G$53="",Tulokset!$I$53="",'18'!$I$54="",'18'!$K$54=""),"",IF(SIGN('18'!$I$54-'18'!$K$54)&lt;&gt;SIGN(Tulokset!$G$53-Tulokset!$I$53),0,IF(Tulokset!$G$53=Tulokset!$I$53,IF(AND('18'!$I$54=Tulokset!$G$53,'18'!$K$54=Tulokset!$I$53),6,3),MAX(0,6-(ABS('18'!$I$54-Tulokset!$G$53)+ABS('18'!$K$54-Tulokset!$I$53))))))</f>
        <v/>
      </c>
      <c r="BD21" t="str">
        <f>IF(OR(Tulokset!$G$54="",Tulokset!$I$54="",'18'!$I$55="",'18'!$K$55=""),"",IF(SIGN('18'!$I$55-'18'!$K$55)&lt;&gt;SIGN(Tulokset!$G$54-Tulokset!$I$54),0,IF(Tulokset!$G$54=Tulokset!$I$54,IF(AND('18'!$I$55=Tulokset!$G$54,'18'!$K$55=Tulokset!$I$54),6,3),MAX(0,6-(ABS('18'!$I$55-Tulokset!$G$54)+ABS('18'!$K$55-Tulokset!$I$54))))))</f>
        <v/>
      </c>
      <c r="BE21" t="str">
        <f>IF(OR(Tulokset!$G$55="",Tulokset!$I$55="",'18'!$I$56="",'18'!$K$56=""),"",IF(SIGN('18'!$I$56-'18'!$K$56)&lt;&gt;SIGN(Tulokset!$G$55-Tulokset!$I$55),0,IF(Tulokset!$G$55=Tulokset!$I$55,IF(AND('18'!$I$56=Tulokset!$G$55,'18'!$K$56=Tulokset!$I$55),6,3),MAX(0,6-(ABS('18'!$I$56-Tulokset!$G$55)+ABS('18'!$K$56-Tulokset!$I$55))))))</f>
        <v/>
      </c>
      <c r="BF21" t="str">
        <f>IF(OR(Tulokset!$G$56="",Tulokset!$I$56="",'18'!$I$57="",'18'!$K$57=""),"",IF(SIGN('18'!$I$57-'18'!$K$57)&lt;&gt;SIGN(Tulokset!$G$56-Tulokset!$I$56),0,IF(Tulokset!$G$56=Tulokset!$I$56,IF(AND('18'!$I$57=Tulokset!$G$56,'18'!$K$57=Tulokset!$I$56),6,3),MAX(0,6-(ABS('18'!$I$57-Tulokset!$G$56)+ABS('18'!$K$57-Tulokset!$I$56))))))</f>
        <v/>
      </c>
      <c r="BG21" t="str">
        <f>IF(OR(Tulokset!$G$57="",Tulokset!$I$57="",'18'!$I$58="",'18'!$K$58=""),"",IF(SIGN('18'!$I$58-'18'!$K$58)&lt;&gt;SIGN(Tulokset!$G$57-Tulokset!$I$57),0,IF(Tulokset!$G$57=Tulokset!$I$57,IF(AND('18'!$I$58=Tulokset!$G$57,'18'!$K$58=Tulokset!$I$57),6,3),MAX(0,6-(ABS('18'!$I$58-Tulokset!$G$57)+ABS('18'!$K$58-Tulokset!$I$57))))))</f>
        <v/>
      </c>
      <c r="BH21" t="str">
        <f>IF(OR(Tulokset!$G$58="",Tulokset!$I$58="",'18'!$I$59="",'18'!$K$59=""),"",IF(SIGN('18'!$I$59-'18'!$K$59)&lt;&gt;SIGN(Tulokset!$G$58-Tulokset!$I$58),0,IF(Tulokset!$G$58=Tulokset!$I$58,IF(AND('18'!$I$59=Tulokset!$G$58,'18'!$K$59=Tulokset!$I$58),6,3),MAX(0,6-(ABS('18'!$I$59-Tulokset!$G$58)+ABS('18'!$K$59-Tulokset!$I$58))))))</f>
        <v/>
      </c>
      <c r="BI21" t="str">
        <f>IF(OR(Tulokset!$G$59="",Tulokset!$I$59="",'18'!$I$60="",'18'!$K$60=""),"",IF(SIGN('18'!$I$60-'18'!$K$60)&lt;&gt;SIGN(Tulokset!$G$59-Tulokset!$I$59),0,IF(Tulokset!$G$59=Tulokset!$I$59,IF(AND('18'!$I$60=Tulokset!$G$59,'18'!$K$60=Tulokset!$I$59),6,3),MAX(0,6-(ABS('18'!$I$60-Tulokset!$G$59)+ABS('18'!$K$60-Tulokset!$I$59))))))</f>
        <v/>
      </c>
      <c r="BJ21" t="str">
        <f>IF(OR(Tulokset!$G$60="",Tulokset!$I$60="",'18'!$I$61="",'18'!$K$61=""),"",IF(SIGN('18'!$I$61-'18'!$K$61)&lt;&gt;SIGN(Tulokset!$G$60-Tulokset!$I$60),0,IF(Tulokset!$G$60=Tulokset!$I$60,IF(AND('18'!$I$61=Tulokset!$G$60,'18'!$K$61=Tulokset!$I$60),6,3),MAX(0,6-(ABS('18'!$I$61-Tulokset!$G$60)+ABS('18'!$K$61-Tulokset!$I$60))))))</f>
        <v/>
      </c>
      <c r="BK21" t="str">
        <f>IF(OR(Tulokset!$G$61="",Tulokset!$I$61="",'18'!$I$62="",'18'!$K$62=""),"",IF(SIGN('18'!$I$62-'18'!$K$62)&lt;&gt;SIGN(Tulokset!$G$61-Tulokset!$I$61),0,IF(Tulokset!$G$61=Tulokset!$I$61,IF(AND('18'!$I$62=Tulokset!$G$61,'18'!$K$62=Tulokset!$I$61),6,3),MAX(0,6-(ABS('18'!$I$62-Tulokset!$G$61)+ABS('18'!$K$62-Tulokset!$I$61))))))</f>
        <v/>
      </c>
      <c r="BL21" t="str">
        <f>IF(OR(Tulokset!$G$62="",Tulokset!$I$62="",'18'!$I$63="",'18'!$K$63=""),"",IF(SIGN('18'!$I$63-'18'!$K$63)&lt;&gt;SIGN(Tulokset!$G$62-Tulokset!$I$62),0,IF(Tulokset!$G$62=Tulokset!$I$62,IF(AND('18'!$I$63=Tulokset!$G$62,'18'!$K$63=Tulokset!$I$62),6,3),MAX(0,6-(ABS('18'!$I$63-Tulokset!$G$62)+ABS('18'!$K$63-Tulokset!$I$62))))))</f>
        <v/>
      </c>
      <c r="BM21" t="str">
        <f>IF(OR(Tulokset!$G$63="",Tulokset!$I$63="",'18'!$I$64="",'18'!$K$64=""),"",IF(SIGN('18'!$I$64-'18'!$K$64)&lt;&gt;SIGN(Tulokset!$G$63-Tulokset!$I$63),0,IF(Tulokset!$G$63=Tulokset!$I$63,IF(AND('18'!$I$64=Tulokset!$G$63,'18'!$K$64=Tulokset!$I$63),6,3),MAX(0,6-(ABS('18'!$I$64-Tulokset!$G$63)+ABS('18'!$K$64-Tulokset!$I$63))))))</f>
        <v/>
      </c>
      <c r="BN21" t="str">
        <f>IF(OR(Tulokset!$G$64="",Tulokset!$I$64="",'18'!$I$65="",'18'!$K$65=""),"",IF(SIGN('18'!$I$65-'18'!$K$65)&lt;&gt;SIGN(Tulokset!$G$64-Tulokset!$I$64),0,IF(Tulokset!$G$64=Tulokset!$I$64,IF(AND('18'!$I$65=Tulokset!$G$64,'18'!$K$65=Tulokset!$I$64),6,3),MAX(0,6-(ABS('18'!$I$65-Tulokset!$G$64)+ABS('18'!$K$65-Tulokset!$I$64))))))</f>
        <v/>
      </c>
      <c r="BO21" t="str">
        <f>IF(OR(Tulokset!$G$65="",Tulokset!$I$65="",'18'!$I$66="",'18'!$K$66=""),"",IF(SIGN('18'!$I$66-'18'!$K$66)&lt;&gt;SIGN(Tulokset!$G$65-Tulokset!$I$65),0,IF(Tulokset!$G$65=Tulokset!$I$65,IF(AND('18'!$I$66=Tulokset!$G$65,'18'!$K$66=Tulokset!$I$65),6,3),MAX(0,6-(ABS('18'!$I$66-Tulokset!$G$65)+ABS('18'!$K$66-Tulokset!$I$65))))))</f>
        <v/>
      </c>
      <c r="BP21" t="str">
        <f>IF(OR(Tulokset!$G$66="",Tulokset!$I$66="",'18'!$I$67="",'18'!$K$67=""),"",IF(SIGN('18'!$I$67-'18'!$K$67)&lt;&gt;SIGN(Tulokset!$G$66-Tulokset!$I$66),0,IF(Tulokset!$G$66=Tulokset!$I$66,IF(AND('18'!$I$67=Tulokset!$G$66,'18'!$K$67=Tulokset!$I$66),6,3),MAX(0,6-(ABS('18'!$I$67-Tulokset!$G$66)+ABS('18'!$K$67-Tulokset!$I$66))))))</f>
        <v/>
      </c>
      <c r="BQ21" t="str">
        <f>IF(OR(Tulokset!$G$67="",Tulokset!$I$67="",'18'!$I$68="",'18'!$K$68=""),"",IF(SIGN('18'!$I$68-'18'!$K$68)&lt;&gt;SIGN(Tulokset!$G$67-Tulokset!$I$67),0,IF(Tulokset!$G$67=Tulokset!$I$67,IF(AND('18'!$I$68=Tulokset!$G$67,'18'!$K$68=Tulokset!$I$67),6,3),MAX(0,6-(ABS('18'!$I$68-Tulokset!$G$67)+ABS('18'!$K$68-Tulokset!$I$67))))))</f>
        <v/>
      </c>
      <c r="BR21" t="str">
        <f>IF(OR(Tulokset!$G$68="",Tulokset!$I$68="",'18'!$I$69="",'18'!$K$69=""),"",IF(SIGN('18'!$I$69-'18'!$K$69)&lt;&gt;SIGN(Tulokset!$G$68-Tulokset!$I$68),0,IF(Tulokset!$G$68=Tulokset!$I$68,IF(AND('18'!$I$69=Tulokset!$G$68,'18'!$K$69=Tulokset!$I$68),6,3),MAX(0,6-(ABS('18'!$I$69-Tulokset!$G$68)+ABS('18'!$K$69-Tulokset!$I$68))))))</f>
        <v/>
      </c>
      <c r="BS21" t="str">
        <f>IF(OR(Tulokset!$G$69="",Tulokset!$I$69="",'18'!$I$70="",'18'!$K$70=""),"",IF(SIGN('18'!$I$70-'18'!$K$70)&lt;&gt;SIGN(Tulokset!$G$69-Tulokset!$I$69),0,IF(Tulokset!$G$69=Tulokset!$I$69,IF(AND('18'!$I$70=Tulokset!$G$69,'18'!$K$70=Tulokset!$I$69),6,3),MAX(0,6-(ABS('18'!$I$70-Tulokset!$G$69)+ABS('18'!$K$70-Tulokset!$I$69))))))</f>
        <v/>
      </c>
      <c r="BT21" t="str">
        <f>IF(OR(Tulokset!$G$70="",Tulokset!$I$70="",'18'!$I$71="",'18'!$K$71=""),"",IF(SIGN('18'!$I$71-'18'!$K$71)&lt;&gt;SIGN(Tulokset!$G$70-Tulokset!$I$70),0,IF(Tulokset!$G$70=Tulokset!$I$70,IF(AND('18'!$I$71=Tulokset!$G$70,'18'!$K$71=Tulokset!$I$70),6,3),MAX(0,6-(ABS('18'!$I$71-Tulokset!$G$70)+ABS('18'!$K$71-Tulokset!$I$70))))))</f>
        <v/>
      </c>
      <c r="BU21" t="str">
        <f>IF(OR(Tulokset!$G$71="",Tulokset!$I$71="",'18'!$I$72="",'18'!$K$72=""),"",IF(SIGN('18'!$I$72-'18'!$K$72)&lt;&gt;SIGN(Tulokset!$G$71-Tulokset!$I$71),0,IF(Tulokset!$G$71=Tulokset!$I$71,IF(AND('18'!$I$72=Tulokset!$G$71,'18'!$K$72=Tulokset!$I$71),6,3),MAX(0,6-(ABS('18'!$I$72-Tulokset!$G$71)+ABS('18'!$K$72-Tulokset!$I$71))))))</f>
        <v/>
      </c>
      <c r="BV21" t="str">
        <f>IF(OR(Tulokset!$G$72="",Tulokset!$I$72="",'18'!$I$73="",'18'!$K$73=""),"",IF(SIGN('18'!$I$73-'18'!$K$73)&lt;&gt;SIGN(Tulokset!$G$72-Tulokset!$I$72),0,IF(Tulokset!$G$72=Tulokset!$I$72,IF(AND('18'!$I$73=Tulokset!$G$72,'18'!$K$73=Tulokset!$I$72),6,3),MAX(0,6-(ABS('18'!$I$73-Tulokset!$G$72)+ABS('18'!$K$73-Tulokset!$I$72))))))</f>
        <v/>
      </c>
      <c r="BW21" t="str">
        <f>IF(OR(Tulokset!$G$73="",Tulokset!$I$73="",'18'!$I$74="",'18'!$K$74=""),"",IF(SIGN('18'!$I$74-'18'!$K$74)&lt;&gt;SIGN(Tulokset!$G$73-Tulokset!$I$73),0,IF(Tulokset!$G$73=Tulokset!$I$73,IF(AND('18'!$I$74=Tulokset!$G$73,'18'!$K$74=Tulokset!$I$73),6,3),MAX(0,6-(ABS('18'!$I$74-Tulokset!$G$73)+ABS('18'!$K$74-Tulokset!$I$73))))))</f>
        <v/>
      </c>
      <c r="BX21" t="str">
        <f>IF(OR(Tulokset!$G$74="",Tulokset!$I$74="",'18'!$I$75="",'18'!$K$75=""),"",IF(SIGN('18'!$I$75-'18'!$K$75)&lt;&gt;SIGN(Tulokset!$G$74-Tulokset!$I$74),0,IF(Tulokset!$G$74=Tulokset!$I$74,IF(AND('18'!$I$75=Tulokset!$G$74,'18'!$K$75=Tulokset!$I$74),6,3),MAX(0,6-(ABS('18'!$I$75-Tulokset!$G$74)+ABS('18'!$K$75-Tulokset!$I$74))))))</f>
        <v/>
      </c>
      <c r="BY21" t="str">
        <f>IF(OR(Tulokset!$G$75="",Tulokset!$I$75="",'18'!$I$76="",'18'!$K$76=""),"",IF(SIGN('18'!$I$76-'18'!$K$76)&lt;&gt;SIGN(Tulokset!$G$75-Tulokset!$I$75),0,IF(Tulokset!$G$75=Tulokset!$I$75,IF(AND('18'!$I$76=Tulokset!$G$75,'18'!$K$76=Tulokset!$I$75),6,3),MAX(0,6-(ABS('18'!$I$76-Tulokset!$G$75)+ABS('18'!$K$76-Tulokset!$I$75))))))</f>
        <v/>
      </c>
      <c r="BZ21" t="str">
        <f>IF(OR(Tulokset!$G$76="",Tulokset!$I$76="",'18'!$I$77="",'18'!$K$77=""),"",IF(SIGN('18'!$I$77-'18'!$K$77)&lt;&gt;SIGN(Tulokset!$G$76-Tulokset!$I$76),0,IF(Tulokset!$G$76=Tulokset!$I$76,IF(AND('18'!$I$77=Tulokset!$G$76,'18'!$K$77=Tulokset!$I$76),6,3),MAX(0,6-(ABS('18'!$I$77-Tulokset!$G$76)+ABS('18'!$K$77-Tulokset!$I$76))))))</f>
        <v/>
      </c>
      <c r="CA21" t="str">
        <f>IF(OR(Tulokset!$G$77="",Tulokset!$I$77="",'18'!$I$78="",'18'!$K$78=""),"",IF(SIGN('18'!$I$78-'18'!$K$78)&lt;&gt;SIGN(Tulokset!$G$77-Tulokset!$I$77),0,IF(Tulokset!$G$77=Tulokset!$I$77,IF(AND('18'!$I$78=Tulokset!$G$77,'18'!$K$78=Tulokset!$I$77),6,3),MAX(0,6-(ABS('18'!$I$78-Tulokset!$G$77)+ABS('18'!$K$78-Tulokset!$I$77))))))</f>
        <v/>
      </c>
      <c r="CD21" t="str">
        <f ca="1">IF(OR(Tulokset!$M$6="",INDIRECT("'"&amp;$A21&amp;"'!$P$8")=""),"",IF(TRIM(INDIRECT("'"&amp;$A21&amp;"'!$P$8"))=TRIM(Tulokset!$M$6),2,0))</f>
        <v/>
      </c>
      <c r="CE21" t="str">
        <f ca="1">IF(OR(Tulokset!$M$7="",INDIRECT("'"&amp;$A21&amp;"'!$P$9")=""),"",IF(TRIM(INDIRECT("'"&amp;$A21&amp;"'!$P$9"))=TRIM(Tulokset!$M$7),2,0))</f>
        <v/>
      </c>
      <c r="CF21" t="str">
        <f ca="1">IF(OR(Tulokset!$M$8="",INDIRECT("'"&amp;$A21&amp;"'!$P$10")=""),"",IF(TRIM(INDIRECT("'"&amp;$A21&amp;"'!$P$10"))=TRIM(Tulokset!$M$8),2,0))</f>
        <v/>
      </c>
      <c r="CG21" t="str">
        <f ca="1">IF(OR(Tulokset!$M$9="",INDIRECT("'"&amp;$A21&amp;"'!$P$11")=""),"",IF(TRIM(INDIRECT("'"&amp;$A21&amp;"'!$P$11"))=TRIM(Tulokset!$M$9),2,0))</f>
        <v/>
      </c>
      <c r="CH21" t="str">
        <f ca="1">IF(OR(Tulokset!$N$6="",INDIRECT("'"&amp;$A21&amp;"'!$Q$8")=""),"",IF(TRIM(INDIRECT("'"&amp;$A21&amp;"'!$Q$8"))=TRIM(Tulokset!$N$6),2,0))</f>
        <v/>
      </c>
      <c r="CI21" t="str">
        <f ca="1">IF(OR(Tulokset!$N$7="",INDIRECT("'"&amp;$A21&amp;"'!$Q$9")=""),"",IF(TRIM(INDIRECT("'"&amp;$A21&amp;"'!$Q$9"))=TRIM(Tulokset!$N$7),2,0))</f>
        <v/>
      </c>
      <c r="CJ21" t="str">
        <f ca="1">IF(OR(Tulokset!$N$8="",INDIRECT("'"&amp;$A21&amp;"'!$Q$10")=""),"",IF(TRIM(INDIRECT("'"&amp;$A21&amp;"'!$Q$10"))=TRIM(Tulokset!$N$8),2,0))</f>
        <v/>
      </c>
      <c r="CK21" t="str">
        <f ca="1">IF(OR(Tulokset!$N$9="",INDIRECT("'"&amp;$A21&amp;"'!$Q$11")=""),"",IF(TRIM(INDIRECT("'"&amp;$A21&amp;"'!$Q$11"))=TRIM(Tulokset!$N$9),2,0))</f>
        <v/>
      </c>
      <c r="CL21" t="str">
        <f ca="1">IF(OR(Tulokset!$O$6="",INDIRECT("'"&amp;$A21&amp;"'!$R$8")=""),"",IF(TRIM(INDIRECT("'"&amp;$A21&amp;"'!$R$8"))=TRIM(Tulokset!$O$6),2,0))</f>
        <v/>
      </c>
      <c r="CM21" t="str">
        <f ca="1">IF(OR(Tulokset!$O$7="",INDIRECT("'"&amp;$A21&amp;"'!$R$9")=""),"",IF(TRIM(INDIRECT("'"&amp;$A21&amp;"'!$R$9"))=TRIM(Tulokset!$O$7),2,0))</f>
        <v/>
      </c>
      <c r="CN21" t="str">
        <f ca="1">IF(OR(Tulokset!$O$8="",INDIRECT("'"&amp;$A21&amp;"'!$R$10")=""),"",IF(TRIM(INDIRECT("'"&amp;$A21&amp;"'!$R$10"))=TRIM(Tulokset!$O$8),2,0))</f>
        <v/>
      </c>
      <c r="CO21" t="str">
        <f ca="1">IF(OR(Tulokset!$O$9="",INDIRECT("'"&amp;$A21&amp;"'!$R$11")=""),"",IF(TRIM(INDIRECT("'"&amp;$A21&amp;"'!$R$11"))=TRIM(Tulokset!$O$9),2,0))</f>
        <v/>
      </c>
      <c r="CP21" t="str">
        <f ca="1">IF(OR(Tulokset!$P$6="",INDIRECT("'"&amp;$A21&amp;"'!$S$8")=""),"",IF(TRIM(INDIRECT("'"&amp;$A21&amp;"'!$S$8"))=TRIM(Tulokset!$P$6),2,0))</f>
        <v/>
      </c>
      <c r="CQ21" t="str">
        <f ca="1">IF(OR(Tulokset!$P$7="",INDIRECT("'"&amp;$A21&amp;"'!$S$9")=""),"",IF(TRIM(INDIRECT("'"&amp;$A21&amp;"'!$S$9"))=TRIM(Tulokset!$P$7),2,0))</f>
        <v/>
      </c>
      <c r="CR21" t="str">
        <f ca="1">IF(OR(Tulokset!$P$8="",INDIRECT("'"&amp;$A21&amp;"'!$S$10")=""),"",IF(TRIM(INDIRECT("'"&amp;$A21&amp;"'!$S$10"))=TRIM(Tulokset!$P$8),2,0))</f>
        <v/>
      </c>
      <c r="CS21" t="str">
        <f ca="1">IF(OR(Tulokset!$P$9="",INDIRECT("'"&amp;$A21&amp;"'!$S$11")=""),"",IF(TRIM(INDIRECT("'"&amp;$A21&amp;"'!$S$11"))=TRIM(Tulokset!$P$9),2,0))</f>
        <v/>
      </c>
      <c r="CT21" t="str">
        <f ca="1">IF(OR(Tulokset!$Q$6="",INDIRECT("'"&amp;$A21&amp;"'!$T$8")=""),"",IF(TRIM(INDIRECT("'"&amp;$A21&amp;"'!$T$8"))=TRIM(Tulokset!$Q$6),2,0))</f>
        <v/>
      </c>
      <c r="CU21" t="str">
        <f ca="1">IF(OR(Tulokset!$Q$7="",INDIRECT("'"&amp;$A21&amp;"'!$T$9")=""),"",IF(TRIM(INDIRECT("'"&amp;$A21&amp;"'!$T$9"))=TRIM(Tulokset!$Q$7),2,0))</f>
        <v/>
      </c>
      <c r="CV21" t="str">
        <f ca="1">IF(OR(Tulokset!$Q$8="",INDIRECT("'"&amp;$A21&amp;"'!$T$10")=""),"",IF(TRIM(INDIRECT("'"&amp;$A21&amp;"'!$T$10"))=TRIM(Tulokset!$Q$8),2,0))</f>
        <v/>
      </c>
      <c r="CW21" t="str">
        <f ca="1">IF(OR(Tulokset!$Q$9="",INDIRECT("'"&amp;$A21&amp;"'!$T$11")=""),"",IF(TRIM(INDIRECT("'"&amp;$A21&amp;"'!$T$11"))=TRIM(Tulokset!$Q$9),2,0))</f>
        <v/>
      </c>
      <c r="CX21" t="str">
        <f ca="1">IF(OR(Tulokset!$R$6="",INDIRECT("'"&amp;$A21&amp;"'!$U$8")=""),"",IF(TRIM(INDIRECT("'"&amp;$A21&amp;"'!$U$8"))=TRIM(Tulokset!$R$6),2,0))</f>
        <v/>
      </c>
      <c r="CY21" t="str">
        <f ca="1">IF(OR(Tulokset!$R$7="",INDIRECT("'"&amp;$A21&amp;"'!$U$9")=""),"",IF(TRIM(INDIRECT("'"&amp;$A21&amp;"'!$U$9"))=TRIM(Tulokset!$R$7),2,0))</f>
        <v/>
      </c>
      <c r="CZ21" t="str">
        <f ca="1">IF(OR(Tulokset!$R$8="",INDIRECT("'"&amp;$A21&amp;"'!$U$10")=""),"",IF(TRIM(INDIRECT("'"&amp;$A21&amp;"'!$U$10"))=TRIM(Tulokset!$R$8),2,0))</f>
        <v/>
      </c>
      <c r="DA21" t="str">
        <f ca="1">IF(OR(Tulokset!$R$9="",INDIRECT("'"&amp;$A21&amp;"'!$U$11")=""),"",IF(TRIM(INDIRECT("'"&amp;$A21&amp;"'!$U$11"))=TRIM(Tulokset!$R$9),2,0))</f>
        <v/>
      </c>
      <c r="DB21" t="str">
        <f ca="1">IF(OR(Tulokset!$M$12="",INDIRECT("'"&amp;$A21&amp;"'!$P$14")=""),"",IF(TRIM(INDIRECT("'"&amp;$A21&amp;"'!$P$14"))=TRIM(Tulokset!$M$12),2,0))</f>
        <v/>
      </c>
      <c r="DC21" t="str">
        <f ca="1">IF(OR(Tulokset!$M$13="",INDIRECT("'"&amp;$A21&amp;"'!$P$15")=""),"",IF(TRIM(INDIRECT("'"&amp;$A21&amp;"'!$P$15"))=TRIM(Tulokset!$M$13),2,0))</f>
        <v/>
      </c>
      <c r="DD21" t="str">
        <f ca="1">IF(OR(Tulokset!$M$14="",INDIRECT("'"&amp;$A21&amp;"'!$P$16")=""),"",IF(TRIM(INDIRECT("'"&amp;$A21&amp;"'!$P$16"))=TRIM(Tulokset!$M$14),2,0))</f>
        <v/>
      </c>
      <c r="DE21" t="str">
        <f ca="1">IF(OR(Tulokset!$M$15="",INDIRECT("'"&amp;$A21&amp;"'!$P$17")=""),"",IF(TRIM(INDIRECT("'"&amp;$A21&amp;"'!$P$17"))=TRIM(Tulokset!$M$15),2,0))</f>
        <v/>
      </c>
      <c r="DF21" t="str">
        <f ca="1">IF(OR(Tulokset!$N$12="",INDIRECT("'"&amp;$A21&amp;"'!$Q$14")=""),"",IF(TRIM(INDIRECT("'"&amp;$A21&amp;"'!$Q$14"))=TRIM(Tulokset!$N$12),2,0))</f>
        <v/>
      </c>
      <c r="DG21" t="str">
        <f ca="1">IF(OR(Tulokset!$N$13="",INDIRECT("'"&amp;$A21&amp;"'!$Q$15")=""),"",IF(TRIM(INDIRECT("'"&amp;$A21&amp;"'!$Q$15"))=TRIM(Tulokset!$N$13),2,0))</f>
        <v/>
      </c>
      <c r="DH21" t="str">
        <f ca="1">IF(OR(Tulokset!$N$14="",INDIRECT("'"&amp;$A21&amp;"'!$Q$16")=""),"",IF(TRIM(INDIRECT("'"&amp;$A21&amp;"'!$Q$16"))=TRIM(Tulokset!$N$14),2,0))</f>
        <v/>
      </c>
      <c r="DI21" t="str">
        <f ca="1">IF(OR(Tulokset!$N$15="",INDIRECT("'"&amp;$A21&amp;"'!$Q$17")=""),"",IF(TRIM(INDIRECT("'"&amp;$A21&amp;"'!$Q$17"))=TRIM(Tulokset!$N$15),2,0))</f>
        <v/>
      </c>
      <c r="DJ21" t="str">
        <f ca="1">IF(OR(Tulokset!$O$12="",INDIRECT("'"&amp;$A21&amp;"'!$R$14")=""),"",IF(TRIM(INDIRECT("'"&amp;$A21&amp;"'!$R$14"))=TRIM(Tulokset!$O$12),2,0))</f>
        <v/>
      </c>
      <c r="DK21" t="str">
        <f ca="1">IF(OR(Tulokset!$O$13="",INDIRECT("'"&amp;$A21&amp;"'!$R$15")=""),"",IF(TRIM(INDIRECT("'"&amp;$A21&amp;"'!$R$15"))=TRIM(Tulokset!$O$13),2,0))</f>
        <v/>
      </c>
      <c r="DL21" t="str">
        <f ca="1">IF(OR(Tulokset!$O$14="",INDIRECT("'"&amp;$A21&amp;"'!$R$16")=""),"",IF(TRIM(INDIRECT("'"&amp;$A21&amp;"'!$R$16"))=TRIM(Tulokset!$O$14),2,0))</f>
        <v/>
      </c>
      <c r="DM21" t="str">
        <f ca="1">IF(OR(Tulokset!$O$15="",INDIRECT("'"&amp;$A21&amp;"'!$R$17")=""),"",IF(TRIM(INDIRECT("'"&amp;$A21&amp;"'!$R$17"))=TRIM(Tulokset!$O$15),2,0))</f>
        <v/>
      </c>
      <c r="DN21" t="str">
        <f ca="1">IF(OR(Tulokset!$P$12="",INDIRECT("'"&amp;$A21&amp;"'!$S$14")=""),"",IF(TRIM(INDIRECT("'"&amp;$A21&amp;"'!$S$14"))=TRIM(Tulokset!$P$12),2,0))</f>
        <v/>
      </c>
      <c r="DO21" t="str">
        <f ca="1">IF(OR(Tulokset!$P$13="",INDIRECT("'"&amp;$A21&amp;"'!$S$15")=""),"",IF(TRIM(INDIRECT("'"&amp;$A21&amp;"'!$S$15"))=TRIM(Tulokset!$P$13),2,0))</f>
        <v/>
      </c>
      <c r="DP21" t="str">
        <f ca="1">IF(OR(Tulokset!$P$14="",INDIRECT("'"&amp;$A21&amp;"'!$S$16")=""),"",IF(TRIM(INDIRECT("'"&amp;$A21&amp;"'!$S$16"))=TRIM(Tulokset!$P$14),2,0))</f>
        <v/>
      </c>
      <c r="DQ21" t="str">
        <f ca="1">IF(OR(Tulokset!$P$15="",INDIRECT("'"&amp;$A21&amp;"'!$S$17")=""),"",IF(TRIM(INDIRECT("'"&amp;$A21&amp;"'!$S$17"))=TRIM(Tulokset!$P$15),2,0))</f>
        <v/>
      </c>
      <c r="DR21" t="str">
        <f ca="1">IF(OR(Tulokset!$Q$12="",INDIRECT("'"&amp;$A21&amp;"'!$T$14")=""),"",IF(TRIM(INDIRECT("'"&amp;$A21&amp;"'!$T$14"))=TRIM(Tulokset!$Q$12),2,0))</f>
        <v/>
      </c>
      <c r="DS21" t="str">
        <f ca="1">IF(OR(Tulokset!$Q$13="",INDIRECT("'"&amp;$A21&amp;"'!$T$15")=""),"",IF(TRIM(INDIRECT("'"&amp;$A21&amp;"'!$T$15"))=TRIM(Tulokset!$Q$13),2,0))</f>
        <v/>
      </c>
      <c r="DT21" t="str">
        <f ca="1">IF(OR(Tulokset!$Q$14="",INDIRECT("'"&amp;$A21&amp;"'!$T$16")=""),"",IF(TRIM(INDIRECT("'"&amp;$A21&amp;"'!$T$16"))=TRIM(Tulokset!$Q$14),2,0))</f>
        <v/>
      </c>
      <c r="DU21" t="str">
        <f ca="1">IF(OR(Tulokset!$Q$15="",INDIRECT("'"&amp;$A21&amp;"'!$T$17")=""),"",IF(TRIM(INDIRECT("'"&amp;$A21&amp;"'!$T$17"))=TRIM(Tulokset!$Q$15),2,0))</f>
        <v/>
      </c>
      <c r="DV21" t="str">
        <f ca="1">IF(OR(Tulokset!$R$12="",INDIRECT("'"&amp;$A21&amp;"'!$U$14")=""),"",IF(TRIM(INDIRECT("'"&amp;$A21&amp;"'!$U$14"))=TRIM(Tulokset!$R$12),2,0))</f>
        <v/>
      </c>
      <c r="DW21" t="str">
        <f ca="1">IF(OR(Tulokset!$R$13="",INDIRECT("'"&amp;$A21&amp;"'!$U$15")=""),"",IF(TRIM(INDIRECT("'"&amp;$A21&amp;"'!$U$15"))=TRIM(Tulokset!$R$13),2,0))</f>
        <v/>
      </c>
      <c r="DX21" t="str">
        <f ca="1">IF(OR(Tulokset!$R$14="",INDIRECT("'"&amp;$A21&amp;"'!$U$16")=""),"",IF(TRIM(INDIRECT("'"&amp;$A21&amp;"'!$U$16"))=TRIM(Tulokset!$R$14),2,0))</f>
        <v/>
      </c>
      <c r="DY21" t="str">
        <f ca="1">IF(OR(Tulokset!$R$15="",INDIRECT("'"&amp;$A21&amp;"'!$U$17")=""),"",IF(TRIM(INDIRECT("'"&amp;$A21&amp;"'!$U$17"))=TRIM(Tulokset!$R$15),2,0))</f>
        <v/>
      </c>
      <c r="EA21" t="str">
        <f ca="1">IF(OR(INDIRECT("'"&amp;$A21&amp;"'!$E$79")="",COUNTA(Tulokset!$M$20:$M$21)=0),"",IF(COUNTIF(Tulokset!$M$20:$M$21,INDIRECT("'"&amp;$A21&amp;"'!$E$79"))&gt;0,2,0))</f>
        <v/>
      </c>
      <c r="EB21" t="str">
        <f ca="1">IF(OR(INDIRECT("'"&amp;$A21&amp;"'!$G$79")="",COUNTA(Tulokset!$M$20:$M$21)=0),"",IF(COUNTIF(Tulokset!$M$20:$M$21,INDIRECT("'"&amp;$A21&amp;"'!$G$79"))&gt;0,2,0))</f>
        <v/>
      </c>
      <c r="EC21" t="str">
        <f ca="1">IF(OR(INDIRECT("'"&amp;$A21&amp;"'!$E$80")="",COUNTA(Tulokset!$M$23:$M$24)=0),"",IF(COUNTIF(Tulokset!$M$23:$M$24,INDIRECT("'"&amp;$A21&amp;"'!$E$80"))&gt;0,2,0))</f>
        <v/>
      </c>
      <c r="ED21" t="str">
        <f ca="1">IF(OR(INDIRECT("'"&amp;$A21&amp;"'!$G$80")="",COUNTA(Tulokset!$M$23:$M$24)=0),"",IF(COUNTIF(Tulokset!$M$23:$M$24,INDIRECT("'"&amp;$A21&amp;"'!$G$80"))&gt;0,2,0))</f>
        <v/>
      </c>
    </row>
    <row r="22" spans="1:134">
      <c r="A22" t="s">
        <v>237</v>
      </c>
      <c r="B22" t="str">
        <f t="shared" ca="1" si="0"/>
        <v>Shampoo</v>
      </c>
      <c r="C22" s="95">
        <f t="shared" si="1"/>
        <v>0</v>
      </c>
      <c r="D22" s="95">
        <f t="shared" ca="1" si="2"/>
        <v>0</v>
      </c>
      <c r="E22" s="95">
        <f t="shared" ca="1" si="3"/>
        <v>0</v>
      </c>
      <c r="F22" s="95">
        <f t="shared" ca="1" si="4"/>
        <v>0</v>
      </c>
      <c r="G22" s="95">
        <f t="shared" si="5"/>
        <v>0</v>
      </c>
      <c r="H22" t="str">
        <f>IF(OR(Tulokset!$G$6="",Tulokset!$I$6="",'19'!$I$7="",'19'!$K$7=""),"",IF(SIGN('19'!$I$7-'19'!$K$7)&lt;&gt;SIGN(Tulokset!$G$6-Tulokset!$I$6),0,IF(Tulokset!$G$6=Tulokset!$I$6,IF(AND('19'!$I$7=Tulokset!$G$6,'19'!$K$7=Tulokset!$I$6),6,3),MAX(0,6-(ABS('19'!$I$7-Tulokset!$G$6)+ABS('19'!$K$7-Tulokset!$I$6))))))</f>
        <v/>
      </c>
      <c r="I22" t="str">
        <f>IF(OR(Tulokset!$G$7="",Tulokset!$I$7="",'19'!$I$8="",'19'!$K$8=""),"",IF(SIGN('19'!$I$8-'19'!$K$8)&lt;&gt;SIGN(Tulokset!$G$7-Tulokset!$I$7),0,IF(Tulokset!$G$7=Tulokset!$I$7,IF(AND('19'!$I$8=Tulokset!$G$7,'19'!$K$8=Tulokset!$I$7),6,3),MAX(0,6-(ABS('19'!$I$8-Tulokset!$G$7)+ABS('19'!$K$8-Tulokset!$I$7))))))</f>
        <v/>
      </c>
      <c r="J22" t="str">
        <f>IF(OR(Tulokset!$G$8="",Tulokset!$I$8="",'19'!$I$9="",'19'!$K$9=""),"",IF(SIGN('19'!$I$9-'19'!$K$9)&lt;&gt;SIGN(Tulokset!$G$8-Tulokset!$I$8),0,IF(Tulokset!$G$8=Tulokset!$I$8,IF(AND('19'!$I$9=Tulokset!$G$8,'19'!$K$9=Tulokset!$I$8),6,3),MAX(0,6-(ABS('19'!$I$9-Tulokset!$G$8)+ABS('19'!$K$9-Tulokset!$I$8))))))</f>
        <v/>
      </c>
      <c r="K22" t="str">
        <f>IF(OR(Tulokset!$G$9="",Tulokset!$I$9="",'19'!$I$10="",'19'!$K$10=""),"",IF(SIGN('19'!$I$10-'19'!$K$10)&lt;&gt;SIGN(Tulokset!$G$9-Tulokset!$I$9),0,IF(Tulokset!$G$9=Tulokset!$I$9,IF(AND('19'!$I$10=Tulokset!$G$9,'19'!$K$10=Tulokset!$I$9),6,3),MAX(0,6-(ABS('19'!$I$10-Tulokset!$G$9)+ABS('19'!$K$10-Tulokset!$I$9))))))</f>
        <v/>
      </c>
      <c r="L22" t="str">
        <f>IF(OR(Tulokset!$G$10="",Tulokset!$I$10="",'19'!$I$11="",'19'!$K$11=""),"",IF(SIGN('19'!$I$11-'19'!$K$11)&lt;&gt;SIGN(Tulokset!$G$10-Tulokset!$I$10),0,IF(Tulokset!$G$10=Tulokset!$I$10,IF(AND('19'!$I$11=Tulokset!$G$10,'19'!$K$11=Tulokset!$I$10),6,3),MAX(0,6-(ABS('19'!$I$11-Tulokset!$G$10)+ABS('19'!$K$11-Tulokset!$I$10))))))</f>
        <v/>
      </c>
      <c r="M22" t="str">
        <f>IF(OR(Tulokset!$G$11="",Tulokset!$I$11="",'19'!$I$12="",'19'!$K$12=""),"",IF(SIGN('19'!$I$12-'19'!$K$12)&lt;&gt;SIGN(Tulokset!$G$11-Tulokset!$I$11),0,IF(Tulokset!$G$11=Tulokset!$I$11,IF(AND('19'!$I$12=Tulokset!$G$11,'19'!$K$12=Tulokset!$I$11),6,3),MAX(0,6-(ABS('19'!$I$12-Tulokset!$G$11)+ABS('19'!$K$12-Tulokset!$I$11))))))</f>
        <v/>
      </c>
      <c r="N22" t="str">
        <f>IF(OR(Tulokset!$G$12="",Tulokset!$I$12="",'19'!$I$13="",'19'!$K$13=""),"",IF(SIGN('19'!$I$13-'19'!$K$13)&lt;&gt;SIGN(Tulokset!$G$12-Tulokset!$I$12),0,IF(Tulokset!$G$12=Tulokset!$I$12,IF(AND('19'!$I$13=Tulokset!$G$12,'19'!$K$13=Tulokset!$I$12),6,3),MAX(0,6-(ABS('19'!$I$13-Tulokset!$G$12)+ABS('19'!$K$13-Tulokset!$I$12))))))</f>
        <v/>
      </c>
      <c r="O22" t="str">
        <f>IF(OR(Tulokset!$G$13="",Tulokset!$I$13="",'19'!$I$14="",'19'!$K$14=""),"",IF(SIGN('19'!$I$14-'19'!$K$14)&lt;&gt;SIGN(Tulokset!$G$13-Tulokset!$I$13),0,IF(Tulokset!$G$13=Tulokset!$I$13,IF(AND('19'!$I$14=Tulokset!$G$13,'19'!$K$14=Tulokset!$I$13),6,3),MAX(0,6-(ABS('19'!$I$14-Tulokset!$G$13)+ABS('19'!$K$14-Tulokset!$I$13))))))</f>
        <v/>
      </c>
      <c r="P22" t="str">
        <f>IF(OR(Tulokset!$G$14="",Tulokset!$I$14="",'19'!$I$15="",'19'!$K$15=""),"",IF(SIGN('19'!$I$15-'19'!$K$15)&lt;&gt;SIGN(Tulokset!$G$14-Tulokset!$I$14),0,IF(Tulokset!$G$14=Tulokset!$I$14,IF(AND('19'!$I$15=Tulokset!$G$14,'19'!$K$15=Tulokset!$I$14),6,3),MAX(0,6-(ABS('19'!$I$15-Tulokset!$G$14)+ABS('19'!$K$15-Tulokset!$I$14))))))</f>
        <v/>
      </c>
      <c r="Q22" t="str">
        <f>IF(OR(Tulokset!$G$15="",Tulokset!$I$15="",'19'!$I$16="",'19'!$K$16=""),"",IF(SIGN('19'!$I$16-'19'!$K$16)&lt;&gt;SIGN(Tulokset!$G$15-Tulokset!$I$15),0,IF(Tulokset!$G$15=Tulokset!$I$15,IF(AND('19'!$I$16=Tulokset!$G$15,'19'!$K$16=Tulokset!$I$15),6,3),MAX(0,6-(ABS('19'!$I$16-Tulokset!$G$15)+ABS('19'!$K$16-Tulokset!$I$15))))))</f>
        <v/>
      </c>
      <c r="R22" t="str">
        <f>IF(OR(Tulokset!$G$16="",Tulokset!$I$16="",'19'!$I$17="",'19'!$K$17=""),"",IF(SIGN('19'!$I$17-'19'!$K$17)&lt;&gt;SIGN(Tulokset!$G$16-Tulokset!$I$16),0,IF(Tulokset!$G$16=Tulokset!$I$16,IF(AND('19'!$I$17=Tulokset!$G$16,'19'!$K$17=Tulokset!$I$16),6,3),MAX(0,6-(ABS('19'!$I$17-Tulokset!$G$16)+ABS('19'!$K$17-Tulokset!$I$16))))))</f>
        <v/>
      </c>
      <c r="S22" t="str">
        <f>IF(OR(Tulokset!$G$17="",Tulokset!$I$17="",'19'!$I$18="",'19'!$K$18=""),"",IF(SIGN('19'!$I$18-'19'!$K$18)&lt;&gt;SIGN(Tulokset!$G$17-Tulokset!$I$17),0,IF(Tulokset!$G$17=Tulokset!$I$17,IF(AND('19'!$I$18=Tulokset!$G$17,'19'!$K$18=Tulokset!$I$17),6,3),MAX(0,6-(ABS('19'!$I$18-Tulokset!$G$17)+ABS('19'!$K$18-Tulokset!$I$17))))))</f>
        <v/>
      </c>
      <c r="T22" t="str">
        <f>IF(OR(Tulokset!$G$18="",Tulokset!$I$18="",'19'!$I$19="",'19'!$K$19=""),"",IF(SIGN('19'!$I$19-'19'!$K$19)&lt;&gt;SIGN(Tulokset!$G$18-Tulokset!$I$18),0,IF(Tulokset!$G$18=Tulokset!$I$18,IF(AND('19'!$I$19=Tulokset!$G$18,'19'!$K$19=Tulokset!$I$18),6,3),MAX(0,6-(ABS('19'!$I$19-Tulokset!$G$18)+ABS('19'!$K$19-Tulokset!$I$18))))))</f>
        <v/>
      </c>
      <c r="U22" t="str">
        <f>IF(OR(Tulokset!$G$19="",Tulokset!$I$19="",'19'!$I$20="",'19'!$K$20=""),"",IF(SIGN('19'!$I$20-'19'!$K$20)&lt;&gt;SIGN(Tulokset!$G$19-Tulokset!$I$19),0,IF(Tulokset!$G$19=Tulokset!$I$19,IF(AND('19'!$I$20=Tulokset!$G$19,'19'!$K$20=Tulokset!$I$19),6,3),MAX(0,6-(ABS('19'!$I$20-Tulokset!$G$19)+ABS('19'!$K$20-Tulokset!$I$19))))))</f>
        <v/>
      </c>
      <c r="V22" t="str">
        <f>IF(OR(Tulokset!$G$20="",Tulokset!$I$20="",'19'!$I$21="",'19'!$K$21=""),"",IF(SIGN('19'!$I$21-'19'!$K$21)&lt;&gt;SIGN(Tulokset!$G$20-Tulokset!$I$20),0,IF(Tulokset!$G$20=Tulokset!$I$20,IF(AND('19'!$I$21=Tulokset!$G$20,'19'!$K$21=Tulokset!$I$20),6,3),MAX(0,6-(ABS('19'!$I$21-Tulokset!$G$20)+ABS('19'!$K$21-Tulokset!$I$20))))))</f>
        <v/>
      </c>
      <c r="W22" t="str">
        <f>IF(OR(Tulokset!$G$21="",Tulokset!$I$21="",'19'!$I$22="",'19'!$K$22=""),"",IF(SIGN('19'!$I$22-'19'!$K$22)&lt;&gt;SIGN(Tulokset!$G$21-Tulokset!$I$21),0,IF(Tulokset!$G$21=Tulokset!$I$21,IF(AND('19'!$I$22=Tulokset!$G$21,'19'!$K$22=Tulokset!$I$21),6,3),MAX(0,6-(ABS('19'!$I$22-Tulokset!$G$21)+ABS('19'!$K$22-Tulokset!$I$21))))))</f>
        <v/>
      </c>
      <c r="X22" t="str">
        <f>IF(OR(Tulokset!$G$22="",Tulokset!$I$22="",'19'!$I$23="",'19'!$K$23=""),"",IF(SIGN('19'!$I$23-'19'!$K$23)&lt;&gt;SIGN(Tulokset!$G$22-Tulokset!$I$22),0,IF(Tulokset!$G$22=Tulokset!$I$22,IF(AND('19'!$I$23=Tulokset!$G$22,'19'!$K$23=Tulokset!$I$22),6,3),MAX(0,6-(ABS('19'!$I$23-Tulokset!$G$22)+ABS('19'!$K$23-Tulokset!$I$22))))))</f>
        <v/>
      </c>
      <c r="Y22" t="str">
        <f>IF(OR(Tulokset!$G$23="",Tulokset!$I$23="",'19'!$I$24="",'19'!$K$24=""),"",IF(SIGN('19'!$I$24-'19'!$K$24)&lt;&gt;SIGN(Tulokset!$G$23-Tulokset!$I$23),0,IF(Tulokset!$G$23=Tulokset!$I$23,IF(AND('19'!$I$24=Tulokset!$G$23,'19'!$K$24=Tulokset!$I$23),6,3),MAX(0,6-(ABS('19'!$I$24-Tulokset!$G$23)+ABS('19'!$K$24-Tulokset!$I$23))))))</f>
        <v/>
      </c>
      <c r="Z22" t="str">
        <f>IF(OR(Tulokset!$G$24="",Tulokset!$I$24="",'19'!$I$25="",'19'!$K$25=""),"",IF(SIGN('19'!$I$25-'19'!$K$25)&lt;&gt;SIGN(Tulokset!$G$24-Tulokset!$I$24),0,IF(Tulokset!$G$24=Tulokset!$I$24,IF(AND('19'!$I$25=Tulokset!$G$24,'19'!$K$25=Tulokset!$I$24),6,3),MAX(0,6-(ABS('19'!$I$25-Tulokset!$G$24)+ABS('19'!$K$25-Tulokset!$I$24))))))</f>
        <v/>
      </c>
      <c r="AA22" t="str">
        <f>IF(OR(Tulokset!$G$25="",Tulokset!$I$25="",'19'!$I$26="",'19'!$K$26=""),"",IF(SIGN('19'!$I$26-'19'!$K$26)&lt;&gt;SIGN(Tulokset!$G$25-Tulokset!$I$25),0,IF(Tulokset!$G$25=Tulokset!$I$25,IF(AND('19'!$I$26=Tulokset!$G$25,'19'!$K$26=Tulokset!$I$25),6,3),MAX(0,6-(ABS('19'!$I$26-Tulokset!$G$25)+ABS('19'!$K$26-Tulokset!$I$25))))))</f>
        <v/>
      </c>
      <c r="AB22" t="str">
        <f>IF(OR(Tulokset!$G$26="",Tulokset!$I$26="",'19'!$I$27="",'19'!$K$27=""),"",IF(SIGN('19'!$I$27-'19'!$K$27)&lt;&gt;SIGN(Tulokset!$G$26-Tulokset!$I$26),0,IF(Tulokset!$G$26=Tulokset!$I$26,IF(AND('19'!$I$27=Tulokset!$G$26,'19'!$K$27=Tulokset!$I$26),6,3),MAX(0,6-(ABS('19'!$I$27-Tulokset!$G$26)+ABS('19'!$K$27-Tulokset!$I$26))))))</f>
        <v/>
      </c>
      <c r="AC22" t="str">
        <f>IF(OR(Tulokset!$G$27="",Tulokset!$I$27="",'19'!$I$28="",'19'!$K$28=""),"",IF(SIGN('19'!$I$28-'19'!$K$28)&lt;&gt;SIGN(Tulokset!$G$27-Tulokset!$I$27),0,IF(Tulokset!$G$27=Tulokset!$I$27,IF(AND('19'!$I$28=Tulokset!$G$27,'19'!$K$28=Tulokset!$I$27),6,3),MAX(0,6-(ABS('19'!$I$28-Tulokset!$G$27)+ABS('19'!$K$28-Tulokset!$I$27))))))</f>
        <v/>
      </c>
      <c r="AD22" t="str">
        <f>IF(OR(Tulokset!$G$28="",Tulokset!$I$28="",'19'!$I$29="",'19'!$K$29=""),"",IF(SIGN('19'!$I$29-'19'!$K$29)&lt;&gt;SIGN(Tulokset!$G$28-Tulokset!$I$28),0,IF(Tulokset!$G$28=Tulokset!$I$28,IF(AND('19'!$I$29=Tulokset!$G$28,'19'!$K$29=Tulokset!$I$28),6,3),MAX(0,6-(ABS('19'!$I$29-Tulokset!$G$28)+ABS('19'!$K$29-Tulokset!$I$28))))))</f>
        <v/>
      </c>
      <c r="AE22" t="str">
        <f>IF(OR(Tulokset!$G$29="",Tulokset!$I$29="",'19'!$I$30="",'19'!$K$30=""),"",IF(SIGN('19'!$I$30-'19'!$K$30)&lt;&gt;SIGN(Tulokset!$G$29-Tulokset!$I$29),0,IF(Tulokset!$G$29=Tulokset!$I$29,IF(AND('19'!$I$30=Tulokset!$G$29,'19'!$K$30=Tulokset!$I$29),6,3),MAX(0,6-(ABS('19'!$I$30-Tulokset!$G$29)+ABS('19'!$K$30-Tulokset!$I$29))))))</f>
        <v/>
      </c>
      <c r="AF22" t="str">
        <f>IF(OR(Tulokset!$G$30="",Tulokset!$I$30="",'19'!$I$31="",'19'!$K$31=""),"",IF(SIGN('19'!$I$31-'19'!$K$31)&lt;&gt;SIGN(Tulokset!$G$30-Tulokset!$I$30),0,IF(Tulokset!$G$30=Tulokset!$I$30,IF(AND('19'!$I$31=Tulokset!$G$30,'19'!$K$31=Tulokset!$I$30),6,3),MAX(0,6-(ABS('19'!$I$31-Tulokset!$G$30)+ABS('19'!$K$31-Tulokset!$I$30))))))</f>
        <v/>
      </c>
      <c r="AG22" t="str">
        <f>IF(OR(Tulokset!$G$31="",Tulokset!$I$31="",'19'!$I$32="",'19'!$K$32=""),"",IF(SIGN('19'!$I$32-'19'!$K$32)&lt;&gt;SIGN(Tulokset!$G$31-Tulokset!$I$31),0,IF(Tulokset!$G$31=Tulokset!$I$31,IF(AND('19'!$I$32=Tulokset!$G$31,'19'!$K$32=Tulokset!$I$31),6,3),MAX(0,6-(ABS('19'!$I$32-Tulokset!$G$31)+ABS('19'!$K$32-Tulokset!$I$31))))))</f>
        <v/>
      </c>
      <c r="AH22" t="str">
        <f>IF(OR(Tulokset!$G$32="",Tulokset!$I$32="",'19'!$I$33="",'19'!$K$33=""),"",IF(SIGN('19'!$I$33-'19'!$K$33)&lt;&gt;SIGN(Tulokset!$G$32-Tulokset!$I$32),0,IF(Tulokset!$G$32=Tulokset!$I$32,IF(AND('19'!$I$33=Tulokset!$G$32,'19'!$K$33=Tulokset!$I$32),6,3),MAX(0,6-(ABS('19'!$I$33-Tulokset!$G$32)+ABS('19'!$K$33-Tulokset!$I$32))))))</f>
        <v/>
      </c>
      <c r="AI22" t="str">
        <f>IF(OR(Tulokset!$G$33="",Tulokset!$I$33="",'19'!$I$34="",'19'!$K$34=""),"",IF(SIGN('19'!$I$34-'19'!$K$34)&lt;&gt;SIGN(Tulokset!$G$33-Tulokset!$I$33),0,IF(Tulokset!$G$33=Tulokset!$I$33,IF(AND('19'!$I$34=Tulokset!$G$33,'19'!$K$34=Tulokset!$I$33),6,3),MAX(0,6-(ABS('19'!$I$34-Tulokset!$G$33)+ABS('19'!$K$34-Tulokset!$I$33))))))</f>
        <v/>
      </c>
      <c r="AJ22" t="str">
        <f>IF(OR(Tulokset!$G$34="",Tulokset!$I$34="",'19'!$I$35="",'19'!$K$35=""),"",IF(SIGN('19'!$I$35-'19'!$K$35)&lt;&gt;SIGN(Tulokset!$G$34-Tulokset!$I$34),0,IF(Tulokset!$G$34=Tulokset!$I$34,IF(AND('19'!$I$35=Tulokset!$G$34,'19'!$K$35=Tulokset!$I$34),6,3),MAX(0,6-(ABS('19'!$I$35-Tulokset!$G$34)+ABS('19'!$K$35-Tulokset!$I$34))))))</f>
        <v/>
      </c>
      <c r="AK22" t="str">
        <f>IF(OR(Tulokset!$G$35="",Tulokset!$I$35="",'19'!$I$36="",'19'!$K$36=""),"",IF(SIGN('19'!$I$36-'19'!$K$36)&lt;&gt;SIGN(Tulokset!$G$35-Tulokset!$I$35),0,IF(Tulokset!$G$35=Tulokset!$I$35,IF(AND('19'!$I$36=Tulokset!$G$35,'19'!$K$36=Tulokset!$I$35),6,3),MAX(0,6-(ABS('19'!$I$36-Tulokset!$G$35)+ABS('19'!$K$36-Tulokset!$I$35))))))</f>
        <v/>
      </c>
      <c r="AL22" t="str">
        <f>IF(OR(Tulokset!$G$36="",Tulokset!$I$36="",'19'!$I$37="",'19'!$K$37=""),"",IF(SIGN('19'!$I$37-'19'!$K$37)&lt;&gt;SIGN(Tulokset!$G$36-Tulokset!$I$36),0,IF(Tulokset!$G$36=Tulokset!$I$36,IF(AND('19'!$I$37=Tulokset!$G$36,'19'!$K$37=Tulokset!$I$36),6,3),MAX(0,6-(ABS('19'!$I$37-Tulokset!$G$36)+ABS('19'!$K$37-Tulokset!$I$36))))))</f>
        <v/>
      </c>
      <c r="AM22" t="str">
        <f>IF(OR(Tulokset!$G$37="",Tulokset!$I$37="",'19'!$I$38="",'19'!$K$38=""),"",IF(SIGN('19'!$I$38-'19'!$K$38)&lt;&gt;SIGN(Tulokset!$G$37-Tulokset!$I$37),0,IF(Tulokset!$G$37=Tulokset!$I$37,IF(AND('19'!$I$38=Tulokset!$G$37,'19'!$K$38=Tulokset!$I$37),6,3),MAX(0,6-(ABS('19'!$I$38-Tulokset!$G$37)+ABS('19'!$K$38-Tulokset!$I$37))))))</f>
        <v/>
      </c>
      <c r="AN22" t="str">
        <f>IF(OR(Tulokset!$G$38="",Tulokset!$I$38="",'19'!$I$39="",'19'!$K$39=""),"",IF(SIGN('19'!$I$39-'19'!$K$39)&lt;&gt;SIGN(Tulokset!$G$38-Tulokset!$I$38),0,IF(Tulokset!$G$38=Tulokset!$I$38,IF(AND('19'!$I$39=Tulokset!$G$38,'19'!$K$39=Tulokset!$I$38),6,3),MAX(0,6-(ABS('19'!$I$39-Tulokset!$G$38)+ABS('19'!$K$39-Tulokset!$I$38))))))</f>
        <v/>
      </c>
      <c r="AO22" t="str">
        <f>IF(OR(Tulokset!$G$39="",Tulokset!$I$39="",'19'!$I$40="",'19'!$K$40=""),"",IF(SIGN('19'!$I$40-'19'!$K$40)&lt;&gt;SIGN(Tulokset!$G$39-Tulokset!$I$39),0,IF(Tulokset!$G$39=Tulokset!$I$39,IF(AND('19'!$I$40=Tulokset!$G$39,'19'!$K$40=Tulokset!$I$39),6,3),MAX(0,6-(ABS('19'!$I$40-Tulokset!$G$39)+ABS('19'!$K$40-Tulokset!$I$39))))))</f>
        <v/>
      </c>
      <c r="AP22" t="str">
        <f>IF(OR(Tulokset!$G$40="",Tulokset!$I$40="",'19'!$I$41="",'19'!$K$41=""),"",IF(SIGN('19'!$I$41-'19'!$K$41)&lt;&gt;SIGN(Tulokset!$G$40-Tulokset!$I$40),0,IF(Tulokset!$G$40=Tulokset!$I$40,IF(AND('19'!$I$41=Tulokset!$G$40,'19'!$K$41=Tulokset!$I$40),6,3),MAX(0,6-(ABS('19'!$I$41-Tulokset!$G$40)+ABS('19'!$K$41-Tulokset!$I$40))))))</f>
        <v/>
      </c>
      <c r="AQ22" t="str">
        <f>IF(OR(Tulokset!$G$41="",Tulokset!$I$41="",'19'!$I$42="",'19'!$K$42=""),"",IF(SIGN('19'!$I$42-'19'!$K$42)&lt;&gt;SIGN(Tulokset!$G$41-Tulokset!$I$41),0,IF(Tulokset!$G$41=Tulokset!$I$41,IF(AND('19'!$I$42=Tulokset!$G$41,'19'!$K$42=Tulokset!$I$41),6,3),MAX(0,6-(ABS('19'!$I$42-Tulokset!$G$41)+ABS('19'!$K$42-Tulokset!$I$41))))))</f>
        <v/>
      </c>
      <c r="AR22" t="str">
        <f>IF(OR(Tulokset!$G$42="",Tulokset!$I$42="",'19'!$I$43="",'19'!$K$43=""),"",IF(SIGN('19'!$I$43-'19'!$K$43)&lt;&gt;SIGN(Tulokset!$G$42-Tulokset!$I$42),0,IF(Tulokset!$G$42=Tulokset!$I$42,IF(AND('19'!$I$43=Tulokset!$G$42,'19'!$K$43=Tulokset!$I$42),6,3),MAX(0,6-(ABS('19'!$I$43-Tulokset!$G$42)+ABS('19'!$K$43-Tulokset!$I$42))))))</f>
        <v/>
      </c>
      <c r="AS22" t="str">
        <f>IF(OR(Tulokset!$G$43="",Tulokset!$I$43="",'19'!$I$44="",'19'!$K$44=""),"",IF(SIGN('19'!$I$44-'19'!$K$44)&lt;&gt;SIGN(Tulokset!$G$43-Tulokset!$I$43),0,IF(Tulokset!$G$43=Tulokset!$I$43,IF(AND('19'!$I$44=Tulokset!$G$43,'19'!$K$44=Tulokset!$I$43),6,3),MAX(0,6-(ABS('19'!$I$44-Tulokset!$G$43)+ABS('19'!$K$44-Tulokset!$I$43))))))</f>
        <v/>
      </c>
      <c r="AT22" t="str">
        <f>IF(OR(Tulokset!$G$44="",Tulokset!$I$44="",'19'!$I$45="",'19'!$K$45=""),"",IF(SIGN('19'!$I$45-'19'!$K$45)&lt;&gt;SIGN(Tulokset!$G$44-Tulokset!$I$44),0,IF(Tulokset!$G$44=Tulokset!$I$44,IF(AND('19'!$I$45=Tulokset!$G$44,'19'!$K$45=Tulokset!$I$44),6,3),MAX(0,6-(ABS('19'!$I$45-Tulokset!$G$44)+ABS('19'!$K$45-Tulokset!$I$44))))))</f>
        <v/>
      </c>
      <c r="AU22" t="str">
        <f>IF(OR(Tulokset!$G$45="",Tulokset!$I$45="",'19'!$I$46="",'19'!$K$46=""),"",IF(SIGN('19'!$I$46-'19'!$K$46)&lt;&gt;SIGN(Tulokset!$G$45-Tulokset!$I$45),0,IF(Tulokset!$G$45=Tulokset!$I$45,IF(AND('19'!$I$46=Tulokset!$G$45,'19'!$K$46=Tulokset!$I$45),6,3),MAX(0,6-(ABS('19'!$I$46-Tulokset!$G$45)+ABS('19'!$K$46-Tulokset!$I$45))))))</f>
        <v/>
      </c>
      <c r="AV22" t="str">
        <f>IF(OR(Tulokset!$G$46="",Tulokset!$I$46="",'19'!$I$47="",'19'!$K$47=""),"",IF(SIGN('19'!$I$47-'19'!$K$47)&lt;&gt;SIGN(Tulokset!$G$46-Tulokset!$I$46),0,IF(Tulokset!$G$46=Tulokset!$I$46,IF(AND('19'!$I$47=Tulokset!$G$46,'19'!$K$47=Tulokset!$I$46),6,3),MAX(0,6-(ABS('19'!$I$47-Tulokset!$G$46)+ABS('19'!$K$47-Tulokset!$I$46))))))</f>
        <v/>
      </c>
      <c r="AW22" t="str">
        <f>IF(OR(Tulokset!$G$47="",Tulokset!$I$47="",'19'!$I$48="",'19'!$K$48=""),"",IF(SIGN('19'!$I$48-'19'!$K$48)&lt;&gt;SIGN(Tulokset!$G$47-Tulokset!$I$47),0,IF(Tulokset!$G$47=Tulokset!$I$47,IF(AND('19'!$I$48=Tulokset!$G$47,'19'!$K$48=Tulokset!$I$47),6,3),MAX(0,6-(ABS('19'!$I$48-Tulokset!$G$47)+ABS('19'!$K$48-Tulokset!$I$47))))))</f>
        <v/>
      </c>
      <c r="AX22" t="str">
        <f>IF(OR(Tulokset!$G$48="",Tulokset!$I$48="",'19'!$I$49="",'19'!$K$49=""),"",IF(SIGN('19'!$I$49-'19'!$K$49)&lt;&gt;SIGN(Tulokset!$G$48-Tulokset!$I$48),0,IF(Tulokset!$G$48=Tulokset!$I$48,IF(AND('19'!$I$49=Tulokset!$G$48,'19'!$K$49=Tulokset!$I$48),6,3),MAX(0,6-(ABS('19'!$I$49-Tulokset!$G$48)+ABS('19'!$K$49-Tulokset!$I$48))))))</f>
        <v/>
      </c>
      <c r="AY22" t="str">
        <f>IF(OR(Tulokset!$G$49="",Tulokset!$I$49="",'19'!$I$50="",'19'!$K$50=""),"",IF(SIGN('19'!$I$50-'19'!$K$50)&lt;&gt;SIGN(Tulokset!$G$49-Tulokset!$I$49),0,IF(Tulokset!$G$49=Tulokset!$I$49,IF(AND('19'!$I$50=Tulokset!$G$49,'19'!$K$50=Tulokset!$I$49),6,3),MAX(0,6-(ABS('19'!$I$50-Tulokset!$G$49)+ABS('19'!$K$50-Tulokset!$I$49))))))</f>
        <v/>
      </c>
      <c r="AZ22" t="str">
        <f>IF(OR(Tulokset!$G$50="",Tulokset!$I$50="",'19'!$I$51="",'19'!$K$51=""),"",IF(SIGN('19'!$I$51-'19'!$K$51)&lt;&gt;SIGN(Tulokset!$G$50-Tulokset!$I$50),0,IF(Tulokset!$G$50=Tulokset!$I$50,IF(AND('19'!$I$51=Tulokset!$G$50,'19'!$K$51=Tulokset!$I$50),6,3),MAX(0,6-(ABS('19'!$I$51-Tulokset!$G$50)+ABS('19'!$K$51-Tulokset!$I$50))))))</f>
        <v/>
      </c>
      <c r="BA22" t="str">
        <f>IF(OR(Tulokset!$G$51="",Tulokset!$I$51="",'19'!$I$52="",'19'!$K$52=""),"",IF(SIGN('19'!$I$52-'19'!$K$52)&lt;&gt;SIGN(Tulokset!$G$51-Tulokset!$I$51),0,IF(Tulokset!$G$51=Tulokset!$I$51,IF(AND('19'!$I$52=Tulokset!$G$51,'19'!$K$52=Tulokset!$I$51),6,3),MAX(0,6-(ABS('19'!$I$52-Tulokset!$G$51)+ABS('19'!$K$52-Tulokset!$I$51))))))</f>
        <v/>
      </c>
      <c r="BB22" t="str">
        <f>IF(OR(Tulokset!$G$52="",Tulokset!$I$52="",'19'!$I$53="",'19'!$K$53=""),"",IF(SIGN('19'!$I$53-'19'!$K$53)&lt;&gt;SIGN(Tulokset!$G$52-Tulokset!$I$52),0,IF(Tulokset!$G$52=Tulokset!$I$52,IF(AND('19'!$I$53=Tulokset!$G$52,'19'!$K$53=Tulokset!$I$52),6,3),MAX(0,6-(ABS('19'!$I$53-Tulokset!$G$52)+ABS('19'!$K$53-Tulokset!$I$52))))))</f>
        <v/>
      </c>
      <c r="BC22" t="str">
        <f>IF(OR(Tulokset!$G$53="",Tulokset!$I$53="",'19'!$I$54="",'19'!$K$54=""),"",IF(SIGN('19'!$I$54-'19'!$K$54)&lt;&gt;SIGN(Tulokset!$G$53-Tulokset!$I$53),0,IF(Tulokset!$G$53=Tulokset!$I$53,IF(AND('19'!$I$54=Tulokset!$G$53,'19'!$K$54=Tulokset!$I$53),6,3),MAX(0,6-(ABS('19'!$I$54-Tulokset!$G$53)+ABS('19'!$K$54-Tulokset!$I$53))))))</f>
        <v/>
      </c>
      <c r="BD22" t="str">
        <f>IF(OR(Tulokset!$G$54="",Tulokset!$I$54="",'19'!$I$55="",'19'!$K$55=""),"",IF(SIGN('19'!$I$55-'19'!$K$55)&lt;&gt;SIGN(Tulokset!$G$54-Tulokset!$I$54),0,IF(Tulokset!$G$54=Tulokset!$I$54,IF(AND('19'!$I$55=Tulokset!$G$54,'19'!$K$55=Tulokset!$I$54),6,3),MAX(0,6-(ABS('19'!$I$55-Tulokset!$G$54)+ABS('19'!$K$55-Tulokset!$I$54))))))</f>
        <v/>
      </c>
      <c r="BE22" t="str">
        <f>IF(OR(Tulokset!$G$55="",Tulokset!$I$55="",'19'!$I$56="",'19'!$K$56=""),"",IF(SIGN('19'!$I$56-'19'!$K$56)&lt;&gt;SIGN(Tulokset!$G$55-Tulokset!$I$55),0,IF(Tulokset!$G$55=Tulokset!$I$55,IF(AND('19'!$I$56=Tulokset!$G$55,'19'!$K$56=Tulokset!$I$55),6,3),MAX(0,6-(ABS('19'!$I$56-Tulokset!$G$55)+ABS('19'!$K$56-Tulokset!$I$55))))))</f>
        <v/>
      </c>
      <c r="BF22" t="str">
        <f>IF(OR(Tulokset!$G$56="",Tulokset!$I$56="",'19'!$I$57="",'19'!$K$57=""),"",IF(SIGN('19'!$I$57-'19'!$K$57)&lt;&gt;SIGN(Tulokset!$G$56-Tulokset!$I$56),0,IF(Tulokset!$G$56=Tulokset!$I$56,IF(AND('19'!$I$57=Tulokset!$G$56,'19'!$K$57=Tulokset!$I$56),6,3),MAX(0,6-(ABS('19'!$I$57-Tulokset!$G$56)+ABS('19'!$K$57-Tulokset!$I$56))))))</f>
        <v/>
      </c>
      <c r="BG22" t="str">
        <f>IF(OR(Tulokset!$G$57="",Tulokset!$I$57="",'19'!$I$58="",'19'!$K$58=""),"",IF(SIGN('19'!$I$58-'19'!$K$58)&lt;&gt;SIGN(Tulokset!$G$57-Tulokset!$I$57),0,IF(Tulokset!$G$57=Tulokset!$I$57,IF(AND('19'!$I$58=Tulokset!$G$57,'19'!$K$58=Tulokset!$I$57),6,3),MAX(0,6-(ABS('19'!$I$58-Tulokset!$G$57)+ABS('19'!$K$58-Tulokset!$I$57))))))</f>
        <v/>
      </c>
      <c r="BH22" t="str">
        <f>IF(OR(Tulokset!$G$58="",Tulokset!$I$58="",'19'!$I$59="",'19'!$K$59=""),"",IF(SIGN('19'!$I$59-'19'!$K$59)&lt;&gt;SIGN(Tulokset!$G$58-Tulokset!$I$58),0,IF(Tulokset!$G$58=Tulokset!$I$58,IF(AND('19'!$I$59=Tulokset!$G$58,'19'!$K$59=Tulokset!$I$58),6,3),MAX(0,6-(ABS('19'!$I$59-Tulokset!$G$58)+ABS('19'!$K$59-Tulokset!$I$58))))))</f>
        <v/>
      </c>
      <c r="BI22" t="str">
        <f>IF(OR(Tulokset!$G$59="",Tulokset!$I$59="",'19'!$I$60="",'19'!$K$60=""),"",IF(SIGN('19'!$I$60-'19'!$K$60)&lt;&gt;SIGN(Tulokset!$G$59-Tulokset!$I$59),0,IF(Tulokset!$G$59=Tulokset!$I$59,IF(AND('19'!$I$60=Tulokset!$G$59,'19'!$K$60=Tulokset!$I$59),6,3),MAX(0,6-(ABS('19'!$I$60-Tulokset!$G$59)+ABS('19'!$K$60-Tulokset!$I$59))))))</f>
        <v/>
      </c>
      <c r="BJ22" t="str">
        <f>IF(OR(Tulokset!$G$60="",Tulokset!$I$60="",'19'!$I$61="",'19'!$K$61=""),"",IF(SIGN('19'!$I$61-'19'!$K$61)&lt;&gt;SIGN(Tulokset!$G$60-Tulokset!$I$60),0,IF(Tulokset!$G$60=Tulokset!$I$60,IF(AND('19'!$I$61=Tulokset!$G$60,'19'!$K$61=Tulokset!$I$60),6,3),MAX(0,6-(ABS('19'!$I$61-Tulokset!$G$60)+ABS('19'!$K$61-Tulokset!$I$60))))))</f>
        <v/>
      </c>
      <c r="BK22" t="str">
        <f>IF(OR(Tulokset!$G$61="",Tulokset!$I$61="",'19'!$I$62="",'19'!$K$62=""),"",IF(SIGN('19'!$I$62-'19'!$K$62)&lt;&gt;SIGN(Tulokset!$G$61-Tulokset!$I$61),0,IF(Tulokset!$G$61=Tulokset!$I$61,IF(AND('19'!$I$62=Tulokset!$G$61,'19'!$K$62=Tulokset!$I$61),6,3),MAX(0,6-(ABS('19'!$I$62-Tulokset!$G$61)+ABS('19'!$K$62-Tulokset!$I$61))))))</f>
        <v/>
      </c>
      <c r="BL22" t="str">
        <f>IF(OR(Tulokset!$G$62="",Tulokset!$I$62="",'19'!$I$63="",'19'!$K$63=""),"",IF(SIGN('19'!$I$63-'19'!$K$63)&lt;&gt;SIGN(Tulokset!$G$62-Tulokset!$I$62),0,IF(Tulokset!$G$62=Tulokset!$I$62,IF(AND('19'!$I$63=Tulokset!$G$62,'19'!$K$63=Tulokset!$I$62),6,3),MAX(0,6-(ABS('19'!$I$63-Tulokset!$G$62)+ABS('19'!$K$63-Tulokset!$I$62))))))</f>
        <v/>
      </c>
      <c r="BM22" t="str">
        <f>IF(OR(Tulokset!$G$63="",Tulokset!$I$63="",'19'!$I$64="",'19'!$K$64=""),"",IF(SIGN('19'!$I$64-'19'!$K$64)&lt;&gt;SIGN(Tulokset!$G$63-Tulokset!$I$63),0,IF(Tulokset!$G$63=Tulokset!$I$63,IF(AND('19'!$I$64=Tulokset!$G$63,'19'!$K$64=Tulokset!$I$63),6,3),MAX(0,6-(ABS('19'!$I$64-Tulokset!$G$63)+ABS('19'!$K$64-Tulokset!$I$63))))))</f>
        <v/>
      </c>
      <c r="BN22" t="str">
        <f>IF(OR(Tulokset!$G$64="",Tulokset!$I$64="",'19'!$I$65="",'19'!$K$65=""),"",IF(SIGN('19'!$I$65-'19'!$K$65)&lt;&gt;SIGN(Tulokset!$G$64-Tulokset!$I$64),0,IF(Tulokset!$G$64=Tulokset!$I$64,IF(AND('19'!$I$65=Tulokset!$G$64,'19'!$K$65=Tulokset!$I$64),6,3),MAX(0,6-(ABS('19'!$I$65-Tulokset!$G$64)+ABS('19'!$K$65-Tulokset!$I$64))))))</f>
        <v/>
      </c>
      <c r="BO22" t="str">
        <f>IF(OR(Tulokset!$G$65="",Tulokset!$I$65="",'19'!$I$66="",'19'!$K$66=""),"",IF(SIGN('19'!$I$66-'19'!$K$66)&lt;&gt;SIGN(Tulokset!$G$65-Tulokset!$I$65),0,IF(Tulokset!$G$65=Tulokset!$I$65,IF(AND('19'!$I$66=Tulokset!$G$65,'19'!$K$66=Tulokset!$I$65),6,3),MAX(0,6-(ABS('19'!$I$66-Tulokset!$G$65)+ABS('19'!$K$66-Tulokset!$I$65))))))</f>
        <v/>
      </c>
      <c r="BP22" t="str">
        <f>IF(OR(Tulokset!$G$66="",Tulokset!$I$66="",'19'!$I$67="",'19'!$K$67=""),"",IF(SIGN('19'!$I$67-'19'!$K$67)&lt;&gt;SIGN(Tulokset!$G$66-Tulokset!$I$66),0,IF(Tulokset!$G$66=Tulokset!$I$66,IF(AND('19'!$I$67=Tulokset!$G$66,'19'!$K$67=Tulokset!$I$66),6,3),MAX(0,6-(ABS('19'!$I$67-Tulokset!$G$66)+ABS('19'!$K$67-Tulokset!$I$66))))))</f>
        <v/>
      </c>
      <c r="BQ22" t="str">
        <f>IF(OR(Tulokset!$G$67="",Tulokset!$I$67="",'19'!$I$68="",'19'!$K$68=""),"",IF(SIGN('19'!$I$68-'19'!$K$68)&lt;&gt;SIGN(Tulokset!$G$67-Tulokset!$I$67),0,IF(Tulokset!$G$67=Tulokset!$I$67,IF(AND('19'!$I$68=Tulokset!$G$67,'19'!$K$68=Tulokset!$I$67),6,3),MAX(0,6-(ABS('19'!$I$68-Tulokset!$G$67)+ABS('19'!$K$68-Tulokset!$I$67))))))</f>
        <v/>
      </c>
      <c r="BR22" t="str">
        <f>IF(OR(Tulokset!$G$68="",Tulokset!$I$68="",'19'!$I$69="",'19'!$K$69=""),"",IF(SIGN('19'!$I$69-'19'!$K$69)&lt;&gt;SIGN(Tulokset!$G$68-Tulokset!$I$68),0,IF(Tulokset!$G$68=Tulokset!$I$68,IF(AND('19'!$I$69=Tulokset!$G$68,'19'!$K$69=Tulokset!$I$68),6,3),MAX(0,6-(ABS('19'!$I$69-Tulokset!$G$68)+ABS('19'!$K$69-Tulokset!$I$68))))))</f>
        <v/>
      </c>
      <c r="BS22" t="str">
        <f>IF(OR(Tulokset!$G$69="",Tulokset!$I$69="",'19'!$I$70="",'19'!$K$70=""),"",IF(SIGN('19'!$I$70-'19'!$K$70)&lt;&gt;SIGN(Tulokset!$G$69-Tulokset!$I$69),0,IF(Tulokset!$G$69=Tulokset!$I$69,IF(AND('19'!$I$70=Tulokset!$G$69,'19'!$K$70=Tulokset!$I$69),6,3),MAX(0,6-(ABS('19'!$I$70-Tulokset!$G$69)+ABS('19'!$K$70-Tulokset!$I$69))))))</f>
        <v/>
      </c>
      <c r="BT22" t="str">
        <f>IF(OR(Tulokset!$G$70="",Tulokset!$I$70="",'19'!$I$71="",'19'!$K$71=""),"",IF(SIGN('19'!$I$71-'19'!$K$71)&lt;&gt;SIGN(Tulokset!$G$70-Tulokset!$I$70),0,IF(Tulokset!$G$70=Tulokset!$I$70,IF(AND('19'!$I$71=Tulokset!$G$70,'19'!$K$71=Tulokset!$I$70),6,3),MAX(0,6-(ABS('19'!$I$71-Tulokset!$G$70)+ABS('19'!$K$71-Tulokset!$I$70))))))</f>
        <v/>
      </c>
      <c r="BU22" t="str">
        <f>IF(OR(Tulokset!$G$71="",Tulokset!$I$71="",'19'!$I$72="",'19'!$K$72=""),"",IF(SIGN('19'!$I$72-'19'!$K$72)&lt;&gt;SIGN(Tulokset!$G$71-Tulokset!$I$71),0,IF(Tulokset!$G$71=Tulokset!$I$71,IF(AND('19'!$I$72=Tulokset!$G$71,'19'!$K$72=Tulokset!$I$71),6,3),MAX(0,6-(ABS('19'!$I$72-Tulokset!$G$71)+ABS('19'!$K$72-Tulokset!$I$71))))))</f>
        <v/>
      </c>
      <c r="BV22" t="str">
        <f>IF(OR(Tulokset!$G$72="",Tulokset!$I$72="",'19'!$I$73="",'19'!$K$73=""),"",IF(SIGN('19'!$I$73-'19'!$K$73)&lt;&gt;SIGN(Tulokset!$G$72-Tulokset!$I$72),0,IF(Tulokset!$G$72=Tulokset!$I$72,IF(AND('19'!$I$73=Tulokset!$G$72,'19'!$K$73=Tulokset!$I$72),6,3),MAX(0,6-(ABS('19'!$I$73-Tulokset!$G$72)+ABS('19'!$K$73-Tulokset!$I$72))))))</f>
        <v/>
      </c>
      <c r="BW22" t="str">
        <f>IF(OR(Tulokset!$G$73="",Tulokset!$I$73="",'19'!$I$74="",'19'!$K$74=""),"",IF(SIGN('19'!$I$74-'19'!$K$74)&lt;&gt;SIGN(Tulokset!$G$73-Tulokset!$I$73),0,IF(Tulokset!$G$73=Tulokset!$I$73,IF(AND('19'!$I$74=Tulokset!$G$73,'19'!$K$74=Tulokset!$I$73),6,3),MAX(0,6-(ABS('19'!$I$74-Tulokset!$G$73)+ABS('19'!$K$74-Tulokset!$I$73))))))</f>
        <v/>
      </c>
      <c r="BX22" t="str">
        <f>IF(OR(Tulokset!$G$74="",Tulokset!$I$74="",'19'!$I$75="",'19'!$K$75=""),"",IF(SIGN('19'!$I$75-'19'!$K$75)&lt;&gt;SIGN(Tulokset!$G$74-Tulokset!$I$74),0,IF(Tulokset!$G$74=Tulokset!$I$74,IF(AND('19'!$I$75=Tulokset!$G$74,'19'!$K$75=Tulokset!$I$74),6,3),MAX(0,6-(ABS('19'!$I$75-Tulokset!$G$74)+ABS('19'!$K$75-Tulokset!$I$74))))))</f>
        <v/>
      </c>
      <c r="BY22" t="str">
        <f>IF(OR(Tulokset!$G$75="",Tulokset!$I$75="",'19'!$I$76="",'19'!$K$76=""),"",IF(SIGN('19'!$I$76-'19'!$K$76)&lt;&gt;SIGN(Tulokset!$G$75-Tulokset!$I$75),0,IF(Tulokset!$G$75=Tulokset!$I$75,IF(AND('19'!$I$76=Tulokset!$G$75,'19'!$K$76=Tulokset!$I$75),6,3),MAX(0,6-(ABS('19'!$I$76-Tulokset!$G$75)+ABS('19'!$K$76-Tulokset!$I$75))))))</f>
        <v/>
      </c>
      <c r="BZ22" t="str">
        <f>IF(OR(Tulokset!$G$76="",Tulokset!$I$76="",'19'!$I$77="",'19'!$K$77=""),"",IF(SIGN('19'!$I$77-'19'!$K$77)&lt;&gt;SIGN(Tulokset!$G$76-Tulokset!$I$76),0,IF(Tulokset!$G$76=Tulokset!$I$76,IF(AND('19'!$I$77=Tulokset!$G$76,'19'!$K$77=Tulokset!$I$76),6,3),MAX(0,6-(ABS('19'!$I$77-Tulokset!$G$76)+ABS('19'!$K$77-Tulokset!$I$76))))))</f>
        <v/>
      </c>
      <c r="CA22" t="str">
        <f>IF(OR(Tulokset!$G$77="",Tulokset!$I$77="",'19'!$I$78="",'19'!$K$78=""),"",IF(SIGN('19'!$I$78-'19'!$K$78)&lt;&gt;SIGN(Tulokset!$G$77-Tulokset!$I$77),0,IF(Tulokset!$G$77=Tulokset!$I$77,IF(AND('19'!$I$78=Tulokset!$G$77,'19'!$K$78=Tulokset!$I$77),6,3),MAX(0,6-(ABS('19'!$I$78-Tulokset!$G$77)+ABS('19'!$K$78-Tulokset!$I$77))))))</f>
        <v/>
      </c>
      <c r="CD22" t="str">
        <f ca="1">IF(OR(Tulokset!$M$6="",INDIRECT("'"&amp;$A22&amp;"'!$P$8")=""),"",IF(TRIM(INDIRECT("'"&amp;$A22&amp;"'!$P$8"))=TRIM(Tulokset!$M$6),2,0))</f>
        <v/>
      </c>
      <c r="CE22" t="str">
        <f ca="1">IF(OR(Tulokset!$M$7="",INDIRECT("'"&amp;$A22&amp;"'!$P$9")=""),"",IF(TRIM(INDIRECT("'"&amp;$A22&amp;"'!$P$9"))=TRIM(Tulokset!$M$7),2,0))</f>
        <v/>
      </c>
      <c r="CF22" t="str">
        <f ca="1">IF(OR(Tulokset!$M$8="",INDIRECT("'"&amp;$A22&amp;"'!$P$10")=""),"",IF(TRIM(INDIRECT("'"&amp;$A22&amp;"'!$P$10"))=TRIM(Tulokset!$M$8),2,0))</f>
        <v/>
      </c>
      <c r="CG22" t="str">
        <f ca="1">IF(OR(Tulokset!$M$9="",INDIRECT("'"&amp;$A22&amp;"'!$P$11")=""),"",IF(TRIM(INDIRECT("'"&amp;$A22&amp;"'!$P$11"))=TRIM(Tulokset!$M$9),2,0))</f>
        <v/>
      </c>
      <c r="CH22" t="str">
        <f ca="1">IF(OR(Tulokset!$N$6="",INDIRECT("'"&amp;$A22&amp;"'!$Q$8")=""),"",IF(TRIM(INDIRECT("'"&amp;$A22&amp;"'!$Q$8"))=TRIM(Tulokset!$N$6),2,0))</f>
        <v/>
      </c>
      <c r="CI22" t="str">
        <f ca="1">IF(OR(Tulokset!$N$7="",INDIRECT("'"&amp;$A22&amp;"'!$Q$9")=""),"",IF(TRIM(INDIRECT("'"&amp;$A22&amp;"'!$Q$9"))=TRIM(Tulokset!$N$7),2,0))</f>
        <v/>
      </c>
      <c r="CJ22" t="str">
        <f ca="1">IF(OR(Tulokset!$N$8="",INDIRECT("'"&amp;$A22&amp;"'!$Q$10")=""),"",IF(TRIM(INDIRECT("'"&amp;$A22&amp;"'!$Q$10"))=TRIM(Tulokset!$N$8),2,0))</f>
        <v/>
      </c>
      <c r="CK22" t="str">
        <f ca="1">IF(OR(Tulokset!$N$9="",INDIRECT("'"&amp;$A22&amp;"'!$Q$11")=""),"",IF(TRIM(INDIRECT("'"&amp;$A22&amp;"'!$Q$11"))=TRIM(Tulokset!$N$9),2,0))</f>
        <v/>
      </c>
      <c r="CL22" t="str">
        <f ca="1">IF(OR(Tulokset!$O$6="",INDIRECT("'"&amp;$A22&amp;"'!$R$8")=""),"",IF(TRIM(INDIRECT("'"&amp;$A22&amp;"'!$R$8"))=TRIM(Tulokset!$O$6),2,0))</f>
        <v/>
      </c>
      <c r="CM22" t="str">
        <f ca="1">IF(OR(Tulokset!$O$7="",INDIRECT("'"&amp;$A22&amp;"'!$R$9")=""),"",IF(TRIM(INDIRECT("'"&amp;$A22&amp;"'!$R$9"))=TRIM(Tulokset!$O$7),2,0))</f>
        <v/>
      </c>
      <c r="CN22" t="str">
        <f ca="1">IF(OR(Tulokset!$O$8="",INDIRECT("'"&amp;$A22&amp;"'!$R$10")=""),"",IF(TRIM(INDIRECT("'"&amp;$A22&amp;"'!$R$10"))=TRIM(Tulokset!$O$8),2,0))</f>
        <v/>
      </c>
      <c r="CO22" t="str">
        <f ca="1">IF(OR(Tulokset!$O$9="",INDIRECT("'"&amp;$A22&amp;"'!$R$11")=""),"",IF(TRIM(INDIRECT("'"&amp;$A22&amp;"'!$R$11"))=TRIM(Tulokset!$O$9),2,0))</f>
        <v/>
      </c>
      <c r="CP22" t="str">
        <f ca="1">IF(OR(Tulokset!$P$6="",INDIRECT("'"&amp;$A22&amp;"'!$S$8")=""),"",IF(TRIM(INDIRECT("'"&amp;$A22&amp;"'!$S$8"))=TRIM(Tulokset!$P$6),2,0))</f>
        <v/>
      </c>
      <c r="CQ22" t="str">
        <f ca="1">IF(OR(Tulokset!$P$7="",INDIRECT("'"&amp;$A22&amp;"'!$S$9")=""),"",IF(TRIM(INDIRECT("'"&amp;$A22&amp;"'!$S$9"))=TRIM(Tulokset!$P$7),2,0))</f>
        <v/>
      </c>
      <c r="CR22" t="str">
        <f ca="1">IF(OR(Tulokset!$P$8="",INDIRECT("'"&amp;$A22&amp;"'!$S$10")=""),"",IF(TRIM(INDIRECT("'"&amp;$A22&amp;"'!$S$10"))=TRIM(Tulokset!$P$8),2,0))</f>
        <v/>
      </c>
      <c r="CS22" t="str">
        <f ca="1">IF(OR(Tulokset!$P$9="",INDIRECT("'"&amp;$A22&amp;"'!$S$11")=""),"",IF(TRIM(INDIRECT("'"&amp;$A22&amp;"'!$S$11"))=TRIM(Tulokset!$P$9),2,0))</f>
        <v/>
      </c>
      <c r="CT22" t="str">
        <f ca="1">IF(OR(Tulokset!$Q$6="",INDIRECT("'"&amp;$A22&amp;"'!$T$8")=""),"",IF(TRIM(INDIRECT("'"&amp;$A22&amp;"'!$T$8"))=TRIM(Tulokset!$Q$6),2,0))</f>
        <v/>
      </c>
      <c r="CU22" t="str">
        <f ca="1">IF(OR(Tulokset!$Q$7="",INDIRECT("'"&amp;$A22&amp;"'!$T$9")=""),"",IF(TRIM(INDIRECT("'"&amp;$A22&amp;"'!$T$9"))=TRIM(Tulokset!$Q$7),2,0))</f>
        <v/>
      </c>
      <c r="CV22" t="str">
        <f ca="1">IF(OR(Tulokset!$Q$8="",INDIRECT("'"&amp;$A22&amp;"'!$T$10")=""),"",IF(TRIM(INDIRECT("'"&amp;$A22&amp;"'!$T$10"))=TRIM(Tulokset!$Q$8),2,0))</f>
        <v/>
      </c>
      <c r="CW22" t="str">
        <f ca="1">IF(OR(Tulokset!$Q$9="",INDIRECT("'"&amp;$A22&amp;"'!$T$11")=""),"",IF(TRIM(INDIRECT("'"&amp;$A22&amp;"'!$T$11"))=TRIM(Tulokset!$Q$9),2,0))</f>
        <v/>
      </c>
      <c r="CX22" t="str">
        <f ca="1">IF(OR(Tulokset!$R$6="",INDIRECT("'"&amp;$A22&amp;"'!$U$8")=""),"",IF(TRIM(INDIRECT("'"&amp;$A22&amp;"'!$U$8"))=TRIM(Tulokset!$R$6),2,0))</f>
        <v/>
      </c>
      <c r="CY22" t="str">
        <f ca="1">IF(OR(Tulokset!$R$7="",INDIRECT("'"&amp;$A22&amp;"'!$U$9")=""),"",IF(TRIM(INDIRECT("'"&amp;$A22&amp;"'!$U$9"))=TRIM(Tulokset!$R$7),2,0))</f>
        <v/>
      </c>
      <c r="CZ22" t="str">
        <f ca="1">IF(OR(Tulokset!$R$8="",INDIRECT("'"&amp;$A22&amp;"'!$U$10")=""),"",IF(TRIM(INDIRECT("'"&amp;$A22&amp;"'!$U$10"))=TRIM(Tulokset!$R$8),2,0))</f>
        <v/>
      </c>
      <c r="DA22" t="str">
        <f ca="1">IF(OR(Tulokset!$R$9="",INDIRECT("'"&amp;$A22&amp;"'!$U$11")=""),"",IF(TRIM(INDIRECT("'"&amp;$A22&amp;"'!$U$11"))=TRIM(Tulokset!$R$9),2,0))</f>
        <v/>
      </c>
      <c r="DB22" t="str">
        <f ca="1">IF(OR(Tulokset!$M$12="",INDIRECT("'"&amp;$A22&amp;"'!$P$14")=""),"",IF(TRIM(INDIRECT("'"&amp;$A22&amp;"'!$P$14"))=TRIM(Tulokset!$M$12),2,0))</f>
        <v/>
      </c>
      <c r="DC22" t="str">
        <f ca="1">IF(OR(Tulokset!$M$13="",INDIRECT("'"&amp;$A22&amp;"'!$P$15")=""),"",IF(TRIM(INDIRECT("'"&amp;$A22&amp;"'!$P$15"))=TRIM(Tulokset!$M$13),2,0))</f>
        <v/>
      </c>
      <c r="DD22" t="str">
        <f ca="1">IF(OR(Tulokset!$M$14="",INDIRECT("'"&amp;$A22&amp;"'!$P$16")=""),"",IF(TRIM(INDIRECT("'"&amp;$A22&amp;"'!$P$16"))=TRIM(Tulokset!$M$14),2,0))</f>
        <v/>
      </c>
      <c r="DE22" t="str">
        <f ca="1">IF(OR(Tulokset!$M$15="",INDIRECT("'"&amp;$A22&amp;"'!$P$17")=""),"",IF(TRIM(INDIRECT("'"&amp;$A22&amp;"'!$P$17"))=TRIM(Tulokset!$M$15),2,0))</f>
        <v/>
      </c>
      <c r="DF22" t="str">
        <f ca="1">IF(OR(Tulokset!$N$12="",INDIRECT("'"&amp;$A22&amp;"'!$Q$14")=""),"",IF(TRIM(INDIRECT("'"&amp;$A22&amp;"'!$Q$14"))=TRIM(Tulokset!$N$12),2,0))</f>
        <v/>
      </c>
      <c r="DG22" t="str">
        <f ca="1">IF(OR(Tulokset!$N$13="",INDIRECT("'"&amp;$A22&amp;"'!$Q$15")=""),"",IF(TRIM(INDIRECT("'"&amp;$A22&amp;"'!$Q$15"))=TRIM(Tulokset!$N$13),2,0))</f>
        <v/>
      </c>
      <c r="DH22" t="str">
        <f ca="1">IF(OR(Tulokset!$N$14="",INDIRECT("'"&amp;$A22&amp;"'!$Q$16")=""),"",IF(TRIM(INDIRECT("'"&amp;$A22&amp;"'!$Q$16"))=TRIM(Tulokset!$N$14),2,0))</f>
        <v/>
      </c>
      <c r="DI22" t="str">
        <f ca="1">IF(OR(Tulokset!$N$15="",INDIRECT("'"&amp;$A22&amp;"'!$Q$17")=""),"",IF(TRIM(INDIRECT("'"&amp;$A22&amp;"'!$Q$17"))=TRIM(Tulokset!$N$15),2,0))</f>
        <v/>
      </c>
      <c r="DJ22" t="str">
        <f ca="1">IF(OR(Tulokset!$O$12="",INDIRECT("'"&amp;$A22&amp;"'!$R$14")=""),"",IF(TRIM(INDIRECT("'"&amp;$A22&amp;"'!$R$14"))=TRIM(Tulokset!$O$12),2,0))</f>
        <v/>
      </c>
      <c r="DK22" t="str">
        <f ca="1">IF(OR(Tulokset!$O$13="",INDIRECT("'"&amp;$A22&amp;"'!$R$15")=""),"",IF(TRIM(INDIRECT("'"&amp;$A22&amp;"'!$R$15"))=TRIM(Tulokset!$O$13),2,0))</f>
        <v/>
      </c>
      <c r="DL22" t="str">
        <f ca="1">IF(OR(Tulokset!$O$14="",INDIRECT("'"&amp;$A22&amp;"'!$R$16")=""),"",IF(TRIM(INDIRECT("'"&amp;$A22&amp;"'!$R$16"))=TRIM(Tulokset!$O$14),2,0))</f>
        <v/>
      </c>
      <c r="DM22" t="str">
        <f ca="1">IF(OR(Tulokset!$O$15="",INDIRECT("'"&amp;$A22&amp;"'!$R$17")=""),"",IF(TRIM(INDIRECT("'"&amp;$A22&amp;"'!$R$17"))=TRIM(Tulokset!$O$15),2,0))</f>
        <v/>
      </c>
      <c r="DN22" t="str">
        <f ca="1">IF(OR(Tulokset!$P$12="",INDIRECT("'"&amp;$A22&amp;"'!$S$14")=""),"",IF(TRIM(INDIRECT("'"&amp;$A22&amp;"'!$S$14"))=TRIM(Tulokset!$P$12),2,0))</f>
        <v/>
      </c>
      <c r="DO22" t="str">
        <f ca="1">IF(OR(Tulokset!$P$13="",INDIRECT("'"&amp;$A22&amp;"'!$S$15")=""),"",IF(TRIM(INDIRECT("'"&amp;$A22&amp;"'!$S$15"))=TRIM(Tulokset!$P$13),2,0))</f>
        <v/>
      </c>
      <c r="DP22" t="str">
        <f ca="1">IF(OR(Tulokset!$P$14="",INDIRECT("'"&amp;$A22&amp;"'!$S$16")=""),"",IF(TRIM(INDIRECT("'"&amp;$A22&amp;"'!$S$16"))=TRIM(Tulokset!$P$14),2,0))</f>
        <v/>
      </c>
      <c r="DQ22" t="str">
        <f ca="1">IF(OR(Tulokset!$P$15="",INDIRECT("'"&amp;$A22&amp;"'!$S$17")=""),"",IF(TRIM(INDIRECT("'"&amp;$A22&amp;"'!$S$17"))=TRIM(Tulokset!$P$15),2,0))</f>
        <v/>
      </c>
      <c r="DR22" t="str">
        <f ca="1">IF(OR(Tulokset!$Q$12="",INDIRECT("'"&amp;$A22&amp;"'!$T$14")=""),"",IF(TRIM(INDIRECT("'"&amp;$A22&amp;"'!$T$14"))=TRIM(Tulokset!$Q$12),2,0))</f>
        <v/>
      </c>
      <c r="DS22" t="str">
        <f ca="1">IF(OR(Tulokset!$Q$13="",INDIRECT("'"&amp;$A22&amp;"'!$T$15")=""),"",IF(TRIM(INDIRECT("'"&amp;$A22&amp;"'!$T$15"))=TRIM(Tulokset!$Q$13),2,0))</f>
        <v/>
      </c>
      <c r="DT22" t="str">
        <f ca="1">IF(OR(Tulokset!$Q$14="",INDIRECT("'"&amp;$A22&amp;"'!$T$16")=""),"",IF(TRIM(INDIRECT("'"&amp;$A22&amp;"'!$T$16"))=TRIM(Tulokset!$Q$14),2,0))</f>
        <v/>
      </c>
      <c r="DU22" t="str">
        <f ca="1">IF(OR(Tulokset!$Q$15="",INDIRECT("'"&amp;$A22&amp;"'!$T$17")=""),"",IF(TRIM(INDIRECT("'"&amp;$A22&amp;"'!$T$17"))=TRIM(Tulokset!$Q$15),2,0))</f>
        <v/>
      </c>
      <c r="DV22" t="str">
        <f ca="1">IF(OR(Tulokset!$R$12="",INDIRECT("'"&amp;$A22&amp;"'!$U$14")=""),"",IF(TRIM(INDIRECT("'"&amp;$A22&amp;"'!$U$14"))=TRIM(Tulokset!$R$12),2,0))</f>
        <v/>
      </c>
      <c r="DW22" t="str">
        <f ca="1">IF(OR(Tulokset!$R$13="",INDIRECT("'"&amp;$A22&amp;"'!$U$15")=""),"",IF(TRIM(INDIRECT("'"&amp;$A22&amp;"'!$U$15"))=TRIM(Tulokset!$R$13),2,0))</f>
        <v/>
      </c>
      <c r="DX22" t="str">
        <f ca="1">IF(OR(Tulokset!$R$14="",INDIRECT("'"&amp;$A22&amp;"'!$U$16")=""),"",IF(TRIM(INDIRECT("'"&amp;$A22&amp;"'!$U$16"))=TRIM(Tulokset!$R$14),2,0))</f>
        <v/>
      </c>
      <c r="DY22" t="str">
        <f ca="1">IF(OR(Tulokset!$R$15="",INDIRECT("'"&amp;$A22&amp;"'!$U$17")=""),"",IF(TRIM(INDIRECT("'"&amp;$A22&amp;"'!$U$17"))=TRIM(Tulokset!$R$15),2,0))</f>
        <v/>
      </c>
      <c r="EA22" t="str">
        <f ca="1">IF(OR(INDIRECT("'"&amp;$A22&amp;"'!$E$79")="",COUNTA(Tulokset!$M$20:$M$21)=0),"",IF(COUNTIF(Tulokset!$M$20:$M$21,INDIRECT("'"&amp;$A22&amp;"'!$E$79"))&gt;0,2,0))</f>
        <v/>
      </c>
      <c r="EB22" t="str">
        <f ca="1">IF(OR(INDIRECT("'"&amp;$A22&amp;"'!$G$79")="",COUNTA(Tulokset!$M$20:$M$21)=0),"",IF(COUNTIF(Tulokset!$M$20:$M$21,INDIRECT("'"&amp;$A22&amp;"'!$G$79"))&gt;0,2,0))</f>
        <v/>
      </c>
      <c r="EC22" t="str">
        <f ca="1">IF(OR(INDIRECT("'"&amp;$A22&amp;"'!$E$80")="",COUNTA(Tulokset!$M$23:$M$24)=0),"",IF(COUNTIF(Tulokset!$M$23:$M$24,INDIRECT("'"&amp;$A22&amp;"'!$E$80"))&gt;0,2,0))</f>
        <v/>
      </c>
      <c r="ED22" t="str">
        <f ca="1">IF(OR(INDIRECT("'"&amp;$A22&amp;"'!$G$80")="",COUNTA(Tulokset!$M$23:$M$24)=0),"",IF(COUNTIF(Tulokset!$M$23:$M$24,INDIRECT("'"&amp;$A22&amp;"'!$G$80"))&gt;0,2,0))</f>
        <v/>
      </c>
    </row>
    <row r="23" spans="1:134">
      <c r="A23" t="s">
        <v>238</v>
      </c>
      <c r="B23" t="str">
        <f t="shared" ca="1" si="0"/>
        <v>Tero H</v>
      </c>
      <c r="C23" s="95">
        <f t="shared" si="1"/>
        <v>0</v>
      </c>
      <c r="D23" s="95">
        <f t="shared" ca="1" si="2"/>
        <v>0</v>
      </c>
      <c r="E23" s="95">
        <f t="shared" ca="1" si="3"/>
        <v>0</v>
      </c>
      <c r="F23" s="95">
        <f t="shared" ca="1" si="4"/>
        <v>0</v>
      </c>
      <c r="G23" s="95">
        <f t="shared" si="5"/>
        <v>0</v>
      </c>
      <c r="H23" t="str">
        <f>IF(OR(Tulokset!$G$6="",Tulokset!$I$6="",'20'!$I$7="",'20'!$K$7=""),"",IF(SIGN('20'!$I$7-'20'!$K$7)&lt;&gt;SIGN(Tulokset!$G$6-Tulokset!$I$6),0,IF(Tulokset!$G$6=Tulokset!$I$6,IF(AND('20'!$I$7=Tulokset!$G$6,'20'!$K$7=Tulokset!$I$6),6,3),MAX(0,6-(ABS('20'!$I$7-Tulokset!$G$6)+ABS('20'!$K$7-Tulokset!$I$6))))))</f>
        <v/>
      </c>
      <c r="I23" t="str">
        <f>IF(OR(Tulokset!$G$7="",Tulokset!$I$7="",'20'!$I$8="",'20'!$K$8=""),"",IF(SIGN('20'!$I$8-'20'!$K$8)&lt;&gt;SIGN(Tulokset!$G$7-Tulokset!$I$7),0,IF(Tulokset!$G$7=Tulokset!$I$7,IF(AND('20'!$I$8=Tulokset!$G$7,'20'!$K$8=Tulokset!$I$7),6,3),MAX(0,6-(ABS('20'!$I$8-Tulokset!$G$7)+ABS('20'!$K$8-Tulokset!$I$7))))))</f>
        <v/>
      </c>
      <c r="J23" t="str">
        <f>IF(OR(Tulokset!$G$8="",Tulokset!$I$8="",'20'!$I$9="",'20'!$K$9=""),"",IF(SIGN('20'!$I$9-'20'!$K$9)&lt;&gt;SIGN(Tulokset!$G$8-Tulokset!$I$8),0,IF(Tulokset!$G$8=Tulokset!$I$8,IF(AND('20'!$I$9=Tulokset!$G$8,'20'!$K$9=Tulokset!$I$8),6,3),MAX(0,6-(ABS('20'!$I$9-Tulokset!$G$8)+ABS('20'!$K$9-Tulokset!$I$8))))))</f>
        <v/>
      </c>
      <c r="K23" t="str">
        <f>IF(OR(Tulokset!$G$9="",Tulokset!$I$9="",'20'!$I$10="",'20'!$K$10=""),"",IF(SIGN('20'!$I$10-'20'!$K$10)&lt;&gt;SIGN(Tulokset!$G$9-Tulokset!$I$9),0,IF(Tulokset!$G$9=Tulokset!$I$9,IF(AND('20'!$I$10=Tulokset!$G$9,'20'!$K$10=Tulokset!$I$9),6,3),MAX(0,6-(ABS('20'!$I$10-Tulokset!$G$9)+ABS('20'!$K$10-Tulokset!$I$9))))))</f>
        <v/>
      </c>
      <c r="L23" t="str">
        <f>IF(OR(Tulokset!$G$10="",Tulokset!$I$10="",'20'!$I$11="",'20'!$K$11=""),"",IF(SIGN('20'!$I$11-'20'!$K$11)&lt;&gt;SIGN(Tulokset!$G$10-Tulokset!$I$10),0,IF(Tulokset!$G$10=Tulokset!$I$10,IF(AND('20'!$I$11=Tulokset!$G$10,'20'!$K$11=Tulokset!$I$10),6,3),MAX(0,6-(ABS('20'!$I$11-Tulokset!$G$10)+ABS('20'!$K$11-Tulokset!$I$10))))))</f>
        <v/>
      </c>
      <c r="M23" t="str">
        <f>IF(OR(Tulokset!$G$11="",Tulokset!$I$11="",'20'!$I$12="",'20'!$K$12=""),"",IF(SIGN('20'!$I$12-'20'!$K$12)&lt;&gt;SIGN(Tulokset!$G$11-Tulokset!$I$11),0,IF(Tulokset!$G$11=Tulokset!$I$11,IF(AND('20'!$I$12=Tulokset!$G$11,'20'!$K$12=Tulokset!$I$11),6,3),MAX(0,6-(ABS('20'!$I$12-Tulokset!$G$11)+ABS('20'!$K$12-Tulokset!$I$11))))))</f>
        <v/>
      </c>
      <c r="N23" t="str">
        <f>IF(OR(Tulokset!$G$12="",Tulokset!$I$12="",'20'!$I$13="",'20'!$K$13=""),"",IF(SIGN('20'!$I$13-'20'!$K$13)&lt;&gt;SIGN(Tulokset!$G$12-Tulokset!$I$12),0,IF(Tulokset!$G$12=Tulokset!$I$12,IF(AND('20'!$I$13=Tulokset!$G$12,'20'!$K$13=Tulokset!$I$12),6,3),MAX(0,6-(ABS('20'!$I$13-Tulokset!$G$12)+ABS('20'!$K$13-Tulokset!$I$12))))))</f>
        <v/>
      </c>
      <c r="O23" t="str">
        <f>IF(OR(Tulokset!$G$13="",Tulokset!$I$13="",'20'!$I$14="",'20'!$K$14=""),"",IF(SIGN('20'!$I$14-'20'!$K$14)&lt;&gt;SIGN(Tulokset!$G$13-Tulokset!$I$13),0,IF(Tulokset!$G$13=Tulokset!$I$13,IF(AND('20'!$I$14=Tulokset!$G$13,'20'!$K$14=Tulokset!$I$13),6,3),MAX(0,6-(ABS('20'!$I$14-Tulokset!$G$13)+ABS('20'!$K$14-Tulokset!$I$13))))))</f>
        <v/>
      </c>
      <c r="P23" t="str">
        <f>IF(OR(Tulokset!$G$14="",Tulokset!$I$14="",'20'!$I$15="",'20'!$K$15=""),"",IF(SIGN('20'!$I$15-'20'!$K$15)&lt;&gt;SIGN(Tulokset!$G$14-Tulokset!$I$14),0,IF(Tulokset!$G$14=Tulokset!$I$14,IF(AND('20'!$I$15=Tulokset!$G$14,'20'!$K$15=Tulokset!$I$14),6,3),MAX(0,6-(ABS('20'!$I$15-Tulokset!$G$14)+ABS('20'!$K$15-Tulokset!$I$14))))))</f>
        <v/>
      </c>
      <c r="Q23" t="str">
        <f>IF(OR(Tulokset!$G$15="",Tulokset!$I$15="",'20'!$I$16="",'20'!$K$16=""),"",IF(SIGN('20'!$I$16-'20'!$K$16)&lt;&gt;SIGN(Tulokset!$G$15-Tulokset!$I$15),0,IF(Tulokset!$G$15=Tulokset!$I$15,IF(AND('20'!$I$16=Tulokset!$G$15,'20'!$K$16=Tulokset!$I$15),6,3),MAX(0,6-(ABS('20'!$I$16-Tulokset!$G$15)+ABS('20'!$K$16-Tulokset!$I$15))))))</f>
        <v/>
      </c>
      <c r="R23" t="str">
        <f>IF(OR(Tulokset!$G$16="",Tulokset!$I$16="",'20'!$I$17="",'20'!$K$17=""),"",IF(SIGN('20'!$I$17-'20'!$K$17)&lt;&gt;SIGN(Tulokset!$G$16-Tulokset!$I$16),0,IF(Tulokset!$G$16=Tulokset!$I$16,IF(AND('20'!$I$17=Tulokset!$G$16,'20'!$K$17=Tulokset!$I$16),6,3),MAX(0,6-(ABS('20'!$I$17-Tulokset!$G$16)+ABS('20'!$K$17-Tulokset!$I$16))))))</f>
        <v/>
      </c>
      <c r="S23" t="str">
        <f>IF(OR(Tulokset!$G$17="",Tulokset!$I$17="",'20'!$I$18="",'20'!$K$18=""),"",IF(SIGN('20'!$I$18-'20'!$K$18)&lt;&gt;SIGN(Tulokset!$G$17-Tulokset!$I$17),0,IF(Tulokset!$G$17=Tulokset!$I$17,IF(AND('20'!$I$18=Tulokset!$G$17,'20'!$K$18=Tulokset!$I$17),6,3),MAX(0,6-(ABS('20'!$I$18-Tulokset!$G$17)+ABS('20'!$K$18-Tulokset!$I$17))))))</f>
        <v/>
      </c>
      <c r="T23" t="str">
        <f>IF(OR(Tulokset!$G$18="",Tulokset!$I$18="",'20'!$I$19="",'20'!$K$19=""),"",IF(SIGN('20'!$I$19-'20'!$K$19)&lt;&gt;SIGN(Tulokset!$G$18-Tulokset!$I$18),0,IF(Tulokset!$G$18=Tulokset!$I$18,IF(AND('20'!$I$19=Tulokset!$G$18,'20'!$K$19=Tulokset!$I$18),6,3),MAX(0,6-(ABS('20'!$I$19-Tulokset!$G$18)+ABS('20'!$K$19-Tulokset!$I$18))))))</f>
        <v/>
      </c>
      <c r="U23" t="str">
        <f>IF(OR(Tulokset!$G$19="",Tulokset!$I$19="",'20'!$I$20="",'20'!$K$20=""),"",IF(SIGN('20'!$I$20-'20'!$K$20)&lt;&gt;SIGN(Tulokset!$G$19-Tulokset!$I$19),0,IF(Tulokset!$G$19=Tulokset!$I$19,IF(AND('20'!$I$20=Tulokset!$G$19,'20'!$K$20=Tulokset!$I$19),6,3),MAX(0,6-(ABS('20'!$I$20-Tulokset!$G$19)+ABS('20'!$K$20-Tulokset!$I$19))))))</f>
        <v/>
      </c>
      <c r="V23" t="str">
        <f>IF(OR(Tulokset!$G$20="",Tulokset!$I$20="",'20'!$I$21="",'20'!$K$21=""),"",IF(SIGN('20'!$I$21-'20'!$K$21)&lt;&gt;SIGN(Tulokset!$G$20-Tulokset!$I$20),0,IF(Tulokset!$G$20=Tulokset!$I$20,IF(AND('20'!$I$21=Tulokset!$G$20,'20'!$K$21=Tulokset!$I$20),6,3),MAX(0,6-(ABS('20'!$I$21-Tulokset!$G$20)+ABS('20'!$K$21-Tulokset!$I$20))))))</f>
        <v/>
      </c>
      <c r="W23" t="str">
        <f>IF(OR(Tulokset!$G$21="",Tulokset!$I$21="",'20'!$I$22="",'20'!$K$22=""),"",IF(SIGN('20'!$I$22-'20'!$K$22)&lt;&gt;SIGN(Tulokset!$G$21-Tulokset!$I$21),0,IF(Tulokset!$G$21=Tulokset!$I$21,IF(AND('20'!$I$22=Tulokset!$G$21,'20'!$K$22=Tulokset!$I$21),6,3),MAX(0,6-(ABS('20'!$I$22-Tulokset!$G$21)+ABS('20'!$K$22-Tulokset!$I$21))))))</f>
        <v/>
      </c>
      <c r="X23" t="str">
        <f>IF(OR(Tulokset!$G$22="",Tulokset!$I$22="",'20'!$I$23="",'20'!$K$23=""),"",IF(SIGN('20'!$I$23-'20'!$K$23)&lt;&gt;SIGN(Tulokset!$G$22-Tulokset!$I$22),0,IF(Tulokset!$G$22=Tulokset!$I$22,IF(AND('20'!$I$23=Tulokset!$G$22,'20'!$K$23=Tulokset!$I$22),6,3),MAX(0,6-(ABS('20'!$I$23-Tulokset!$G$22)+ABS('20'!$K$23-Tulokset!$I$22))))))</f>
        <v/>
      </c>
      <c r="Y23" t="str">
        <f>IF(OR(Tulokset!$G$23="",Tulokset!$I$23="",'20'!$I$24="",'20'!$K$24=""),"",IF(SIGN('20'!$I$24-'20'!$K$24)&lt;&gt;SIGN(Tulokset!$G$23-Tulokset!$I$23),0,IF(Tulokset!$G$23=Tulokset!$I$23,IF(AND('20'!$I$24=Tulokset!$G$23,'20'!$K$24=Tulokset!$I$23),6,3),MAX(0,6-(ABS('20'!$I$24-Tulokset!$G$23)+ABS('20'!$K$24-Tulokset!$I$23))))))</f>
        <v/>
      </c>
      <c r="Z23" t="str">
        <f>IF(OR(Tulokset!$G$24="",Tulokset!$I$24="",'20'!$I$25="",'20'!$K$25=""),"",IF(SIGN('20'!$I$25-'20'!$K$25)&lt;&gt;SIGN(Tulokset!$G$24-Tulokset!$I$24),0,IF(Tulokset!$G$24=Tulokset!$I$24,IF(AND('20'!$I$25=Tulokset!$G$24,'20'!$K$25=Tulokset!$I$24),6,3),MAX(0,6-(ABS('20'!$I$25-Tulokset!$G$24)+ABS('20'!$K$25-Tulokset!$I$24))))))</f>
        <v/>
      </c>
      <c r="AA23" t="str">
        <f>IF(OR(Tulokset!$G$25="",Tulokset!$I$25="",'20'!$I$26="",'20'!$K$26=""),"",IF(SIGN('20'!$I$26-'20'!$K$26)&lt;&gt;SIGN(Tulokset!$G$25-Tulokset!$I$25),0,IF(Tulokset!$G$25=Tulokset!$I$25,IF(AND('20'!$I$26=Tulokset!$G$25,'20'!$K$26=Tulokset!$I$25),6,3),MAX(0,6-(ABS('20'!$I$26-Tulokset!$G$25)+ABS('20'!$K$26-Tulokset!$I$25))))))</f>
        <v/>
      </c>
      <c r="AB23" t="str">
        <f>IF(OR(Tulokset!$G$26="",Tulokset!$I$26="",'20'!$I$27="",'20'!$K$27=""),"",IF(SIGN('20'!$I$27-'20'!$K$27)&lt;&gt;SIGN(Tulokset!$G$26-Tulokset!$I$26),0,IF(Tulokset!$G$26=Tulokset!$I$26,IF(AND('20'!$I$27=Tulokset!$G$26,'20'!$K$27=Tulokset!$I$26),6,3),MAX(0,6-(ABS('20'!$I$27-Tulokset!$G$26)+ABS('20'!$K$27-Tulokset!$I$26))))))</f>
        <v/>
      </c>
      <c r="AC23" t="str">
        <f>IF(OR(Tulokset!$G$27="",Tulokset!$I$27="",'20'!$I$28="",'20'!$K$28=""),"",IF(SIGN('20'!$I$28-'20'!$K$28)&lt;&gt;SIGN(Tulokset!$G$27-Tulokset!$I$27),0,IF(Tulokset!$G$27=Tulokset!$I$27,IF(AND('20'!$I$28=Tulokset!$G$27,'20'!$K$28=Tulokset!$I$27),6,3),MAX(0,6-(ABS('20'!$I$28-Tulokset!$G$27)+ABS('20'!$K$28-Tulokset!$I$27))))))</f>
        <v/>
      </c>
      <c r="AD23" t="str">
        <f>IF(OR(Tulokset!$G$28="",Tulokset!$I$28="",'20'!$I$29="",'20'!$K$29=""),"",IF(SIGN('20'!$I$29-'20'!$K$29)&lt;&gt;SIGN(Tulokset!$G$28-Tulokset!$I$28),0,IF(Tulokset!$G$28=Tulokset!$I$28,IF(AND('20'!$I$29=Tulokset!$G$28,'20'!$K$29=Tulokset!$I$28),6,3),MAX(0,6-(ABS('20'!$I$29-Tulokset!$G$28)+ABS('20'!$K$29-Tulokset!$I$28))))))</f>
        <v/>
      </c>
      <c r="AE23" t="str">
        <f>IF(OR(Tulokset!$G$29="",Tulokset!$I$29="",'20'!$I$30="",'20'!$K$30=""),"",IF(SIGN('20'!$I$30-'20'!$K$30)&lt;&gt;SIGN(Tulokset!$G$29-Tulokset!$I$29),0,IF(Tulokset!$G$29=Tulokset!$I$29,IF(AND('20'!$I$30=Tulokset!$G$29,'20'!$K$30=Tulokset!$I$29),6,3),MAX(0,6-(ABS('20'!$I$30-Tulokset!$G$29)+ABS('20'!$K$30-Tulokset!$I$29))))))</f>
        <v/>
      </c>
      <c r="AF23" t="str">
        <f>IF(OR(Tulokset!$G$30="",Tulokset!$I$30="",'20'!$I$31="",'20'!$K$31=""),"",IF(SIGN('20'!$I$31-'20'!$K$31)&lt;&gt;SIGN(Tulokset!$G$30-Tulokset!$I$30),0,IF(Tulokset!$G$30=Tulokset!$I$30,IF(AND('20'!$I$31=Tulokset!$G$30,'20'!$K$31=Tulokset!$I$30),6,3),MAX(0,6-(ABS('20'!$I$31-Tulokset!$G$30)+ABS('20'!$K$31-Tulokset!$I$30))))))</f>
        <v/>
      </c>
      <c r="AG23" t="str">
        <f>IF(OR(Tulokset!$G$31="",Tulokset!$I$31="",'20'!$I$32="",'20'!$K$32=""),"",IF(SIGN('20'!$I$32-'20'!$K$32)&lt;&gt;SIGN(Tulokset!$G$31-Tulokset!$I$31),0,IF(Tulokset!$G$31=Tulokset!$I$31,IF(AND('20'!$I$32=Tulokset!$G$31,'20'!$K$32=Tulokset!$I$31),6,3),MAX(0,6-(ABS('20'!$I$32-Tulokset!$G$31)+ABS('20'!$K$32-Tulokset!$I$31))))))</f>
        <v/>
      </c>
      <c r="AH23" t="str">
        <f>IF(OR(Tulokset!$G$32="",Tulokset!$I$32="",'20'!$I$33="",'20'!$K$33=""),"",IF(SIGN('20'!$I$33-'20'!$K$33)&lt;&gt;SIGN(Tulokset!$G$32-Tulokset!$I$32),0,IF(Tulokset!$G$32=Tulokset!$I$32,IF(AND('20'!$I$33=Tulokset!$G$32,'20'!$K$33=Tulokset!$I$32),6,3),MAX(0,6-(ABS('20'!$I$33-Tulokset!$G$32)+ABS('20'!$K$33-Tulokset!$I$32))))))</f>
        <v/>
      </c>
      <c r="AI23" t="str">
        <f>IF(OR(Tulokset!$G$33="",Tulokset!$I$33="",'20'!$I$34="",'20'!$K$34=""),"",IF(SIGN('20'!$I$34-'20'!$K$34)&lt;&gt;SIGN(Tulokset!$G$33-Tulokset!$I$33),0,IF(Tulokset!$G$33=Tulokset!$I$33,IF(AND('20'!$I$34=Tulokset!$G$33,'20'!$K$34=Tulokset!$I$33),6,3),MAX(0,6-(ABS('20'!$I$34-Tulokset!$G$33)+ABS('20'!$K$34-Tulokset!$I$33))))))</f>
        <v/>
      </c>
      <c r="AJ23" t="str">
        <f>IF(OR(Tulokset!$G$34="",Tulokset!$I$34="",'20'!$I$35="",'20'!$K$35=""),"",IF(SIGN('20'!$I$35-'20'!$K$35)&lt;&gt;SIGN(Tulokset!$G$34-Tulokset!$I$34),0,IF(Tulokset!$G$34=Tulokset!$I$34,IF(AND('20'!$I$35=Tulokset!$G$34,'20'!$K$35=Tulokset!$I$34),6,3),MAX(0,6-(ABS('20'!$I$35-Tulokset!$G$34)+ABS('20'!$K$35-Tulokset!$I$34))))))</f>
        <v/>
      </c>
      <c r="AK23" t="str">
        <f>IF(OR(Tulokset!$G$35="",Tulokset!$I$35="",'20'!$I$36="",'20'!$K$36=""),"",IF(SIGN('20'!$I$36-'20'!$K$36)&lt;&gt;SIGN(Tulokset!$G$35-Tulokset!$I$35),0,IF(Tulokset!$G$35=Tulokset!$I$35,IF(AND('20'!$I$36=Tulokset!$G$35,'20'!$K$36=Tulokset!$I$35),6,3),MAX(0,6-(ABS('20'!$I$36-Tulokset!$G$35)+ABS('20'!$K$36-Tulokset!$I$35))))))</f>
        <v/>
      </c>
      <c r="AL23" t="str">
        <f>IF(OR(Tulokset!$G$36="",Tulokset!$I$36="",'20'!$I$37="",'20'!$K$37=""),"",IF(SIGN('20'!$I$37-'20'!$K$37)&lt;&gt;SIGN(Tulokset!$G$36-Tulokset!$I$36),0,IF(Tulokset!$G$36=Tulokset!$I$36,IF(AND('20'!$I$37=Tulokset!$G$36,'20'!$K$37=Tulokset!$I$36),6,3),MAX(0,6-(ABS('20'!$I$37-Tulokset!$G$36)+ABS('20'!$K$37-Tulokset!$I$36))))))</f>
        <v/>
      </c>
      <c r="AM23" t="str">
        <f>IF(OR(Tulokset!$G$37="",Tulokset!$I$37="",'20'!$I$38="",'20'!$K$38=""),"",IF(SIGN('20'!$I$38-'20'!$K$38)&lt;&gt;SIGN(Tulokset!$G$37-Tulokset!$I$37),0,IF(Tulokset!$G$37=Tulokset!$I$37,IF(AND('20'!$I$38=Tulokset!$G$37,'20'!$K$38=Tulokset!$I$37),6,3),MAX(0,6-(ABS('20'!$I$38-Tulokset!$G$37)+ABS('20'!$K$38-Tulokset!$I$37))))))</f>
        <v/>
      </c>
      <c r="AN23" t="str">
        <f>IF(OR(Tulokset!$G$38="",Tulokset!$I$38="",'20'!$I$39="",'20'!$K$39=""),"",IF(SIGN('20'!$I$39-'20'!$K$39)&lt;&gt;SIGN(Tulokset!$G$38-Tulokset!$I$38),0,IF(Tulokset!$G$38=Tulokset!$I$38,IF(AND('20'!$I$39=Tulokset!$G$38,'20'!$K$39=Tulokset!$I$38),6,3),MAX(0,6-(ABS('20'!$I$39-Tulokset!$G$38)+ABS('20'!$K$39-Tulokset!$I$38))))))</f>
        <v/>
      </c>
      <c r="AO23" t="str">
        <f>IF(OR(Tulokset!$G$39="",Tulokset!$I$39="",'20'!$I$40="",'20'!$K$40=""),"",IF(SIGN('20'!$I$40-'20'!$K$40)&lt;&gt;SIGN(Tulokset!$G$39-Tulokset!$I$39),0,IF(Tulokset!$G$39=Tulokset!$I$39,IF(AND('20'!$I$40=Tulokset!$G$39,'20'!$K$40=Tulokset!$I$39),6,3),MAX(0,6-(ABS('20'!$I$40-Tulokset!$G$39)+ABS('20'!$K$40-Tulokset!$I$39))))))</f>
        <v/>
      </c>
      <c r="AP23" t="str">
        <f>IF(OR(Tulokset!$G$40="",Tulokset!$I$40="",'20'!$I$41="",'20'!$K$41=""),"",IF(SIGN('20'!$I$41-'20'!$K$41)&lt;&gt;SIGN(Tulokset!$G$40-Tulokset!$I$40),0,IF(Tulokset!$G$40=Tulokset!$I$40,IF(AND('20'!$I$41=Tulokset!$G$40,'20'!$K$41=Tulokset!$I$40),6,3),MAX(0,6-(ABS('20'!$I$41-Tulokset!$G$40)+ABS('20'!$K$41-Tulokset!$I$40))))))</f>
        <v/>
      </c>
      <c r="AQ23" t="str">
        <f>IF(OR(Tulokset!$G$41="",Tulokset!$I$41="",'20'!$I$42="",'20'!$K$42=""),"",IF(SIGN('20'!$I$42-'20'!$K$42)&lt;&gt;SIGN(Tulokset!$G$41-Tulokset!$I$41),0,IF(Tulokset!$G$41=Tulokset!$I$41,IF(AND('20'!$I$42=Tulokset!$G$41,'20'!$K$42=Tulokset!$I$41),6,3),MAX(0,6-(ABS('20'!$I$42-Tulokset!$G$41)+ABS('20'!$K$42-Tulokset!$I$41))))))</f>
        <v/>
      </c>
      <c r="AR23" t="str">
        <f>IF(OR(Tulokset!$G$42="",Tulokset!$I$42="",'20'!$I$43="",'20'!$K$43=""),"",IF(SIGN('20'!$I$43-'20'!$K$43)&lt;&gt;SIGN(Tulokset!$G$42-Tulokset!$I$42),0,IF(Tulokset!$G$42=Tulokset!$I$42,IF(AND('20'!$I$43=Tulokset!$G$42,'20'!$K$43=Tulokset!$I$42),6,3),MAX(0,6-(ABS('20'!$I$43-Tulokset!$G$42)+ABS('20'!$K$43-Tulokset!$I$42))))))</f>
        <v/>
      </c>
      <c r="AS23" t="str">
        <f>IF(OR(Tulokset!$G$43="",Tulokset!$I$43="",'20'!$I$44="",'20'!$K$44=""),"",IF(SIGN('20'!$I$44-'20'!$K$44)&lt;&gt;SIGN(Tulokset!$G$43-Tulokset!$I$43),0,IF(Tulokset!$G$43=Tulokset!$I$43,IF(AND('20'!$I$44=Tulokset!$G$43,'20'!$K$44=Tulokset!$I$43),6,3),MAX(0,6-(ABS('20'!$I$44-Tulokset!$G$43)+ABS('20'!$K$44-Tulokset!$I$43))))))</f>
        <v/>
      </c>
      <c r="AT23" t="str">
        <f>IF(OR(Tulokset!$G$44="",Tulokset!$I$44="",'20'!$I$45="",'20'!$K$45=""),"",IF(SIGN('20'!$I$45-'20'!$K$45)&lt;&gt;SIGN(Tulokset!$G$44-Tulokset!$I$44),0,IF(Tulokset!$G$44=Tulokset!$I$44,IF(AND('20'!$I$45=Tulokset!$G$44,'20'!$K$45=Tulokset!$I$44),6,3),MAX(0,6-(ABS('20'!$I$45-Tulokset!$G$44)+ABS('20'!$K$45-Tulokset!$I$44))))))</f>
        <v/>
      </c>
      <c r="AU23" t="str">
        <f>IF(OR(Tulokset!$G$45="",Tulokset!$I$45="",'20'!$I$46="",'20'!$K$46=""),"",IF(SIGN('20'!$I$46-'20'!$K$46)&lt;&gt;SIGN(Tulokset!$G$45-Tulokset!$I$45),0,IF(Tulokset!$G$45=Tulokset!$I$45,IF(AND('20'!$I$46=Tulokset!$G$45,'20'!$K$46=Tulokset!$I$45),6,3),MAX(0,6-(ABS('20'!$I$46-Tulokset!$G$45)+ABS('20'!$K$46-Tulokset!$I$45))))))</f>
        <v/>
      </c>
      <c r="AV23" t="str">
        <f>IF(OR(Tulokset!$G$46="",Tulokset!$I$46="",'20'!$I$47="",'20'!$K$47=""),"",IF(SIGN('20'!$I$47-'20'!$K$47)&lt;&gt;SIGN(Tulokset!$G$46-Tulokset!$I$46),0,IF(Tulokset!$G$46=Tulokset!$I$46,IF(AND('20'!$I$47=Tulokset!$G$46,'20'!$K$47=Tulokset!$I$46),6,3),MAX(0,6-(ABS('20'!$I$47-Tulokset!$G$46)+ABS('20'!$K$47-Tulokset!$I$46))))))</f>
        <v/>
      </c>
      <c r="AW23" t="str">
        <f>IF(OR(Tulokset!$G$47="",Tulokset!$I$47="",'20'!$I$48="",'20'!$K$48=""),"",IF(SIGN('20'!$I$48-'20'!$K$48)&lt;&gt;SIGN(Tulokset!$G$47-Tulokset!$I$47),0,IF(Tulokset!$G$47=Tulokset!$I$47,IF(AND('20'!$I$48=Tulokset!$G$47,'20'!$K$48=Tulokset!$I$47),6,3),MAX(0,6-(ABS('20'!$I$48-Tulokset!$G$47)+ABS('20'!$K$48-Tulokset!$I$47))))))</f>
        <v/>
      </c>
      <c r="AX23" t="str">
        <f>IF(OR(Tulokset!$G$48="",Tulokset!$I$48="",'20'!$I$49="",'20'!$K$49=""),"",IF(SIGN('20'!$I$49-'20'!$K$49)&lt;&gt;SIGN(Tulokset!$G$48-Tulokset!$I$48),0,IF(Tulokset!$G$48=Tulokset!$I$48,IF(AND('20'!$I$49=Tulokset!$G$48,'20'!$K$49=Tulokset!$I$48),6,3),MAX(0,6-(ABS('20'!$I$49-Tulokset!$G$48)+ABS('20'!$K$49-Tulokset!$I$48))))))</f>
        <v/>
      </c>
      <c r="AY23" t="str">
        <f>IF(OR(Tulokset!$G$49="",Tulokset!$I$49="",'20'!$I$50="",'20'!$K$50=""),"",IF(SIGN('20'!$I$50-'20'!$K$50)&lt;&gt;SIGN(Tulokset!$G$49-Tulokset!$I$49),0,IF(Tulokset!$G$49=Tulokset!$I$49,IF(AND('20'!$I$50=Tulokset!$G$49,'20'!$K$50=Tulokset!$I$49),6,3),MAX(0,6-(ABS('20'!$I$50-Tulokset!$G$49)+ABS('20'!$K$50-Tulokset!$I$49))))))</f>
        <v/>
      </c>
      <c r="AZ23" t="str">
        <f>IF(OR(Tulokset!$G$50="",Tulokset!$I$50="",'20'!$I$51="",'20'!$K$51=""),"",IF(SIGN('20'!$I$51-'20'!$K$51)&lt;&gt;SIGN(Tulokset!$G$50-Tulokset!$I$50),0,IF(Tulokset!$G$50=Tulokset!$I$50,IF(AND('20'!$I$51=Tulokset!$G$50,'20'!$K$51=Tulokset!$I$50),6,3),MAX(0,6-(ABS('20'!$I$51-Tulokset!$G$50)+ABS('20'!$K$51-Tulokset!$I$50))))))</f>
        <v/>
      </c>
      <c r="BA23" t="str">
        <f>IF(OR(Tulokset!$G$51="",Tulokset!$I$51="",'20'!$I$52="",'20'!$K$52=""),"",IF(SIGN('20'!$I$52-'20'!$K$52)&lt;&gt;SIGN(Tulokset!$G$51-Tulokset!$I$51),0,IF(Tulokset!$G$51=Tulokset!$I$51,IF(AND('20'!$I$52=Tulokset!$G$51,'20'!$K$52=Tulokset!$I$51),6,3),MAX(0,6-(ABS('20'!$I$52-Tulokset!$G$51)+ABS('20'!$K$52-Tulokset!$I$51))))))</f>
        <v/>
      </c>
      <c r="BB23" t="str">
        <f>IF(OR(Tulokset!$G$52="",Tulokset!$I$52="",'20'!$I$53="",'20'!$K$53=""),"",IF(SIGN('20'!$I$53-'20'!$K$53)&lt;&gt;SIGN(Tulokset!$G$52-Tulokset!$I$52),0,IF(Tulokset!$G$52=Tulokset!$I$52,IF(AND('20'!$I$53=Tulokset!$G$52,'20'!$K$53=Tulokset!$I$52),6,3),MAX(0,6-(ABS('20'!$I$53-Tulokset!$G$52)+ABS('20'!$K$53-Tulokset!$I$52))))))</f>
        <v/>
      </c>
      <c r="BC23" t="str">
        <f>IF(OR(Tulokset!$G$53="",Tulokset!$I$53="",'20'!$I$54="",'20'!$K$54=""),"",IF(SIGN('20'!$I$54-'20'!$K$54)&lt;&gt;SIGN(Tulokset!$G$53-Tulokset!$I$53),0,IF(Tulokset!$G$53=Tulokset!$I$53,IF(AND('20'!$I$54=Tulokset!$G$53,'20'!$K$54=Tulokset!$I$53),6,3),MAX(0,6-(ABS('20'!$I$54-Tulokset!$G$53)+ABS('20'!$K$54-Tulokset!$I$53))))))</f>
        <v/>
      </c>
      <c r="BD23" t="str">
        <f>IF(OR(Tulokset!$G$54="",Tulokset!$I$54="",'20'!$I$55="",'20'!$K$55=""),"",IF(SIGN('20'!$I$55-'20'!$K$55)&lt;&gt;SIGN(Tulokset!$G$54-Tulokset!$I$54),0,IF(Tulokset!$G$54=Tulokset!$I$54,IF(AND('20'!$I$55=Tulokset!$G$54,'20'!$K$55=Tulokset!$I$54),6,3),MAX(0,6-(ABS('20'!$I$55-Tulokset!$G$54)+ABS('20'!$K$55-Tulokset!$I$54))))))</f>
        <v/>
      </c>
      <c r="BE23" t="str">
        <f>IF(OR(Tulokset!$G$55="",Tulokset!$I$55="",'20'!$I$56="",'20'!$K$56=""),"",IF(SIGN('20'!$I$56-'20'!$K$56)&lt;&gt;SIGN(Tulokset!$G$55-Tulokset!$I$55),0,IF(Tulokset!$G$55=Tulokset!$I$55,IF(AND('20'!$I$56=Tulokset!$G$55,'20'!$K$56=Tulokset!$I$55),6,3),MAX(0,6-(ABS('20'!$I$56-Tulokset!$G$55)+ABS('20'!$K$56-Tulokset!$I$55))))))</f>
        <v/>
      </c>
      <c r="BF23" t="str">
        <f>IF(OR(Tulokset!$G$56="",Tulokset!$I$56="",'20'!$I$57="",'20'!$K$57=""),"",IF(SIGN('20'!$I$57-'20'!$K$57)&lt;&gt;SIGN(Tulokset!$G$56-Tulokset!$I$56),0,IF(Tulokset!$G$56=Tulokset!$I$56,IF(AND('20'!$I$57=Tulokset!$G$56,'20'!$K$57=Tulokset!$I$56),6,3),MAX(0,6-(ABS('20'!$I$57-Tulokset!$G$56)+ABS('20'!$K$57-Tulokset!$I$56))))))</f>
        <v/>
      </c>
      <c r="BG23" t="str">
        <f>IF(OR(Tulokset!$G$57="",Tulokset!$I$57="",'20'!$I$58="",'20'!$K$58=""),"",IF(SIGN('20'!$I$58-'20'!$K$58)&lt;&gt;SIGN(Tulokset!$G$57-Tulokset!$I$57),0,IF(Tulokset!$G$57=Tulokset!$I$57,IF(AND('20'!$I$58=Tulokset!$G$57,'20'!$K$58=Tulokset!$I$57),6,3),MAX(0,6-(ABS('20'!$I$58-Tulokset!$G$57)+ABS('20'!$K$58-Tulokset!$I$57))))))</f>
        <v/>
      </c>
      <c r="BH23" t="str">
        <f>IF(OR(Tulokset!$G$58="",Tulokset!$I$58="",'20'!$I$59="",'20'!$K$59=""),"",IF(SIGN('20'!$I$59-'20'!$K$59)&lt;&gt;SIGN(Tulokset!$G$58-Tulokset!$I$58),0,IF(Tulokset!$G$58=Tulokset!$I$58,IF(AND('20'!$I$59=Tulokset!$G$58,'20'!$K$59=Tulokset!$I$58),6,3),MAX(0,6-(ABS('20'!$I$59-Tulokset!$G$58)+ABS('20'!$K$59-Tulokset!$I$58))))))</f>
        <v/>
      </c>
      <c r="BI23" t="str">
        <f>IF(OR(Tulokset!$G$59="",Tulokset!$I$59="",'20'!$I$60="",'20'!$K$60=""),"",IF(SIGN('20'!$I$60-'20'!$K$60)&lt;&gt;SIGN(Tulokset!$G$59-Tulokset!$I$59),0,IF(Tulokset!$G$59=Tulokset!$I$59,IF(AND('20'!$I$60=Tulokset!$G$59,'20'!$K$60=Tulokset!$I$59),6,3),MAX(0,6-(ABS('20'!$I$60-Tulokset!$G$59)+ABS('20'!$K$60-Tulokset!$I$59))))))</f>
        <v/>
      </c>
      <c r="BJ23" t="str">
        <f>IF(OR(Tulokset!$G$60="",Tulokset!$I$60="",'20'!$I$61="",'20'!$K$61=""),"",IF(SIGN('20'!$I$61-'20'!$K$61)&lt;&gt;SIGN(Tulokset!$G$60-Tulokset!$I$60),0,IF(Tulokset!$G$60=Tulokset!$I$60,IF(AND('20'!$I$61=Tulokset!$G$60,'20'!$K$61=Tulokset!$I$60),6,3),MAX(0,6-(ABS('20'!$I$61-Tulokset!$G$60)+ABS('20'!$K$61-Tulokset!$I$60))))))</f>
        <v/>
      </c>
      <c r="BK23" t="str">
        <f>IF(OR(Tulokset!$G$61="",Tulokset!$I$61="",'20'!$I$62="",'20'!$K$62=""),"",IF(SIGN('20'!$I$62-'20'!$K$62)&lt;&gt;SIGN(Tulokset!$G$61-Tulokset!$I$61),0,IF(Tulokset!$G$61=Tulokset!$I$61,IF(AND('20'!$I$62=Tulokset!$G$61,'20'!$K$62=Tulokset!$I$61),6,3),MAX(0,6-(ABS('20'!$I$62-Tulokset!$G$61)+ABS('20'!$K$62-Tulokset!$I$61))))))</f>
        <v/>
      </c>
      <c r="BL23" t="str">
        <f>IF(OR(Tulokset!$G$62="",Tulokset!$I$62="",'20'!$I$63="",'20'!$K$63=""),"",IF(SIGN('20'!$I$63-'20'!$K$63)&lt;&gt;SIGN(Tulokset!$G$62-Tulokset!$I$62),0,IF(Tulokset!$G$62=Tulokset!$I$62,IF(AND('20'!$I$63=Tulokset!$G$62,'20'!$K$63=Tulokset!$I$62),6,3),MAX(0,6-(ABS('20'!$I$63-Tulokset!$G$62)+ABS('20'!$K$63-Tulokset!$I$62))))))</f>
        <v/>
      </c>
      <c r="BM23" t="str">
        <f>IF(OR(Tulokset!$G$63="",Tulokset!$I$63="",'20'!$I$64="",'20'!$K$64=""),"",IF(SIGN('20'!$I$64-'20'!$K$64)&lt;&gt;SIGN(Tulokset!$G$63-Tulokset!$I$63),0,IF(Tulokset!$G$63=Tulokset!$I$63,IF(AND('20'!$I$64=Tulokset!$G$63,'20'!$K$64=Tulokset!$I$63),6,3),MAX(0,6-(ABS('20'!$I$64-Tulokset!$G$63)+ABS('20'!$K$64-Tulokset!$I$63))))))</f>
        <v/>
      </c>
      <c r="BN23" t="str">
        <f>IF(OR(Tulokset!$G$64="",Tulokset!$I$64="",'20'!$I$65="",'20'!$K$65=""),"",IF(SIGN('20'!$I$65-'20'!$K$65)&lt;&gt;SIGN(Tulokset!$G$64-Tulokset!$I$64),0,IF(Tulokset!$G$64=Tulokset!$I$64,IF(AND('20'!$I$65=Tulokset!$G$64,'20'!$K$65=Tulokset!$I$64),6,3),MAX(0,6-(ABS('20'!$I$65-Tulokset!$G$64)+ABS('20'!$K$65-Tulokset!$I$64))))))</f>
        <v/>
      </c>
      <c r="BO23" t="str">
        <f>IF(OR(Tulokset!$G$65="",Tulokset!$I$65="",'20'!$I$66="",'20'!$K$66=""),"",IF(SIGN('20'!$I$66-'20'!$K$66)&lt;&gt;SIGN(Tulokset!$G$65-Tulokset!$I$65),0,IF(Tulokset!$G$65=Tulokset!$I$65,IF(AND('20'!$I$66=Tulokset!$G$65,'20'!$K$66=Tulokset!$I$65),6,3),MAX(0,6-(ABS('20'!$I$66-Tulokset!$G$65)+ABS('20'!$K$66-Tulokset!$I$65))))))</f>
        <v/>
      </c>
      <c r="BP23" t="str">
        <f>IF(OR(Tulokset!$G$66="",Tulokset!$I$66="",'20'!$I$67="",'20'!$K$67=""),"",IF(SIGN('20'!$I$67-'20'!$K$67)&lt;&gt;SIGN(Tulokset!$G$66-Tulokset!$I$66),0,IF(Tulokset!$G$66=Tulokset!$I$66,IF(AND('20'!$I$67=Tulokset!$G$66,'20'!$K$67=Tulokset!$I$66),6,3),MAX(0,6-(ABS('20'!$I$67-Tulokset!$G$66)+ABS('20'!$K$67-Tulokset!$I$66))))))</f>
        <v/>
      </c>
      <c r="BQ23" t="str">
        <f>IF(OR(Tulokset!$G$67="",Tulokset!$I$67="",'20'!$I$68="",'20'!$K$68=""),"",IF(SIGN('20'!$I$68-'20'!$K$68)&lt;&gt;SIGN(Tulokset!$G$67-Tulokset!$I$67),0,IF(Tulokset!$G$67=Tulokset!$I$67,IF(AND('20'!$I$68=Tulokset!$G$67,'20'!$K$68=Tulokset!$I$67),6,3),MAX(0,6-(ABS('20'!$I$68-Tulokset!$G$67)+ABS('20'!$K$68-Tulokset!$I$67))))))</f>
        <v/>
      </c>
      <c r="BR23" t="str">
        <f>IF(OR(Tulokset!$G$68="",Tulokset!$I$68="",'20'!$I$69="",'20'!$K$69=""),"",IF(SIGN('20'!$I$69-'20'!$K$69)&lt;&gt;SIGN(Tulokset!$G$68-Tulokset!$I$68),0,IF(Tulokset!$G$68=Tulokset!$I$68,IF(AND('20'!$I$69=Tulokset!$G$68,'20'!$K$69=Tulokset!$I$68),6,3),MAX(0,6-(ABS('20'!$I$69-Tulokset!$G$68)+ABS('20'!$K$69-Tulokset!$I$68))))))</f>
        <v/>
      </c>
      <c r="BS23" t="str">
        <f>IF(OR(Tulokset!$G$69="",Tulokset!$I$69="",'20'!$I$70="",'20'!$K$70=""),"",IF(SIGN('20'!$I$70-'20'!$K$70)&lt;&gt;SIGN(Tulokset!$G$69-Tulokset!$I$69),0,IF(Tulokset!$G$69=Tulokset!$I$69,IF(AND('20'!$I$70=Tulokset!$G$69,'20'!$K$70=Tulokset!$I$69),6,3),MAX(0,6-(ABS('20'!$I$70-Tulokset!$G$69)+ABS('20'!$K$70-Tulokset!$I$69))))))</f>
        <v/>
      </c>
      <c r="BT23" t="str">
        <f>IF(OR(Tulokset!$G$70="",Tulokset!$I$70="",'20'!$I$71="",'20'!$K$71=""),"",IF(SIGN('20'!$I$71-'20'!$K$71)&lt;&gt;SIGN(Tulokset!$G$70-Tulokset!$I$70),0,IF(Tulokset!$G$70=Tulokset!$I$70,IF(AND('20'!$I$71=Tulokset!$G$70,'20'!$K$71=Tulokset!$I$70),6,3),MAX(0,6-(ABS('20'!$I$71-Tulokset!$G$70)+ABS('20'!$K$71-Tulokset!$I$70))))))</f>
        <v/>
      </c>
      <c r="BU23" t="str">
        <f>IF(OR(Tulokset!$G$71="",Tulokset!$I$71="",'20'!$I$72="",'20'!$K$72=""),"",IF(SIGN('20'!$I$72-'20'!$K$72)&lt;&gt;SIGN(Tulokset!$G$71-Tulokset!$I$71),0,IF(Tulokset!$G$71=Tulokset!$I$71,IF(AND('20'!$I$72=Tulokset!$G$71,'20'!$K$72=Tulokset!$I$71),6,3),MAX(0,6-(ABS('20'!$I$72-Tulokset!$G$71)+ABS('20'!$K$72-Tulokset!$I$71))))))</f>
        <v/>
      </c>
      <c r="BV23" t="str">
        <f>IF(OR(Tulokset!$G$72="",Tulokset!$I$72="",'20'!$I$73="",'20'!$K$73=""),"",IF(SIGN('20'!$I$73-'20'!$K$73)&lt;&gt;SIGN(Tulokset!$G$72-Tulokset!$I$72),0,IF(Tulokset!$G$72=Tulokset!$I$72,IF(AND('20'!$I$73=Tulokset!$G$72,'20'!$K$73=Tulokset!$I$72),6,3),MAX(0,6-(ABS('20'!$I$73-Tulokset!$G$72)+ABS('20'!$K$73-Tulokset!$I$72))))))</f>
        <v/>
      </c>
      <c r="BW23" t="str">
        <f>IF(OR(Tulokset!$G$73="",Tulokset!$I$73="",'20'!$I$74="",'20'!$K$74=""),"",IF(SIGN('20'!$I$74-'20'!$K$74)&lt;&gt;SIGN(Tulokset!$G$73-Tulokset!$I$73),0,IF(Tulokset!$G$73=Tulokset!$I$73,IF(AND('20'!$I$74=Tulokset!$G$73,'20'!$K$74=Tulokset!$I$73),6,3),MAX(0,6-(ABS('20'!$I$74-Tulokset!$G$73)+ABS('20'!$K$74-Tulokset!$I$73))))))</f>
        <v/>
      </c>
      <c r="BX23" t="str">
        <f>IF(OR(Tulokset!$G$74="",Tulokset!$I$74="",'20'!$I$75="",'20'!$K$75=""),"",IF(SIGN('20'!$I$75-'20'!$K$75)&lt;&gt;SIGN(Tulokset!$G$74-Tulokset!$I$74),0,IF(Tulokset!$G$74=Tulokset!$I$74,IF(AND('20'!$I$75=Tulokset!$G$74,'20'!$K$75=Tulokset!$I$74),6,3),MAX(0,6-(ABS('20'!$I$75-Tulokset!$G$74)+ABS('20'!$K$75-Tulokset!$I$74))))))</f>
        <v/>
      </c>
      <c r="BY23" t="str">
        <f>IF(OR(Tulokset!$G$75="",Tulokset!$I$75="",'20'!$I$76="",'20'!$K$76=""),"",IF(SIGN('20'!$I$76-'20'!$K$76)&lt;&gt;SIGN(Tulokset!$G$75-Tulokset!$I$75),0,IF(Tulokset!$G$75=Tulokset!$I$75,IF(AND('20'!$I$76=Tulokset!$G$75,'20'!$K$76=Tulokset!$I$75),6,3),MAX(0,6-(ABS('20'!$I$76-Tulokset!$G$75)+ABS('20'!$K$76-Tulokset!$I$75))))))</f>
        <v/>
      </c>
      <c r="BZ23" t="str">
        <f>IF(OR(Tulokset!$G$76="",Tulokset!$I$76="",'20'!$I$77="",'20'!$K$77=""),"",IF(SIGN('20'!$I$77-'20'!$K$77)&lt;&gt;SIGN(Tulokset!$G$76-Tulokset!$I$76),0,IF(Tulokset!$G$76=Tulokset!$I$76,IF(AND('20'!$I$77=Tulokset!$G$76,'20'!$K$77=Tulokset!$I$76),6,3),MAX(0,6-(ABS('20'!$I$77-Tulokset!$G$76)+ABS('20'!$K$77-Tulokset!$I$76))))))</f>
        <v/>
      </c>
      <c r="CA23" t="str">
        <f>IF(OR(Tulokset!$G$77="",Tulokset!$I$77="",'20'!$I$78="",'20'!$K$78=""),"",IF(SIGN('20'!$I$78-'20'!$K$78)&lt;&gt;SIGN(Tulokset!$G$77-Tulokset!$I$77),0,IF(Tulokset!$G$77=Tulokset!$I$77,IF(AND('20'!$I$78=Tulokset!$G$77,'20'!$K$78=Tulokset!$I$77),6,3),MAX(0,6-(ABS('20'!$I$78-Tulokset!$G$77)+ABS('20'!$K$78-Tulokset!$I$77))))))</f>
        <v/>
      </c>
      <c r="CD23" t="str">
        <f ca="1">IF(OR(Tulokset!$M$6="",INDIRECT("'"&amp;$A23&amp;"'!$P$8")=""),"",IF(TRIM(INDIRECT("'"&amp;$A23&amp;"'!$P$8"))=TRIM(Tulokset!$M$6),2,0))</f>
        <v/>
      </c>
      <c r="CE23" t="str">
        <f ca="1">IF(OR(Tulokset!$M$7="",INDIRECT("'"&amp;$A23&amp;"'!$P$9")=""),"",IF(TRIM(INDIRECT("'"&amp;$A23&amp;"'!$P$9"))=TRIM(Tulokset!$M$7),2,0))</f>
        <v/>
      </c>
      <c r="CF23" t="str">
        <f ca="1">IF(OR(Tulokset!$M$8="",INDIRECT("'"&amp;$A23&amp;"'!$P$10")=""),"",IF(TRIM(INDIRECT("'"&amp;$A23&amp;"'!$P$10"))=TRIM(Tulokset!$M$8),2,0))</f>
        <v/>
      </c>
      <c r="CG23" t="str">
        <f ca="1">IF(OR(Tulokset!$M$9="",INDIRECT("'"&amp;$A23&amp;"'!$P$11")=""),"",IF(TRIM(INDIRECT("'"&amp;$A23&amp;"'!$P$11"))=TRIM(Tulokset!$M$9),2,0))</f>
        <v/>
      </c>
      <c r="CH23" t="str">
        <f ca="1">IF(OR(Tulokset!$N$6="",INDIRECT("'"&amp;$A23&amp;"'!$Q$8")=""),"",IF(TRIM(INDIRECT("'"&amp;$A23&amp;"'!$Q$8"))=TRIM(Tulokset!$N$6),2,0))</f>
        <v/>
      </c>
      <c r="CI23" t="str">
        <f ca="1">IF(OR(Tulokset!$N$7="",INDIRECT("'"&amp;$A23&amp;"'!$Q$9")=""),"",IF(TRIM(INDIRECT("'"&amp;$A23&amp;"'!$Q$9"))=TRIM(Tulokset!$N$7),2,0))</f>
        <v/>
      </c>
      <c r="CJ23" t="str">
        <f ca="1">IF(OR(Tulokset!$N$8="",INDIRECT("'"&amp;$A23&amp;"'!$Q$10")=""),"",IF(TRIM(INDIRECT("'"&amp;$A23&amp;"'!$Q$10"))=TRIM(Tulokset!$N$8),2,0))</f>
        <v/>
      </c>
      <c r="CK23" t="str">
        <f ca="1">IF(OR(Tulokset!$N$9="",INDIRECT("'"&amp;$A23&amp;"'!$Q$11")=""),"",IF(TRIM(INDIRECT("'"&amp;$A23&amp;"'!$Q$11"))=TRIM(Tulokset!$N$9),2,0))</f>
        <v/>
      </c>
      <c r="CL23" t="str">
        <f ca="1">IF(OR(Tulokset!$O$6="",INDIRECT("'"&amp;$A23&amp;"'!$R$8")=""),"",IF(TRIM(INDIRECT("'"&amp;$A23&amp;"'!$R$8"))=TRIM(Tulokset!$O$6),2,0))</f>
        <v/>
      </c>
      <c r="CM23" t="str">
        <f ca="1">IF(OR(Tulokset!$O$7="",INDIRECT("'"&amp;$A23&amp;"'!$R$9")=""),"",IF(TRIM(INDIRECT("'"&amp;$A23&amp;"'!$R$9"))=TRIM(Tulokset!$O$7),2,0))</f>
        <v/>
      </c>
      <c r="CN23" t="str">
        <f ca="1">IF(OR(Tulokset!$O$8="",INDIRECT("'"&amp;$A23&amp;"'!$R$10")=""),"",IF(TRIM(INDIRECT("'"&amp;$A23&amp;"'!$R$10"))=TRIM(Tulokset!$O$8),2,0))</f>
        <v/>
      </c>
      <c r="CO23" t="str">
        <f ca="1">IF(OR(Tulokset!$O$9="",INDIRECT("'"&amp;$A23&amp;"'!$R$11")=""),"",IF(TRIM(INDIRECT("'"&amp;$A23&amp;"'!$R$11"))=TRIM(Tulokset!$O$9),2,0))</f>
        <v/>
      </c>
      <c r="CP23" t="str">
        <f ca="1">IF(OR(Tulokset!$P$6="",INDIRECT("'"&amp;$A23&amp;"'!$S$8")=""),"",IF(TRIM(INDIRECT("'"&amp;$A23&amp;"'!$S$8"))=TRIM(Tulokset!$P$6),2,0))</f>
        <v/>
      </c>
      <c r="CQ23" t="str">
        <f ca="1">IF(OR(Tulokset!$P$7="",INDIRECT("'"&amp;$A23&amp;"'!$S$9")=""),"",IF(TRIM(INDIRECT("'"&amp;$A23&amp;"'!$S$9"))=TRIM(Tulokset!$P$7),2,0))</f>
        <v/>
      </c>
      <c r="CR23" t="str">
        <f ca="1">IF(OR(Tulokset!$P$8="",INDIRECT("'"&amp;$A23&amp;"'!$S$10")=""),"",IF(TRIM(INDIRECT("'"&amp;$A23&amp;"'!$S$10"))=TRIM(Tulokset!$P$8),2,0))</f>
        <v/>
      </c>
      <c r="CS23" t="str">
        <f ca="1">IF(OR(Tulokset!$P$9="",INDIRECT("'"&amp;$A23&amp;"'!$S$11")=""),"",IF(TRIM(INDIRECT("'"&amp;$A23&amp;"'!$S$11"))=TRIM(Tulokset!$P$9),2,0))</f>
        <v/>
      </c>
      <c r="CT23" t="str">
        <f ca="1">IF(OR(Tulokset!$Q$6="",INDIRECT("'"&amp;$A23&amp;"'!$T$8")=""),"",IF(TRIM(INDIRECT("'"&amp;$A23&amp;"'!$T$8"))=TRIM(Tulokset!$Q$6),2,0))</f>
        <v/>
      </c>
      <c r="CU23" t="str">
        <f ca="1">IF(OR(Tulokset!$Q$7="",INDIRECT("'"&amp;$A23&amp;"'!$T$9")=""),"",IF(TRIM(INDIRECT("'"&amp;$A23&amp;"'!$T$9"))=TRIM(Tulokset!$Q$7),2,0))</f>
        <v/>
      </c>
      <c r="CV23" t="str">
        <f ca="1">IF(OR(Tulokset!$Q$8="",INDIRECT("'"&amp;$A23&amp;"'!$T$10")=""),"",IF(TRIM(INDIRECT("'"&amp;$A23&amp;"'!$T$10"))=TRIM(Tulokset!$Q$8),2,0))</f>
        <v/>
      </c>
      <c r="CW23" t="str">
        <f ca="1">IF(OR(Tulokset!$Q$9="",INDIRECT("'"&amp;$A23&amp;"'!$T$11")=""),"",IF(TRIM(INDIRECT("'"&amp;$A23&amp;"'!$T$11"))=TRIM(Tulokset!$Q$9),2,0))</f>
        <v/>
      </c>
      <c r="CX23" t="str">
        <f ca="1">IF(OR(Tulokset!$R$6="",INDIRECT("'"&amp;$A23&amp;"'!$U$8")=""),"",IF(TRIM(INDIRECT("'"&amp;$A23&amp;"'!$U$8"))=TRIM(Tulokset!$R$6),2,0))</f>
        <v/>
      </c>
      <c r="CY23" t="str">
        <f ca="1">IF(OR(Tulokset!$R$7="",INDIRECT("'"&amp;$A23&amp;"'!$U$9")=""),"",IF(TRIM(INDIRECT("'"&amp;$A23&amp;"'!$U$9"))=TRIM(Tulokset!$R$7),2,0))</f>
        <v/>
      </c>
      <c r="CZ23" t="str">
        <f ca="1">IF(OR(Tulokset!$R$8="",INDIRECT("'"&amp;$A23&amp;"'!$U$10")=""),"",IF(TRIM(INDIRECT("'"&amp;$A23&amp;"'!$U$10"))=TRIM(Tulokset!$R$8),2,0))</f>
        <v/>
      </c>
      <c r="DA23" t="str">
        <f ca="1">IF(OR(Tulokset!$R$9="",INDIRECT("'"&amp;$A23&amp;"'!$U$11")=""),"",IF(TRIM(INDIRECT("'"&amp;$A23&amp;"'!$U$11"))=TRIM(Tulokset!$R$9),2,0))</f>
        <v/>
      </c>
      <c r="DB23" t="str">
        <f ca="1">IF(OR(Tulokset!$M$12="",INDIRECT("'"&amp;$A23&amp;"'!$P$14")=""),"",IF(TRIM(INDIRECT("'"&amp;$A23&amp;"'!$P$14"))=TRIM(Tulokset!$M$12),2,0))</f>
        <v/>
      </c>
      <c r="DC23" t="str">
        <f ca="1">IF(OR(Tulokset!$M$13="",INDIRECT("'"&amp;$A23&amp;"'!$P$15")=""),"",IF(TRIM(INDIRECT("'"&amp;$A23&amp;"'!$P$15"))=TRIM(Tulokset!$M$13),2,0))</f>
        <v/>
      </c>
      <c r="DD23" t="str">
        <f ca="1">IF(OR(Tulokset!$M$14="",INDIRECT("'"&amp;$A23&amp;"'!$P$16")=""),"",IF(TRIM(INDIRECT("'"&amp;$A23&amp;"'!$P$16"))=TRIM(Tulokset!$M$14),2,0))</f>
        <v/>
      </c>
      <c r="DE23" t="str">
        <f ca="1">IF(OR(Tulokset!$M$15="",INDIRECT("'"&amp;$A23&amp;"'!$P$17")=""),"",IF(TRIM(INDIRECT("'"&amp;$A23&amp;"'!$P$17"))=TRIM(Tulokset!$M$15),2,0))</f>
        <v/>
      </c>
      <c r="DF23" t="str">
        <f ca="1">IF(OR(Tulokset!$N$12="",INDIRECT("'"&amp;$A23&amp;"'!$Q$14")=""),"",IF(TRIM(INDIRECT("'"&amp;$A23&amp;"'!$Q$14"))=TRIM(Tulokset!$N$12),2,0))</f>
        <v/>
      </c>
      <c r="DG23" t="str">
        <f ca="1">IF(OR(Tulokset!$N$13="",INDIRECT("'"&amp;$A23&amp;"'!$Q$15")=""),"",IF(TRIM(INDIRECT("'"&amp;$A23&amp;"'!$Q$15"))=TRIM(Tulokset!$N$13),2,0))</f>
        <v/>
      </c>
      <c r="DH23" t="str">
        <f ca="1">IF(OR(Tulokset!$N$14="",INDIRECT("'"&amp;$A23&amp;"'!$Q$16")=""),"",IF(TRIM(INDIRECT("'"&amp;$A23&amp;"'!$Q$16"))=TRIM(Tulokset!$N$14),2,0))</f>
        <v/>
      </c>
      <c r="DI23" t="str">
        <f ca="1">IF(OR(Tulokset!$N$15="",INDIRECT("'"&amp;$A23&amp;"'!$Q$17")=""),"",IF(TRIM(INDIRECT("'"&amp;$A23&amp;"'!$Q$17"))=TRIM(Tulokset!$N$15),2,0))</f>
        <v/>
      </c>
      <c r="DJ23" t="str">
        <f ca="1">IF(OR(Tulokset!$O$12="",INDIRECT("'"&amp;$A23&amp;"'!$R$14")=""),"",IF(TRIM(INDIRECT("'"&amp;$A23&amp;"'!$R$14"))=TRIM(Tulokset!$O$12),2,0))</f>
        <v/>
      </c>
      <c r="DK23" t="str">
        <f ca="1">IF(OR(Tulokset!$O$13="",INDIRECT("'"&amp;$A23&amp;"'!$R$15")=""),"",IF(TRIM(INDIRECT("'"&amp;$A23&amp;"'!$R$15"))=TRIM(Tulokset!$O$13),2,0))</f>
        <v/>
      </c>
      <c r="DL23" t="str">
        <f ca="1">IF(OR(Tulokset!$O$14="",INDIRECT("'"&amp;$A23&amp;"'!$R$16")=""),"",IF(TRIM(INDIRECT("'"&amp;$A23&amp;"'!$R$16"))=TRIM(Tulokset!$O$14),2,0))</f>
        <v/>
      </c>
      <c r="DM23" t="str">
        <f ca="1">IF(OR(Tulokset!$O$15="",INDIRECT("'"&amp;$A23&amp;"'!$R$17")=""),"",IF(TRIM(INDIRECT("'"&amp;$A23&amp;"'!$R$17"))=TRIM(Tulokset!$O$15),2,0))</f>
        <v/>
      </c>
      <c r="DN23" t="str">
        <f ca="1">IF(OR(Tulokset!$P$12="",INDIRECT("'"&amp;$A23&amp;"'!$S$14")=""),"",IF(TRIM(INDIRECT("'"&amp;$A23&amp;"'!$S$14"))=TRIM(Tulokset!$P$12),2,0))</f>
        <v/>
      </c>
      <c r="DO23" t="str">
        <f ca="1">IF(OR(Tulokset!$P$13="",INDIRECT("'"&amp;$A23&amp;"'!$S$15")=""),"",IF(TRIM(INDIRECT("'"&amp;$A23&amp;"'!$S$15"))=TRIM(Tulokset!$P$13),2,0))</f>
        <v/>
      </c>
      <c r="DP23" t="str">
        <f ca="1">IF(OR(Tulokset!$P$14="",INDIRECT("'"&amp;$A23&amp;"'!$S$16")=""),"",IF(TRIM(INDIRECT("'"&amp;$A23&amp;"'!$S$16"))=TRIM(Tulokset!$P$14),2,0))</f>
        <v/>
      </c>
      <c r="DQ23" t="str">
        <f ca="1">IF(OR(Tulokset!$P$15="",INDIRECT("'"&amp;$A23&amp;"'!$S$17")=""),"",IF(TRIM(INDIRECT("'"&amp;$A23&amp;"'!$S$17"))=TRIM(Tulokset!$P$15),2,0))</f>
        <v/>
      </c>
      <c r="DR23" t="str">
        <f ca="1">IF(OR(Tulokset!$Q$12="",INDIRECT("'"&amp;$A23&amp;"'!$T$14")=""),"",IF(TRIM(INDIRECT("'"&amp;$A23&amp;"'!$T$14"))=TRIM(Tulokset!$Q$12),2,0))</f>
        <v/>
      </c>
      <c r="DS23" t="str">
        <f ca="1">IF(OR(Tulokset!$Q$13="",INDIRECT("'"&amp;$A23&amp;"'!$T$15")=""),"",IF(TRIM(INDIRECT("'"&amp;$A23&amp;"'!$T$15"))=TRIM(Tulokset!$Q$13),2,0))</f>
        <v/>
      </c>
      <c r="DT23" t="str">
        <f ca="1">IF(OR(Tulokset!$Q$14="",INDIRECT("'"&amp;$A23&amp;"'!$T$16")=""),"",IF(TRIM(INDIRECT("'"&amp;$A23&amp;"'!$T$16"))=TRIM(Tulokset!$Q$14),2,0))</f>
        <v/>
      </c>
      <c r="DU23" t="str">
        <f ca="1">IF(OR(Tulokset!$Q$15="",INDIRECT("'"&amp;$A23&amp;"'!$T$17")=""),"",IF(TRIM(INDIRECT("'"&amp;$A23&amp;"'!$T$17"))=TRIM(Tulokset!$Q$15),2,0))</f>
        <v/>
      </c>
      <c r="DV23" t="str">
        <f ca="1">IF(OR(Tulokset!$R$12="",INDIRECT("'"&amp;$A23&amp;"'!$U$14")=""),"",IF(TRIM(INDIRECT("'"&amp;$A23&amp;"'!$U$14"))=TRIM(Tulokset!$R$12),2,0))</f>
        <v/>
      </c>
      <c r="DW23" t="str">
        <f ca="1">IF(OR(Tulokset!$R$13="",INDIRECT("'"&amp;$A23&amp;"'!$U$15")=""),"",IF(TRIM(INDIRECT("'"&amp;$A23&amp;"'!$U$15"))=TRIM(Tulokset!$R$13),2,0))</f>
        <v/>
      </c>
      <c r="DX23" t="str">
        <f ca="1">IF(OR(Tulokset!$R$14="",INDIRECT("'"&amp;$A23&amp;"'!$U$16")=""),"",IF(TRIM(INDIRECT("'"&amp;$A23&amp;"'!$U$16"))=TRIM(Tulokset!$R$14),2,0))</f>
        <v/>
      </c>
      <c r="DY23" t="str">
        <f ca="1">IF(OR(Tulokset!$R$15="",INDIRECT("'"&amp;$A23&amp;"'!$U$17")=""),"",IF(TRIM(INDIRECT("'"&amp;$A23&amp;"'!$U$17"))=TRIM(Tulokset!$R$15),2,0))</f>
        <v/>
      </c>
      <c r="EA23" t="str">
        <f ca="1">IF(OR(INDIRECT("'"&amp;$A23&amp;"'!$E$79")="",COUNTA(Tulokset!$M$20:$M$21)=0),"",IF(COUNTIF(Tulokset!$M$20:$M$21,INDIRECT("'"&amp;$A23&amp;"'!$E$79"))&gt;0,2,0))</f>
        <v/>
      </c>
      <c r="EB23" t="str">
        <f ca="1">IF(OR(INDIRECT("'"&amp;$A23&amp;"'!$G$79")="",COUNTA(Tulokset!$M$20:$M$21)=0),"",IF(COUNTIF(Tulokset!$M$20:$M$21,INDIRECT("'"&amp;$A23&amp;"'!$G$79"))&gt;0,2,0))</f>
        <v/>
      </c>
      <c r="EC23" t="str">
        <f ca="1">IF(OR(INDIRECT("'"&amp;$A23&amp;"'!$E$80")="",COUNTA(Tulokset!$M$23:$M$24)=0),"",IF(COUNTIF(Tulokset!$M$23:$M$24,INDIRECT("'"&amp;$A23&amp;"'!$E$80"))&gt;0,2,0))</f>
        <v/>
      </c>
      <c r="ED23" t="str">
        <f ca="1">IF(OR(INDIRECT("'"&amp;$A23&amp;"'!$G$80")="",COUNTA(Tulokset!$M$23:$M$24)=0),"",IF(COUNTIF(Tulokset!$M$23:$M$24,INDIRECT("'"&amp;$A23&amp;"'!$G$80"))&gt;0,2,0))</f>
        <v/>
      </c>
    </row>
    <row r="24" spans="1:134">
      <c r="A24" t="s">
        <v>239</v>
      </c>
      <c r="B24" t="str">
        <f t="shared" ca="1" si="0"/>
        <v>Heinomar</v>
      </c>
      <c r="C24" s="95">
        <f t="shared" si="1"/>
        <v>0</v>
      </c>
      <c r="D24" s="95">
        <f t="shared" ca="1" si="2"/>
        <v>0</v>
      </c>
      <c r="E24" s="95">
        <f t="shared" ca="1" si="3"/>
        <v>0</v>
      </c>
      <c r="F24" s="95">
        <f t="shared" ca="1" si="4"/>
        <v>0</v>
      </c>
      <c r="G24" s="95">
        <f t="shared" si="5"/>
        <v>0</v>
      </c>
      <c r="H24" t="str">
        <f>IF(OR(Tulokset!$G$6="",Tulokset!$I$6="",'21'!$I$7="",'21'!$K$7=""),"",IF(SIGN('21'!$I$7-'21'!$K$7)&lt;&gt;SIGN(Tulokset!$G$6-Tulokset!$I$6),0,IF(Tulokset!$G$6=Tulokset!$I$6,IF(AND('21'!$I$7=Tulokset!$G$6,'21'!$K$7=Tulokset!$I$6),6,3),MAX(0,6-(ABS('21'!$I$7-Tulokset!$G$6)+ABS('21'!$K$7-Tulokset!$I$6))))))</f>
        <v/>
      </c>
      <c r="I24" t="str">
        <f>IF(OR(Tulokset!$G$7="",Tulokset!$I$7="",'21'!$I$8="",'21'!$K$8=""),"",IF(SIGN('21'!$I$8-'21'!$K$8)&lt;&gt;SIGN(Tulokset!$G$7-Tulokset!$I$7),0,IF(Tulokset!$G$7=Tulokset!$I$7,IF(AND('21'!$I$8=Tulokset!$G$7,'21'!$K$8=Tulokset!$I$7),6,3),MAX(0,6-(ABS('21'!$I$8-Tulokset!$G$7)+ABS('21'!$K$8-Tulokset!$I$7))))))</f>
        <v/>
      </c>
      <c r="J24" t="str">
        <f>IF(OR(Tulokset!$G$8="",Tulokset!$I$8="",'21'!$I$9="",'21'!$K$9=""),"",IF(SIGN('21'!$I$9-'21'!$K$9)&lt;&gt;SIGN(Tulokset!$G$8-Tulokset!$I$8),0,IF(Tulokset!$G$8=Tulokset!$I$8,IF(AND('21'!$I$9=Tulokset!$G$8,'21'!$K$9=Tulokset!$I$8),6,3),MAX(0,6-(ABS('21'!$I$9-Tulokset!$G$8)+ABS('21'!$K$9-Tulokset!$I$8))))))</f>
        <v/>
      </c>
      <c r="K24" t="str">
        <f>IF(OR(Tulokset!$G$9="",Tulokset!$I$9="",'21'!$I$10="",'21'!$K$10=""),"",IF(SIGN('21'!$I$10-'21'!$K$10)&lt;&gt;SIGN(Tulokset!$G$9-Tulokset!$I$9),0,IF(Tulokset!$G$9=Tulokset!$I$9,IF(AND('21'!$I$10=Tulokset!$G$9,'21'!$K$10=Tulokset!$I$9),6,3),MAX(0,6-(ABS('21'!$I$10-Tulokset!$G$9)+ABS('21'!$K$10-Tulokset!$I$9))))))</f>
        <v/>
      </c>
      <c r="L24" t="str">
        <f>IF(OR(Tulokset!$G$10="",Tulokset!$I$10="",'21'!$I$11="",'21'!$K$11=""),"",IF(SIGN('21'!$I$11-'21'!$K$11)&lt;&gt;SIGN(Tulokset!$G$10-Tulokset!$I$10),0,IF(Tulokset!$G$10=Tulokset!$I$10,IF(AND('21'!$I$11=Tulokset!$G$10,'21'!$K$11=Tulokset!$I$10),6,3),MAX(0,6-(ABS('21'!$I$11-Tulokset!$G$10)+ABS('21'!$K$11-Tulokset!$I$10))))))</f>
        <v/>
      </c>
      <c r="M24" t="str">
        <f>IF(OR(Tulokset!$G$11="",Tulokset!$I$11="",'21'!$I$12="",'21'!$K$12=""),"",IF(SIGN('21'!$I$12-'21'!$K$12)&lt;&gt;SIGN(Tulokset!$G$11-Tulokset!$I$11),0,IF(Tulokset!$G$11=Tulokset!$I$11,IF(AND('21'!$I$12=Tulokset!$G$11,'21'!$K$12=Tulokset!$I$11),6,3),MAX(0,6-(ABS('21'!$I$12-Tulokset!$G$11)+ABS('21'!$K$12-Tulokset!$I$11))))))</f>
        <v/>
      </c>
      <c r="N24" t="str">
        <f>IF(OR(Tulokset!$G$12="",Tulokset!$I$12="",'21'!$I$13="",'21'!$K$13=""),"",IF(SIGN('21'!$I$13-'21'!$K$13)&lt;&gt;SIGN(Tulokset!$G$12-Tulokset!$I$12),0,IF(Tulokset!$G$12=Tulokset!$I$12,IF(AND('21'!$I$13=Tulokset!$G$12,'21'!$K$13=Tulokset!$I$12),6,3),MAX(0,6-(ABS('21'!$I$13-Tulokset!$G$12)+ABS('21'!$K$13-Tulokset!$I$12))))))</f>
        <v/>
      </c>
      <c r="O24" t="str">
        <f>IF(OR(Tulokset!$G$13="",Tulokset!$I$13="",'21'!$I$14="",'21'!$K$14=""),"",IF(SIGN('21'!$I$14-'21'!$K$14)&lt;&gt;SIGN(Tulokset!$G$13-Tulokset!$I$13),0,IF(Tulokset!$G$13=Tulokset!$I$13,IF(AND('21'!$I$14=Tulokset!$G$13,'21'!$K$14=Tulokset!$I$13),6,3),MAX(0,6-(ABS('21'!$I$14-Tulokset!$G$13)+ABS('21'!$K$14-Tulokset!$I$13))))))</f>
        <v/>
      </c>
      <c r="P24" t="str">
        <f>IF(OR(Tulokset!$G$14="",Tulokset!$I$14="",'21'!$I$15="",'21'!$K$15=""),"",IF(SIGN('21'!$I$15-'21'!$K$15)&lt;&gt;SIGN(Tulokset!$G$14-Tulokset!$I$14),0,IF(Tulokset!$G$14=Tulokset!$I$14,IF(AND('21'!$I$15=Tulokset!$G$14,'21'!$K$15=Tulokset!$I$14),6,3),MAX(0,6-(ABS('21'!$I$15-Tulokset!$G$14)+ABS('21'!$K$15-Tulokset!$I$14))))))</f>
        <v/>
      </c>
      <c r="Q24" t="str">
        <f>IF(OR(Tulokset!$G$15="",Tulokset!$I$15="",'21'!$I$16="",'21'!$K$16=""),"",IF(SIGN('21'!$I$16-'21'!$K$16)&lt;&gt;SIGN(Tulokset!$G$15-Tulokset!$I$15),0,IF(Tulokset!$G$15=Tulokset!$I$15,IF(AND('21'!$I$16=Tulokset!$G$15,'21'!$K$16=Tulokset!$I$15),6,3),MAX(0,6-(ABS('21'!$I$16-Tulokset!$G$15)+ABS('21'!$K$16-Tulokset!$I$15))))))</f>
        <v/>
      </c>
      <c r="R24" t="str">
        <f>IF(OR(Tulokset!$G$16="",Tulokset!$I$16="",'21'!$I$17="",'21'!$K$17=""),"",IF(SIGN('21'!$I$17-'21'!$K$17)&lt;&gt;SIGN(Tulokset!$G$16-Tulokset!$I$16),0,IF(Tulokset!$G$16=Tulokset!$I$16,IF(AND('21'!$I$17=Tulokset!$G$16,'21'!$K$17=Tulokset!$I$16),6,3),MAX(0,6-(ABS('21'!$I$17-Tulokset!$G$16)+ABS('21'!$K$17-Tulokset!$I$16))))))</f>
        <v/>
      </c>
      <c r="S24" t="str">
        <f>IF(OR(Tulokset!$G$17="",Tulokset!$I$17="",'21'!$I$18="",'21'!$K$18=""),"",IF(SIGN('21'!$I$18-'21'!$K$18)&lt;&gt;SIGN(Tulokset!$G$17-Tulokset!$I$17),0,IF(Tulokset!$G$17=Tulokset!$I$17,IF(AND('21'!$I$18=Tulokset!$G$17,'21'!$K$18=Tulokset!$I$17),6,3),MAX(0,6-(ABS('21'!$I$18-Tulokset!$G$17)+ABS('21'!$K$18-Tulokset!$I$17))))))</f>
        <v/>
      </c>
      <c r="T24" t="str">
        <f>IF(OR(Tulokset!$G$18="",Tulokset!$I$18="",'21'!$I$19="",'21'!$K$19=""),"",IF(SIGN('21'!$I$19-'21'!$K$19)&lt;&gt;SIGN(Tulokset!$G$18-Tulokset!$I$18),0,IF(Tulokset!$G$18=Tulokset!$I$18,IF(AND('21'!$I$19=Tulokset!$G$18,'21'!$K$19=Tulokset!$I$18),6,3),MAX(0,6-(ABS('21'!$I$19-Tulokset!$G$18)+ABS('21'!$K$19-Tulokset!$I$18))))))</f>
        <v/>
      </c>
      <c r="U24" t="str">
        <f>IF(OR(Tulokset!$G$19="",Tulokset!$I$19="",'21'!$I$20="",'21'!$K$20=""),"",IF(SIGN('21'!$I$20-'21'!$K$20)&lt;&gt;SIGN(Tulokset!$G$19-Tulokset!$I$19),0,IF(Tulokset!$G$19=Tulokset!$I$19,IF(AND('21'!$I$20=Tulokset!$G$19,'21'!$K$20=Tulokset!$I$19),6,3),MAX(0,6-(ABS('21'!$I$20-Tulokset!$G$19)+ABS('21'!$K$20-Tulokset!$I$19))))))</f>
        <v/>
      </c>
      <c r="V24" t="str">
        <f>IF(OR(Tulokset!$G$20="",Tulokset!$I$20="",'21'!$I$21="",'21'!$K$21=""),"",IF(SIGN('21'!$I$21-'21'!$K$21)&lt;&gt;SIGN(Tulokset!$G$20-Tulokset!$I$20),0,IF(Tulokset!$G$20=Tulokset!$I$20,IF(AND('21'!$I$21=Tulokset!$G$20,'21'!$K$21=Tulokset!$I$20),6,3),MAX(0,6-(ABS('21'!$I$21-Tulokset!$G$20)+ABS('21'!$K$21-Tulokset!$I$20))))))</f>
        <v/>
      </c>
      <c r="W24" t="str">
        <f>IF(OR(Tulokset!$G$21="",Tulokset!$I$21="",'21'!$I$22="",'21'!$K$22=""),"",IF(SIGN('21'!$I$22-'21'!$K$22)&lt;&gt;SIGN(Tulokset!$G$21-Tulokset!$I$21),0,IF(Tulokset!$G$21=Tulokset!$I$21,IF(AND('21'!$I$22=Tulokset!$G$21,'21'!$K$22=Tulokset!$I$21),6,3),MAX(0,6-(ABS('21'!$I$22-Tulokset!$G$21)+ABS('21'!$K$22-Tulokset!$I$21))))))</f>
        <v/>
      </c>
      <c r="X24" t="str">
        <f>IF(OR(Tulokset!$G$22="",Tulokset!$I$22="",'21'!$I$23="",'21'!$K$23=""),"",IF(SIGN('21'!$I$23-'21'!$K$23)&lt;&gt;SIGN(Tulokset!$G$22-Tulokset!$I$22),0,IF(Tulokset!$G$22=Tulokset!$I$22,IF(AND('21'!$I$23=Tulokset!$G$22,'21'!$K$23=Tulokset!$I$22),6,3),MAX(0,6-(ABS('21'!$I$23-Tulokset!$G$22)+ABS('21'!$K$23-Tulokset!$I$22))))))</f>
        <v/>
      </c>
      <c r="Y24" t="str">
        <f>IF(OR(Tulokset!$G$23="",Tulokset!$I$23="",'21'!$I$24="",'21'!$K$24=""),"",IF(SIGN('21'!$I$24-'21'!$K$24)&lt;&gt;SIGN(Tulokset!$G$23-Tulokset!$I$23),0,IF(Tulokset!$G$23=Tulokset!$I$23,IF(AND('21'!$I$24=Tulokset!$G$23,'21'!$K$24=Tulokset!$I$23),6,3),MAX(0,6-(ABS('21'!$I$24-Tulokset!$G$23)+ABS('21'!$K$24-Tulokset!$I$23))))))</f>
        <v/>
      </c>
      <c r="Z24" t="str">
        <f>IF(OR(Tulokset!$G$24="",Tulokset!$I$24="",'21'!$I$25="",'21'!$K$25=""),"",IF(SIGN('21'!$I$25-'21'!$K$25)&lt;&gt;SIGN(Tulokset!$G$24-Tulokset!$I$24),0,IF(Tulokset!$G$24=Tulokset!$I$24,IF(AND('21'!$I$25=Tulokset!$G$24,'21'!$K$25=Tulokset!$I$24),6,3),MAX(0,6-(ABS('21'!$I$25-Tulokset!$G$24)+ABS('21'!$K$25-Tulokset!$I$24))))))</f>
        <v/>
      </c>
      <c r="AA24" t="str">
        <f>IF(OR(Tulokset!$G$25="",Tulokset!$I$25="",'21'!$I$26="",'21'!$K$26=""),"",IF(SIGN('21'!$I$26-'21'!$K$26)&lt;&gt;SIGN(Tulokset!$G$25-Tulokset!$I$25),0,IF(Tulokset!$G$25=Tulokset!$I$25,IF(AND('21'!$I$26=Tulokset!$G$25,'21'!$K$26=Tulokset!$I$25),6,3),MAX(0,6-(ABS('21'!$I$26-Tulokset!$G$25)+ABS('21'!$K$26-Tulokset!$I$25))))))</f>
        <v/>
      </c>
      <c r="AB24" t="str">
        <f>IF(OR(Tulokset!$G$26="",Tulokset!$I$26="",'21'!$I$27="",'21'!$K$27=""),"",IF(SIGN('21'!$I$27-'21'!$K$27)&lt;&gt;SIGN(Tulokset!$G$26-Tulokset!$I$26),0,IF(Tulokset!$G$26=Tulokset!$I$26,IF(AND('21'!$I$27=Tulokset!$G$26,'21'!$K$27=Tulokset!$I$26),6,3),MAX(0,6-(ABS('21'!$I$27-Tulokset!$G$26)+ABS('21'!$K$27-Tulokset!$I$26))))))</f>
        <v/>
      </c>
      <c r="AC24" t="str">
        <f>IF(OR(Tulokset!$G$27="",Tulokset!$I$27="",'21'!$I$28="",'21'!$K$28=""),"",IF(SIGN('21'!$I$28-'21'!$K$28)&lt;&gt;SIGN(Tulokset!$G$27-Tulokset!$I$27),0,IF(Tulokset!$G$27=Tulokset!$I$27,IF(AND('21'!$I$28=Tulokset!$G$27,'21'!$K$28=Tulokset!$I$27),6,3),MAX(0,6-(ABS('21'!$I$28-Tulokset!$G$27)+ABS('21'!$K$28-Tulokset!$I$27))))))</f>
        <v/>
      </c>
      <c r="AD24" t="str">
        <f>IF(OR(Tulokset!$G$28="",Tulokset!$I$28="",'21'!$I$29="",'21'!$K$29=""),"",IF(SIGN('21'!$I$29-'21'!$K$29)&lt;&gt;SIGN(Tulokset!$G$28-Tulokset!$I$28),0,IF(Tulokset!$G$28=Tulokset!$I$28,IF(AND('21'!$I$29=Tulokset!$G$28,'21'!$K$29=Tulokset!$I$28),6,3),MAX(0,6-(ABS('21'!$I$29-Tulokset!$G$28)+ABS('21'!$K$29-Tulokset!$I$28))))))</f>
        <v/>
      </c>
      <c r="AE24" t="str">
        <f>IF(OR(Tulokset!$G$29="",Tulokset!$I$29="",'21'!$I$30="",'21'!$K$30=""),"",IF(SIGN('21'!$I$30-'21'!$K$30)&lt;&gt;SIGN(Tulokset!$G$29-Tulokset!$I$29),0,IF(Tulokset!$G$29=Tulokset!$I$29,IF(AND('21'!$I$30=Tulokset!$G$29,'21'!$K$30=Tulokset!$I$29),6,3),MAX(0,6-(ABS('21'!$I$30-Tulokset!$G$29)+ABS('21'!$K$30-Tulokset!$I$29))))))</f>
        <v/>
      </c>
      <c r="AF24" t="str">
        <f>IF(OR(Tulokset!$G$30="",Tulokset!$I$30="",'21'!$I$31="",'21'!$K$31=""),"",IF(SIGN('21'!$I$31-'21'!$K$31)&lt;&gt;SIGN(Tulokset!$G$30-Tulokset!$I$30),0,IF(Tulokset!$G$30=Tulokset!$I$30,IF(AND('21'!$I$31=Tulokset!$G$30,'21'!$K$31=Tulokset!$I$30),6,3),MAX(0,6-(ABS('21'!$I$31-Tulokset!$G$30)+ABS('21'!$K$31-Tulokset!$I$30))))))</f>
        <v/>
      </c>
      <c r="AG24" t="str">
        <f>IF(OR(Tulokset!$G$31="",Tulokset!$I$31="",'21'!$I$32="",'21'!$K$32=""),"",IF(SIGN('21'!$I$32-'21'!$K$32)&lt;&gt;SIGN(Tulokset!$G$31-Tulokset!$I$31),0,IF(Tulokset!$G$31=Tulokset!$I$31,IF(AND('21'!$I$32=Tulokset!$G$31,'21'!$K$32=Tulokset!$I$31),6,3),MAX(0,6-(ABS('21'!$I$32-Tulokset!$G$31)+ABS('21'!$K$32-Tulokset!$I$31))))))</f>
        <v/>
      </c>
      <c r="AH24" t="str">
        <f>IF(OR(Tulokset!$G$32="",Tulokset!$I$32="",'21'!$I$33="",'21'!$K$33=""),"",IF(SIGN('21'!$I$33-'21'!$K$33)&lt;&gt;SIGN(Tulokset!$G$32-Tulokset!$I$32),0,IF(Tulokset!$G$32=Tulokset!$I$32,IF(AND('21'!$I$33=Tulokset!$G$32,'21'!$K$33=Tulokset!$I$32),6,3),MAX(0,6-(ABS('21'!$I$33-Tulokset!$G$32)+ABS('21'!$K$33-Tulokset!$I$32))))))</f>
        <v/>
      </c>
      <c r="AI24" t="str">
        <f>IF(OR(Tulokset!$G$33="",Tulokset!$I$33="",'21'!$I$34="",'21'!$K$34=""),"",IF(SIGN('21'!$I$34-'21'!$K$34)&lt;&gt;SIGN(Tulokset!$G$33-Tulokset!$I$33),0,IF(Tulokset!$G$33=Tulokset!$I$33,IF(AND('21'!$I$34=Tulokset!$G$33,'21'!$K$34=Tulokset!$I$33),6,3),MAX(0,6-(ABS('21'!$I$34-Tulokset!$G$33)+ABS('21'!$K$34-Tulokset!$I$33))))))</f>
        <v/>
      </c>
      <c r="AJ24" t="str">
        <f>IF(OR(Tulokset!$G$34="",Tulokset!$I$34="",'21'!$I$35="",'21'!$K$35=""),"",IF(SIGN('21'!$I$35-'21'!$K$35)&lt;&gt;SIGN(Tulokset!$G$34-Tulokset!$I$34),0,IF(Tulokset!$G$34=Tulokset!$I$34,IF(AND('21'!$I$35=Tulokset!$G$34,'21'!$K$35=Tulokset!$I$34),6,3),MAX(0,6-(ABS('21'!$I$35-Tulokset!$G$34)+ABS('21'!$K$35-Tulokset!$I$34))))))</f>
        <v/>
      </c>
      <c r="AK24" t="str">
        <f>IF(OR(Tulokset!$G$35="",Tulokset!$I$35="",'21'!$I$36="",'21'!$K$36=""),"",IF(SIGN('21'!$I$36-'21'!$K$36)&lt;&gt;SIGN(Tulokset!$G$35-Tulokset!$I$35),0,IF(Tulokset!$G$35=Tulokset!$I$35,IF(AND('21'!$I$36=Tulokset!$G$35,'21'!$K$36=Tulokset!$I$35),6,3),MAX(0,6-(ABS('21'!$I$36-Tulokset!$G$35)+ABS('21'!$K$36-Tulokset!$I$35))))))</f>
        <v/>
      </c>
      <c r="AL24" t="str">
        <f>IF(OR(Tulokset!$G$36="",Tulokset!$I$36="",'21'!$I$37="",'21'!$K$37=""),"",IF(SIGN('21'!$I$37-'21'!$K$37)&lt;&gt;SIGN(Tulokset!$G$36-Tulokset!$I$36),0,IF(Tulokset!$G$36=Tulokset!$I$36,IF(AND('21'!$I$37=Tulokset!$G$36,'21'!$K$37=Tulokset!$I$36),6,3),MAX(0,6-(ABS('21'!$I$37-Tulokset!$G$36)+ABS('21'!$K$37-Tulokset!$I$36))))))</f>
        <v/>
      </c>
      <c r="AM24" t="str">
        <f>IF(OR(Tulokset!$G$37="",Tulokset!$I$37="",'21'!$I$38="",'21'!$K$38=""),"",IF(SIGN('21'!$I$38-'21'!$K$38)&lt;&gt;SIGN(Tulokset!$G$37-Tulokset!$I$37),0,IF(Tulokset!$G$37=Tulokset!$I$37,IF(AND('21'!$I$38=Tulokset!$G$37,'21'!$K$38=Tulokset!$I$37),6,3),MAX(0,6-(ABS('21'!$I$38-Tulokset!$G$37)+ABS('21'!$K$38-Tulokset!$I$37))))))</f>
        <v/>
      </c>
      <c r="AN24" t="str">
        <f>IF(OR(Tulokset!$G$38="",Tulokset!$I$38="",'21'!$I$39="",'21'!$K$39=""),"",IF(SIGN('21'!$I$39-'21'!$K$39)&lt;&gt;SIGN(Tulokset!$G$38-Tulokset!$I$38),0,IF(Tulokset!$G$38=Tulokset!$I$38,IF(AND('21'!$I$39=Tulokset!$G$38,'21'!$K$39=Tulokset!$I$38),6,3),MAX(0,6-(ABS('21'!$I$39-Tulokset!$G$38)+ABS('21'!$K$39-Tulokset!$I$38))))))</f>
        <v/>
      </c>
      <c r="AO24" t="str">
        <f>IF(OR(Tulokset!$G$39="",Tulokset!$I$39="",'21'!$I$40="",'21'!$K$40=""),"",IF(SIGN('21'!$I$40-'21'!$K$40)&lt;&gt;SIGN(Tulokset!$G$39-Tulokset!$I$39),0,IF(Tulokset!$G$39=Tulokset!$I$39,IF(AND('21'!$I$40=Tulokset!$G$39,'21'!$K$40=Tulokset!$I$39),6,3),MAX(0,6-(ABS('21'!$I$40-Tulokset!$G$39)+ABS('21'!$K$40-Tulokset!$I$39))))))</f>
        <v/>
      </c>
      <c r="AP24" t="str">
        <f>IF(OR(Tulokset!$G$40="",Tulokset!$I$40="",'21'!$I$41="",'21'!$K$41=""),"",IF(SIGN('21'!$I$41-'21'!$K$41)&lt;&gt;SIGN(Tulokset!$G$40-Tulokset!$I$40),0,IF(Tulokset!$G$40=Tulokset!$I$40,IF(AND('21'!$I$41=Tulokset!$G$40,'21'!$K$41=Tulokset!$I$40),6,3),MAX(0,6-(ABS('21'!$I$41-Tulokset!$G$40)+ABS('21'!$K$41-Tulokset!$I$40))))))</f>
        <v/>
      </c>
      <c r="AQ24" t="str">
        <f>IF(OR(Tulokset!$G$41="",Tulokset!$I$41="",'21'!$I$42="",'21'!$K$42=""),"",IF(SIGN('21'!$I$42-'21'!$K$42)&lt;&gt;SIGN(Tulokset!$G$41-Tulokset!$I$41),0,IF(Tulokset!$G$41=Tulokset!$I$41,IF(AND('21'!$I$42=Tulokset!$G$41,'21'!$K$42=Tulokset!$I$41),6,3),MAX(0,6-(ABS('21'!$I$42-Tulokset!$G$41)+ABS('21'!$K$42-Tulokset!$I$41))))))</f>
        <v/>
      </c>
      <c r="AR24" t="str">
        <f>IF(OR(Tulokset!$G$42="",Tulokset!$I$42="",'21'!$I$43="",'21'!$K$43=""),"",IF(SIGN('21'!$I$43-'21'!$K$43)&lt;&gt;SIGN(Tulokset!$G$42-Tulokset!$I$42),0,IF(Tulokset!$G$42=Tulokset!$I$42,IF(AND('21'!$I$43=Tulokset!$G$42,'21'!$K$43=Tulokset!$I$42),6,3),MAX(0,6-(ABS('21'!$I$43-Tulokset!$G$42)+ABS('21'!$K$43-Tulokset!$I$42))))))</f>
        <v/>
      </c>
      <c r="AS24" t="str">
        <f>IF(OR(Tulokset!$G$43="",Tulokset!$I$43="",'21'!$I$44="",'21'!$K$44=""),"",IF(SIGN('21'!$I$44-'21'!$K$44)&lt;&gt;SIGN(Tulokset!$G$43-Tulokset!$I$43),0,IF(Tulokset!$G$43=Tulokset!$I$43,IF(AND('21'!$I$44=Tulokset!$G$43,'21'!$K$44=Tulokset!$I$43),6,3),MAX(0,6-(ABS('21'!$I$44-Tulokset!$G$43)+ABS('21'!$K$44-Tulokset!$I$43))))))</f>
        <v/>
      </c>
      <c r="AT24" t="str">
        <f>IF(OR(Tulokset!$G$44="",Tulokset!$I$44="",'21'!$I$45="",'21'!$K$45=""),"",IF(SIGN('21'!$I$45-'21'!$K$45)&lt;&gt;SIGN(Tulokset!$G$44-Tulokset!$I$44),0,IF(Tulokset!$G$44=Tulokset!$I$44,IF(AND('21'!$I$45=Tulokset!$G$44,'21'!$K$45=Tulokset!$I$44),6,3),MAX(0,6-(ABS('21'!$I$45-Tulokset!$G$44)+ABS('21'!$K$45-Tulokset!$I$44))))))</f>
        <v/>
      </c>
      <c r="AU24" t="str">
        <f>IF(OR(Tulokset!$G$45="",Tulokset!$I$45="",'21'!$I$46="",'21'!$K$46=""),"",IF(SIGN('21'!$I$46-'21'!$K$46)&lt;&gt;SIGN(Tulokset!$G$45-Tulokset!$I$45),0,IF(Tulokset!$G$45=Tulokset!$I$45,IF(AND('21'!$I$46=Tulokset!$G$45,'21'!$K$46=Tulokset!$I$45),6,3),MAX(0,6-(ABS('21'!$I$46-Tulokset!$G$45)+ABS('21'!$K$46-Tulokset!$I$45))))))</f>
        <v/>
      </c>
      <c r="AV24" t="str">
        <f>IF(OR(Tulokset!$G$46="",Tulokset!$I$46="",'21'!$I$47="",'21'!$K$47=""),"",IF(SIGN('21'!$I$47-'21'!$K$47)&lt;&gt;SIGN(Tulokset!$G$46-Tulokset!$I$46),0,IF(Tulokset!$G$46=Tulokset!$I$46,IF(AND('21'!$I$47=Tulokset!$G$46,'21'!$K$47=Tulokset!$I$46),6,3),MAX(0,6-(ABS('21'!$I$47-Tulokset!$G$46)+ABS('21'!$K$47-Tulokset!$I$46))))))</f>
        <v/>
      </c>
      <c r="AW24" t="str">
        <f>IF(OR(Tulokset!$G$47="",Tulokset!$I$47="",'21'!$I$48="",'21'!$K$48=""),"",IF(SIGN('21'!$I$48-'21'!$K$48)&lt;&gt;SIGN(Tulokset!$G$47-Tulokset!$I$47),0,IF(Tulokset!$G$47=Tulokset!$I$47,IF(AND('21'!$I$48=Tulokset!$G$47,'21'!$K$48=Tulokset!$I$47),6,3),MAX(0,6-(ABS('21'!$I$48-Tulokset!$G$47)+ABS('21'!$K$48-Tulokset!$I$47))))))</f>
        <v/>
      </c>
      <c r="AX24" t="str">
        <f>IF(OR(Tulokset!$G$48="",Tulokset!$I$48="",'21'!$I$49="",'21'!$K$49=""),"",IF(SIGN('21'!$I$49-'21'!$K$49)&lt;&gt;SIGN(Tulokset!$G$48-Tulokset!$I$48),0,IF(Tulokset!$G$48=Tulokset!$I$48,IF(AND('21'!$I$49=Tulokset!$G$48,'21'!$K$49=Tulokset!$I$48),6,3),MAX(0,6-(ABS('21'!$I$49-Tulokset!$G$48)+ABS('21'!$K$49-Tulokset!$I$48))))))</f>
        <v/>
      </c>
      <c r="AY24" t="str">
        <f>IF(OR(Tulokset!$G$49="",Tulokset!$I$49="",'21'!$I$50="",'21'!$K$50=""),"",IF(SIGN('21'!$I$50-'21'!$K$50)&lt;&gt;SIGN(Tulokset!$G$49-Tulokset!$I$49),0,IF(Tulokset!$G$49=Tulokset!$I$49,IF(AND('21'!$I$50=Tulokset!$G$49,'21'!$K$50=Tulokset!$I$49),6,3),MAX(0,6-(ABS('21'!$I$50-Tulokset!$G$49)+ABS('21'!$K$50-Tulokset!$I$49))))))</f>
        <v/>
      </c>
      <c r="AZ24" t="str">
        <f>IF(OR(Tulokset!$G$50="",Tulokset!$I$50="",'21'!$I$51="",'21'!$K$51=""),"",IF(SIGN('21'!$I$51-'21'!$K$51)&lt;&gt;SIGN(Tulokset!$G$50-Tulokset!$I$50),0,IF(Tulokset!$G$50=Tulokset!$I$50,IF(AND('21'!$I$51=Tulokset!$G$50,'21'!$K$51=Tulokset!$I$50),6,3),MAX(0,6-(ABS('21'!$I$51-Tulokset!$G$50)+ABS('21'!$K$51-Tulokset!$I$50))))))</f>
        <v/>
      </c>
      <c r="BA24" t="str">
        <f>IF(OR(Tulokset!$G$51="",Tulokset!$I$51="",'21'!$I$52="",'21'!$K$52=""),"",IF(SIGN('21'!$I$52-'21'!$K$52)&lt;&gt;SIGN(Tulokset!$G$51-Tulokset!$I$51),0,IF(Tulokset!$G$51=Tulokset!$I$51,IF(AND('21'!$I$52=Tulokset!$G$51,'21'!$K$52=Tulokset!$I$51),6,3),MAX(0,6-(ABS('21'!$I$52-Tulokset!$G$51)+ABS('21'!$K$52-Tulokset!$I$51))))))</f>
        <v/>
      </c>
      <c r="BB24" t="str">
        <f>IF(OR(Tulokset!$G$52="",Tulokset!$I$52="",'21'!$I$53="",'21'!$K$53=""),"",IF(SIGN('21'!$I$53-'21'!$K$53)&lt;&gt;SIGN(Tulokset!$G$52-Tulokset!$I$52),0,IF(Tulokset!$G$52=Tulokset!$I$52,IF(AND('21'!$I$53=Tulokset!$G$52,'21'!$K$53=Tulokset!$I$52),6,3),MAX(0,6-(ABS('21'!$I$53-Tulokset!$G$52)+ABS('21'!$K$53-Tulokset!$I$52))))))</f>
        <v/>
      </c>
      <c r="BC24" t="str">
        <f>IF(OR(Tulokset!$G$53="",Tulokset!$I$53="",'21'!$I$54="",'21'!$K$54=""),"",IF(SIGN('21'!$I$54-'21'!$K$54)&lt;&gt;SIGN(Tulokset!$G$53-Tulokset!$I$53),0,IF(Tulokset!$G$53=Tulokset!$I$53,IF(AND('21'!$I$54=Tulokset!$G$53,'21'!$K$54=Tulokset!$I$53),6,3),MAX(0,6-(ABS('21'!$I$54-Tulokset!$G$53)+ABS('21'!$K$54-Tulokset!$I$53))))))</f>
        <v/>
      </c>
      <c r="BD24" t="str">
        <f>IF(OR(Tulokset!$G$54="",Tulokset!$I$54="",'21'!$I$55="",'21'!$K$55=""),"",IF(SIGN('21'!$I$55-'21'!$K$55)&lt;&gt;SIGN(Tulokset!$G$54-Tulokset!$I$54),0,IF(Tulokset!$G$54=Tulokset!$I$54,IF(AND('21'!$I$55=Tulokset!$G$54,'21'!$K$55=Tulokset!$I$54),6,3),MAX(0,6-(ABS('21'!$I$55-Tulokset!$G$54)+ABS('21'!$K$55-Tulokset!$I$54))))))</f>
        <v/>
      </c>
      <c r="BE24" t="str">
        <f>IF(OR(Tulokset!$G$55="",Tulokset!$I$55="",'21'!$I$56="",'21'!$K$56=""),"",IF(SIGN('21'!$I$56-'21'!$K$56)&lt;&gt;SIGN(Tulokset!$G$55-Tulokset!$I$55),0,IF(Tulokset!$G$55=Tulokset!$I$55,IF(AND('21'!$I$56=Tulokset!$G$55,'21'!$K$56=Tulokset!$I$55),6,3),MAX(0,6-(ABS('21'!$I$56-Tulokset!$G$55)+ABS('21'!$K$56-Tulokset!$I$55))))))</f>
        <v/>
      </c>
      <c r="BF24" t="str">
        <f>IF(OR(Tulokset!$G$56="",Tulokset!$I$56="",'21'!$I$57="",'21'!$K$57=""),"",IF(SIGN('21'!$I$57-'21'!$K$57)&lt;&gt;SIGN(Tulokset!$G$56-Tulokset!$I$56),0,IF(Tulokset!$G$56=Tulokset!$I$56,IF(AND('21'!$I$57=Tulokset!$G$56,'21'!$K$57=Tulokset!$I$56),6,3),MAX(0,6-(ABS('21'!$I$57-Tulokset!$G$56)+ABS('21'!$K$57-Tulokset!$I$56))))))</f>
        <v/>
      </c>
      <c r="BG24" t="str">
        <f>IF(OR(Tulokset!$G$57="",Tulokset!$I$57="",'21'!$I$58="",'21'!$K$58=""),"",IF(SIGN('21'!$I$58-'21'!$K$58)&lt;&gt;SIGN(Tulokset!$G$57-Tulokset!$I$57),0,IF(Tulokset!$G$57=Tulokset!$I$57,IF(AND('21'!$I$58=Tulokset!$G$57,'21'!$K$58=Tulokset!$I$57),6,3),MAX(0,6-(ABS('21'!$I$58-Tulokset!$G$57)+ABS('21'!$K$58-Tulokset!$I$57))))))</f>
        <v/>
      </c>
      <c r="BH24" t="str">
        <f>IF(OR(Tulokset!$G$58="",Tulokset!$I$58="",'21'!$I$59="",'21'!$K$59=""),"",IF(SIGN('21'!$I$59-'21'!$K$59)&lt;&gt;SIGN(Tulokset!$G$58-Tulokset!$I$58),0,IF(Tulokset!$G$58=Tulokset!$I$58,IF(AND('21'!$I$59=Tulokset!$G$58,'21'!$K$59=Tulokset!$I$58),6,3),MAX(0,6-(ABS('21'!$I$59-Tulokset!$G$58)+ABS('21'!$K$59-Tulokset!$I$58))))))</f>
        <v/>
      </c>
      <c r="BI24" t="str">
        <f>IF(OR(Tulokset!$G$59="",Tulokset!$I$59="",'21'!$I$60="",'21'!$K$60=""),"",IF(SIGN('21'!$I$60-'21'!$K$60)&lt;&gt;SIGN(Tulokset!$G$59-Tulokset!$I$59),0,IF(Tulokset!$G$59=Tulokset!$I$59,IF(AND('21'!$I$60=Tulokset!$G$59,'21'!$K$60=Tulokset!$I$59),6,3),MAX(0,6-(ABS('21'!$I$60-Tulokset!$G$59)+ABS('21'!$K$60-Tulokset!$I$59))))))</f>
        <v/>
      </c>
      <c r="BJ24" t="str">
        <f>IF(OR(Tulokset!$G$60="",Tulokset!$I$60="",'21'!$I$61="",'21'!$K$61=""),"",IF(SIGN('21'!$I$61-'21'!$K$61)&lt;&gt;SIGN(Tulokset!$G$60-Tulokset!$I$60),0,IF(Tulokset!$G$60=Tulokset!$I$60,IF(AND('21'!$I$61=Tulokset!$G$60,'21'!$K$61=Tulokset!$I$60),6,3),MAX(0,6-(ABS('21'!$I$61-Tulokset!$G$60)+ABS('21'!$K$61-Tulokset!$I$60))))))</f>
        <v/>
      </c>
      <c r="BK24" t="str">
        <f>IF(OR(Tulokset!$G$61="",Tulokset!$I$61="",'21'!$I$62="",'21'!$K$62=""),"",IF(SIGN('21'!$I$62-'21'!$K$62)&lt;&gt;SIGN(Tulokset!$G$61-Tulokset!$I$61),0,IF(Tulokset!$G$61=Tulokset!$I$61,IF(AND('21'!$I$62=Tulokset!$G$61,'21'!$K$62=Tulokset!$I$61),6,3),MAX(0,6-(ABS('21'!$I$62-Tulokset!$G$61)+ABS('21'!$K$62-Tulokset!$I$61))))))</f>
        <v/>
      </c>
      <c r="BL24" t="str">
        <f>IF(OR(Tulokset!$G$62="",Tulokset!$I$62="",'21'!$I$63="",'21'!$K$63=""),"",IF(SIGN('21'!$I$63-'21'!$K$63)&lt;&gt;SIGN(Tulokset!$G$62-Tulokset!$I$62),0,IF(Tulokset!$G$62=Tulokset!$I$62,IF(AND('21'!$I$63=Tulokset!$G$62,'21'!$K$63=Tulokset!$I$62),6,3),MAX(0,6-(ABS('21'!$I$63-Tulokset!$G$62)+ABS('21'!$K$63-Tulokset!$I$62))))))</f>
        <v/>
      </c>
      <c r="BM24" t="str">
        <f>IF(OR(Tulokset!$G$63="",Tulokset!$I$63="",'21'!$I$64="",'21'!$K$64=""),"",IF(SIGN('21'!$I$64-'21'!$K$64)&lt;&gt;SIGN(Tulokset!$G$63-Tulokset!$I$63),0,IF(Tulokset!$G$63=Tulokset!$I$63,IF(AND('21'!$I$64=Tulokset!$G$63,'21'!$K$64=Tulokset!$I$63),6,3),MAX(0,6-(ABS('21'!$I$64-Tulokset!$G$63)+ABS('21'!$K$64-Tulokset!$I$63))))))</f>
        <v/>
      </c>
      <c r="BN24" t="str">
        <f>IF(OR(Tulokset!$G$64="",Tulokset!$I$64="",'21'!$I$65="",'21'!$K$65=""),"",IF(SIGN('21'!$I$65-'21'!$K$65)&lt;&gt;SIGN(Tulokset!$G$64-Tulokset!$I$64),0,IF(Tulokset!$G$64=Tulokset!$I$64,IF(AND('21'!$I$65=Tulokset!$G$64,'21'!$K$65=Tulokset!$I$64),6,3),MAX(0,6-(ABS('21'!$I$65-Tulokset!$G$64)+ABS('21'!$K$65-Tulokset!$I$64))))))</f>
        <v/>
      </c>
      <c r="BO24" t="str">
        <f>IF(OR(Tulokset!$G$65="",Tulokset!$I$65="",'21'!$I$66="",'21'!$K$66=""),"",IF(SIGN('21'!$I$66-'21'!$K$66)&lt;&gt;SIGN(Tulokset!$G$65-Tulokset!$I$65),0,IF(Tulokset!$G$65=Tulokset!$I$65,IF(AND('21'!$I$66=Tulokset!$G$65,'21'!$K$66=Tulokset!$I$65),6,3),MAX(0,6-(ABS('21'!$I$66-Tulokset!$G$65)+ABS('21'!$K$66-Tulokset!$I$65))))))</f>
        <v/>
      </c>
      <c r="BP24" t="str">
        <f>IF(OR(Tulokset!$G$66="",Tulokset!$I$66="",'21'!$I$67="",'21'!$K$67=""),"",IF(SIGN('21'!$I$67-'21'!$K$67)&lt;&gt;SIGN(Tulokset!$G$66-Tulokset!$I$66),0,IF(Tulokset!$G$66=Tulokset!$I$66,IF(AND('21'!$I$67=Tulokset!$G$66,'21'!$K$67=Tulokset!$I$66),6,3),MAX(0,6-(ABS('21'!$I$67-Tulokset!$G$66)+ABS('21'!$K$67-Tulokset!$I$66))))))</f>
        <v/>
      </c>
      <c r="BQ24" t="str">
        <f>IF(OR(Tulokset!$G$67="",Tulokset!$I$67="",'21'!$I$68="",'21'!$K$68=""),"",IF(SIGN('21'!$I$68-'21'!$K$68)&lt;&gt;SIGN(Tulokset!$G$67-Tulokset!$I$67),0,IF(Tulokset!$G$67=Tulokset!$I$67,IF(AND('21'!$I$68=Tulokset!$G$67,'21'!$K$68=Tulokset!$I$67),6,3),MAX(0,6-(ABS('21'!$I$68-Tulokset!$G$67)+ABS('21'!$K$68-Tulokset!$I$67))))))</f>
        <v/>
      </c>
      <c r="BR24" t="str">
        <f>IF(OR(Tulokset!$G$68="",Tulokset!$I$68="",'21'!$I$69="",'21'!$K$69=""),"",IF(SIGN('21'!$I$69-'21'!$K$69)&lt;&gt;SIGN(Tulokset!$G$68-Tulokset!$I$68),0,IF(Tulokset!$G$68=Tulokset!$I$68,IF(AND('21'!$I$69=Tulokset!$G$68,'21'!$K$69=Tulokset!$I$68),6,3),MAX(0,6-(ABS('21'!$I$69-Tulokset!$G$68)+ABS('21'!$K$69-Tulokset!$I$68))))))</f>
        <v/>
      </c>
      <c r="BS24" t="str">
        <f>IF(OR(Tulokset!$G$69="",Tulokset!$I$69="",'21'!$I$70="",'21'!$K$70=""),"",IF(SIGN('21'!$I$70-'21'!$K$70)&lt;&gt;SIGN(Tulokset!$G$69-Tulokset!$I$69),0,IF(Tulokset!$G$69=Tulokset!$I$69,IF(AND('21'!$I$70=Tulokset!$G$69,'21'!$K$70=Tulokset!$I$69),6,3),MAX(0,6-(ABS('21'!$I$70-Tulokset!$G$69)+ABS('21'!$K$70-Tulokset!$I$69))))))</f>
        <v/>
      </c>
      <c r="BT24" t="str">
        <f>IF(OR(Tulokset!$G$70="",Tulokset!$I$70="",'21'!$I$71="",'21'!$K$71=""),"",IF(SIGN('21'!$I$71-'21'!$K$71)&lt;&gt;SIGN(Tulokset!$G$70-Tulokset!$I$70),0,IF(Tulokset!$G$70=Tulokset!$I$70,IF(AND('21'!$I$71=Tulokset!$G$70,'21'!$K$71=Tulokset!$I$70),6,3),MAX(0,6-(ABS('21'!$I$71-Tulokset!$G$70)+ABS('21'!$K$71-Tulokset!$I$70))))))</f>
        <v/>
      </c>
      <c r="BU24" t="str">
        <f>IF(OR(Tulokset!$G$71="",Tulokset!$I$71="",'21'!$I$72="",'21'!$K$72=""),"",IF(SIGN('21'!$I$72-'21'!$K$72)&lt;&gt;SIGN(Tulokset!$G$71-Tulokset!$I$71),0,IF(Tulokset!$G$71=Tulokset!$I$71,IF(AND('21'!$I$72=Tulokset!$G$71,'21'!$K$72=Tulokset!$I$71),6,3),MAX(0,6-(ABS('21'!$I$72-Tulokset!$G$71)+ABS('21'!$K$72-Tulokset!$I$71))))))</f>
        <v/>
      </c>
      <c r="BV24" t="str">
        <f>IF(OR(Tulokset!$G$72="",Tulokset!$I$72="",'21'!$I$73="",'21'!$K$73=""),"",IF(SIGN('21'!$I$73-'21'!$K$73)&lt;&gt;SIGN(Tulokset!$G$72-Tulokset!$I$72),0,IF(Tulokset!$G$72=Tulokset!$I$72,IF(AND('21'!$I$73=Tulokset!$G$72,'21'!$K$73=Tulokset!$I$72),6,3),MAX(0,6-(ABS('21'!$I$73-Tulokset!$G$72)+ABS('21'!$K$73-Tulokset!$I$72))))))</f>
        <v/>
      </c>
      <c r="BW24" t="str">
        <f>IF(OR(Tulokset!$G$73="",Tulokset!$I$73="",'21'!$I$74="",'21'!$K$74=""),"",IF(SIGN('21'!$I$74-'21'!$K$74)&lt;&gt;SIGN(Tulokset!$G$73-Tulokset!$I$73),0,IF(Tulokset!$G$73=Tulokset!$I$73,IF(AND('21'!$I$74=Tulokset!$G$73,'21'!$K$74=Tulokset!$I$73),6,3),MAX(0,6-(ABS('21'!$I$74-Tulokset!$G$73)+ABS('21'!$K$74-Tulokset!$I$73))))))</f>
        <v/>
      </c>
      <c r="BX24" t="str">
        <f>IF(OR(Tulokset!$G$74="",Tulokset!$I$74="",'21'!$I$75="",'21'!$K$75=""),"",IF(SIGN('21'!$I$75-'21'!$K$75)&lt;&gt;SIGN(Tulokset!$G$74-Tulokset!$I$74),0,IF(Tulokset!$G$74=Tulokset!$I$74,IF(AND('21'!$I$75=Tulokset!$G$74,'21'!$K$75=Tulokset!$I$74),6,3),MAX(0,6-(ABS('21'!$I$75-Tulokset!$G$74)+ABS('21'!$K$75-Tulokset!$I$74))))))</f>
        <v/>
      </c>
      <c r="BY24" t="str">
        <f>IF(OR(Tulokset!$G$75="",Tulokset!$I$75="",'21'!$I$76="",'21'!$K$76=""),"",IF(SIGN('21'!$I$76-'21'!$K$76)&lt;&gt;SIGN(Tulokset!$G$75-Tulokset!$I$75),0,IF(Tulokset!$G$75=Tulokset!$I$75,IF(AND('21'!$I$76=Tulokset!$G$75,'21'!$K$76=Tulokset!$I$75),6,3),MAX(0,6-(ABS('21'!$I$76-Tulokset!$G$75)+ABS('21'!$K$76-Tulokset!$I$75))))))</f>
        <v/>
      </c>
      <c r="BZ24" t="str">
        <f>IF(OR(Tulokset!$G$76="",Tulokset!$I$76="",'21'!$I$77="",'21'!$K$77=""),"",IF(SIGN('21'!$I$77-'21'!$K$77)&lt;&gt;SIGN(Tulokset!$G$76-Tulokset!$I$76),0,IF(Tulokset!$G$76=Tulokset!$I$76,IF(AND('21'!$I$77=Tulokset!$G$76,'21'!$K$77=Tulokset!$I$76),6,3),MAX(0,6-(ABS('21'!$I$77-Tulokset!$G$76)+ABS('21'!$K$77-Tulokset!$I$76))))))</f>
        <v/>
      </c>
      <c r="CA24" t="str">
        <f>IF(OR(Tulokset!$G$77="",Tulokset!$I$77="",'21'!$I$78="",'21'!$K$78=""),"",IF(SIGN('21'!$I$78-'21'!$K$78)&lt;&gt;SIGN(Tulokset!$G$77-Tulokset!$I$77),0,IF(Tulokset!$G$77=Tulokset!$I$77,IF(AND('21'!$I$78=Tulokset!$G$77,'21'!$K$78=Tulokset!$I$77),6,3),MAX(0,6-(ABS('21'!$I$78-Tulokset!$G$77)+ABS('21'!$K$78-Tulokset!$I$77))))))</f>
        <v/>
      </c>
      <c r="CD24" t="str">
        <f ca="1">IF(OR(Tulokset!$M$6="",INDIRECT("'"&amp;$A24&amp;"'!$P$8")=""),"",IF(TRIM(INDIRECT("'"&amp;$A24&amp;"'!$P$8"))=TRIM(Tulokset!$M$6),2,0))</f>
        <v/>
      </c>
      <c r="CE24" t="str">
        <f ca="1">IF(OR(Tulokset!$M$7="",INDIRECT("'"&amp;$A24&amp;"'!$P$9")=""),"",IF(TRIM(INDIRECT("'"&amp;$A24&amp;"'!$P$9"))=TRIM(Tulokset!$M$7),2,0))</f>
        <v/>
      </c>
      <c r="CF24" t="str">
        <f ca="1">IF(OR(Tulokset!$M$8="",INDIRECT("'"&amp;$A24&amp;"'!$P$10")=""),"",IF(TRIM(INDIRECT("'"&amp;$A24&amp;"'!$P$10"))=TRIM(Tulokset!$M$8),2,0))</f>
        <v/>
      </c>
      <c r="CG24" t="str">
        <f ca="1">IF(OR(Tulokset!$M$9="",INDIRECT("'"&amp;$A24&amp;"'!$P$11")=""),"",IF(TRIM(INDIRECT("'"&amp;$A24&amp;"'!$P$11"))=TRIM(Tulokset!$M$9),2,0))</f>
        <v/>
      </c>
      <c r="CH24" t="str">
        <f ca="1">IF(OR(Tulokset!$N$6="",INDIRECT("'"&amp;$A24&amp;"'!$Q$8")=""),"",IF(TRIM(INDIRECT("'"&amp;$A24&amp;"'!$Q$8"))=TRIM(Tulokset!$N$6),2,0))</f>
        <v/>
      </c>
      <c r="CI24" t="str">
        <f ca="1">IF(OR(Tulokset!$N$7="",INDIRECT("'"&amp;$A24&amp;"'!$Q$9")=""),"",IF(TRIM(INDIRECT("'"&amp;$A24&amp;"'!$Q$9"))=TRIM(Tulokset!$N$7),2,0))</f>
        <v/>
      </c>
      <c r="CJ24" t="str">
        <f ca="1">IF(OR(Tulokset!$N$8="",INDIRECT("'"&amp;$A24&amp;"'!$Q$10")=""),"",IF(TRIM(INDIRECT("'"&amp;$A24&amp;"'!$Q$10"))=TRIM(Tulokset!$N$8),2,0))</f>
        <v/>
      </c>
      <c r="CK24" t="str">
        <f ca="1">IF(OR(Tulokset!$N$9="",INDIRECT("'"&amp;$A24&amp;"'!$Q$11")=""),"",IF(TRIM(INDIRECT("'"&amp;$A24&amp;"'!$Q$11"))=TRIM(Tulokset!$N$9),2,0))</f>
        <v/>
      </c>
      <c r="CL24" t="str">
        <f ca="1">IF(OR(Tulokset!$O$6="",INDIRECT("'"&amp;$A24&amp;"'!$R$8")=""),"",IF(TRIM(INDIRECT("'"&amp;$A24&amp;"'!$R$8"))=TRIM(Tulokset!$O$6),2,0))</f>
        <v/>
      </c>
      <c r="CM24" t="str">
        <f ca="1">IF(OR(Tulokset!$O$7="",INDIRECT("'"&amp;$A24&amp;"'!$R$9")=""),"",IF(TRIM(INDIRECT("'"&amp;$A24&amp;"'!$R$9"))=TRIM(Tulokset!$O$7),2,0))</f>
        <v/>
      </c>
      <c r="CN24" t="str">
        <f ca="1">IF(OR(Tulokset!$O$8="",INDIRECT("'"&amp;$A24&amp;"'!$R$10")=""),"",IF(TRIM(INDIRECT("'"&amp;$A24&amp;"'!$R$10"))=TRIM(Tulokset!$O$8),2,0))</f>
        <v/>
      </c>
      <c r="CO24" t="str">
        <f ca="1">IF(OR(Tulokset!$O$9="",INDIRECT("'"&amp;$A24&amp;"'!$R$11")=""),"",IF(TRIM(INDIRECT("'"&amp;$A24&amp;"'!$R$11"))=TRIM(Tulokset!$O$9),2,0))</f>
        <v/>
      </c>
      <c r="CP24" t="str">
        <f ca="1">IF(OR(Tulokset!$P$6="",INDIRECT("'"&amp;$A24&amp;"'!$S$8")=""),"",IF(TRIM(INDIRECT("'"&amp;$A24&amp;"'!$S$8"))=TRIM(Tulokset!$P$6),2,0))</f>
        <v/>
      </c>
      <c r="CQ24" t="str">
        <f ca="1">IF(OR(Tulokset!$P$7="",INDIRECT("'"&amp;$A24&amp;"'!$S$9")=""),"",IF(TRIM(INDIRECT("'"&amp;$A24&amp;"'!$S$9"))=TRIM(Tulokset!$P$7),2,0))</f>
        <v/>
      </c>
      <c r="CR24" t="str">
        <f ca="1">IF(OR(Tulokset!$P$8="",INDIRECT("'"&amp;$A24&amp;"'!$S$10")=""),"",IF(TRIM(INDIRECT("'"&amp;$A24&amp;"'!$S$10"))=TRIM(Tulokset!$P$8),2,0))</f>
        <v/>
      </c>
      <c r="CS24" t="str">
        <f ca="1">IF(OR(Tulokset!$P$9="",INDIRECT("'"&amp;$A24&amp;"'!$S$11")=""),"",IF(TRIM(INDIRECT("'"&amp;$A24&amp;"'!$S$11"))=TRIM(Tulokset!$P$9),2,0))</f>
        <v/>
      </c>
      <c r="CT24" t="str">
        <f ca="1">IF(OR(Tulokset!$Q$6="",INDIRECT("'"&amp;$A24&amp;"'!$T$8")=""),"",IF(TRIM(INDIRECT("'"&amp;$A24&amp;"'!$T$8"))=TRIM(Tulokset!$Q$6),2,0))</f>
        <v/>
      </c>
      <c r="CU24" t="str">
        <f ca="1">IF(OR(Tulokset!$Q$7="",INDIRECT("'"&amp;$A24&amp;"'!$T$9")=""),"",IF(TRIM(INDIRECT("'"&amp;$A24&amp;"'!$T$9"))=TRIM(Tulokset!$Q$7),2,0))</f>
        <v/>
      </c>
      <c r="CV24" t="str">
        <f ca="1">IF(OR(Tulokset!$Q$8="",INDIRECT("'"&amp;$A24&amp;"'!$T$10")=""),"",IF(TRIM(INDIRECT("'"&amp;$A24&amp;"'!$T$10"))=TRIM(Tulokset!$Q$8),2,0))</f>
        <v/>
      </c>
      <c r="CW24" t="str">
        <f ca="1">IF(OR(Tulokset!$Q$9="",INDIRECT("'"&amp;$A24&amp;"'!$T$11")=""),"",IF(TRIM(INDIRECT("'"&amp;$A24&amp;"'!$T$11"))=TRIM(Tulokset!$Q$9),2,0))</f>
        <v/>
      </c>
      <c r="CX24" t="str">
        <f ca="1">IF(OR(Tulokset!$R$6="",INDIRECT("'"&amp;$A24&amp;"'!$U$8")=""),"",IF(TRIM(INDIRECT("'"&amp;$A24&amp;"'!$U$8"))=TRIM(Tulokset!$R$6),2,0))</f>
        <v/>
      </c>
      <c r="CY24" t="str">
        <f ca="1">IF(OR(Tulokset!$R$7="",INDIRECT("'"&amp;$A24&amp;"'!$U$9")=""),"",IF(TRIM(INDIRECT("'"&amp;$A24&amp;"'!$U$9"))=TRIM(Tulokset!$R$7),2,0))</f>
        <v/>
      </c>
      <c r="CZ24" t="str">
        <f ca="1">IF(OR(Tulokset!$R$8="",INDIRECT("'"&amp;$A24&amp;"'!$U$10")=""),"",IF(TRIM(INDIRECT("'"&amp;$A24&amp;"'!$U$10"))=TRIM(Tulokset!$R$8),2,0))</f>
        <v/>
      </c>
      <c r="DA24" t="str">
        <f ca="1">IF(OR(Tulokset!$R$9="",INDIRECT("'"&amp;$A24&amp;"'!$U$11")=""),"",IF(TRIM(INDIRECT("'"&amp;$A24&amp;"'!$U$11"))=TRIM(Tulokset!$R$9),2,0))</f>
        <v/>
      </c>
      <c r="DB24" t="str">
        <f ca="1">IF(OR(Tulokset!$M$12="",INDIRECT("'"&amp;$A24&amp;"'!$P$14")=""),"",IF(TRIM(INDIRECT("'"&amp;$A24&amp;"'!$P$14"))=TRIM(Tulokset!$M$12),2,0))</f>
        <v/>
      </c>
      <c r="DC24" t="str">
        <f ca="1">IF(OR(Tulokset!$M$13="",INDIRECT("'"&amp;$A24&amp;"'!$P$15")=""),"",IF(TRIM(INDIRECT("'"&amp;$A24&amp;"'!$P$15"))=TRIM(Tulokset!$M$13),2,0))</f>
        <v/>
      </c>
      <c r="DD24" t="str">
        <f ca="1">IF(OR(Tulokset!$M$14="",INDIRECT("'"&amp;$A24&amp;"'!$P$16")=""),"",IF(TRIM(INDIRECT("'"&amp;$A24&amp;"'!$P$16"))=TRIM(Tulokset!$M$14),2,0))</f>
        <v/>
      </c>
      <c r="DE24" t="str">
        <f ca="1">IF(OR(Tulokset!$M$15="",INDIRECT("'"&amp;$A24&amp;"'!$P$17")=""),"",IF(TRIM(INDIRECT("'"&amp;$A24&amp;"'!$P$17"))=TRIM(Tulokset!$M$15),2,0))</f>
        <v/>
      </c>
      <c r="DF24" t="str">
        <f ca="1">IF(OR(Tulokset!$N$12="",INDIRECT("'"&amp;$A24&amp;"'!$Q$14")=""),"",IF(TRIM(INDIRECT("'"&amp;$A24&amp;"'!$Q$14"))=TRIM(Tulokset!$N$12),2,0))</f>
        <v/>
      </c>
      <c r="DG24" t="str">
        <f ca="1">IF(OR(Tulokset!$N$13="",INDIRECT("'"&amp;$A24&amp;"'!$Q$15")=""),"",IF(TRIM(INDIRECT("'"&amp;$A24&amp;"'!$Q$15"))=TRIM(Tulokset!$N$13),2,0))</f>
        <v/>
      </c>
      <c r="DH24" t="str">
        <f ca="1">IF(OR(Tulokset!$N$14="",INDIRECT("'"&amp;$A24&amp;"'!$Q$16")=""),"",IF(TRIM(INDIRECT("'"&amp;$A24&amp;"'!$Q$16"))=TRIM(Tulokset!$N$14),2,0))</f>
        <v/>
      </c>
      <c r="DI24" t="str">
        <f ca="1">IF(OR(Tulokset!$N$15="",INDIRECT("'"&amp;$A24&amp;"'!$Q$17")=""),"",IF(TRIM(INDIRECT("'"&amp;$A24&amp;"'!$Q$17"))=TRIM(Tulokset!$N$15),2,0))</f>
        <v/>
      </c>
      <c r="DJ24" t="str">
        <f ca="1">IF(OR(Tulokset!$O$12="",INDIRECT("'"&amp;$A24&amp;"'!$R$14")=""),"",IF(TRIM(INDIRECT("'"&amp;$A24&amp;"'!$R$14"))=TRIM(Tulokset!$O$12),2,0))</f>
        <v/>
      </c>
      <c r="DK24" t="str">
        <f ca="1">IF(OR(Tulokset!$O$13="",INDIRECT("'"&amp;$A24&amp;"'!$R$15")=""),"",IF(TRIM(INDIRECT("'"&amp;$A24&amp;"'!$R$15"))=TRIM(Tulokset!$O$13),2,0))</f>
        <v/>
      </c>
      <c r="DL24" t="str">
        <f ca="1">IF(OR(Tulokset!$O$14="",INDIRECT("'"&amp;$A24&amp;"'!$R$16")=""),"",IF(TRIM(INDIRECT("'"&amp;$A24&amp;"'!$R$16"))=TRIM(Tulokset!$O$14),2,0))</f>
        <v/>
      </c>
      <c r="DM24" t="str">
        <f ca="1">IF(OR(Tulokset!$O$15="",INDIRECT("'"&amp;$A24&amp;"'!$R$17")=""),"",IF(TRIM(INDIRECT("'"&amp;$A24&amp;"'!$R$17"))=TRIM(Tulokset!$O$15),2,0))</f>
        <v/>
      </c>
      <c r="DN24" t="str">
        <f ca="1">IF(OR(Tulokset!$P$12="",INDIRECT("'"&amp;$A24&amp;"'!$S$14")=""),"",IF(TRIM(INDIRECT("'"&amp;$A24&amp;"'!$S$14"))=TRIM(Tulokset!$P$12),2,0))</f>
        <v/>
      </c>
      <c r="DO24" t="str">
        <f ca="1">IF(OR(Tulokset!$P$13="",INDIRECT("'"&amp;$A24&amp;"'!$S$15")=""),"",IF(TRIM(INDIRECT("'"&amp;$A24&amp;"'!$S$15"))=TRIM(Tulokset!$P$13),2,0))</f>
        <v/>
      </c>
      <c r="DP24" t="str">
        <f ca="1">IF(OR(Tulokset!$P$14="",INDIRECT("'"&amp;$A24&amp;"'!$S$16")=""),"",IF(TRIM(INDIRECT("'"&amp;$A24&amp;"'!$S$16"))=TRIM(Tulokset!$P$14),2,0))</f>
        <v/>
      </c>
      <c r="DQ24" t="str">
        <f ca="1">IF(OR(Tulokset!$P$15="",INDIRECT("'"&amp;$A24&amp;"'!$S$17")=""),"",IF(TRIM(INDIRECT("'"&amp;$A24&amp;"'!$S$17"))=TRIM(Tulokset!$P$15),2,0))</f>
        <v/>
      </c>
      <c r="DR24" t="str">
        <f ca="1">IF(OR(Tulokset!$Q$12="",INDIRECT("'"&amp;$A24&amp;"'!$T$14")=""),"",IF(TRIM(INDIRECT("'"&amp;$A24&amp;"'!$T$14"))=TRIM(Tulokset!$Q$12),2,0))</f>
        <v/>
      </c>
      <c r="DS24" t="str">
        <f ca="1">IF(OR(Tulokset!$Q$13="",INDIRECT("'"&amp;$A24&amp;"'!$T$15")=""),"",IF(TRIM(INDIRECT("'"&amp;$A24&amp;"'!$T$15"))=TRIM(Tulokset!$Q$13),2,0))</f>
        <v/>
      </c>
      <c r="DT24" t="str">
        <f ca="1">IF(OR(Tulokset!$Q$14="",INDIRECT("'"&amp;$A24&amp;"'!$T$16")=""),"",IF(TRIM(INDIRECT("'"&amp;$A24&amp;"'!$T$16"))=TRIM(Tulokset!$Q$14),2,0))</f>
        <v/>
      </c>
      <c r="DU24" t="str">
        <f ca="1">IF(OR(Tulokset!$Q$15="",INDIRECT("'"&amp;$A24&amp;"'!$T$17")=""),"",IF(TRIM(INDIRECT("'"&amp;$A24&amp;"'!$T$17"))=TRIM(Tulokset!$Q$15),2,0))</f>
        <v/>
      </c>
      <c r="DV24" t="str">
        <f ca="1">IF(OR(Tulokset!$R$12="",INDIRECT("'"&amp;$A24&amp;"'!$U$14")=""),"",IF(TRIM(INDIRECT("'"&amp;$A24&amp;"'!$U$14"))=TRIM(Tulokset!$R$12),2,0))</f>
        <v/>
      </c>
      <c r="DW24" t="str">
        <f ca="1">IF(OR(Tulokset!$R$13="",INDIRECT("'"&amp;$A24&amp;"'!$U$15")=""),"",IF(TRIM(INDIRECT("'"&amp;$A24&amp;"'!$U$15"))=TRIM(Tulokset!$R$13),2,0))</f>
        <v/>
      </c>
      <c r="DX24" t="str">
        <f ca="1">IF(OR(Tulokset!$R$14="",INDIRECT("'"&amp;$A24&amp;"'!$U$16")=""),"",IF(TRIM(INDIRECT("'"&amp;$A24&amp;"'!$U$16"))=TRIM(Tulokset!$R$14),2,0))</f>
        <v/>
      </c>
      <c r="DY24" t="str">
        <f ca="1">IF(OR(Tulokset!$R$15="",INDIRECT("'"&amp;$A24&amp;"'!$U$17")=""),"",IF(TRIM(INDIRECT("'"&amp;$A24&amp;"'!$U$17"))=TRIM(Tulokset!$R$15),2,0))</f>
        <v/>
      </c>
      <c r="EA24" t="str">
        <f ca="1">IF(OR(INDIRECT("'"&amp;$A24&amp;"'!$E$79")="",COUNTA(Tulokset!$M$20:$M$21)=0),"",IF(COUNTIF(Tulokset!$M$20:$M$21,INDIRECT("'"&amp;$A24&amp;"'!$E$79"))&gt;0,2,0))</f>
        <v/>
      </c>
      <c r="EB24" t="str">
        <f ca="1">IF(OR(INDIRECT("'"&amp;$A24&amp;"'!$G$79")="",COUNTA(Tulokset!$M$20:$M$21)=0),"",IF(COUNTIF(Tulokset!$M$20:$M$21,INDIRECT("'"&amp;$A24&amp;"'!$G$79"))&gt;0,2,0))</f>
        <v/>
      </c>
      <c r="EC24" t="str">
        <f ca="1">IF(OR(INDIRECT("'"&amp;$A24&amp;"'!$E$80")="",COUNTA(Tulokset!$M$23:$M$24)=0),"",IF(COUNTIF(Tulokset!$M$23:$M$24,INDIRECT("'"&amp;$A24&amp;"'!$E$80"))&gt;0,2,0))</f>
        <v/>
      </c>
      <c r="ED24" t="str">
        <f ca="1">IF(OR(INDIRECT("'"&amp;$A24&amp;"'!$G$80")="",COUNTA(Tulokset!$M$23:$M$24)=0),"",IF(COUNTIF(Tulokset!$M$23:$M$24,INDIRECT("'"&amp;$A24&amp;"'!$G$80"))&gt;0,2,0))</f>
        <v/>
      </c>
    </row>
    <row r="25" spans="1:134">
      <c r="A25" t="s">
        <v>240</v>
      </c>
      <c r="B25" t="str">
        <f t="shared" ca="1" si="0"/>
        <v>Neyney</v>
      </c>
      <c r="C25" s="95">
        <f t="shared" si="1"/>
        <v>0</v>
      </c>
      <c r="D25" s="95">
        <f t="shared" ca="1" si="2"/>
        <v>0</v>
      </c>
      <c r="E25" s="95">
        <f t="shared" ca="1" si="3"/>
        <v>0</v>
      </c>
      <c r="F25" s="95">
        <f t="shared" ca="1" si="4"/>
        <v>0</v>
      </c>
      <c r="G25" s="95">
        <f t="shared" si="5"/>
        <v>0</v>
      </c>
      <c r="H25" t="str">
        <f>IF(OR(Tulokset!$G$6="",Tulokset!$I$6="",'22'!$I$7="",'22'!$K$7=""),"",IF(SIGN('22'!$I$7-'22'!$K$7)&lt;&gt;SIGN(Tulokset!$G$6-Tulokset!$I$6),0,IF(Tulokset!$G$6=Tulokset!$I$6,IF(AND('22'!$I$7=Tulokset!$G$6,'22'!$K$7=Tulokset!$I$6),6,3),MAX(0,6-(ABS('22'!$I$7-Tulokset!$G$6)+ABS('22'!$K$7-Tulokset!$I$6))))))</f>
        <v/>
      </c>
      <c r="I25" t="str">
        <f>IF(OR(Tulokset!$G$7="",Tulokset!$I$7="",'22'!$I$8="",'22'!$K$8=""),"",IF(SIGN('22'!$I$8-'22'!$K$8)&lt;&gt;SIGN(Tulokset!$G$7-Tulokset!$I$7),0,IF(Tulokset!$G$7=Tulokset!$I$7,IF(AND('22'!$I$8=Tulokset!$G$7,'22'!$K$8=Tulokset!$I$7),6,3),MAX(0,6-(ABS('22'!$I$8-Tulokset!$G$7)+ABS('22'!$K$8-Tulokset!$I$7))))))</f>
        <v/>
      </c>
      <c r="J25" t="str">
        <f>IF(OR(Tulokset!$G$8="",Tulokset!$I$8="",'22'!$I$9="",'22'!$K$9=""),"",IF(SIGN('22'!$I$9-'22'!$K$9)&lt;&gt;SIGN(Tulokset!$G$8-Tulokset!$I$8),0,IF(Tulokset!$G$8=Tulokset!$I$8,IF(AND('22'!$I$9=Tulokset!$G$8,'22'!$K$9=Tulokset!$I$8),6,3),MAX(0,6-(ABS('22'!$I$9-Tulokset!$G$8)+ABS('22'!$K$9-Tulokset!$I$8))))))</f>
        <v/>
      </c>
      <c r="K25" t="str">
        <f>IF(OR(Tulokset!$G$9="",Tulokset!$I$9="",'22'!$I$10="",'22'!$K$10=""),"",IF(SIGN('22'!$I$10-'22'!$K$10)&lt;&gt;SIGN(Tulokset!$G$9-Tulokset!$I$9),0,IF(Tulokset!$G$9=Tulokset!$I$9,IF(AND('22'!$I$10=Tulokset!$G$9,'22'!$K$10=Tulokset!$I$9),6,3),MAX(0,6-(ABS('22'!$I$10-Tulokset!$G$9)+ABS('22'!$K$10-Tulokset!$I$9))))))</f>
        <v/>
      </c>
      <c r="L25" t="str">
        <f>IF(OR(Tulokset!$G$10="",Tulokset!$I$10="",'22'!$I$11="",'22'!$K$11=""),"",IF(SIGN('22'!$I$11-'22'!$K$11)&lt;&gt;SIGN(Tulokset!$G$10-Tulokset!$I$10),0,IF(Tulokset!$G$10=Tulokset!$I$10,IF(AND('22'!$I$11=Tulokset!$G$10,'22'!$K$11=Tulokset!$I$10),6,3),MAX(0,6-(ABS('22'!$I$11-Tulokset!$G$10)+ABS('22'!$K$11-Tulokset!$I$10))))))</f>
        <v/>
      </c>
      <c r="M25" t="str">
        <f>IF(OR(Tulokset!$G$11="",Tulokset!$I$11="",'22'!$I$12="",'22'!$K$12=""),"",IF(SIGN('22'!$I$12-'22'!$K$12)&lt;&gt;SIGN(Tulokset!$G$11-Tulokset!$I$11),0,IF(Tulokset!$G$11=Tulokset!$I$11,IF(AND('22'!$I$12=Tulokset!$G$11,'22'!$K$12=Tulokset!$I$11),6,3),MAX(0,6-(ABS('22'!$I$12-Tulokset!$G$11)+ABS('22'!$K$12-Tulokset!$I$11))))))</f>
        <v/>
      </c>
      <c r="N25" t="str">
        <f>IF(OR(Tulokset!$G$12="",Tulokset!$I$12="",'22'!$I$13="",'22'!$K$13=""),"",IF(SIGN('22'!$I$13-'22'!$K$13)&lt;&gt;SIGN(Tulokset!$G$12-Tulokset!$I$12),0,IF(Tulokset!$G$12=Tulokset!$I$12,IF(AND('22'!$I$13=Tulokset!$G$12,'22'!$K$13=Tulokset!$I$12),6,3),MAX(0,6-(ABS('22'!$I$13-Tulokset!$G$12)+ABS('22'!$K$13-Tulokset!$I$12))))))</f>
        <v/>
      </c>
      <c r="O25" t="str">
        <f>IF(OR(Tulokset!$G$13="",Tulokset!$I$13="",'22'!$I$14="",'22'!$K$14=""),"",IF(SIGN('22'!$I$14-'22'!$K$14)&lt;&gt;SIGN(Tulokset!$G$13-Tulokset!$I$13),0,IF(Tulokset!$G$13=Tulokset!$I$13,IF(AND('22'!$I$14=Tulokset!$G$13,'22'!$K$14=Tulokset!$I$13),6,3),MAX(0,6-(ABS('22'!$I$14-Tulokset!$G$13)+ABS('22'!$K$14-Tulokset!$I$13))))))</f>
        <v/>
      </c>
      <c r="P25" t="str">
        <f>IF(OR(Tulokset!$G$14="",Tulokset!$I$14="",'22'!$I$15="",'22'!$K$15=""),"",IF(SIGN('22'!$I$15-'22'!$K$15)&lt;&gt;SIGN(Tulokset!$G$14-Tulokset!$I$14),0,IF(Tulokset!$G$14=Tulokset!$I$14,IF(AND('22'!$I$15=Tulokset!$G$14,'22'!$K$15=Tulokset!$I$14),6,3),MAX(0,6-(ABS('22'!$I$15-Tulokset!$G$14)+ABS('22'!$K$15-Tulokset!$I$14))))))</f>
        <v/>
      </c>
      <c r="Q25" t="str">
        <f>IF(OR(Tulokset!$G$15="",Tulokset!$I$15="",'22'!$I$16="",'22'!$K$16=""),"",IF(SIGN('22'!$I$16-'22'!$K$16)&lt;&gt;SIGN(Tulokset!$G$15-Tulokset!$I$15),0,IF(Tulokset!$G$15=Tulokset!$I$15,IF(AND('22'!$I$16=Tulokset!$G$15,'22'!$K$16=Tulokset!$I$15),6,3),MAX(0,6-(ABS('22'!$I$16-Tulokset!$G$15)+ABS('22'!$K$16-Tulokset!$I$15))))))</f>
        <v/>
      </c>
      <c r="R25" t="str">
        <f>IF(OR(Tulokset!$G$16="",Tulokset!$I$16="",'22'!$I$17="",'22'!$K$17=""),"",IF(SIGN('22'!$I$17-'22'!$K$17)&lt;&gt;SIGN(Tulokset!$G$16-Tulokset!$I$16),0,IF(Tulokset!$G$16=Tulokset!$I$16,IF(AND('22'!$I$17=Tulokset!$G$16,'22'!$K$17=Tulokset!$I$16),6,3),MAX(0,6-(ABS('22'!$I$17-Tulokset!$G$16)+ABS('22'!$K$17-Tulokset!$I$16))))))</f>
        <v/>
      </c>
      <c r="S25" t="str">
        <f>IF(OR(Tulokset!$G$17="",Tulokset!$I$17="",'22'!$I$18="",'22'!$K$18=""),"",IF(SIGN('22'!$I$18-'22'!$K$18)&lt;&gt;SIGN(Tulokset!$G$17-Tulokset!$I$17),0,IF(Tulokset!$G$17=Tulokset!$I$17,IF(AND('22'!$I$18=Tulokset!$G$17,'22'!$K$18=Tulokset!$I$17),6,3),MAX(0,6-(ABS('22'!$I$18-Tulokset!$G$17)+ABS('22'!$K$18-Tulokset!$I$17))))))</f>
        <v/>
      </c>
      <c r="T25" t="str">
        <f>IF(OR(Tulokset!$G$18="",Tulokset!$I$18="",'22'!$I$19="",'22'!$K$19=""),"",IF(SIGN('22'!$I$19-'22'!$K$19)&lt;&gt;SIGN(Tulokset!$G$18-Tulokset!$I$18),0,IF(Tulokset!$G$18=Tulokset!$I$18,IF(AND('22'!$I$19=Tulokset!$G$18,'22'!$K$19=Tulokset!$I$18),6,3),MAX(0,6-(ABS('22'!$I$19-Tulokset!$G$18)+ABS('22'!$K$19-Tulokset!$I$18))))))</f>
        <v/>
      </c>
      <c r="U25" t="str">
        <f>IF(OR(Tulokset!$G$19="",Tulokset!$I$19="",'22'!$I$20="",'22'!$K$20=""),"",IF(SIGN('22'!$I$20-'22'!$K$20)&lt;&gt;SIGN(Tulokset!$G$19-Tulokset!$I$19),0,IF(Tulokset!$G$19=Tulokset!$I$19,IF(AND('22'!$I$20=Tulokset!$G$19,'22'!$K$20=Tulokset!$I$19),6,3),MAX(0,6-(ABS('22'!$I$20-Tulokset!$G$19)+ABS('22'!$K$20-Tulokset!$I$19))))))</f>
        <v/>
      </c>
      <c r="V25" t="str">
        <f>IF(OR(Tulokset!$G$20="",Tulokset!$I$20="",'22'!$I$21="",'22'!$K$21=""),"",IF(SIGN('22'!$I$21-'22'!$K$21)&lt;&gt;SIGN(Tulokset!$G$20-Tulokset!$I$20),0,IF(Tulokset!$G$20=Tulokset!$I$20,IF(AND('22'!$I$21=Tulokset!$G$20,'22'!$K$21=Tulokset!$I$20),6,3),MAX(0,6-(ABS('22'!$I$21-Tulokset!$G$20)+ABS('22'!$K$21-Tulokset!$I$20))))))</f>
        <v/>
      </c>
      <c r="W25" t="str">
        <f>IF(OR(Tulokset!$G$21="",Tulokset!$I$21="",'22'!$I$22="",'22'!$K$22=""),"",IF(SIGN('22'!$I$22-'22'!$K$22)&lt;&gt;SIGN(Tulokset!$G$21-Tulokset!$I$21),0,IF(Tulokset!$G$21=Tulokset!$I$21,IF(AND('22'!$I$22=Tulokset!$G$21,'22'!$K$22=Tulokset!$I$21),6,3),MAX(0,6-(ABS('22'!$I$22-Tulokset!$G$21)+ABS('22'!$K$22-Tulokset!$I$21))))))</f>
        <v/>
      </c>
      <c r="X25" t="str">
        <f>IF(OR(Tulokset!$G$22="",Tulokset!$I$22="",'22'!$I$23="",'22'!$K$23=""),"",IF(SIGN('22'!$I$23-'22'!$K$23)&lt;&gt;SIGN(Tulokset!$G$22-Tulokset!$I$22),0,IF(Tulokset!$G$22=Tulokset!$I$22,IF(AND('22'!$I$23=Tulokset!$G$22,'22'!$K$23=Tulokset!$I$22),6,3),MAX(0,6-(ABS('22'!$I$23-Tulokset!$G$22)+ABS('22'!$K$23-Tulokset!$I$22))))))</f>
        <v/>
      </c>
      <c r="Y25" t="str">
        <f>IF(OR(Tulokset!$G$23="",Tulokset!$I$23="",'22'!$I$24="",'22'!$K$24=""),"",IF(SIGN('22'!$I$24-'22'!$K$24)&lt;&gt;SIGN(Tulokset!$G$23-Tulokset!$I$23),0,IF(Tulokset!$G$23=Tulokset!$I$23,IF(AND('22'!$I$24=Tulokset!$G$23,'22'!$K$24=Tulokset!$I$23),6,3),MAX(0,6-(ABS('22'!$I$24-Tulokset!$G$23)+ABS('22'!$K$24-Tulokset!$I$23))))))</f>
        <v/>
      </c>
      <c r="Z25" t="str">
        <f>IF(OR(Tulokset!$G$24="",Tulokset!$I$24="",'22'!$I$25="",'22'!$K$25=""),"",IF(SIGN('22'!$I$25-'22'!$K$25)&lt;&gt;SIGN(Tulokset!$G$24-Tulokset!$I$24),0,IF(Tulokset!$G$24=Tulokset!$I$24,IF(AND('22'!$I$25=Tulokset!$G$24,'22'!$K$25=Tulokset!$I$24),6,3),MAX(0,6-(ABS('22'!$I$25-Tulokset!$G$24)+ABS('22'!$K$25-Tulokset!$I$24))))))</f>
        <v/>
      </c>
      <c r="AA25" t="str">
        <f>IF(OR(Tulokset!$G$25="",Tulokset!$I$25="",'22'!$I$26="",'22'!$K$26=""),"",IF(SIGN('22'!$I$26-'22'!$K$26)&lt;&gt;SIGN(Tulokset!$G$25-Tulokset!$I$25),0,IF(Tulokset!$G$25=Tulokset!$I$25,IF(AND('22'!$I$26=Tulokset!$G$25,'22'!$K$26=Tulokset!$I$25),6,3),MAX(0,6-(ABS('22'!$I$26-Tulokset!$G$25)+ABS('22'!$K$26-Tulokset!$I$25))))))</f>
        <v/>
      </c>
      <c r="AB25" t="str">
        <f>IF(OR(Tulokset!$G$26="",Tulokset!$I$26="",'22'!$I$27="",'22'!$K$27=""),"",IF(SIGN('22'!$I$27-'22'!$K$27)&lt;&gt;SIGN(Tulokset!$G$26-Tulokset!$I$26),0,IF(Tulokset!$G$26=Tulokset!$I$26,IF(AND('22'!$I$27=Tulokset!$G$26,'22'!$K$27=Tulokset!$I$26),6,3),MAX(0,6-(ABS('22'!$I$27-Tulokset!$G$26)+ABS('22'!$K$27-Tulokset!$I$26))))))</f>
        <v/>
      </c>
      <c r="AC25" t="str">
        <f>IF(OR(Tulokset!$G$27="",Tulokset!$I$27="",'22'!$I$28="",'22'!$K$28=""),"",IF(SIGN('22'!$I$28-'22'!$K$28)&lt;&gt;SIGN(Tulokset!$G$27-Tulokset!$I$27),0,IF(Tulokset!$G$27=Tulokset!$I$27,IF(AND('22'!$I$28=Tulokset!$G$27,'22'!$K$28=Tulokset!$I$27),6,3),MAX(0,6-(ABS('22'!$I$28-Tulokset!$G$27)+ABS('22'!$K$28-Tulokset!$I$27))))))</f>
        <v/>
      </c>
      <c r="AD25" t="str">
        <f>IF(OR(Tulokset!$G$28="",Tulokset!$I$28="",'22'!$I$29="",'22'!$K$29=""),"",IF(SIGN('22'!$I$29-'22'!$K$29)&lt;&gt;SIGN(Tulokset!$G$28-Tulokset!$I$28),0,IF(Tulokset!$G$28=Tulokset!$I$28,IF(AND('22'!$I$29=Tulokset!$G$28,'22'!$K$29=Tulokset!$I$28),6,3),MAX(0,6-(ABS('22'!$I$29-Tulokset!$G$28)+ABS('22'!$K$29-Tulokset!$I$28))))))</f>
        <v/>
      </c>
      <c r="AE25" t="str">
        <f>IF(OR(Tulokset!$G$29="",Tulokset!$I$29="",'22'!$I$30="",'22'!$K$30=""),"",IF(SIGN('22'!$I$30-'22'!$K$30)&lt;&gt;SIGN(Tulokset!$G$29-Tulokset!$I$29),0,IF(Tulokset!$G$29=Tulokset!$I$29,IF(AND('22'!$I$30=Tulokset!$G$29,'22'!$K$30=Tulokset!$I$29),6,3),MAX(0,6-(ABS('22'!$I$30-Tulokset!$G$29)+ABS('22'!$K$30-Tulokset!$I$29))))))</f>
        <v/>
      </c>
      <c r="AF25" t="str">
        <f>IF(OR(Tulokset!$G$30="",Tulokset!$I$30="",'22'!$I$31="",'22'!$K$31=""),"",IF(SIGN('22'!$I$31-'22'!$K$31)&lt;&gt;SIGN(Tulokset!$G$30-Tulokset!$I$30),0,IF(Tulokset!$G$30=Tulokset!$I$30,IF(AND('22'!$I$31=Tulokset!$G$30,'22'!$K$31=Tulokset!$I$30),6,3),MAX(0,6-(ABS('22'!$I$31-Tulokset!$G$30)+ABS('22'!$K$31-Tulokset!$I$30))))))</f>
        <v/>
      </c>
      <c r="AG25" t="str">
        <f>IF(OR(Tulokset!$G$31="",Tulokset!$I$31="",'22'!$I$32="",'22'!$K$32=""),"",IF(SIGN('22'!$I$32-'22'!$K$32)&lt;&gt;SIGN(Tulokset!$G$31-Tulokset!$I$31),0,IF(Tulokset!$G$31=Tulokset!$I$31,IF(AND('22'!$I$32=Tulokset!$G$31,'22'!$K$32=Tulokset!$I$31),6,3),MAX(0,6-(ABS('22'!$I$32-Tulokset!$G$31)+ABS('22'!$K$32-Tulokset!$I$31))))))</f>
        <v/>
      </c>
      <c r="AH25" t="str">
        <f>IF(OR(Tulokset!$G$32="",Tulokset!$I$32="",'22'!$I$33="",'22'!$K$33=""),"",IF(SIGN('22'!$I$33-'22'!$K$33)&lt;&gt;SIGN(Tulokset!$G$32-Tulokset!$I$32),0,IF(Tulokset!$G$32=Tulokset!$I$32,IF(AND('22'!$I$33=Tulokset!$G$32,'22'!$K$33=Tulokset!$I$32),6,3),MAX(0,6-(ABS('22'!$I$33-Tulokset!$G$32)+ABS('22'!$K$33-Tulokset!$I$32))))))</f>
        <v/>
      </c>
      <c r="AI25" t="str">
        <f>IF(OR(Tulokset!$G$33="",Tulokset!$I$33="",'22'!$I$34="",'22'!$K$34=""),"",IF(SIGN('22'!$I$34-'22'!$K$34)&lt;&gt;SIGN(Tulokset!$G$33-Tulokset!$I$33),0,IF(Tulokset!$G$33=Tulokset!$I$33,IF(AND('22'!$I$34=Tulokset!$G$33,'22'!$K$34=Tulokset!$I$33),6,3),MAX(0,6-(ABS('22'!$I$34-Tulokset!$G$33)+ABS('22'!$K$34-Tulokset!$I$33))))))</f>
        <v/>
      </c>
      <c r="AJ25" t="str">
        <f>IF(OR(Tulokset!$G$34="",Tulokset!$I$34="",'22'!$I$35="",'22'!$K$35=""),"",IF(SIGN('22'!$I$35-'22'!$K$35)&lt;&gt;SIGN(Tulokset!$G$34-Tulokset!$I$34),0,IF(Tulokset!$G$34=Tulokset!$I$34,IF(AND('22'!$I$35=Tulokset!$G$34,'22'!$K$35=Tulokset!$I$34),6,3),MAX(0,6-(ABS('22'!$I$35-Tulokset!$G$34)+ABS('22'!$K$35-Tulokset!$I$34))))))</f>
        <v/>
      </c>
      <c r="AK25" t="str">
        <f>IF(OR(Tulokset!$G$35="",Tulokset!$I$35="",'22'!$I$36="",'22'!$K$36=""),"",IF(SIGN('22'!$I$36-'22'!$K$36)&lt;&gt;SIGN(Tulokset!$G$35-Tulokset!$I$35),0,IF(Tulokset!$G$35=Tulokset!$I$35,IF(AND('22'!$I$36=Tulokset!$G$35,'22'!$K$36=Tulokset!$I$35),6,3),MAX(0,6-(ABS('22'!$I$36-Tulokset!$G$35)+ABS('22'!$K$36-Tulokset!$I$35))))))</f>
        <v/>
      </c>
      <c r="AL25" t="str">
        <f>IF(OR(Tulokset!$G$36="",Tulokset!$I$36="",'22'!$I$37="",'22'!$K$37=""),"",IF(SIGN('22'!$I$37-'22'!$K$37)&lt;&gt;SIGN(Tulokset!$G$36-Tulokset!$I$36),0,IF(Tulokset!$G$36=Tulokset!$I$36,IF(AND('22'!$I$37=Tulokset!$G$36,'22'!$K$37=Tulokset!$I$36),6,3),MAX(0,6-(ABS('22'!$I$37-Tulokset!$G$36)+ABS('22'!$K$37-Tulokset!$I$36))))))</f>
        <v/>
      </c>
      <c r="AM25" t="str">
        <f>IF(OR(Tulokset!$G$37="",Tulokset!$I$37="",'22'!$I$38="",'22'!$K$38=""),"",IF(SIGN('22'!$I$38-'22'!$K$38)&lt;&gt;SIGN(Tulokset!$G$37-Tulokset!$I$37),0,IF(Tulokset!$G$37=Tulokset!$I$37,IF(AND('22'!$I$38=Tulokset!$G$37,'22'!$K$38=Tulokset!$I$37),6,3),MAX(0,6-(ABS('22'!$I$38-Tulokset!$G$37)+ABS('22'!$K$38-Tulokset!$I$37))))))</f>
        <v/>
      </c>
      <c r="AN25" t="str">
        <f>IF(OR(Tulokset!$G$38="",Tulokset!$I$38="",'22'!$I$39="",'22'!$K$39=""),"",IF(SIGN('22'!$I$39-'22'!$K$39)&lt;&gt;SIGN(Tulokset!$G$38-Tulokset!$I$38),0,IF(Tulokset!$G$38=Tulokset!$I$38,IF(AND('22'!$I$39=Tulokset!$G$38,'22'!$K$39=Tulokset!$I$38),6,3),MAX(0,6-(ABS('22'!$I$39-Tulokset!$G$38)+ABS('22'!$K$39-Tulokset!$I$38))))))</f>
        <v/>
      </c>
      <c r="AO25" t="str">
        <f>IF(OR(Tulokset!$G$39="",Tulokset!$I$39="",'22'!$I$40="",'22'!$K$40=""),"",IF(SIGN('22'!$I$40-'22'!$K$40)&lt;&gt;SIGN(Tulokset!$G$39-Tulokset!$I$39),0,IF(Tulokset!$G$39=Tulokset!$I$39,IF(AND('22'!$I$40=Tulokset!$G$39,'22'!$K$40=Tulokset!$I$39),6,3),MAX(0,6-(ABS('22'!$I$40-Tulokset!$G$39)+ABS('22'!$K$40-Tulokset!$I$39))))))</f>
        <v/>
      </c>
      <c r="AP25" t="str">
        <f>IF(OR(Tulokset!$G$40="",Tulokset!$I$40="",'22'!$I$41="",'22'!$K$41=""),"",IF(SIGN('22'!$I$41-'22'!$K$41)&lt;&gt;SIGN(Tulokset!$G$40-Tulokset!$I$40),0,IF(Tulokset!$G$40=Tulokset!$I$40,IF(AND('22'!$I$41=Tulokset!$G$40,'22'!$K$41=Tulokset!$I$40),6,3),MAX(0,6-(ABS('22'!$I$41-Tulokset!$G$40)+ABS('22'!$K$41-Tulokset!$I$40))))))</f>
        <v/>
      </c>
      <c r="AQ25" t="str">
        <f>IF(OR(Tulokset!$G$41="",Tulokset!$I$41="",'22'!$I$42="",'22'!$K$42=""),"",IF(SIGN('22'!$I$42-'22'!$K$42)&lt;&gt;SIGN(Tulokset!$G$41-Tulokset!$I$41),0,IF(Tulokset!$G$41=Tulokset!$I$41,IF(AND('22'!$I$42=Tulokset!$G$41,'22'!$K$42=Tulokset!$I$41),6,3),MAX(0,6-(ABS('22'!$I$42-Tulokset!$G$41)+ABS('22'!$K$42-Tulokset!$I$41))))))</f>
        <v/>
      </c>
      <c r="AR25" t="str">
        <f>IF(OR(Tulokset!$G$42="",Tulokset!$I$42="",'22'!$I$43="",'22'!$K$43=""),"",IF(SIGN('22'!$I$43-'22'!$K$43)&lt;&gt;SIGN(Tulokset!$G$42-Tulokset!$I$42),0,IF(Tulokset!$G$42=Tulokset!$I$42,IF(AND('22'!$I$43=Tulokset!$G$42,'22'!$K$43=Tulokset!$I$42),6,3),MAX(0,6-(ABS('22'!$I$43-Tulokset!$G$42)+ABS('22'!$K$43-Tulokset!$I$42))))))</f>
        <v/>
      </c>
      <c r="AS25" t="str">
        <f>IF(OR(Tulokset!$G$43="",Tulokset!$I$43="",'22'!$I$44="",'22'!$K$44=""),"",IF(SIGN('22'!$I$44-'22'!$K$44)&lt;&gt;SIGN(Tulokset!$G$43-Tulokset!$I$43),0,IF(Tulokset!$G$43=Tulokset!$I$43,IF(AND('22'!$I$44=Tulokset!$G$43,'22'!$K$44=Tulokset!$I$43),6,3),MAX(0,6-(ABS('22'!$I$44-Tulokset!$G$43)+ABS('22'!$K$44-Tulokset!$I$43))))))</f>
        <v/>
      </c>
      <c r="AT25" t="str">
        <f>IF(OR(Tulokset!$G$44="",Tulokset!$I$44="",'22'!$I$45="",'22'!$K$45=""),"",IF(SIGN('22'!$I$45-'22'!$K$45)&lt;&gt;SIGN(Tulokset!$G$44-Tulokset!$I$44),0,IF(Tulokset!$G$44=Tulokset!$I$44,IF(AND('22'!$I$45=Tulokset!$G$44,'22'!$K$45=Tulokset!$I$44),6,3),MAX(0,6-(ABS('22'!$I$45-Tulokset!$G$44)+ABS('22'!$K$45-Tulokset!$I$44))))))</f>
        <v/>
      </c>
      <c r="AU25" t="str">
        <f>IF(OR(Tulokset!$G$45="",Tulokset!$I$45="",'22'!$I$46="",'22'!$K$46=""),"",IF(SIGN('22'!$I$46-'22'!$K$46)&lt;&gt;SIGN(Tulokset!$G$45-Tulokset!$I$45),0,IF(Tulokset!$G$45=Tulokset!$I$45,IF(AND('22'!$I$46=Tulokset!$G$45,'22'!$K$46=Tulokset!$I$45),6,3),MAX(0,6-(ABS('22'!$I$46-Tulokset!$G$45)+ABS('22'!$K$46-Tulokset!$I$45))))))</f>
        <v/>
      </c>
      <c r="AV25" t="str">
        <f>IF(OR(Tulokset!$G$46="",Tulokset!$I$46="",'22'!$I$47="",'22'!$K$47=""),"",IF(SIGN('22'!$I$47-'22'!$K$47)&lt;&gt;SIGN(Tulokset!$G$46-Tulokset!$I$46),0,IF(Tulokset!$G$46=Tulokset!$I$46,IF(AND('22'!$I$47=Tulokset!$G$46,'22'!$K$47=Tulokset!$I$46),6,3),MAX(0,6-(ABS('22'!$I$47-Tulokset!$G$46)+ABS('22'!$K$47-Tulokset!$I$46))))))</f>
        <v/>
      </c>
      <c r="AW25" t="str">
        <f>IF(OR(Tulokset!$G$47="",Tulokset!$I$47="",'22'!$I$48="",'22'!$K$48=""),"",IF(SIGN('22'!$I$48-'22'!$K$48)&lt;&gt;SIGN(Tulokset!$G$47-Tulokset!$I$47),0,IF(Tulokset!$G$47=Tulokset!$I$47,IF(AND('22'!$I$48=Tulokset!$G$47,'22'!$K$48=Tulokset!$I$47),6,3),MAX(0,6-(ABS('22'!$I$48-Tulokset!$G$47)+ABS('22'!$K$48-Tulokset!$I$47))))))</f>
        <v/>
      </c>
      <c r="AX25" t="str">
        <f>IF(OR(Tulokset!$G$48="",Tulokset!$I$48="",'22'!$I$49="",'22'!$K$49=""),"",IF(SIGN('22'!$I$49-'22'!$K$49)&lt;&gt;SIGN(Tulokset!$G$48-Tulokset!$I$48),0,IF(Tulokset!$G$48=Tulokset!$I$48,IF(AND('22'!$I$49=Tulokset!$G$48,'22'!$K$49=Tulokset!$I$48),6,3),MAX(0,6-(ABS('22'!$I$49-Tulokset!$G$48)+ABS('22'!$K$49-Tulokset!$I$48))))))</f>
        <v/>
      </c>
      <c r="AY25" t="str">
        <f>IF(OR(Tulokset!$G$49="",Tulokset!$I$49="",'22'!$I$50="",'22'!$K$50=""),"",IF(SIGN('22'!$I$50-'22'!$K$50)&lt;&gt;SIGN(Tulokset!$G$49-Tulokset!$I$49),0,IF(Tulokset!$G$49=Tulokset!$I$49,IF(AND('22'!$I$50=Tulokset!$G$49,'22'!$K$50=Tulokset!$I$49),6,3),MAX(0,6-(ABS('22'!$I$50-Tulokset!$G$49)+ABS('22'!$K$50-Tulokset!$I$49))))))</f>
        <v/>
      </c>
      <c r="AZ25" t="str">
        <f>IF(OR(Tulokset!$G$50="",Tulokset!$I$50="",'22'!$I$51="",'22'!$K$51=""),"",IF(SIGN('22'!$I$51-'22'!$K$51)&lt;&gt;SIGN(Tulokset!$G$50-Tulokset!$I$50),0,IF(Tulokset!$G$50=Tulokset!$I$50,IF(AND('22'!$I$51=Tulokset!$G$50,'22'!$K$51=Tulokset!$I$50),6,3),MAX(0,6-(ABS('22'!$I$51-Tulokset!$G$50)+ABS('22'!$K$51-Tulokset!$I$50))))))</f>
        <v/>
      </c>
      <c r="BA25" t="str">
        <f>IF(OR(Tulokset!$G$51="",Tulokset!$I$51="",'22'!$I$52="",'22'!$K$52=""),"",IF(SIGN('22'!$I$52-'22'!$K$52)&lt;&gt;SIGN(Tulokset!$G$51-Tulokset!$I$51),0,IF(Tulokset!$G$51=Tulokset!$I$51,IF(AND('22'!$I$52=Tulokset!$G$51,'22'!$K$52=Tulokset!$I$51),6,3),MAX(0,6-(ABS('22'!$I$52-Tulokset!$G$51)+ABS('22'!$K$52-Tulokset!$I$51))))))</f>
        <v/>
      </c>
      <c r="BB25" t="str">
        <f>IF(OR(Tulokset!$G$52="",Tulokset!$I$52="",'22'!$I$53="",'22'!$K$53=""),"",IF(SIGN('22'!$I$53-'22'!$K$53)&lt;&gt;SIGN(Tulokset!$G$52-Tulokset!$I$52),0,IF(Tulokset!$G$52=Tulokset!$I$52,IF(AND('22'!$I$53=Tulokset!$G$52,'22'!$K$53=Tulokset!$I$52),6,3),MAX(0,6-(ABS('22'!$I$53-Tulokset!$G$52)+ABS('22'!$K$53-Tulokset!$I$52))))))</f>
        <v/>
      </c>
      <c r="BC25" t="str">
        <f>IF(OR(Tulokset!$G$53="",Tulokset!$I$53="",'22'!$I$54="",'22'!$K$54=""),"",IF(SIGN('22'!$I$54-'22'!$K$54)&lt;&gt;SIGN(Tulokset!$G$53-Tulokset!$I$53),0,IF(Tulokset!$G$53=Tulokset!$I$53,IF(AND('22'!$I$54=Tulokset!$G$53,'22'!$K$54=Tulokset!$I$53),6,3),MAX(0,6-(ABS('22'!$I$54-Tulokset!$G$53)+ABS('22'!$K$54-Tulokset!$I$53))))))</f>
        <v/>
      </c>
      <c r="BD25" t="str">
        <f>IF(OR(Tulokset!$G$54="",Tulokset!$I$54="",'22'!$I$55="",'22'!$K$55=""),"",IF(SIGN('22'!$I$55-'22'!$K$55)&lt;&gt;SIGN(Tulokset!$G$54-Tulokset!$I$54),0,IF(Tulokset!$G$54=Tulokset!$I$54,IF(AND('22'!$I$55=Tulokset!$G$54,'22'!$K$55=Tulokset!$I$54),6,3),MAX(0,6-(ABS('22'!$I$55-Tulokset!$G$54)+ABS('22'!$K$55-Tulokset!$I$54))))))</f>
        <v/>
      </c>
      <c r="BE25" t="str">
        <f>IF(OR(Tulokset!$G$55="",Tulokset!$I$55="",'22'!$I$56="",'22'!$K$56=""),"",IF(SIGN('22'!$I$56-'22'!$K$56)&lt;&gt;SIGN(Tulokset!$G$55-Tulokset!$I$55),0,IF(Tulokset!$G$55=Tulokset!$I$55,IF(AND('22'!$I$56=Tulokset!$G$55,'22'!$K$56=Tulokset!$I$55),6,3),MAX(0,6-(ABS('22'!$I$56-Tulokset!$G$55)+ABS('22'!$K$56-Tulokset!$I$55))))))</f>
        <v/>
      </c>
      <c r="BF25" t="str">
        <f>IF(OR(Tulokset!$G$56="",Tulokset!$I$56="",'22'!$I$57="",'22'!$K$57=""),"",IF(SIGN('22'!$I$57-'22'!$K$57)&lt;&gt;SIGN(Tulokset!$G$56-Tulokset!$I$56),0,IF(Tulokset!$G$56=Tulokset!$I$56,IF(AND('22'!$I$57=Tulokset!$G$56,'22'!$K$57=Tulokset!$I$56),6,3),MAX(0,6-(ABS('22'!$I$57-Tulokset!$G$56)+ABS('22'!$K$57-Tulokset!$I$56))))))</f>
        <v/>
      </c>
      <c r="BG25" t="str">
        <f>IF(OR(Tulokset!$G$57="",Tulokset!$I$57="",'22'!$I$58="",'22'!$K$58=""),"",IF(SIGN('22'!$I$58-'22'!$K$58)&lt;&gt;SIGN(Tulokset!$G$57-Tulokset!$I$57),0,IF(Tulokset!$G$57=Tulokset!$I$57,IF(AND('22'!$I$58=Tulokset!$G$57,'22'!$K$58=Tulokset!$I$57),6,3),MAX(0,6-(ABS('22'!$I$58-Tulokset!$G$57)+ABS('22'!$K$58-Tulokset!$I$57))))))</f>
        <v/>
      </c>
      <c r="BH25" t="str">
        <f>IF(OR(Tulokset!$G$58="",Tulokset!$I$58="",'22'!$I$59="",'22'!$K$59=""),"",IF(SIGN('22'!$I$59-'22'!$K$59)&lt;&gt;SIGN(Tulokset!$G$58-Tulokset!$I$58),0,IF(Tulokset!$G$58=Tulokset!$I$58,IF(AND('22'!$I$59=Tulokset!$G$58,'22'!$K$59=Tulokset!$I$58),6,3),MAX(0,6-(ABS('22'!$I$59-Tulokset!$G$58)+ABS('22'!$K$59-Tulokset!$I$58))))))</f>
        <v/>
      </c>
      <c r="BI25" t="str">
        <f>IF(OR(Tulokset!$G$59="",Tulokset!$I$59="",'22'!$I$60="",'22'!$K$60=""),"",IF(SIGN('22'!$I$60-'22'!$K$60)&lt;&gt;SIGN(Tulokset!$G$59-Tulokset!$I$59),0,IF(Tulokset!$G$59=Tulokset!$I$59,IF(AND('22'!$I$60=Tulokset!$G$59,'22'!$K$60=Tulokset!$I$59),6,3),MAX(0,6-(ABS('22'!$I$60-Tulokset!$G$59)+ABS('22'!$K$60-Tulokset!$I$59))))))</f>
        <v/>
      </c>
      <c r="BJ25" t="str">
        <f>IF(OR(Tulokset!$G$60="",Tulokset!$I$60="",'22'!$I$61="",'22'!$K$61=""),"",IF(SIGN('22'!$I$61-'22'!$K$61)&lt;&gt;SIGN(Tulokset!$G$60-Tulokset!$I$60),0,IF(Tulokset!$G$60=Tulokset!$I$60,IF(AND('22'!$I$61=Tulokset!$G$60,'22'!$K$61=Tulokset!$I$60),6,3),MAX(0,6-(ABS('22'!$I$61-Tulokset!$G$60)+ABS('22'!$K$61-Tulokset!$I$60))))))</f>
        <v/>
      </c>
      <c r="BK25" t="str">
        <f>IF(OR(Tulokset!$G$61="",Tulokset!$I$61="",'22'!$I$62="",'22'!$K$62=""),"",IF(SIGN('22'!$I$62-'22'!$K$62)&lt;&gt;SIGN(Tulokset!$G$61-Tulokset!$I$61),0,IF(Tulokset!$G$61=Tulokset!$I$61,IF(AND('22'!$I$62=Tulokset!$G$61,'22'!$K$62=Tulokset!$I$61),6,3),MAX(0,6-(ABS('22'!$I$62-Tulokset!$G$61)+ABS('22'!$K$62-Tulokset!$I$61))))))</f>
        <v/>
      </c>
      <c r="BL25" t="str">
        <f>IF(OR(Tulokset!$G$62="",Tulokset!$I$62="",'22'!$I$63="",'22'!$K$63=""),"",IF(SIGN('22'!$I$63-'22'!$K$63)&lt;&gt;SIGN(Tulokset!$G$62-Tulokset!$I$62),0,IF(Tulokset!$G$62=Tulokset!$I$62,IF(AND('22'!$I$63=Tulokset!$G$62,'22'!$K$63=Tulokset!$I$62),6,3),MAX(0,6-(ABS('22'!$I$63-Tulokset!$G$62)+ABS('22'!$K$63-Tulokset!$I$62))))))</f>
        <v/>
      </c>
      <c r="BM25" t="str">
        <f>IF(OR(Tulokset!$G$63="",Tulokset!$I$63="",'22'!$I$64="",'22'!$K$64=""),"",IF(SIGN('22'!$I$64-'22'!$K$64)&lt;&gt;SIGN(Tulokset!$G$63-Tulokset!$I$63),0,IF(Tulokset!$G$63=Tulokset!$I$63,IF(AND('22'!$I$64=Tulokset!$G$63,'22'!$K$64=Tulokset!$I$63),6,3),MAX(0,6-(ABS('22'!$I$64-Tulokset!$G$63)+ABS('22'!$K$64-Tulokset!$I$63))))))</f>
        <v/>
      </c>
      <c r="BN25" t="str">
        <f>IF(OR(Tulokset!$G$64="",Tulokset!$I$64="",'22'!$I$65="",'22'!$K$65=""),"",IF(SIGN('22'!$I$65-'22'!$K$65)&lt;&gt;SIGN(Tulokset!$G$64-Tulokset!$I$64),0,IF(Tulokset!$G$64=Tulokset!$I$64,IF(AND('22'!$I$65=Tulokset!$G$64,'22'!$K$65=Tulokset!$I$64),6,3),MAX(0,6-(ABS('22'!$I$65-Tulokset!$G$64)+ABS('22'!$K$65-Tulokset!$I$64))))))</f>
        <v/>
      </c>
      <c r="BO25" t="str">
        <f>IF(OR(Tulokset!$G$65="",Tulokset!$I$65="",'22'!$I$66="",'22'!$K$66=""),"",IF(SIGN('22'!$I$66-'22'!$K$66)&lt;&gt;SIGN(Tulokset!$G$65-Tulokset!$I$65),0,IF(Tulokset!$G$65=Tulokset!$I$65,IF(AND('22'!$I$66=Tulokset!$G$65,'22'!$K$66=Tulokset!$I$65),6,3),MAX(0,6-(ABS('22'!$I$66-Tulokset!$G$65)+ABS('22'!$K$66-Tulokset!$I$65))))))</f>
        <v/>
      </c>
      <c r="BP25" t="str">
        <f>IF(OR(Tulokset!$G$66="",Tulokset!$I$66="",'22'!$I$67="",'22'!$K$67=""),"",IF(SIGN('22'!$I$67-'22'!$K$67)&lt;&gt;SIGN(Tulokset!$G$66-Tulokset!$I$66),0,IF(Tulokset!$G$66=Tulokset!$I$66,IF(AND('22'!$I$67=Tulokset!$G$66,'22'!$K$67=Tulokset!$I$66),6,3),MAX(0,6-(ABS('22'!$I$67-Tulokset!$G$66)+ABS('22'!$K$67-Tulokset!$I$66))))))</f>
        <v/>
      </c>
      <c r="BQ25" t="str">
        <f>IF(OR(Tulokset!$G$67="",Tulokset!$I$67="",'22'!$I$68="",'22'!$K$68=""),"",IF(SIGN('22'!$I$68-'22'!$K$68)&lt;&gt;SIGN(Tulokset!$G$67-Tulokset!$I$67),0,IF(Tulokset!$G$67=Tulokset!$I$67,IF(AND('22'!$I$68=Tulokset!$G$67,'22'!$K$68=Tulokset!$I$67),6,3),MAX(0,6-(ABS('22'!$I$68-Tulokset!$G$67)+ABS('22'!$K$68-Tulokset!$I$67))))))</f>
        <v/>
      </c>
      <c r="BR25" t="str">
        <f>IF(OR(Tulokset!$G$68="",Tulokset!$I$68="",'22'!$I$69="",'22'!$K$69=""),"",IF(SIGN('22'!$I$69-'22'!$K$69)&lt;&gt;SIGN(Tulokset!$G$68-Tulokset!$I$68),0,IF(Tulokset!$G$68=Tulokset!$I$68,IF(AND('22'!$I$69=Tulokset!$G$68,'22'!$K$69=Tulokset!$I$68),6,3),MAX(0,6-(ABS('22'!$I$69-Tulokset!$G$68)+ABS('22'!$K$69-Tulokset!$I$68))))))</f>
        <v/>
      </c>
      <c r="BS25" t="str">
        <f>IF(OR(Tulokset!$G$69="",Tulokset!$I$69="",'22'!$I$70="",'22'!$K$70=""),"",IF(SIGN('22'!$I$70-'22'!$K$70)&lt;&gt;SIGN(Tulokset!$G$69-Tulokset!$I$69),0,IF(Tulokset!$G$69=Tulokset!$I$69,IF(AND('22'!$I$70=Tulokset!$G$69,'22'!$K$70=Tulokset!$I$69),6,3),MAX(0,6-(ABS('22'!$I$70-Tulokset!$G$69)+ABS('22'!$K$70-Tulokset!$I$69))))))</f>
        <v/>
      </c>
      <c r="BT25" t="str">
        <f>IF(OR(Tulokset!$G$70="",Tulokset!$I$70="",'22'!$I$71="",'22'!$K$71=""),"",IF(SIGN('22'!$I$71-'22'!$K$71)&lt;&gt;SIGN(Tulokset!$G$70-Tulokset!$I$70),0,IF(Tulokset!$G$70=Tulokset!$I$70,IF(AND('22'!$I$71=Tulokset!$G$70,'22'!$K$71=Tulokset!$I$70),6,3),MAX(0,6-(ABS('22'!$I$71-Tulokset!$G$70)+ABS('22'!$K$71-Tulokset!$I$70))))))</f>
        <v/>
      </c>
      <c r="BU25" t="str">
        <f>IF(OR(Tulokset!$G$71="",Tulokset!$I$71="",'22'!$I$72="",'22'!$K$72=""),"",IF(SIGN('22'!$I$72-'22'!$K$72)&lt;&gt;SIGN(Tulokset!$G$71-Tulokset!$I$71),0,IF(Tulokset!$G$71=Tulokset!$I$71,IF(AND('22'!$I$72=Tulokset!$G$71,'22'!$K$72=Tulokset!$I$71),6,3),MAX(0,6-(ABS('22'!$I$72-Tulokset!$G$71)+ABS('22'!$K$72-Tulokset!$I$71))))))</f>
        <v/>
      </c>
      <c r="BV25" t="str">
        <f>IF(OR(Tulokset!$G$72="",Tulokset!$I$72="",'22'!$I$73="",'22'!$K$73=""),"",IF(SIGN('22'!$I$73-'22'!$K$73)&lt;&gt;SIGN(Tulokset!$G$72-Tulokset!$I$72),0,IF(Tulokset!$G$72=Tulokset!$I$72,IF(AND('22'!$I$73=Tulokset!$G$72,'22'!$K$73=Tulokset!$I$72),6,3),MAX(0,6-(ABS('22'!$I$73-Tulokset!$G$72)+ABS('22'!$K$73-Tulokset!$I$72))))))</f>
        <v/>
      </c>
      <c r="BW25" t="str">
        <f>IF(OR(Tulokset!$G$73="",Tulokset!$I$73="",'22'!$I$74="",'22'!$K$74=""),"",IF(SIGN('22'!$I$74-'22'!$K$74)&lt;&gt;SIGN(Tulokset!$G$73-Tulokset!$I$73),0,IF(Tulokset!$G$73=Tulokset!$I$73,IF(AND('22'!$I$74=Tulokset!$G$73,'22'!$K$74=Tulokset!$I$73),6,3),MAX(0,6-(ABS('22'!$I$74-Tulokset!$G$73)+ABS('22'!$K$74-Tulokset!$I$73))))))</f>
        <v/>
      </c>
      <c r="BX25" t="str">
        <f>IF(OR(Tulokset!$G$74="",Tulokset!$I$74="",'22'!$I$75="",'22'!$K$75=""),"",IF(SIGN('22'!$I$75-'22'!$K$75)&lt;&gt;SIGN(Tulokset!$G$74-Tulokset!$I$74),0,IF(Tulokset!$G$74=Tulokset!$I$74,IF(AND('22'!$I$75=Tulokset!$G$74,'22'!$K$75=Tulokset!$I$74),6,3),MAX(0,6-(ABS('22'!$I$75-Tulokset!$G$74)+ABS('22'!$K$75-Tulokset!$I$74))))))</f>
        <v/>
      </c>
      <c r="BY25" t="str">
        <f>IF(OR(Tulokset!$G$75="",Tulokset!$I$75="",'22'!$I$76="",'22'!$K$76=""),"",IF(SIGN('22'!$I$76-'22'!$K$76)&lt;&gt;SIGN(Tulokset!$G$75-Tulokset!$I$75),0,IF(Tulokset!$G$75=Tulokset!$I$75,IF(AND('22'!$I$76=Tulokset!$G$75,'22'!$K$76=Tulokset!$I$75),6,3),MAX(0,6-(ABS('22'!$I$76-Tulokset!$G$75)+ABS('22'!$K$76-Tulokset!$I$75))))))</f>
        <v/>
      </c>
      <c r="BZ25" t="str">
        <f>IF(OR(Tulokset!$G$76="",Tulokset!$I$76="",'22'!$I$77="",'22'!$K$77=""),"",IF(SIGN('22'!$I$77-'22'!$K$77)&lt;&gt;SIGN(Tulokset!$G$76-Tulokset!$I$76),0,IF(Tulokset!$G$76=Tulokset!$I$76,IF(AND('22'!$I$77=Tulokset!$G$76,'22'!$K$77=Tulokset!$I$76),6,3),MAX(0,6-(ABS('22'!$I$77-Tulokset!$G$76)+ABS('22'!$K$77-Tulokset!$I$76))))))</f>
        <v/>
      </c>
      <c r="CA25" t="str">
        <f>IF(OR(Tulokset!$G$77="",Tulokset!$I$77="",'22'!$I$78="",'22'!$K$78=""),"",IF(SIGN('22'!$I$78-'22'!$K$78)&lt;&gt;SIGN(Tulokset!$G$77-Tulokset!$I$77),0,IF(Tulokset!$G$77=Tulokset!$I$77,IF(AND('22'!$I$78=Tulokset!$G$77,'22'!$K$78=Tulokset!$I$77),6,3),MAX(0,6-(ABS('22'!$I$78-Tulokset!$G$77)+ABS('22'!$K$78-Tulokset!$I$77))))))</f>
        <v/>
      </c>
      <c r="CD25" t="str">
        <f ca="1">IF(OR(Tulokset!$M$6="",INDIRECT("'"&amp;$A25&amp;"'!$P$8")=""),"",IF(TRIM(INDIRECT("'"&amp;$A25&amp;"'!$P$8"))=TRIM(Tulokset!$M$6),2,0))</f>
        <v/>
      </c>
      <c r="CE25" t="str">
        <f ca="1">IF(OR(Tulokset!$M$7="",INDIRECT("'"&amp;$A25&amp;"'!$P$9")=""),"",IF(TRIM(INDIRECT("'"&amp;$A25&amp;"'!$P$9"))=TRIM(Tulokset!$M$7),2,0))</f>
        <v/>
      </c>
      <c r="CF25" t="str">
        <f ca="1">IF(OR(Tulokset!$M$8="",INDIRECT("'"&amp;$A25&amp;"'!$P$10")=""),"",IF(TRIM(INDIRECT("'"&amp;$A25&amp;"'!$P$10"))=TRIM(Tulokset!$M$8),2,0))</f>
        <v/>
      </c>
      <c r="CG25" t="str">
        <f ca="1">IF(OR(Tulokset!$M$9="",INDIRECT("'"&amp;$A25&amp;"'!$P$11")=""),"",IF(TRIM(INDIRECT("'"&amp;$A25&amp;"'!$P$11"))=TRIM(Tulokset!$M$9),2,0))</f>
        <v/>
      </c>
      <c r="CH25" t="str">
        <f ca="1">IF(OR(Tulokset!$N$6="",INDIRECT("'"&amp;$A25&amp;"'!$Q$8")=""),"",IF(TRIM(INDIRECT("'"&amp;$A25&amp;"'!$Q$8"))=TRIM(Tulokset!$N$6),2,0))</f>
        <v/>
      </c>
      <c r="CI25" t="str">
        <f ca="1">IF(OR(Tulokset!$N$7="",INDIRECT("'"&amp;$A25&amp;"'!$Q$9")=""),"",IF(TRIM(INDIRECT("'"&amp;$A25&amp;"'!$Q$9"))=TRIM(Tulokset!$N$7),2,0))</f>
        <v/>
      </c>
      <c r="CJ25" t="str">
        <f ca="1">IF(OR(Tulokset!$N$8="",INDIRECT("'"&amp;$A25&amp;"'!$Q$10")=""),"",IF(TRIM(INDIRECT("'"&amp;$A25&amp;"'!$Q$10"))=TRIM(Tulokset!$N$8),2,0))</f>
        <v/>
      </c>
      <c r="CK25" t="str">
        <f ca="1">IF(OR(Tulokset!$N$9="",INDIRECT("'"&amp;$A25&amp;"'!$Q$11")=""),"",IF(TRIM(INDIRECT("'"&amp;$A25&amp;"'!$Q$11"))=TRIM(Tulokset!$N$9),2,0))</f>
        <v/>
      </c>
      <c r="CL25" t="str">
        <f ca="1">IF(OR(Tulokset!$O$6="",INDIRECT("'"&amp;$A25&amp;"'!$R$8")=""),"",IF(TRIM(INDIRECT("'"&amp;$A25&amp;"'!$R$8"))=TRIM(Tulokset!$O$6),2,0))</f>
        <v/>
      </c>
      <c r="CM25" t="str">
        <f ca="1">IF(OR(Tulokset!$O$7="",INDIRECT("'"&amp;$A25&amp;"'!$R$9")=""),"",IF(TRIM(INDIRECT("'"&amp;$A25&amp;"'!$R$9"))=TRIM(Tulokset!$O$7),2,0))</f>
        <v/>
      </c>
      <c r="CN25" t="str">
        <f ca="1">IF(OR(Tulokset!$O$8="",INDIRECT("'"&amp;$A25&amp;"'!$R$10")=""),"",IF(TRIM(INDIRECT("'"&amp;$A25&amp;"'!$R$10"))=TRIM(Tulokset!$O$8),2,0))</f>
        <v/>
      </c>
      <c r="CO25" t="str">
        <f ca="1">IF(OR(Tulokset!$O$9="",INDIRECT("'"&amp;$A25&amp;"'!$R$11")=""),"",IF(TRIM(INDIRECT("'"&amp;$A25&amp;"'!$R$11"))=TRIM(Tulokset!$O$9),2,0))</f>
        <v/>
      </c>
      <c r="CP25" t="str">
        <f ca="1">IF(OR(Tulokset!$P$6="",INDIRECT("'"&amp;$A25&amp;"'!$S$8")=""),"",IF(TRIM(INDIRECT("'"&amp;$A25&amp;"'!$S$8"))=TRIM(Tulokset!$P$6),2,0))</f>
        <v/>
      </c>
      <c r="CQ25" t="str">
        <f ca="1">IF(OR(Tulokset!$P$7="",INDIRECT("'"&amp;$A25&amp;"'!$S$9")=""),"",IF(TRIM(INDIRECT("'"&amp;$A25&amp;"'!$S$9"))=TRIM(Tulokset!$P$7),2,0))</f>
        <v/>
      </c>
      <c r="CR25" t="str">
        <f ca="1">IF(OR(Tulokset!$P$8="",INDIRECT("'"&amp;$A25&amp;"'!$S$10")=""),"",IF(TRIM(INDIRECT("'"&amp;$A25&amp;"'!$S$10"))=TRIM(Tulokset!$P$8),2,0))</f>
        <v/>
      </c>
      <c r="CS25" t="str">
        <f ca="1">IF(OR(Tulokset!$P$9="",INDIRECT("'"&amp;$A25&amp;"'!$S$11")=""),"",IF(TRIM(INDIRECT("'"&amp;$A25&amp;"'!$S$11"))=TRIM(Tulokset!$P$9),2,0))</f>
        <v/>
      </c>
      <c r="CT25" t="str">
        <f ca="1">IF(OR(Tulokset!$Q$6="",INDIRECT("'"&amp;$A25&amp;"'!$T$8")=""),"",IF(TRIM(INDIRECT("'"&amp;$A25&amp;"'!$T$8"))=TRIM(Tulokset!$Q$6),2,0))</f>
        <v/>
      </c>
      <c r="CU25" t="str">
        <f ca="1">IF(OR(Tulokset!$Q$7="",INDIRECT("'"&amp;$A25&amp;"'!$T$9")=""),"",IF(TRIM(INDIRECT("'"&amp;$A25&amp;"'!$T$9"))=TRIM(Tulokset!$Q$7),2,0))</f>
        <v/>
      </c>
      <c r="CV25" t="str">
        <f ca="1">IF(OR(Tulokset!$Q$8="",INDIRECT("'"&amp;$A25&amp;"'!$T$10")=""),"",IF(TRIM(INDIRECT("'"&amp;$A25&amp;"'!$T$10"))=TRIM(Tulokset!$Q$8),2,0))</f>
        <v/>
      </c>
      <c r="CW25" t="str">
        <f ca="1">IF(OR(Tulokset!$Q$9="",INDIRECT("'"&amp;$A25&amp;"'!$T$11")=""),"",IF(TRIM(INDIRECT("'"&amp;$A25&amp;"'!$T$11"))=TRIM(Tulokset!$Q$9),2,0))</f>
        <v/>
      </c>
      <c r="CX25" t="str">
        <f ca="1">IF(OR(Tulokset!$R$6="",INDIRECT("'"&amp;$A25&amp;"'!$U$8")=""),"",IF(TRIM(INDIRECT("'"&amp;$A25&amp;"'!$U$8"))=TRIM(Tulokset!$R$6),2,0))</f>
        <v/>
      </c>
      <c r="CY25" t="str">
        <f ca="1">IF(OR(Tulokset!$R$7="",INDIRECT("'"&amp;$A25&amp;"'!$U$9")=""),"",IF(TRIM(INDIRECT("'"&amp;$A25&amp;"'!$U$9"))=TRIM(Tulokset!$R$7),2,0))</f>
        <v/>
      </c>
      <c r="CZ25" t="str">
        <f ca="1">IF(OR(Tulokset!$R$8="",INDIRECT("'"&amp;$A25&amp;"'!$U$10")=""),"",IF(TRIM(INDIRECT("'"&amp;$A25&amp;"'!$U$10"))=TRIM(Tulokset!$R$8),2,0))</f>
        <v/>
      </c>
      <c r="DA25" t="str">
        <f ca="1">IF(OR(Tulokset!$R$9="",INDIRECT("'"&amp;$A25&amp;"'!$U$11")=""),"",IF(TRIM(INDIRECT("'"&amp;$A25&amp;"'!$U$11"))=TRIM(Tulokset!$R$9),2,0))</f>
        <v/>
      </c>
      <c r="DB25" t="str">
        <f ca="1">IF(OR(Tulokset!$M$12="",INDIRECT("'"&amp;$A25&amp;"'!$P$14")=""),"",IF(TRIM(INDIRECT("'"&amp;$A25&amp;"'!$P$14"))=TRIM(Tulokset!$M$12),2,0))</f>
        <v/>
      </c>
      <c r="DC25" t="str">
        <f ca="1">IF(OR(Tulokset!$M$13="",INDIRECT("'"&amp;$A25&amp;"'!$P$15")=""),"",IF(TRIM(INDIRECT("'"&amp;$A25&amp;"'!$P$15"))=TRIM(Tulokset!$M$13),2,0))</f>
        <v/>
      </c>
      <c r="DD25" t="str">
        <f ca="1">IF(OR(Tulokset!$M$14="",INDIRECT("'"&amp;$A25&amp;"'!$P$16")=""),"",IF(TRIM(INDIRECT("'"&amp;$A25&amp;"'!$P$16"))=TRIM(Tulokset!$M$14),2,0))</f>
        <v/>
      </c>
      <c r="DE25" t="str">
        <f ca="1">IF(OR(Tulokset!$M$15="",INDIRECT("'"&amp;$A25&amp;"'!$P$17")=""),"",IF(TRIM(INDIRECT("'"&amp;$A25&amp;"'!$P$17"))=TRIM(Tulokset!$M$15),2,0))</f>
        <v/>
      </c>
      <c r="DF25" t="str">
        <f ca="1">IF(OR(Tulokset!$N$12="",INDIRECT("'"&amp;$A25&amp;"'!$Q$14")=""),"",IF(TRIM(INDIRECT("'"&amp;$A25&amp;"'!$Q$14"))=TRIM(Tulokset!$N$12),2,0))</f>
        <v/>
      </c>
      <c r="DG25" t="str">
        <f ca="1">IF(OR(Tulokset!$N$13="",INDIRECT("'"&amp;$A25&amp;"'!$Q$15")=""),"",IF(TRIM(INDIRECT("'"&amp;$A25&amp;"'!$Q$15"))=TRIM(Tulokset!$N$13),2,0))</f>
        <v/>
      </c>
      <c r="DH25" t="str">
        <f ca="1">IF(OR(Tulokset!$N$14="",INDIRECT("'"&amp;$A25&amp;"'!$Q$16")=""),"",IF(TRIM(INDIRECT("'"&amp;$A25&amp;"'!$Q$16"))=TRIM(Tulokset!$N$14),2,0))</f>
        <v/>
      </c>
      <c r="DI25" t="str">
        <f ca="1">IF(OR(Tulokset!$N$15="",INDIRECT("'"&amp;$A25&amp;"'!$Q$17")=""),"",IF(TRIM(INDIRECT("'"&amp;$A25&amp;"'!$Q$17"))=TRIM(Tulokset!$N$15),2,0))</f>
        <v/>
      </c>
      <c r="DJ25" t="str">
        <f ca="1">IF(OR(Tulokset!$O$12="",INDIRECT("'"&amp;$A25&amp;"'!$R$14")=""),"",IF(TRIM(INDIRECT("'"&amp;$A25&amp;"'!$R$14"))=TRIM(Tulokset!$O$12),2,0))</f>
        <v/>
      </c>
      <c r="DK25" t="str">
        <f ca="1">IF(OR(Tulokset!$O$13="",INDIRECT("'"&amp;$A25&amp;"'!$R$15")=""),"",IF(TRIM(INDIRECT("'"&amp;$A25&amp;"'!$R$15"))=TRIM(Tulokset!$O$13),2,0))</f>
        <v/>
      </c>
      <c r="DL25" t="str">
        <f ca="1">IF(OR(Tulokset!$O$14="",INDIRECT("'"&amp;$A25&amp;"'!$R$16")=""),"",IF(TRIM(INDIRECT("'"&amp;$A25&amp;"'!$R$16"))=TRIM(Tulokset!$O$14),2,0))</f>
        <v/>
      </c>
      <c r="DM25" t="str">
        <f ca="1">IF(OR(Tulokset!$O$15="",INDIRECT("'"&amp;$A25&amp;"'!$R$17")=""),"",IF(TRIM(INDIRECT("'"&amp;$A25&amp;"'!$R$17"))=TRIM(Tulokset!$O$15),2,0))</f>
        <v/>
      </c>
      <c r="DN25" t="str">
        <f ca="1">IF(OR(Tulokset!$P$12="",INDIRECT("'"&amp;$A25&amp;"'!$S$14")=""),"",IF(TRIM(INDIRECT("'"&amp;$A25&amp;"'!$S$14"))=TRIM(Tulokset!$P$12),2,0))</f>
        <v/>
      </c>
      <c r="DO25" t="str">
        <f ca="1">IF(OR(Tulokset!$P$13="",INDIRECT("'"&amp;$A25&amp;"'!$S$15")=""),"",IF(TRIM(INDIRECT("'"&amp;$A25&amp;"'!$S$15"))=TRIM(Tulokset!$P$13),2,0))</f>
        <v/>
      </c>
      <c r="DP25" t="str">
        <f ca="1">IF(OR(Tulokset!$P$14="",INDIRECT("'"&amp;$A25&amp;"'!$S$16")=""),"",IF(TRIM(INDIRECT("'"&amp;$A25&amp;"'!$S$16"))=TRIM(Tulokset!$P$14),2,0))</f>
        <v/>
      </c>
      <c r="DQ25" t="str">
        <f ca="1">IF(OR(Tulokset!$P$15="",INDIRECT("'"&amp;$A25&amp;"'!$S$17")=""),"",IF(TRIM(INDIRECT("'"&amp;$A25&amp;"'!$S$17"))=TRIM(Tulokset!$P$15),2,0))</f>
        <v/>
      </c>
      <c r="DR25" t="str">
        <f ca="1">IF(OR(Tulokset!$Q$12="",INDIRECT("'"&amp;$A25&amp;"'!$T$14")=""),"",IF(TRIM(INDIRECT("'"&amp;$A25&amp;"'!$T$14"))=TRIM(Tulokset!$Q$12),2,0))</f>
        <v/>
      </c>
      <c r="DS25" t="str">
        <f ca="1">IF(OR(Tulokset!$Q$13="",INDIRECT("'"&amp;$A25&amp;"'!$T$15")=""),"",IF(TRIM(INDIRECT("'"&amp;$A25&amp;"'!$T$15"))=TRIM(Tulokset!$Q$13),2,0))</f>
        <v/>
      </c>
      <c r="DT25" t="str">
        <f ca="1">IF(OR(Tulokset!$Q$14="",INDIRECT("'"&amp;$A25&amp;"'!$T$16")=""),"",IF(TRIM(INDIRECT("'"&amp;$A25&amp;"'!$T$16"))=TRIM(Tulokset!$Q$14),2,0))</f>
        <v/>
      </c>
      <c r="DU25" t="str">
        <f ca="1">IF(OR(Tulokset!$Q$15="",INDIRECT("'"&amp;$A25&amp;"'!$T$17")=""),"",IF(TRIM(INDIRECT("'"&amp;$A25&amp;"'!$T$17"))=TRIM(Tulokset!$Q$15),2,0))</f>
        <v/>
      </c>
      <c r="DV25" t="str">
        <f ca="1">IF(OR(Tulokset!$R$12="",INDIRECT("'"&amp;$A25&amp;"'!$U$14")=""),"",IF(TRIM(INDIRECT("'"&amp;$A25&amp;"'!$U$14"))=TRIM(Tulokset!$R$12),2,0))</f>
        <v/>
      </c>
      <c r="DW25" t="str">
        <f ca="1">IF(OR(Tulokset!$R$13="",INDIRECT("'"&amp;$A25&amp;"'!$U$15")=""),"",IF(TRIM(INDIRECT("'"&amp;$A25&amp;"'!$U$15"))=TRIM(Tulokset!$R$13),2,0))</f>
        <v/>
      </c>
      <c r="DX25" t="str">
        <f ca="1">IF(OR(Tulokset!$R$14="",INDIRECT("'"&amp;$A25&amp;"'!$U$16")=""),"",IF(TRIM(INDIRECT("'"&amp;$A25&amp;"'!$U$16"))=TRIM(Tulokset!$R$14),2,0))</f>
        <v/>
      </c>
      <c r="DY25" t="str">
        <f ca="1">IF(OR(Tulokset!$R$15="",INDIRECT("'"&amp;$A25&amp;"'!$U$17")=""),"",IF(TRIM(INDIRECT("'"&amp;$A25&amp;"'!$U$17"))=TRIM(Tulokset!$R$15),2,0))</f>
        <v/>
      </c>
      <c r="EA25" t="str">
        <f ca="1">IF(OR(INDIRECT("'"&amp;$A25&amp;"'!$E$79")="",COUNTA(Tulokset!$M$20:$M$21)=0),"",IF(COUNTIF(Tulokset!$M$20:$M$21,INDIRECT("'"&amp;$A25&amp;"'!$E$79"))&gt;0,2,0))</f>
        <v/>
      </c>
      <c r="EB25" t="str">
        <f ca="1">IF(OR(INDIRECT("'"&amp;$A25&amp;"'!$G$79")="",COUNTA(Tulokset!$M$20:$M$21)=0),"",IF(COUNTIF(Tulokset!$M$20:$M$21,INDIRECT("'"&amp;$A25&amp;"'!$G$79"))&gt;0,2,0))</f>
        <v/>
      </c>
      <c r="EC25" t="str">
        <f ca="1">IF(OR(INDIRECT("'"&amp;$A25&amp;"'!$E$80")="",COUNTA(Tulokset!$M$23:$M$24)=0),"",IF(COUNTIF(Tulokset!$M$23:$M$24,INDIRECT("'"&amp;$A25&amp;"'!$E$80"))&gt;0,2,0))</f>
        <v/>
      </c>
      <c r="ED25" t="str">
        <f ca="1">IF(OR(INDIRECT("'"&amp;$A25&amp;"'!$G$80")="",COUNTA(Tulokset!$M$23:$M$24)=0),"",IF(COUNTIF(Tulokset!$M$23:$M$24,INDIRECT("'"&amp;$A25&amp;"'!$G$80"))&gt;0,2,0))</f>
        <v/>
      </c>
    </row>
    <row r="26" spans="1:134">
      <c r="A26" t="s">
        <v>241</v>
      </c>
      <c r="B26" t="str">
        <f t="shared" ca="1" si="0"/>
        <v>Agueero</v>
      </c>
      <c r="C26" s="95">
        <f t="shared" si="1"/>
        <v>0</v>
      </c>
      <c r="D26" s="95">
        <f t="shared" ca="1" si="2"/>
        <v>0</v>
      </c>
      <c r="E26" s="95">
        <f t="shared" ca="1" si="3"/>
        <v>0</v>
      </c>
      <c r="F26" s="95">
        <f t="shared" ca="1" si="4"/>
        <v>0</v>
      </c>
      <c r="G26" s="95">
        <f t="shared" si="5"/>
        <v>0</v>
      </c>
      <c r="H26" t="str">
        <f>IF(OR(Tulokset!$G$6="",Tulokset!$I$6="",'23'!$I$7="",'23'!$K$7=""),"",IF(SIGN('23'!$I$7-'23'!$K$7)&lt;&gt;SIGN(Tulokset!$G$6-Tulokset!$I$6),0,IF(Tulokset!$G$6=Tulokset!$I$6,IF(AND('23'!$I$7=Tulokset!$G$6,'23'!$K$7=Tulokset!$I$6),6,3),MAX(0,6-(ABS('23'!$I$7-Tulokset!$G$6)+ABS('23'!$K$7-Tulokset!$I$6))))))</f>
        <v/>
      </c>
      <c r="I26" t="str">
        <f>IF(OR(Tulokset!$G$7="",Tulokset!$I$7="",'23'!$I$8="",'23'!$K$8=""),"",IF(SIGN('23'!$I$8-'23'!$K$8)&lt;&gt;SIGN(Tulokset!$G$7-Tulokset!$I$7),0,IF(Tulokset!$G$7=Tulokset!$I$7,IF(AND('23'!$I$8=Tulokset!$G$7,'23'!$K$8=Tulokset!$I$7),6,3),MAX(0,6-(ABS('23'!$I$8-Tulokset!$G$7)+ABS('23'!$K$8-Tulokset!$I$7))))))</f>
        <v/>
      </c>
      <c r="J26" t="str">
        <f>IF(OR(Tulokset!$G$8="",Tulokset!$I$8="",'23'!$I$9="",'23'!$K$9=""),"",IF(SIGN('23'!$I$9-'23'!$K$9)&lt;&gt;SIGN(Tulokset!$G$8-Tulokset!$I$8),0,IF(Tulokset!$G$8=Tulokset!$I$8,IF(AND('23'!$I$9=Tulokset!$G$8,'23'!$K$9=Tulokset!$I$8),6,3),MAX(0,6-(ABS('23'!$I$9-Tulokset!$G$8)+ABS('23'!$K$9-Tulokset!$I$8))))))</f>
        <v/>
      </c>
      <c r="K26" t="str">
        <f>IF(OR(Tulokset!$G$9="",Tulokset!$I$9="",'23'!$I$10="",'23'!$K$10=""),"",IF(SIGN('23'!$I$10-'23'!$K$10)&lt;&gt;SIGN(Tulokset!$G$9-Tulokset!$I$9),0,IF(Tulokset!$G$9=Tulokset!$I$9,IF(AND('23'!$I$10=Tulokset!$G$9,'23'!$K$10=Tulokset!$I$9),6,3),MAX(0,6-(ABS('23'!$I$10-Tulokset!$G$9)+ABS('23'!$K$10-Tulokset!$I$9))))))</f>
        <v/>
      </c>
      <c r="L26" t="str">
        <f>IF(OR(Tulokset!$G$10="",Tulokset!$I$10="",'23'!$I$11="",'23'!$K$11=""),"",IF(SIGN('23'!$I$11-'23'!$K$11)&lt;&gt;SIGN(Tulokset!$G$10-Tulokset!$I$10),0,IF(Tulokset!$G$10=Tulokset!$I$10,IF(AND('23'!$I$11=Tulokset!$G$10,'23'!$K$11=Tulokset!$I$10),6,3),MAX(0,6-(ABS('23'!$I$11-Tulokset!$G$10)+ABS('23'!$K$11-Tulokset!$I$10))))))</f>
        <v/>
      </c>
      <c r="M26" t="str">
        <f>IF(OR(Tulokset!$G$11="",Tulokset!$I$11="",'23'!$I$12="",'23'!$K$12=""),"",IF(SIGN('23'!$I$12-'23'!$K$12)&lt;&gt;SIGN(Tulokset!$G$11-Tulokset!$I$11),0,IF(Tulokset!$G$11=Tulokset!$I$11,IF(AND('23'!$I$12=Tulokset!$G$11,'23'!$K$12=Tulokset!$I$11),6,3),MAX(0,6-(ABS('23'!$I$12-Tulokset!$G$11)+ABS('23'!$K$12-Tulokset!$I$11))))))</f>
        <v/>
      </c>
      <c r="N26" t="str">
        <f>IF(OR(Tulokset!$G$12="",Tulokset!$I$12="",'23'!$I$13="",'23'!$K$13=""),"",IF(SIGN('23'!$I$13-'23'!$K$13)&lt;&gt;SIGN(Tulokset!$G$12-Tulokset!$I$12),0,IF(Tulokset!$G$12=Tulokset!$I$12,IF(AND('23'!$I$13=Tulokset!$G$12,'23'!$K$13=Tulokset!$I$12),6,3),MAX(0,6-(ABS('23'!$I$13-Tulokset!$G$12)+ABS('23'!$K$13-Tulokset!$I$12))))))</f>
        <v/>
      </c>
      <c r="O26" t="str">
        <f>IF(OR(Tulokset!$G$13="",Tulokset!$I$13="",'23'!$I$14="",'23'!$K$14=""),"",IF(SIGN('23'!$I$14-'23'!$K$14)&lt;&gt;SIGN(Tulokset!$G$13-Tulokset!$I$13),0,IF(Tulokset!$G$13=Tulokset!$I$13,IF(AND('23'!$I$14=Tulokset!$G$13,'23'!$K$14=Tulokset!$I$13),6,3),MAX(0,6-(ABS('23'!$I$14-Tulokset!$G$13)+ABS('23'!$K$14-Tulokset!$I$13))))))</f>
        <v/>
      </c>
      <c r="P26" t="str">
        <f>IF(OR(Tulokset!$G$14="",Tulokset!$I$14="",'23'!$I$15="",'23'!$K$15=""),"",IF(SIGN('23'!$I$15-'23'!$K$15)&lt;&gt;SIGN(Tulokset!$G$14-Tulokset!$I$14),0,IF(Tulokset!$G$14=Tulokset!$I$14,IF(AND('23'!$I$15=Tulokset!$G$14,'23'!$K$15=Tulokset!$I$14),6,3),MAX(0,6-(ABS('23'!$I$15-Tulokset!$G$14)+ABS('23'!$K$15-Tulokset!$I$14))))))</f>
        <v/>
      </c>
      <c r="Q26" t="str">
        <f>IF(OR(Tulokset!$G$15="",Tulokset!$I$15="",'23'!$I$16="",'23'!$K$16=""),"",IF(SIGN('23'!$I$16-'23'!$K$16)&lt;&gt;SIGN(Tulokset!$G$15-Tulokset!$I$15),0,IF(Tulokset!$G$15=Tulokset!$I$15,IF(AND('23'!$I$16=Tulokset!$G$15,'23'!$K$16=Tulokset!$I$15),6,3),MAX(0,6-(ABS('23'!$I$16-Tulokset!$G$15)+ABS('23'!$K$16-Tulokset!$I$15))))))</f>
        <v/>
      </c>
      <c r="R26" t="str">
        <f>IF(OR(Tulokset!$G$16="",Tulokset!$I$16="",'23'!$I$17="",'23'!$K$17=""),"",IF(SIGN('23'!$I$17-'23'!$K$17)&lt;&gt;SIGN(Tulokset!$G$16-Tulokset!$I$16),0,IF(Tulokset!$G$16=Tulokset!$I$16,IF(AND('23'!$I$17=Tulokset!$G$16,'23'!$K$17=Tulokset!$I$16),6,3),MAX(0,6-(ABS('23'!$I$17-Tulokset!$G$16)+ABS('23'!$K$17-Tulokset!$I$16))))))</f>
        <v/>
      </c>
      <c r="S26" t="str">
        <f>IF(OR(Tulokset!$G$17="",Tulokset!$I$17="",'23'!$I$18="",'23'!$K$18=""),"",IF(SIGN('23'!$I$18-'23'!$K$18)&lt;&gt;SIGN(Tulokset!$G$17-Tulokset!$I$17),0,IF(Tulokset!$G$17=Tulokset!$I$17,IF(AND('23'!$I$18=Tulokset!$G$17,'23'!$K$18=Tulokset!$I$17),6,3),MAX(0,6-(ABS('23'!$I$18-Tulokset!$G$17)+ABS('23'!$K$18-Tulokset!$I$17))))))</f>
        <v/>
      </c>
      <c r="T26" t="str">
        <f>IF(OR(Tulokset!$G$18="",Tulokset!$I$18="",'23'!$I$19="",'23'!$K$19=""),"",IF(SIGN('23'!$I$19-'23'!$K$19)&lt;&gt;SIGN(Tulokset!$G$18-Tulokset!$I$18),0,IF(Tulokset!$G$18=Tulokset!$I$18,IF(AND('23'!$I$19=Tulokset!$G$18,'23'!$K$19=Tulokset!$I$18),6,3),MAX(0,6-(ABS('23'!$I$19-Tulokset!$G$18)+ABS('23'!$K$19-Tulokset!$I$18))))))</f>
        <v/>
      </c>
      <c r="U26" t="str">
        <f>IF(OR(Tulokset!$G$19="",Tulokset!$I$19="",'23'!$I$20="",'23'!$K$20=""),"",IF(SIGN('23'!$I$20-'23'!$K$20)&lt;&gt;SIGN(Tulokset!$G$19-Tulokset!$I$19),0,IF(Tulokset!$G$19=Tulokset!$I$19,IF(AND('23'!$I$20=Tulokset!$G$19,'23'!$K$20=Tulokset!$I$19),6,3),MAX(0,6-(ABS('23'!$I$20-Tulokset!$G$19)+ABS('23'!$K$20-Tulokset!$I$19))))))</f>
        <v/>
      </c>
      <c r="V26" t="str">
        <f>IF(OR(Tulokset!$G$20="",Tulokset!$I$20="",'23'!$I$21="",'23'!$K$21=""),"",IF(SIGN('23'!$I$21-'23'!$K$21)&lt;&gt;SIGN(Tulokset!$G$20-Tulokset!$I$20),0,IF(Tulokset!$G$20=Tulokset!$I$20,IF(AND('23'!$I$21=Tulokset!$G$20,'23'!$K$21=Tulokset!$I$20),6,3),MAX(0,6-(ABS('23'!$I$21-Tulokset!$G$20)+ABS('23'!$K$21-Tulokset!$I$20))))))</f>
        <v/>
      </c>
      <c r="W26" t="str">
        <f>IF(OR(Tulokset!$G$21="",Tulokset!$I$21="",'23'!$I$22="",'23'!$K$22=""),"",IF(SIGN('23'!$I$22-'23'!$K$22)&lt;&gt;SIGN(Tulokset!$G$21-Tulokset!$I$21),0,IF(Tulokset!$G$21=Tulokset!$I$21,IF(AND('23'!$I$22=Tulokset!$G$21,'23'!$K$22=Tulokset!$I$21),6,3),MAX(0,6-(ABS('23'!$I$22-Tulokset!$G$21)+ABS('23'!$K$22-Tulokset!$I$21))))))</f>
        <v/>
      </c>
      <c r="X26" t="str">
        <f>IF(OR(Tulokset!$G$22="",Tulokset!$I$22="",'23'!$I$23="",'23'!$K$23=""),"",IF(SIGN('23'!$I$23-'23'!$K$23)&lt;&gt;SIGN(Tulokset!$G$22-Tulokset!$I$22),0,IF(Tulokset!$G$22=Tulokset!$I$22,IF(AND('23'!$I$23=Tulokset!$G$22,'23'!$K$23=Tulokset!$I$22),6,3),MAX(0,6-(ABS('23'!$I$23-Tulokset!$G$22)+ABS('23'!$K$23-Tulokset!$I$22))))))</f>
        <v/>
      </c>
      <c r="Y26" t="str">
        <f>IF(OR(Tulokset!$G$23="",Tulokset!$I$23="",'23'!$I$24="",'23'!$K$24=""),"",IF(SIGN('23'!$I$24-'23'!$K$24)&lt;&gt;SIGN(Tulokset!$G$23-Tulokset!$I$23),0,IF(Tulokset!$G$23=Tulokset!$I$23,IF(AND('23'!$I$24=Tulokset!$G$23,'23'!$K$24=Tulokset!$I$23),6,3),MAX(0,6-(ABS('23'!$I$24-Tulokset!$G$23)+ABS('23'!$K$24-Tulokset!$I$23))))))</f>
        <v/>
      </c>
      <c r="Z26" t="str">
        <f>IF(OR(Tulokset!$G$24="",Tulokset!$I$24="",'23'!$I$25="",'23'!$K$25=""),"",IF(SIGN('23'!$I$25-'23'!$K$25)&lt;&gt;SIGN(Tulokset!$G$24-Tulokset!$I$24),0,IF(Tulokset!$G$24=Tulokset!$I$24,IF(AND('23'!$I$25=Tulokset!$G$24,'23'!$K$25=Tulokset!$I$24),6,3),MAX(0,6-(ABS('23'!$I$25-Tulokset!$G$24)+ABS('23'!$K$25-Tulokset!$I$24))))))</f>
        <v/>
      </c>
      <c r="AA26" t="str">
        <f>IF(OR(Tulokset!$G$25="",Tulokset!$I$25="",'23'!$I$26="",'23'!$K$26=""),"",IF(SIGN('23'!$I$26-'23'!$K$26)&lt;&gt;SIGN(Tulokset!$G$25-Tulokset!$I$25),0,IF(Tulokset!$G$25=Tulokset!$I$25,IF(AND('23'!$I$26=Tulokset!$G$25,'23'!$K$26=Tulokset!$I$25),6,3),MAX(0,6-(ABS('23'!$I$26-Tulokset!$G$25)+ABS('23'!$K$26-Tulokset!$I$25))))))</f>
        <v/>
      </c>
      <c r="AB26" t="str">
        <f>IF(OR(Tulokset!$G$26="",Tulokset!$I$26="",'23'!$I$27="",'23'!$K$27=""),"",IF(SIGN('23'!$I$27-'23'!$K$27)&lt;&gt;SIGN(Tulokset!$G$26-Tulokset!$I$26),0,IF(Tulokset!$G$26=Tulokset!$I$26,IF(AND('23'!$I$27=Tulokset!$G$26,'23'!$K$27=Tulokset!$I$26),6,3),MAX(0,6-(ABS('23'!$I$27-Tulokset!$G$26)+ABS('23'!$K$27-Tulokset!$I$26))))))</f>
        <v/>
      </c>
      <c r="AC26" t="str">
        <f>IF(OR(Tulokset!$G$27="",Tulokset!$I$27="",'23'!$I$28="",'23'!$K$28=""),"",IF(SIGN('23'!$I$28-'23'!$K$28)&lt;&gt;SIGN(Tulokset!$G$27-Tulokset!$I$27),0,IF(Tulokset!$G$27=Tulokset!$I$27,IF(AND('23'!$I$28=Tulokset!$G$27,'23'!$K$28=Tulokset!$I$27),6,3),MAX(0,6-(ABS('23'!$I$28-Tulokset!$G$27)+ABS('23'!$K$28-Tulokset!$I$27))))))</f>
        <v/>
      </c>
      <c r="AD26" t="str">
        <f>IF(OR(Tulokset!$G$28="",Tulokset!$I$28="",'23'!$I$29="",'23'!$K$29=""),"",IF(SIGN('23'!$I$29-'23'!$K$29)&lt;&gt;SIGN(Tulokset!$G$28-Tulokset!$I$28),0,IF(Tulokset!$G$28=Tulokset!$I$28,IF(AND('23'!$I$29=Tulokset!$G$28,'23'!$K$29=Tulokset!$I$28),6,3),MAX(0,6-(ABS('23'!$I$29-Tulokset!$G$28)+ABS('23'!$K$29-Tulokset!$I$28))))))</f>
        <v/>
      </c>
      <c r="AE26" t="str">
        <f>IF(OR(Tulokset!$G$29="",Tulokset!$I$29="",'23'!$I$30="",'23'!$K$30=""),"",IF(SIGN('23'!$I$30-'23'!$K$30)&lt;&gt;SIGN(Tulokset!$G$29-Tulokset!$I$29),0,IF(Tulokset!$G$29=Tulokset!$I$29,IF(AND('23'!$I$30=Tulokset!$G$29,'23'!$K$30=Tulokset!$I$29),6,3),MAX(0,6-(ABS('23'!$I$30-Tulokset!$G$29)+ABS('23'!$K$30-Tulokset!$I$29))))))</f>
        <v/>
      </c>
      <c r="AF26" t="str">
        <f>IF(OR(Tulokset!$G$30="",Tulokset!$I$30="",'23'!$I$31="",'23'!$K$31=""),"",IF(SIGN('23'!$I$31-'23'!$K$31)&lt;&gt;SIGN(Tulokset!$G$30-Tulokset!$I$30),0,IF(Tulokset!$G$30=Tulokset!$I$30,IF(AND('23'!$I$31=Tulokset!$G$30,'23'!$K$31=Tulokset!$I$30),6,3),MAX(0,6-(ABS('23'!$I$31-Tulokset!$G$30)+ABS('23'!$K$31-Tulokset!$I$30))))))</f>
        <v/>
      </c>
      <c r="AG26" t="str">
        <f>IF(OR(Tulokset!$G$31="",Tulokset!$I$31="",'23'!$I$32="",'23'!$K$32=""),"",IF(SIGN('23'!$I$32-'23'!$K$32)&lt;&gt;SIGN(Tulokset!$G$31-Tulokset!$I$31),0,IF(Tulokset!$G$31=Tulokset!$I$31,IF(AND('23'!$I$32=Tulokset!$G$31,'23'!$K$32=Tulokset!$I$31),6,3),MAX(0,6-(ABS('23'!$I$32-Tulokset!$G$31)+ABS('23'!$K$32-Tulokset!$I$31))))))</f>
        <v/>
      </c>
      <c r="AH26" t="str">
        <f>IF(OR(Tulokset!$G$32="",Tulokset!$I$32="",'23'!$I$33="",'23'!$K$33=""),"",IF(SIGN('23'!$I$33-'23'!$K$33)&lt;&gt;SIGN(Tulokset!$G$32-Tulokset!$I$32),0,IF(Tulokset!$G$32=Tulokset!$I$32,IF(AND('23'!$I$33=Tulokset!$G$32,'23'!$K$33=Tulokset!$I$32),6,3),MAX(0,6-(ABS('23'!$I$33-Tulokset!$G$32)+ABS('23'!$K$33-Tulokset!$I$32))))))</f>
        <v/>
      </c>
      <c r="AI26" t="str">
        <f>IF(OR(Tulokset!$G$33="",Tulokset!$I$33="",'23'!$I$34="",'23'!$K$34=""),"",IF(SIGN('23'!$I$34-'23'!$K$34)&lt;&gt;SIGN(Tulokset!$G$33-Tulokset!$I$33),0,IF(Tulokset!$G$33=Tulokset!$I$33,IF(AND('23'!$I$34=Tulokset!$G$33,'23'!$K$34=Tulokset!$I$33),6,3),MAX(0,6-(ABS('23'!$I$34-Tulokset!$G$33)+ABS('23'!$K$34-Tulokset!$I$33))))))</f>
        <v/>
      </c>
      <c r="AJ26" t="str">
        <f>IF(OR(Tulokset!$G$34="",Tulokset!$I$34="",'23'!$I$35="",'23'!$K$35=""),"",IF(SIGN('23'!$I$35-'23'!$K$35)&lt;&gt;SIGN(Tulokset!$G$34-Tulokset!$I$34),0,IF(Tulokset!$G$34=Tulokset!$I$34,IF(AND('23'!$I$35=Tulokset!$G$34,'23'!$K$35=Tulokset!$I$34),6,3),MAX(0,6-(ABS('23'!$I$35-Tulokset!$G$34)+ABS('23'!$K$35-Tulokset!$I$34))))))</f>
        <v/>
      </c>
      <c r="AK26" t="str">
        <f>IF(OR(Tulokset!$G$35="",Tulokset!$I$35="",'23'!$I$36="",'23'!$K$36=""),"",IF(SIGN('23'!$I$36-'23'!$K$36)&lt;&gt;SIGN(Tulokset!$G$35-Tulokset!$I$35),0,IF(Tulokset!$G$35=Tulokset!$I$35,IF(AND('23'!$I$36=Tulokset!$G$35,'23'!$K$36=Tulokset!$I$35),6,3),MAX(0,6-(ABS('23'!$I$36-Tulokset!$G$35)+ABS('23'!$K$36-Tulokset!$I$35))))))</f>
        <v/>
      </c>
      <c r="AL26" t="str">
        <f>IF(OR(Tulokset!$G$36="",Tulokset!$I$36="",'23'!$I$37="",'23'!$K$37=""),"",IF(SIGN('23'!$I$37-'23'!$K$37)&lt;&gt;SIGN(Tulokset!$G$36-Tulokset!$I$36),0,IF(Tulokset!$G$36=Tulokset!$I$36,IF(AND('23'!$I$37=Tulokset!$G$36,'23'!$K$37=Tulokset!$I$36),6,3),MAX(0,6-(ABS('23'!$I$37-Tulokset!$G$36)+ABS('23'!$K$37-Tulokset!$I$36))))))</f>
        <v/>
      </c>
      <c r="AM26" t="str">
        <f>IF(OR(Tulokset!$G$37="",Tulokset!$I$37="",'23'!$I$38="",'23'!$K$38=""),"",IF(SIGN('23'!$I$38-'23'!$K$38)&lt;&gt;SIGN(Tulokset!$G$37-Tulokset!$I$37),0,IF(Tulokset!$G$37=Tulokset!$I$37,IF(AND('23'!$I$38=Tulokset!$G$37,'23'!$K$38=Tulokset!$I$37),6,3),MAX(0,6-(ABS('23'!$I$38-Tulokset!$G$37)+ABS('23'!$K$38-Tulokset!$I$37))))))</f>
        <v/>
      </c>
      <c r="AN26" t="str">
        <f>IF(OR(Tulokset!$G$38="",Tulokset!$I$38="",'23'!$I$39="",'23'!$K$39=""),"",IF(SIGN('23'!$I$39-'23'!$K$39)&lt;&gt;SIGN(Tulokset!$G$38-Tulokset!$I$38),0,IF(Tulokset!$G$38=Tulokset!$I$38,IF(AND('23'!$I$39=Tulokset!$G$38,'23'!$K$39=Tulokset!$I$38),6,3),MAX(0,6-(ABS('23'!$I$39-Tulokset!$G$38)+ABS('23'!$K$39-Tulokset!$I$38))))))</f>
        <v/>
      </c>
      <c r="AO26" t="str">
        <f>IF(OR(Tulokset!$G$39="",Tulokset!$I$39="",'23'!$I$40="",'23'!$K$40=""),"",IF(SIGN('23'!$I$40-'23'!$K$40)&lt;&gt;SIGN(Tulokset!$G$39-Tulokset!$I$39),0,IF(Tulokset!$G$39=Tulokset!$I$39,IF(AND('23'!$I$40=Tulokset!$G$39,'23'!$K$40=Tulokset!$I$39),6,3),MAX(0,6-(ABS('23'!$I$40-Tulokset!$G$39)+ABS('23'!$K$40-Tulokset!$I$39))))))</f>
        <v/>
      </c>
      <c r="AP26" t="str">
        <f>IF(OR(Tulokset!$G$40="",Tulokset!$I$40="",'23'!$I$41="",'23'!$K$41=""),"",IF(SIGN('23'!$I$41-'23'!$K$41)&lt;&gt;SIGN(Tulokset!$G$40-Tulokset!$I$40),0,IF(Tulokset!$G$40=Tulokset!$I$40,IF(AND('23'!$I$41=Tulokset!$G$40,'23'!$K$41=Tulokset!$I$40),6,3),MAX(0,6-(ABS('23'!$I$41-Tulokset!$G$40)+ABS('23'!$K$41-Tulokset!$I$40))))))</f>
        <v/>
      </c>
      <c r="AQ26" t="str">
        <f>IF(OR(Tulokset!$G$41="",Tulokset!$I$41="",'23'!$I$42="",'23'!$K$42=""),"",IF(SIGN('23'!$I$42-'23'!$K$42)&lt;&gt;SIGN(Tulokset!$G$41-Tulokset!$I$41),0,IF(Tulokset!$G$41=Tulokset!$I$41,IF(AND('23'!$I$42=Tulokset!$G$41,'23'!$K$42=Tulokset!$I$41),6,3),MAX(0,6-(ABS('23'!$I$42-Tulokset!$G$41)+ABS('23'!$K$42-Tulokset!$I$41))))))</f>
        <v/>
      </c>
      <c r="AR26" t="str">
        <f>IF(OR(Tulokset!$G$42="",Tulokset!$I$42="",'23'!$I$43="",'23'!$K$43=""),"",IF(SIGN('23'!$I$43-'23'!$K$43)&lt;&gt;SIGN(Tulokset!$G$42-Tulokset!$I$42),0,IF(Tulokset!$G$42=Tulokset!$I$42,IF(AND('23'!$I$43=Tulokset!$G$42,'23'!$K$43=Tulokset!$I$42),6,3),MAX(0,6-(ABS('23'!$I$43-Tulokset!$G$42)+ABS('23'!$K$43-Tulokset!$I$42))))))</f>
        <v/>
      </c>
      <c r="AS26" t="str">
        <f>IF(OR(Tulokset!$G$43="",Tulokset!$I$43="",'23'!$I$44="",'23'!$K$44=""),"",IF(SIGN('23'!$I$44-'23'!$K$44)&lt;&gt;SIGN(Tulokset!$G$43-Tulokset!$I$43),0,IF(Tulokset!$G$43=Tulokset!$I$43,IF(AND('23'!$I$44=Tulokset!$G$43,'23'!$K$44=Tulokset!$I$43),6,3),MAX(0,6-(ABS('23'!$I$44-Tulokset!$G$43)+ABS('23'!$K$44-Tulokset!$I$43))))))</f>
        <v/>
      </c>
      <c r="AT26" t="str">
        <f>IF(OR(Tulokset!$G$44="",Tulokset!$I$44="",'23'!$I$45="",'23'!$K$45=""),"",IF(SIGN('23'!$I$45-'23'!$K$45)&lt;&gt;SIGN(Tulokset!$G$44-Tulokset!$I$44),0,IF(Tulokset!$G$44=Tulokset!$I$44,IF(AND('23'!$I$45=Tulokset!$G$44,'23'!$K$45=Tulokset!$I$44),6,3),MAX(0,6-(ABS('23'!$I$45-Tulokset!$G$44)+ABS('23'!$K$45-Tulokset!$I$44))))))</f>
        <v/>
      </c>
      <c r="AU26" t="str">
        <f>IF(OR(Tulokset!$G$45="",Tulokset!$I$45="",'23'!$I$46="",'23'!$K$46=""),"",IF(SIGN('23'!$I$46-'23'!$K$46)&lt;&gt;SIGN(Tulokset!$G$45-Tulokset!$I$45),0,IF(Tulokset!$G$45=Tulokset!$I$45,IF(AND('23'!$I$46=Tulokset!$G$45,'23'!$K$46=Tulokset!$I$45),6,3),MAX(0,6-(ABS('23'!$I$46-Tulokset!$G$45)+ABS('23'!$K$46-Tulokset!$I$45))))))</f>
        <v/>
      </c>
      <c r="AV26" t="str">
        <f>IF(OR(Tulokset!$G$46="",Tulokset!$I$46="",'23'!$I$47="",'23'!$K$47=""),"",IF(SIGN('23'!$I$47-'23'!$K$47)&lt;&gt;SIGN(Tulokset!$G$46-Tulokset!$I$46),0,IF(Tulokset!$G$46=Tulokset!$I$46,IF(AND('23'!$I$47=Tulokset!$G$46,'23'!$K$47=Tulokset!$I$46),6,3),MAX(0,6-(ABS('23'!$I$47-Tulokset!$G$46)+ABS('23'!$K$47-Tulokset!$I$46))))))</f>
        <v/>
      </c>
      <c r="AW26" t="str">
        <f>IF(OR(Tulokset!$G$47="",Tulokset!$I$47="",'23'!$I$48="",'23'!$K$48=""),"",IF(SIGN('23'!$I$48-'23'!$K$48)&lt;&gt;SIGN(Tulokset!$G$47-Tulokset!$I$47),0,IF(Tulokset!$G$47=Tulokset!$I$47,IF(AND('23'!$I$48=Tulokset!$G$47,'23'!$K$48=Tulokset!$I$47),6,3),MAX(0,6-(ABS('23'!$I$48-Tulokset!$G$47)+ABS('23'!$K$48-Tulokset!$I$47))))))</f>
        <v/>
      </c>
      <c r="AX26" t="str">
        <f>IF(OR(Tulokset!$G$48="",Tulokset!$I$48="",'23'!$I$49="",'23'!$K$49=""),"",IF(SIGN('23'!$I$49-'23'!$K$49)&lt;&gt;SIGN(Tulokset!$G$48-Tulokset!$I$48),0,IF(Tulokset!$G$48=Tulokset!$I$48,IF(AND('23'!$I$49=Tulokset!$G$48,'23'!$K$49=Tulokset!$I$48),6,3),MAX(0,6-(ABS('23'!$I$49-Tulokset!$G$48)+ABS('23'!$K$49-Tulokset!$I$48))))))</f>
        <v/>
      </c>
      <c r="AY26" t="str">
        <f>IF(OR(Tulokset!$G$49="",Tulokset!$I$49="",'23'!$I$50="",'23'!$K$50=""),"",IF(SIGN('23'!$I$50-'23'!$K$50)&lt;&gt;SIGN(Tulokset!$G$49-Tulokset!$I$49),0,IF(Tulokset!$G$49=Tulokset!$I$49,IF(AND('23'!$I$50=Tulokset!$G$49,'23'!$K$50=Tulokset!$I$49),6,3),MAX(0,6-(ABS('23'!$I$50-Tulokset!$G$49)+ABS('23'!$K$50-Tulokset!$I$49))))))</f>
        <v/>
      </c>
      <c r="AZ26" t="str">
        <f>IF(OR(Tulokset!$G$50="",Tulokset!$I$50="",'23'!$I$51="",'23'!$K$51=""),"",IF(SIGN('23'!$I$51-'23'!$K$51)&lt;&gt;SIGN(Tulokset!$G$50-Tulokset!$I$50),0,IF(Tulokset!$G$50=Tulokset!$I$50,IF(AND('23'!$I$51=Tulokset!$G$50,'23'!$K$51=Tulokset!$I$50),6,3),MAX(0,6-(ABS('23'!$I$51-Tulokset!$G$50)+ABS('23'!$K$51-Tulokset!$I$50))))))</f>
        <v/>
      </c>
      <c r="BA26" t="str">
        <f>IF(OR(Tulokset!$G$51="",Tulokset!$I$51="",'23'!$I$52="",'23'!$K$52=""),"",IF(SIGN('23'!$I$52-'23'!$K$52)&lt;&gt;SIGN(Tulokset!$G$51-Tulokset!$I$51),0,IF(Tulokset!$G$51=Tulokset!$I$51,IF(AND('23'!$I$52=Tulokset!$G$51,'23'!$K$52=Tulokset!$I$51),6,3),MAX(0,6-(ABS('23'!$I$52-Tulokset!$G$51)+ABS('23'!$K$52-Tulokset!$I$51))))))</f>
        <v/>
      </c>
      <c r="BB26" t="str">
        <f>IF(OR(Tulokset!$G$52="",Tulokset!$I$52="",'23'!$I$53="",'23'!$K$53=""),"",IF(SIGN('23'!$I$53-'23'!$K$53)&lt;&gt;SIGN(Tulokset!$G$52-Tulokset!$I$52),0,IF(Tulokset!$G$52=Tulokset!$I$52,IF(AND('23'!$I$53=Tulokset!$G$52,'23'!$K$53=Tulokset!$I$52),6,3),MAX(0,6-(ABS('23'!$I$53-Tulokset!$G$52)+ABS('23'!$K$53-Tulokset!$I$52))))))</f>
        <v/>
      </c>
      <c r="BC26" t="str">
        <f>IF(OR(Tulokset!$G$53="",Tulokset!$I$53="",'23'!$I$54="",'23'!$K$54=""),"",IF(SIGN('23'!$I$54-'23'!$K$54)&lt;&gt;SIGN(Tulokset!$G$53-Tulokset!$I$53),0,IF(Tulokset!$G$53=Tulokset!$I$53,IF(AND('23'!$I$54=Tulokset!$G$53,'23'!$K$54=Tulokset!$I$53),6,3),MAX(0,6-(ABS('23'!$I$54-Tulokset!$G$53)+ABS('23'!$K$54-Tulokset!$I$53))))))</f>
        <v/>
      </c>
      <c r="BD26" t="str">
        <f>IF(OR(Tulokset!$G$54="",Tulokset!$I$54="",'23'!$I$55="",'23'!$K$55=""),"",IF(SIGN('23'!$I$55-'23'!$K$55)&lt;&gt;SIGN(Tulokset!$G$54-Tulokset!$I$54),0,IF(Tulokset!$G$54=Tulokset!$I$54,IF(AND('23'!$I$55=Tulokset!$G$54,'23'!$K$55=Tulokset!$I$54),6,3),MAX(0,6-(ABS('23'!$I$55-Tulokset!$G$54)+ABS('23'!$K$55-Tulokset!$I$54))))))</f>
        <v/>
      </c>
      <c r="BE26" t="str">
        <f>IF(OR(Tulokset!$G$55="",Tulokset!$I$55="",'23'!$I$56="",'23'!$K$56=""),"",IF(SIGN('23'!$I$56-'23'!$K$56)&lt;&gt;SIGN(Tulokset!$G$55-Tulokset!$I$55),0,IF(Tulokset!$G$55=Tulokset!$I$55,IF(AND('23'!$I$56=Tulokset!$G$55,'23'!$K$56=Tulokset!$I$55),6,3),MAX(0,6-(ABS('23'!$I$56-Tulokset!$G$55)+ABS('23'!$K$56-Tulokset!$I$55))))))</f>
        <v/>
      </c>
      <c r="BF26" t="str">
        <f>IF(OR(Tulokset!$G$56="",Tulokset!$I$56="",'23'!$I$57="",'23'!$K$57=""),"",IF(SIGN('23'!$I$57-'23'!$K$57)&lt;&gt;SIGN(Tulokset!$G$56-Tulokset!$I$56),0,IF(Tulokset!$G$56=Tulokset!$I$56,IF(AND('23'!$I$57=Tulokset!$G$56,'23'!$K$57=Tulokset!$I$56),6,3),MAX(0,6-(ABS('23'!$I$57-Tulokset!$G$56)+ABS('23'!$K$57-Tulokset!$I$56))))))</f>
        <v/>
      </c>
      <c r="BG26" t="str">
        <f>IF(OR(Tulokset!$G$57="",Tulokset!$I$57="",'23'!$I$58="",'23'!$K$58=""),"",IF(SIGN('23'!$I$58-'23'!$K$58)&lt;&gt;SIGN(Tulokset!$G$57-Tulokset!$I$57),0,IF(Tulokset!$G$57=Tulokset!$I$57,IF(AND('23'!$I$58=Tulokset!$G$57,'23'!$K$58=Tulokset!$I$57),6,3),MAX(0,6-(ABS('23'!$I$58-Tulokset!$G$57)+ABS('23'!$K$58-Tulokset!$I$57))))))</f>
        <v/>
      </c>
      <c r="BH26" t="str">
        <f>IF(OR(Tulokset!$G$58="",Tulokset!$I$58="",'23'!$I$59="",'23'!$K$59=""),"",IF(SIGN('23'!$I$59-'23'!$K$59)&lt;&gt;SIGN(Tulokset!$G$58-Tulokset!$I$58),0,IF(Tulokset!$G$58=Tulokset!$I$58,IF(AND('23'!$I$59=Tulokset!$G$58,'23'!$K$59=Tulokset!$I$58),6,3),MAX(0,6-(ABS('23'!$I$59-Tulokset!$G$58)+ABS('23'!$K$59-Tulokset!$I$58))))))</f>
        <v/>
      </c>
      <c r="BI26" t="str">
        <f>IF(OR(Tulokset!$G$59="",Tulokset!$I$59="",'23'!$I$60="",'23'!$K$60=""),"",IF(SIGN('23'!$I$60-'23'!$K$60)&lt;&gt;SIGN(Tulokset!$G$59-Tulokset!$I$59),0,IF(Tulokset!$G$59=Tulokset!$I$59,IF(AND('23'!$I$60=Tulokset!$G$59,'23'!$K$60=Tulokset!$I$59),6,3),MAX(0,6-(ABS('23'!$I$60-Tulokset!$G$59)+ABS('23'!$K$60-Tulokset!$I$59))))))</f>
        <v/>
      </c>
      <c r="BJ26" t="str">
        <f>IF(OR(Tulokset!$G$60="",Tulokset!$I$60="",'23'!$I$61="",'23'!$K$61=""),"",IF(SIGN('23'!$I$61-'23'!$K$61)&lt;&gt;SIGN(Tulokset!$G$60-Tulokset!$I$60),0,IF(Tulokset!$G$60=Tulokset!$I$60,IF(AND('23'!$I$61=Tulokset!$G$60,'23'!$K$61=Tulokset!$I$60),6,3),MAX(0,6-(ABS('23'!$I$61-Tulokset!$G$60)+ABS('23'!$K$61-Tulokset!$I$60))))))</f>
        <v/>
      </c>
      <c r="BK26" t="str">
        <f>IF(OR(Tulokset!$G$61="",Tulokset!$I$61="",'23'!$I$62="",'23'!$K$62=""),"",IF(SIGN('23'!$I$62-'23'!$K$62)&lt;&gt;SIGN(Tulokset!$G$61-Tulokset!$I$61),0,IF(Tulokset!$G$61=Tulokset!$I$61,IF(AND('23'!$I$62=Tulokset!$G$61,'23'!$K$62=Tulokset!$I$61),6,3),MAX(0,6-(ABS('23'!$I$62-Tulokset!$G$61)+ABS('23'!$K$62-Tulokset!$I$61))))))</f>
        <v/>
      </c>
      <c r="BL26" t="str">
        <f>IF(OR(Tulokset!$G$62="",Tulokset!$I$62="",'23'!$I$63="",'23'!$K$63=""),"",IF(SIGN('23'!$I$63-'23'!$K$63)&lt;&gt;SIGN(Tulokset!$G$62-Tulokset!$I$62),0,IF(Tulokset!$G$62=Tulokset!$I$62,IF(AND('23'!$I$63=Tulokset!$G$62,'23'!$K$63=Tulokset!$I$62),6,3),MAX(0,6-(ABS('23'!$I$63-Tulokset!$G$62)+ABS('23'!$K$63-Tulokset!$I$62))))))</f>
        <v/>
      </c>
      <c r="BM26" t="str">
        <f>IF(OR(Tulokset!$G$63="",Tulokset!$I$63="",'23'!$I$64="",'23'!$K$64=""),"",IF(SIGN('23'!$I$64-'23'!$K$64)&lt;&gt;SIGN(Tulokset!$G$63-Tulokset!$I$63),0,IF(Tulokset!$G$63=Tulokset!$I$63,IF(AND('23'!$I$64=Tulokset!$G$63,'23'!$K$64=Tulokset!$I$63),6,3),MAX(0,6-(ABS('23'!$I$64-Tulokset!$G$63)+ABS('23'!$K$64-Tulokset!$I$63))))))</f>
        <v/>
      </c>
      <c r="BN26" t="str">
        <f>IF(OR(Tulokset!$G$64="",Tulokset!$I$64="",'23'!$I$65="",'23'!$K$65=""),"",IF(SIGN('23'!$I$65-'23'!$K$65)&lt;&gt;SIGN(Tulokset!$G$64-Tulokset!$I$64),0,IF(Tulokset!$G$64=Tulokset!$I$64,IF(AND('23'!$I$65=Tulokset!$G$64,'23'!$K$65=Tulokset!$I$64),6,3),MAX(0,6-(ABS('23'!$I$65-Tulokset!$G$64)+ABS('23'!$K$65-Tulokset!$I$64))))))</f>
        <v/>
      </c>
      <c r="BO26" t="str">
        <f>IF(OR(Tulokset!$G$65="",Tulokset!$I$65="",'23'!$I$66="",'23'!$K$66=""),"",IF(SIGN('23'!$I$66-'23'!$K$66)&lt;&gt;SIGN(Tulokset!$G$65-Tulokset!$I$65),0,IF(Tulokset!$G$65=Tulokset!$I$65,IF(AND('23'!$I$66=Tulokset!$G$65,'23'!$K$66=Tulokset!$I$65),6,3),MAX(0,6-(ABS('23'!$I$66-Tulokset!$G$65)+ABS('23'!$K$66-Tulokset!$I$65))))))</f>
        <v/>
      </c>
      <c r="BP26" t="str">
        <f>IF(OR(Tulokset!$G$66="",Tulokset!$I$66="",'23'!$I$67="",'23'!$K$67=""),"",IF(SIGN('23'!$I$67-'23'!$K$67)&lt;&gt;SIGN(Tulokset!$G$66-Tulokset!$I$66),0,IF(Tulokset!$G$66=Tulokset!$I$66,IF(AND('23'!$I$67=Tulokset!$G$66,'23'!$K$67=Tulokset!$I$66),6,3),MAX(0,6-(ABS('23'!$I$67-Tulokset!$G$66)+ABS('23'!$K$67-Tulokset!$I$66))))))</f>
        <v/>
      </c>
      <c r="BQ26" t="str">
        <f>IF(OR(Tulokset!$G$67="",Tulokset!$I$67="",'23'!$I$68="",'23'!$K$68=""),"",IF(SIGN('23'!$I$68-'23'!$K$68)&lt;&gt;SIGN(Tulokset!$G$67-Tulokset!$I$67),0,IF(Tulokset!$G$67=Tulokset!$I$67,IF(AND('23'!$I$68=Tulokset!$G$67,'23'!$K$68=Tulokset!$I$67),6,3),MAX(0,6-(ABS('23'!$I$68-Tulokset!$G$67)+ABS('23'!$K$68-Tulokset!$I$67))))))</f>
        <v/>
      </c>
      <c r="BR26" t="str">
        <f>IF(OR(Tulokset!$G$68="",Tulokset!$I$68="",'23'!$I$69="",'23'!$K$69=""),"",IF(SIGN('23'!$I$69-'23'!$K$69)&lt;&gt;SIGN(Tulokset!$G$68-Tulokset!$I$68),0,IF(Tulokset!$G$68=Tulokset!$I$68,IF(AND('23'!$I$69=Tulokset!$G$68,'23'!$K$69=Tulokset!$I$68),6,3),MAX(0,6-(ABS('23'!$I$69-Tulokset!$G$68)+ABS('23'!$K$69-Tulokset!$I$68))))))</f>
        <v/>
      </c>
      <c r="BS26" t="str">
        <f>IF(OR(Tulokset!$G$69="",Tulokset!$I$69="",'23'!$I$70="",'23'!$K$70=""),"",IF(SIGN('23'!$I$70-'23'!$K$70)&lt;&gt;SIGN(Tulokset!$G$69-Tulokset!$I$69),0,IF(Tulokset!$G$69=Tulokset!$I$69,IF(AND('23'!$I$70=Tulokset!$G$69,'23'!$K$70=Tulokset!$I$69),6,3),MAX(0,6-(ABS('23'!$I$70-Tulokset!$G$69)+ABS('23'!$K$70-Tulokset!$I$69))))))</f>
        <v/>
      </c>
      <c r="BT26" t="str">
        <f>IF(OR(Tulokset!$G$70="",Tulokset!$I$70="",'23'!$I$71="",'23'!$K$71=""),"",IF(SIGN('23'!$I$71-'23'!$K$71)&lt;&gt;SIGN(Tulokset!$G$70-Tulokset!$I$70),0,IF(Tulokset!$G$70=Tulokset!$I$70,IF(AND('23'!$I$71=Tulokset!$G$70,'23'!$K$71=Tulokset!$I$70),6,3),MAX(0,6-(ABS('23'!$I$71-Tulokset!$G$70)+ABS('23'!$K$71-Tulokset!$I$70))))))</f>
        <v/>
      </c>
      <c r="BU26" t="str">
        <f>IF(OR(Tulokset!$G$71="",Tulokset!$I$71="",'23'!$I$72="",'23'!$K$72=""),"",IF(SIGN('23'!$I$72-'23'!$K$72)&lt;&gt;SIGN(Tulokset!$G$71-Tulokset!$I$71),0,IF(Tulokset!$G$71=Tulokset!$I$71,IF(AND('23'!$I$72=Tulokset!$G$71,'23'!$K$72=Tulokset!$I$71),6,3),MAX(0,6-(ABS('23'!$I$72-Tulokset!$G$71)+ABS('23'!$K$72-Tulokset!$I$71))))))</f>
        <v/>
      </c>
      <c r="BV26" t="str">
        <f>IF(OR(Tulokset!$G$72="",Tulokset!$I$72="",'23'!$I$73="",'23'!$K$73=""),"",IF(SIGN('23'!$I$73-'23'!$K$73)&lt;&gt;SIGN(Tulokset!$G$72-Tulokset!$I$72),0,IF(Tulokset!$G$72=Tulokset!$I$72,IF(AND('23'!$I$73=Tulokset!$G$72,'23'!$K$73=Tulokset!$I$72),6,3),MAX(0,6-(ABS('23'!$I$73-Tulokset!$G$72)+ABS('23'!$K$73-Tulokset!$I$72))))))</f>
        <v/>
      </c>
      <c r="BW26" t="str">
        <f>IF(OR(Tulokset!$G$73="",Tulokset!$I$73="",'23'!$I$74="",'23'!$K$74=""),"",IF(SIGN('23'!$I$74-'23'!$K$74)&lt;&gt;SIGN(Tulokset!$G$73-Tulokset!$I$73),0,IF(Tulokset!$G$73=Tulokset!$I$73,IF(AND('23'!$I$74=Tulokset!$G$73,'23'!$K$74=Tulokset!$I$73),6,3),MAX(0,6-(ABS('23'!$I$74-Tulokset!$G$73)+ABS('23'!$K$74-Tulokset!$I$73))))))</f>
        <v/>
      </c>
      <c r="BX26" t="str">
        <f>IF(OR(Tulokset!$G$74="",Tulokset!$I$74="",'23'!$I$75="",'23'!$K$75=""),"",IF(SIGN('23'!$I$75-'23'!$K$75)&lt;&gt;SIGN(Tulokset!$G$74-Tulokset!$I$74),0,IF(Tulokset!$G$74=Tulokset!$I$74,IF(AND('23'!$I$75=Tulokset!$G$74,'23'!$K$75=Tulokset!$I$74),6,3),MAX(0,6-(ABS('23'!$I$75-Tulokset!$G$74)+ABS('23'!$K$75-Tulokset!$I$74))))))</f>
        <v/>
      </c>
      <c r="BY26" t="str">
        <f>IF(OR(Tulokset!$G$75="",Tulokset!$I$75="",'23'!$I$76="",'23'!$K$76=""),"",IF(SIGN('23'!$I$76-'23'!$K$76)&lt;&gt;SIGN(Tulokset!$G$75-Tulokset!$I$75),0,IF(Tulokset!$G$75=Tulokset!$I$75,IF(AND('23'!$I$76=Tulokset!$G$75,'23'!$K$76=Tulokset!$I$75),6,3),MAX(0,6-(ABS('23'!$I$76-Tulokset!$G$75)+ABS('23'!$K$76-Tulokset!$I$75))))))</f>
        <v/>
      </c>
      <c r="BZ26" t="str">
        <f>IF(OR(Tulokset!$G$76="",Tulokset!$I$76="",'23'!$I$77="",'23'!$K$77=""),"",IF(SIGN('23'!$I$77-'23'!$K$77)&lt;&gt;SIGN(Tulokset!$G$76-Tulokset!$I$76),0,IF(Tulokset!$G$76=Tulokset!$I$76,IF(AND('23'!$I$77=Tulokset!$G$76,'23'!$K$77=Tulokset!$I$76),6,3),MAX(0,6-(ABS('23'!$I$77-Tulokset!$G$76)+ABS('23'!$K$77-Tulokset!$I$76))))))</f>
        <v/>
      </c>
      <c r="CA26" t="str">
        <f>IF(OR(Tulokset!$G$77="",Tulokset!$I$77="",'23'!$I$78="",'23'!$K$78=""),"",IF(SIGN('23'!$I$78-'23'!$K$78)&lt;&gt;SIGN(Tulokset!$G$77-Tulokset!$I$77),0,IF(Tulokset!$G$77=Tulokset!$I$77,IF(AND('23'!$I$78=Tulokset!$G$77,'23'!$K$78=Tulokset!$I$77),6,3),MAX(0,6-(ABS('23'!$I$78-Tulokset!$G$77)+ABS('23'!$K$78-Tulokset!$I$77))))))</f>
        <v/>
      </c>
      <c r="CD26" t="str">
        <f ca="1">IF(OR(Tulokset!$M$6="",INDIRECT("'"&amp;$A26&amp;"'!$P$8")=""),"",IF(TRIM(INDIRECT("'"&amp;$A26&amp;"'!$P$8"))=TRIM(Tulokset!$M$6),2,0))</f>
        <v/>
      </c>
      <c r="CE26" t="str">
        <f ca="1">IF(OR(Tulokset!$M$7="",INDIRECT("'"&amp;$A26&amp;"'!$P$9")=""),"",IF(TRIM(INDIRECT("'"&amp;$A26&amp;"'!$P$9"))=TRIM(Tulokset!$M$7),2,0))</f>
        <v/>
      </c>
      <c r="CF26" t="str">
        <f ca="1">IF(OR(Tulokset!$M$8="",INDIRECT("'"&amp;$A26&amp;"'!$P$10")=""),"",IF(TRIM(INDIRECT("'"&amp;$A26&amp;"'!$P$10"))=TRIM(Tulokset!$M$8),2,0))</f>
        <v/>
      </c>
      <c r="CG26" t="str">
        <f ca="1">IF(OR(Tulokset!$M$9="",INDIRECT("'"&amp;$A26&amp;"'!$P$11")=""),"",IF(TRIM(INDIRECT("'"&amp;$A26&amp;"'!$P$11"))=TRIM(Tulokset!$M$9),2,0))</f>
        <v/>
      </c>
      <c r="CH26" t="str">
        <f ca="1">IF(OR(Tulokset!$N$6="",INDIRECT("'"&amp;$A26&amp;"'!$Q$8")=""),"",IF(TRIM(INDIRECT("'"&amp;$A26&amp;"'!$Q$8"))=TRIM(Tulokset!$N$6),2,0))</f>
        <v/>
      </c>
      <c r="CI26" t="str">
        <f ca="1">IF(OR(Tulokset!$N$7="",INDIRECT("'"&amp;$A26&amp;"'!$Q$9")=""),"",IF(TRIM(INDIRECT("'"&amp;$A26&amp;"'!$Q$9"))=TRIM(Tulokset!$N$7),2,0))</f>
        <v/>
      </c>
      <c r="CJ26" t="str">
        <f ca="1">IF(OR(Tulokset!$N$8="",INDIRECT("'"&amp;$A26&amp;"'!$Q$10")=""),"",IF(TRIM(INDIRECT("'"&amp;$A26&amp;"'!$Q$10"))=TRIM(Tulokset!$N$8),2,0))</f>
        <v/>
      </c>
      <c r="CK26" t="str">
        <f ca="1">IF(OR(Tulokset!$N$9="",INDIRECT("'"&amp;$A26&amp;"'!$Q$11")=""),"",IF(TRIM(INDIRECT("'"&amp;$A26&amp;"'!$Q$11"))=TRIM(Tulokset!$N$9),2,0))</f>
        <v/>
      </c>
      <c r="CL26" t="str">
        <f ca="1">IF(OR(Tulokset!$O$6="",INDIRECT("'"&amp;$A26&amp;"'!$R$8")=""),"",IF(TRIM(INDIRECT("'"&amp;$A26&amp;"'!$R$8"))=TRIM(Tulokset!$O$6),2,0))</f>
        <v/>
      </c>
      <c r="CM26" t="str">
        <f ca="1">IF(OR(Tulokset!$O$7="",INDIRECT("'"&amp;$A26&amp;"'!$R$9")=""),"",IF(TRIM(INDIRECT("'"&amp;$A26&amp;"'!$R$9"))=TRIM(Tulokset!$O$7),2,0))</f>
        <v/>
      </c>
      <c r="CN26" t="str">
        <f ca="1">IF(OR(Tulokset!$O$8="",INDIRECT("'"&amp;$A26&amp;"'!$R$10")=""),"",IF(TRIM(INDIRECT("'"&amp;$A26&amp;"'!$R$10"))=TRIM(Tulokset!$O$8),2,0))</f>
        <v/>
      </c>
      <c r="CO26" t="str">
        <f ca="1">IF(OR(Tulokset!$O$9="",INDIRECT("'"&amp;$A26&amp;"'!$R$11")=""),"",IF(TRIM(INDIRECT("'"&amp;$A26&amp;"'!$R$11"))=TRIM(Tulokset!$O$9),2,0))</f>
        <v/>
      </c>
      <c r="CP26" t="str">
        <f ca="1">IF(OR(Tulokset!$P$6="",INDIRECT("'"&amp;$A26&amp;"'!$S$8")=""),"",IF(TRIM(INDIRECT("'"&amp;$A26&amp;"'!$S$8"))=TRIM(Tulokset!$P$6),2,0))</f>
        <v/>
      </c>
      <c r="CQ26" t="str">
        <f ca="1">IF(OR(Tulokset!$P$7="",INDIRECT("'"&amp;$A26&amp;"'!$S$9")=""),"",IF(TRIM(INDIRECT("'"&amp;$A26&amp;"'!$S$9"))=TRIM(Tulokset!$P$7),2,0))</f>
        <v/>
      </c>
      <c r="CR26" t="str">
        <f ca="1">IF(OR(Tulokset!$P$8="",INDIRECT("'"&amp;$A26&amp;"'!$S$10")=""),"",IF(TRIM(INDIRECT("'"&amp;$A26&amp;"'!$S$10"))=TRIM(Tulokset!$P$8),2,0))</f>
        <v/>
      </c>
      <c r="CS26" t="str">
        <f ca="1">IF(OR(Tulokset!$P$9="",INDIRECT("'"&amp;$A26&amp;"'!$S$11")=""),"",IF(TRIM(INDIRECT("'"&amp;$A26&amp;"'!$S$11"))=TRIM(Tulokset!$P$9),2,0))</f>
        <v/>
      </c>
      <c r="CT26" t="str">
        <f ca="1">IF(OR(Tulokset!$Q$6="",INDIRECT("'"&amp;$A26&amp;"'!$T$8")=""),"",IF(TRIM(INDIRECT("'"&amp;$A26&amp;"'!$T$8"))=TRIM(Tulokset!$Q$6),2,0))</f>
        <v/>
      </c>
      <c r="CU26" t="str">
        <f ca="1">IF(OR(Tulokset!$Q$7="",INDIRECT("'"&amp;$A26&amp;"'!$T$9")=""),"",IF(TRIM(INDIRECT("'"&amp;$A26&amp;"'!$T$9"))=TRIM(Tulokset!$Q$7),2,0))</f>
        <v/>
      </c>
      <c r="CV26" t="str">
        <f ca="1">IF(OR(Tulokset!$Q$8="",INDIRECT("'"&amp;$A26&amp;"'!$T$10")=""),"",IF(TRIM(INDIRECT("'"&amp;$A26&amp;"'!$T$10"))=TRIM(Tulokset!$Q$8),2,0))</f>
        <v/>
      </c>
      <c r="CW26" t="str">
        <f ca="1">IF(OR(Tulokset!$Q$9="",INDIRECT("'"&amp;$A26&amp;"'!$T$11")=""),"",IF(TRIM(INDIRECT("'"&amp;$A26&amp;"'!$T$11"))=TRIM(Tulokset!$Q$9),2,0))</f>
        <v/>
      </c>
      <c r="CX26" t="str">
        <f ca="1">IF(OR(Tulokset!$R$6="",INDIRECT("'"&amp;$A26&amp;"'!$U$8")=""),"",IF(TRIM(INDIRECT("'"&amp;$A26&amp;"'!$U$8"))=TRIM(Tulokset!$R$6),2,0))</f>
        <v/>
      </c>
      <c r="CY26" t="str">
        <f ca="1">IF(OR(Tulokset!$R$7="",INDIRECT("'"&amp;$A26&amp;"'!$U$9")=""),"",IF(TRIM(INDIRECT("'"&amp;$A26&amp;"'!$U$9"))=TRIM(Tulokset!$R$7),2,0))</f>
        <v/>
      </c>
      <c r="CZ26" t="str">
        <f ca="1">IF(OR(Tulokset!$R$8="",INDIRECT("'"&amp;$A26&amp;"'!$U$10")=""),"",IF(TRIM(INDIRECT("'"&amp;$A26&amp;"'!$U$10"))=TRIM(Tulokset!$R$8),2,0))</f>
        <v/>
      </c>
      <c r="DA26" t="str">
        <f ca="1">IF(OR(Tulokset!$R$9="",INDIRECT("'"&amp;$A26&amp;"'!$U$11")=""),"",IF(TRIM(INDIRECT("'"&amp;$A26&amp;"'!$U$11"))=TRIM(Tulokset!$R$9),2,0))</f>
        <v/>
      </c>
      <c r="DB26" t="str">
        <f ca="1">IF(OR(Tulokset!$M$12="",INDIRECT("'"&amp;$A26&amp;"'!$P$14")=""),"",IF(TRIM(INDIRECT("'"&amp;$A26&amp;"'!$P$14"))=TRIM(Tulokset!$M$12),2,0))</f>
        <v/>
      </c>
      <c r="DC26" t="str">
        <f ca="1">IF(OR(Tulokset!$M$13="",INDIRECT("'"&amp;$A26&amp;"'!$P$15")=""),"",IF(TRIM(INDIRECT("'"&amp;$A26&amp;"'!$P$15"))=TRIM(Tulokset!$M$13),2,0))</f>
        <v/>
      </c>
      <c r="DD26" t="str">
        <f ca="1">IF(OR(Tulokset!$M$14="",INDIRECT("'"&amp;$A26&amp;"'!$P$16")=""),"",IF(TRIM(INDIRECT("'"&amp;$A26&amp;"'!$P$16"))=TRIM(Tulokset!$M$14),2,0))</f>
        <v/>
      </c>
      <c r="DE26" t="str">
        <f ca="1">IF(OR(Tulokset!$M$15="",INDIRECT("'"&amp;$A26&amp;"'!$P$17")=""),"",IF(TRIM(INDIRECT("'"&amp;$A26&amp;"'!$P$17"))=TRIM(Tulokset!$M$15),2,0))</f>
        <v/>
      </c>
      <c r="DF26" t="str">
        <f ca="1">IF(OR(Tulokset!$N$12="",INDIRECT("'"&amp;$A26&amp;"'!$Q$14")=""),"",IF(TRIM(INDIRECT("'"&amp;$A26&amp;"'!$Q$14"))=TRIM(Tulokset!$N$12),2,0))</f>
        <v/>
      </c>
      <c r="DG26" t="str">
        <f ca="1">IF(OR(Tulokset!$N$13="",INDIRECT("'"&amp;$A26&amp;"'!$Q$15")=""),"",IF(TRIM(INDIRECT("'"&amp;$A26&amp;"'!$Q$15"))=TRIM(Tulokset!$N$13),2,0))</f>
        <v/>
      </c>
      <c r="DH26" t="str">
        <f ca="1">IF(OR(Tulokset!$N$14="",INDIRECT("'"&amp;$A26&amp;"'!$Q$16")=""),"",IF(TRIM(INDIRECT("'"&amp;$A26&amp;"'!$Q$16"))=TRIM(Tulokset!$N$14),2,0))</f>
        <v/>
      </c>
      <c r="DI26" t="str">
        <f ca="1">IF(OR(Tulokset!$N$15="",INDIRECT("'"&amp;$A26&amp;"'!$Q$17")=""),"",IF(TRIM(INDIRECT("'"&amp;$A26&amp;"'!$Q$17"))=TRIM(Tulokset!$N$15),2,0))</f>
        <v/>
      </c>
      <c r="DJ26" t="str">
        <f ca="1">IF(OR(Tulokset!$O$12="",INDIRECT("'"&amp;$A26&amp;"'!$R$14")=""),"",IF(TRIM(INDIRECT("'"&amp;$A26&amp;"'!$R$14"))=TRIM(Tulokset!$O$12),2,0))</f>
        <v/>
      </c>
      <c r="DK26" t="str">
        <f ca="1">IF(OR(Tulokset!$O$13="",INDIRECT("'"&amp;$A26&amp;"'!$R$15")=""),"",IF(TRIM(INDIRECT("'"&amp;$A26&amp;"'!$R$15"))=TRIM(Tulokset!$O$13),2,0))</f>
        <v/>
      </c>
      <c r="DL26" t="str">
        <f ca="1">IF(OR(Tulokset!$O$14="",INDIRECT("'"&amp;$A26&amp;"'!$R$16")=""),"",IF(TRIM(INDIRECT("'"&amp;$A26&amp;"'!$R$16"))=TRIM(Tulokset!$O$14),2,0))</f>
        <v/>
      </c>
      <c r="DM26" t="str">
        <f ca="1">IF(OR(Tulokset!$O$15="",INDIRECT("'"&amp;$A26&amp;"'!$R$17")=""),"",IF(TRIM(INDIRECT("'"&amp;$A26&amp;"'!$R$17"))=TRIM(Tulokset!$O$15),2,0))</f>
        <v/>
      </c>
      <c r="DN26" t="str">
        <f ca="1">IF(OR(Tulokset!$P$12="",INDIRECT("'"&amp;$A26&amp;"'!$S$14")=""),"",IF(TRIM(INDIRECT("'"&amp;$A26&amp;"'!$S$14"))=TRIM(Tulokset!$P$12),2,0))</f>
        <v/>
      </c>
      <c r="DO26" t="str">
        <f ca="1">IF(OR(Tulokset!$P$13="",INDIRECT("'"&amp;$A26&amp;"'!$S$15")=""),"",IF(TRIM(INDIRECT("'"&amp;$A26&amp;"'!$S$15"))=TRIM(Tulokset!$P$13),2,0))</f>
        <v/>
      </c>
      <c r="DP26" t="str">
        <f ca="1">IF(OR(Tulokset!$P$14="",INDIRECT("'"&amp;$A26&amp;"'!$S$16")=""),"",IF(TRIM(INDIRECT("'"&amp;$A26&amp;"'!$S$16"))=TRIM(Tulokset!$P$14),2,0))</f>
        <v/>
      </c>
      <c r="DQ26" t="str">
        <f ca="1">IF(OR(Tulokset!$P$15="",INDIRECT("'"&amp;$A26&amp;"'!$S$17")=""),"",IF(TRIM(INDIRECT("'"&amp;$A26&amp;"'!$S$17"))=TRIM(Tulokset!$P$15),2,0))</f>
        <v/>
      </c>
      <c r="DR26" t="str">
        <f ca="1">IF(OR(Tulokset!$Q$12="",INDIRECT("'"&amp;$A26&amp;"'!$T$14")=""),"",IF(TRIM(INDIRECT("'"&amp;$A26&amp;"'!$T$14"))=TRIM(Tulokset!$Q$12),2,0))</f>
        <v/>
      </c>
      <c r="DS26" t="str">
        <f ca="1">IF(OR(Tulokset!$Q$13="",INDIRECT("'"&amp;$A26&amp;"'!$T$15")=""),"",IF(TRIM(INDIRECT("'"&amp;$A26&amp;"'!$T$15"))=TRIM(Tulokset!$Q$13),2,0))</f>
        <v/>
      </c>
      <c r="DT26" t="str">
        <f ca="1">IF(OR(Tulokset!$Q$14="",INDIRECT("'"&amp;$A26&amp;"'!$T$16")=""),"",IF(TRIM(INDIRECT("'"&amp;$A26&amp;"'!$T$16"))=TRIM(Tulokset!$Q$14),2,0))</f>
        <v/>
      </c>
      <c r="DU26" t="str">
        <f ca="1">IF(OR(Tulokset!$Q$15="",INDIRECT("'"&amp;$A26&amp;"'!$T$17")=""),"",IF(TRIM(INDIRECT("'"&amp;$A26&amp;"'!$T$17"))=TRIM(Tulokset!$Q$15),2,0))</f>
        <v/>
      </c>
      <c r="DV26" t="str">
        <f ca="1">IF(OR(Tulokset!$R$12="",INDIRECT("'"&amp;$A26&amp;"'!$U$14")=""),"",IF(TRIM(INDIRECT("'"&amp;$A26&amp;"'!$U$14"))=TRIM(Tulokset!$R$12),2,0))</f>
        <v/>
      </c>
      <c r="DW26" t="str">
        <f ca="1">IF(OR(Tulokset!$R$13="",INDIRECT("'"&amp;$A26&amp;"'!$U$15")=""),"",IF(TRIM(INDIRECT("'"&amp;$A26&amp;"'!$U$15"))=TRIM(Tulokset!$R$13),2,0))</f>
        <v/>
      </c>
      <c r="DX26" t="str">
        <f ca="1">IF(OR(Tulokset!$R$14="",INDIRECT("'"&amp;$A26&amp;"'!$U$16")=""),"",IF(TRIM(INDIRECT("'"&amp;$A26&amp;"'!$U$16"))=TRIM(Tulokset!$R$14),2,0))</f>
        <v/>
      </c>
      <c r="DY26" t="str">
        <f ca="1">IF(OR(Tulokset!$R$15="",INDIRECT("'"&amp;$A26&amp;"'!$U$17")=""),"",IF(TRIM(INDIRECT("'"&amp;$A26&amp;"'!$U$17"))=TRIM(Tulokset!$R$15),2,0))</f>
        <v/>
      </c>
      <c r="EA26" t="str">
        <f ca="1">IF(OR(INDIRECT("'"&amp;$A26&amp;"'!$E$79")="",COUNTA(Tulokset!$M$20:$M$21)=0),"",IF(COUNTIF(Tulokset!$M$20:$M$21,INDIRECT("'"&amp;$A26&amp;"'!$E$79"))&gt;0,2,0))</f>
        <v/>
      </c>
      <c r="EB26" t="str">
        <f ca="1">IF(OR(INDIRECT("'"&amp;$A26&amp;"'!$G$79")="",COUNTA(Tulokset!$M$20:$M$21)=0),"",IF(COUNTIF(Tulokset!$M$20:$M$21,INDIRECT("'"&amp;$A26&amp;"'!$G$79"))&gt;0,2,0))</f>
        <v/>
      </c>
      <c r="EC26" t="str">
        <f ca="1">IF(OR(INDIRECT("'"&amp;$A26&amp;"'!$E$80")="",COUNTA(Tulokset!$M$23:$M$24)=0),"",IF(COUNTIF(Tulokset!$M$23:$M$24,INDIRECT("'"&amp;$A26&amp;"'!$E$80"))&gt;0,2,0))</f>
        <v/>
      </c>
      <c r="ED26" t="str">
        <f ca="1">IF(OR(INDIRECT("'"&amp;$A26&amp;"'!$G$80")="",COUNTA(Tulokset!$M$23:$M$24)=0),"",IF(COUNTIF(Tulokset!$M$23:$M$24,INDIRECT("'"&amp;$A26&amp;"'!$G$80"))&gt;0,2,0))</f>
        <v/>
      </c>
    </row>
    <row r="27" spans="1:134">
      <c r="A27" t="s">
        <v>242</v>
      </c>
      <c r="B27" t="str">
        <f t="shared" ca="1" si="0"/>
        <v>Rosaldo</v>
      </c>
      <c r="C27" s="95">
        <f t="shared" si="1"/>
        <v>0</v>
      </c>
      <c r="D27" s="95">
        <f t="shared" ca="1" si="2"/>
        <v>0</v>
      </c>
      <c r="E27" s="95">
        <f t="shared" ca="1" si="3"/>
        <v>0</v>
      </c>
      <c r="F27" s="95">
        <f t="shared" ca="1" si="4"/>
        <v>0</v>
      </c>
      <c r="G27" s="95">
        <f t="shared" si="5"/>
        <v>0</v>
      </c>
      <c r="H27" t="str">
        <f>IF(OR(Tulokset!$G$6="",Tulokset!$I$6="",'24'!$I$7="",'24'!$K$7=""),"",IF(SIGN('24'!$I$7-'24'!$K$7)&lt;&gt;SIGN(Tulokset!$G$6-Tulokset!$I$6),0,IF(Tulokset!$G$6=Tulokset!$I$6,IF(AND('24'!$I$7=Tulokset!$G$6,'24'!$K$7=Tulokset!$I$6),6,3),MAX(0,6-(ABS('24'!$I$7-Tulokset!$G$6)+ABS('24'!$K$7-Tulokset!$I$6))))))</f>
        <v/>
      </c>
      <c r="I27" t="str">
        <f>IF(OR(Tulokset!$G$7="",Tulokset!$I$7="",'24'!$I$8="",'24'!$K$8=""),"",IF(SIGN('24'!$I$8-'24'!$K$8)&lt;&gt;SIGN(Tulokset!$G$7-Tulokset!$I$7),0,IF(Tulokset!$G$7=Tulokset!$I$7,IF(AND('24'!$I$8=Tulokset!$G$7,'24'!$K$8=Tulokset!$I$7),6,3),MAX(0,6-(ABS('24'!$I$8-Tulokset!$G$7)+ABS('24'!$K$8-Tulokset!$I$7))))))</f>
        <v/>
      </c>
      <c r="J27" t="str">
        <f>IF(OR(Tulokset!$G$8="",Tulokset!$I$8="",'24'!$I$9="",'24'!$K$9=""),"",IF(SIGN('24'!$I$9-'24'!$K$9)&lt;&gt;SIGN(Tulokset!$G$8-Tulokset!$I$8),0,IF(Tulokset!$G$8=Tulokset!$I$8,IF(AND('24'!$I$9=Tulokset!$G$8,'24'!$K$9=Tulokset!$I$8),6,3),MAX(0,6-(ABS('24'!$I$9-Tulokset!$G$8)+ABS('24'!$K$9-Tulokset!$I$8))))))</f>
        <v/>
      </c>
      <c r="K27" t="str">
        <f>IF(OR(Tulokset!$G$9="",Tulokset!$I$9="",'24'!$I$10="",'24'!$K$10=""),"",IF(SIGN('24'!$I$10-'24'!$K$10)&lt;&gt;SIGN(Tulokset!$G$9-Tulokset!$I$9),0,IF(Tulokset!$G$9=Tulokset!$I$9,IF(AND('24'!$I$10=Tulokset!$G$9,'24'!$K$10=Tulokset!$I$9),6,3),MAX(0,6-(ABS('24'!$I$10-Tulokset!$G$9)+ABS('24'!$K$10-Tulokset!$I$9))))))</f>
        <v/>
      </c>
      <c r="L27" t="str">
        <f>IF(OR(Tulokset!$G$10="",Tulokset!$I$10="",'24'!$I$11="",'24'!$K$11=""),"",IF(SIGN('24'!$I$11-'24'!$K$11)&lt;&gt;SIGN(Tulokset!$G$10-Tulokset!$I$10),0,IF(Tulokset!$G$10=Tulokset!$I$10,IF(AND('24'!$I$11=Tulokset!$G$10,'24'!$K$11=Tulokset!$I$10),6,3),MAX(0,6-(ABS('24'!$I$11-Tulokset!$G$10)+ABS('24'!$K$11-Tulokset!$I$10))))))</f>
        <v/>
      </c>
      <c r="M27" t="str">
        <f>IF(OR(Tulokset!$G$11="",Tulokset!$I$11="",'24'!$I$12="",'24'!$K$12=""),"",IF(SIGN('24'!$I$12-'24'!$K$12)&lt;&gt;SIGN(Tulokset!$G$11-Tulokset!$I$11),0,IF(Tulokset!$G$11=Tulokset!$I$11,IF(AND('24'!$I$12=Tulokset!$G$11,'24'!$K$12=Tulokset!$I$11),6,3),MAX(0,6-(ABS('24'!$I$12-Tulokset!$G$11)+ABS('24'!$K$12-Tulokset!$I$11))))))</f>
        <v/>
      </c>
      <c r="N27" t="str">
        <f>IF(OR(Tulokset!$G$12="",Tulokset!$I$12="",'24'!$I$13="",'24'!$K$13=""),"",IF(SIGN('24'!$I$13-'24'!$K$13)&lt;&gt;SIGN(Tulokset!$G$12-Tulokset!$I$12),0,IF(Tulokset!$G$12=Tulokset!$I$12,IF(AND('24'!$I$13=Tulokset!$G$12,'24'!$K$13=Tulokset!$I$12),6,3),MAX(0,6-(ABS('24'!$I$13-Tulokset!$G$12)+ABS('24'!$K$13-Tulokset!$I$12))))))</f>
        <v/>
      </c>
      <c r="O27" t="str">
        <f>IF(OR(Tulokset!$G$13="",Tulokset!$I$13="",'24'!$I$14="",'24'!$K$14=""),"",IF(SIGN('24'!$I$14-'24'!$K$14)&lt;&gt;SIGN(Tulokset!$G$13-Tulokset!$I$13),0,IF(Tulokset!$G$13=Tulokset!$I$13,IF(AND('24'!$I$14=Tulokset!$G$13,'24'!$K$14=Tulokset!$I$13),6,3),MAX(0,6-(ABS('24'!$I$14-Tulokset!$G$13)+ABS('24'!$K$14-Tulokset!$I$13))))))</f>
        <v/>
      </c>
      <c r="P27" t="str">
        <f>IF(OR(Tulokset!$G$14="",Tulokset!$I$14="",'24'!$I$15="",'24'!$K$15=""),"",IF(SIGN('24'!$I$15-'24'!$K$15)&lt;&gt;SIGN(Tulokset!$G$14-Tulokset!$I$14),0,IF(Tulokset!$G$14=Tulokset!$I$14,IF(AND('24'!$I$15=Tulokset!$G$14,'24'!$K$15=Tulokset!$I$14),6,3),MAX(0,6-(ABS('24'!$I$15-Tulokset!$G$14)+ABS('24'!$K$15-Tulokset!$I$14))))))</f>
        <v/>
      </c>
      <c r="Q27" t="str">
        <f>IF(OR(Tulokset!$G$15="",Tulokset!$I$15="",'24'!$I$16="",'24'!$K$16=""),"",IF(SIGN('24'!$I$16-'24'!$K$16)&lt;&gt;SIGN(Tulokset!$G$15-Tulokset!$I$15),0,IF(Tulokset!$G$15=Tulokset!$I$15,IF(AND('24'!$I$16=Tulokset!$G$15,'24'!$K$16=Tulokset!$I$15),6,3),MAX(0,6-(ABS('24'!$I$16-Tulokset!$G$15)+ABS('24'!$K$16-Tulokset!$I$15))))))</f>
        <v/>
      </c>
      <c r="R27" t="str">
        <f>IF(OR(Tulokset!$G$16="",Tulokset!$I$16="",'24'!$I$17="",'24'!$K$17=""),"",IF(SIGN('24'!$I$17-'24'!$K$17)&lt;&gt;SIGN(Tulokset!$G$16-Tulokset!$I$16),0,IF(Tulokset!$G$16=Tulokset!$I$16,IF(AND('24'!$I$17=Tulokset!$G$16,'24'!$K$17=Tulokset!$I$16),6,3),MAX(0,6-(ABS('24'!$I$17-Tulokset!$G$16)+ABS('24'!$K$17-Tulokset!$I$16))))))</f>
        <v/>
      </c>
      <c r="S27" t="str">
        <f>IF(OR(Tulokset!$G$17="",Tulokset!$I$17="",'24'!$I$18="",'24'!$K$18=""),"",IF(SIGN('24'!$I$18-'24'!$K$18)&lt;&gt;SIGN(Tulokset!$G$17-Tulokset!$I$17),0,IF(Tulokset!$G$17=Tulokset!$I$17,IF(AND('24'!$I$18=Tulokset!$G$17,'24'!$K$18=Tulokset!$I$17),6,3),MAX(0,6-(ABS('24'!$I$18-Tulokset!$G$17)+ABS('24'!$K$18-Tulokset!$I$17))))))</f>
        <v/>
      </c>
      <c r="T27" t="str">
        <f>IF(OR(Tulokset!$G$18="",Tulokset!$I$18="",'24'!$I$19="",'24'!$K$19=""),"",IF(SIGN('24'!$I$19-'24'!$K$19)&lt;&gt;SIGN(Tulokset!$G$18-Tulokset!$I$18),0,IF(Tulokset!$G$18=Tulokset!$I$18,IF(AND('24'!$I$19=Tulokset!$G$18,'24'!$K$19=Tulokset!$I$18),6,3),MAX(0,6-(ABS('24'!$I$19-Tulokset!$G$18)+ABS('24'!$K$19-Tulokset!$I$18))))))</f>
        <v/>
      </c>
      <c r="U27" t="str">
        <f>IF(OR(Tulokset!$G$19="",Tulokset!$I$19="",'24'!$I$20="",'24'!$K$20=""),"",IF(SIGN('24'!$I$20-'24'!$K$20)&lt;&gt;SIGN(Tulokset!$G$19-Tulokset!$I$19),0,IF(Tulokset!$G$19=Tulokset!$I$19,IF(AND('24'!$I$20=Tulokset!$G$19,'24'!$K$20=Tulokset!$I$19),6,3),MAX(0,6-(ABS('24'!$I$20-Tulokset!$G$19)+ABS('24'!$K$20-Tulokset!$I$19))))))</f>
        <v/>
      </c>
      <c r="V27" t="str">
        <f>IF(OR(Tulokset!$G$20="",Tulokset!$I$20="",'24'!$I$21="",'24'!$K$21=""),"",IF(SIGN('24'!$I$21-'24'!$K$21)&lt;&gt;SIGN(Tulokset!$G$20-Tulokset!$I$20),0,IF(Tulokset!$G$20=Tulokset!$I$20,IF(AND('24'!$I$21=Tulokset!$G$20,'24'!$K$21=Tulokset!$I$20),6,3),MAX(0,6-(ABS('24'!$I$21-Tulokset!$G$20)+ABS('24'!$K$21-Tulokset!$I$20))))))</f>
        <v/>
      </c>
      <c r="W27" t="str">
        <f>IF(OR(Tulokset!$G$21="",Tulokset!$I$21="",'24'!$I$22="",'24'!$K$22=""),"",IF(SIGN('24'!$I$22-'24'!$K$22)&lt;&gt;SIGN(Tulokset!$G$21-Tulokset!$I$21),0,IF(Tulokset!$G$21=Tulokset!$I$21,IF(AND('24'!$I$22=Tulokset!$G$21,'24'!$K$22=Tulokset!$I$21),6,3),MAX(0,6-(ABS('24'!$I$22-Tulokset!$G$21)+ABS('24'!$K$22-Tulokset!$I$21))))))</f>
        <v/>
      </c>
      <c r="X27" t="str">
        <f>IF(OR(Tulokset!$G$22="",Tulokset!$I$22="",'24'!$I$23="",'24'!$K$23=""),"",IF(SIGN('24'!$I$23-'24'!$K$23)&lt;&gt;SIGN(Tulokset!$G$22-Tulokset!$I$22),0,IF(Tulokset!$G$22=Tulokset!$I$22,IF(AND('24'!$I$23=Tulokset!$G$22,'24'!$K$23=Tulokset!$I$22),6,3),MAX(0,6-(ABS('24'!$I$23-Tulokset!$G$22)+ABS('24'!$K$23-Tulokset!$I$22))))))</f>
        <v/>
      </c>
      <c r="Y27" t="str">
        <f>IF(OR(Tulokset!$G$23="",Tulokset!$I$23="",'24'!$I$24="",'24'!$K$24=""),"",IF(SIGN('24'!$I$24-'24'!$K$24)&lt;&gt;SIGN(Tulokset!$G$23-Tulokset!$I$23),0,IF(Tulokset!$G$23=Tulokset!$I$23,IF(AND('24'!$I$24=Tulokset!$G$23,'24'!$K$24=Tulokset!$I$23),6,3),MAX(0,6-(ABS('24'!$I$24-Tulokset!$G$23)+ABS('24'!$K$24-Tulokset!$I$23))))))</f>
        <v/>
      </c>
      <c r="Z27" t="str">
        <f>IF(OR(Tulokset!$G$24="",Tulokset!$I$24="",'24'!$I$25="",'24'!$K$25=""),"",IF(SIGN('24'!$I$25-'24'!$K$25)&lt;&gt;SIGN(Tulokset!$G$24-Tulokset!$I$24),0,IF(Tulokset!$G$24=Tulokset!$I$24,IF(AND('24'!$I$25=Tulokset!$G$24,'24'!$K$25=Tulokset!$I$24),6,3),MAX(0,6-(ABS('24'!$I$25-Tulokset!$G$24)+ABS('24'!$K$25-Tulokset!$I$24))))))</f>
        <v/>
      </c>
      <c r="AA27" t="str">
        <f>IF(OR(Tulokset!$G$25="",Tulokset!$I$25="",'24'!$I$26="",'24'!$K$26=""),"",IF(SIGN('24'!$I$26-'24'!$K$26)&lt;&gt;SIGN(Tulokset!$G$25-Tulokset!$I$25),0,IF(Tulokset!$G$25=Tulokset!$I$25,IF(AND('24'!$I$26=Tulokset!$G$25,'24'!$K$26=Tulokset!$I$25),6,3),MAX(0,6-(ABS('24'!$I$26-Tulokset!$G$25)+ABS('24'!$K$26-Tulokset!$I$25))))))</f>
        <v/>
      </c>
      <c r="AB27" t="str">
        <f>IF(OR(Tulokset!$G$26="",Tulokset!$I$26="",'24'!$I$27="",'24'!$K$27=""),"",IF(SIGN('24'!$I$27-'24'!$K$27)&lt;&gt;SIGN(Tulokset!$G$26-Tulokset!$I$26),0,IF(Tulokset!$G$26=Tulokset!$I$26,IF(AND('24'!$I$27=Tulokset!$G$26,'24'!$K$27=Tulokset!$I$26),6,3),MAX(0,6-(ABS('24'!$I$27-Tulokset!$G$26)+ABS('24'!$K$27-Tulokset!$I$26))))))</f>
        <v/>
      </c>
      <c r="AC27" t="str">
        <f>IF(OR(Tulokset!$G$27="",Tulokset!$I$27="",'24'!$I$28="",'24'!$K$28=""),"",IF(SIGN('24'!$I$28-'24'!$K$28)&lt;&gt;SIGN(Tulokset!$G$27-Tulokset!$I$27),0,IF(Tulokset!$G$27=Tulokset!$I$27,IF(AND('24'!$I$28=Tulokset!$G$27,'24'!$K$28=Tulokset!$I$27),6,3),MAX(0,6-(ABS('24'!$I$28-Tulokset!$G$27)+ABS('24'!$K$28-Tulokset!$I$27))))))</f>
        <v/>
      </c>
      <c r="AD27" t="str">
        <f>IF(OR(Tulokset!$G$28="",Tulokset!$I$28="",'24'!$I$29="",'24'!$K$29=""),"",IF(SIGN('24'!$I$29-'24'!$K$29)&lt;&gt;SIGN(Tulokset!$G$28-Tulokset!$I$28),0,IF(Tulokset!$G$28=Tulokset!$I$28,IF(AND('24'!$I$29=Tulokset!$G$28,'24'!$K$29=Tulokset!$I$28),6,3),MAX(0,6-(ABS('24'!$I$29-Tulokset!$G$28)+ABS('24'!$K$29-Tulokset!$I$28))))))</f>
        <v/>
      </c>
      <c r="AE27" t="str">
        <f>IF(OR(Tulokset!$G$29="",Tulokset!$I$29="",'24'!$I$30="",'24'!$K$30=""),"",IF(SIGN('24'!$I$30-'24'!$K$30)&lt;&gt;SIGN(Tulokset!$G$29-Tulokset!$I$29),0,IF(Tulokset!$G$29=Tulokset!$I$29,IF(AND('24'!$I$30=Tulokset!$G$29,'24'!$K$30=Tulokset!$I$29),6,3),MAX(0,6-(ABS('24'!$I$30-Tulokset!$G$29)+ABS('24'!$K$30-Tulokset!$I$29))))))</f>
        <v/>
      </c>
      <c r="AF27" t="str">
        <f>IF(OR(Tulokset!$G$30="",Tulokset!$I$30="",'24'!$I$31="",'24'!$K$31=""),"",IF(SIGN('24'!$I$31-'24'!$K$31)&lt;&gt;SIGN(Tulokset!$G$30-Tulokset!$I$30),0,IF(Tulokset!$G$30=Tulokset!$I$30,IF(AND('24'!$I$31=Tulokset!$G$30,'24'!$K$31=Tulokset!$I$30),6,3),MAX(0,6-(ABS('24'!$I$31-Tulokset!$G$30)+ABS('24'!$K$31-Tulokset!$I$30))))))</f>
        <v/>
      </c>
      <c r="AG27" t="str">
        <f>IF(OR(Tulokset!$G$31="",Tulokset!$I$31="",'24'!$I$32="",'24'!$K$32=""),"",IF(SIGN('24'!$I$32-'24'!$K$32)&lt;&gt;SIGN(Tulokset!$G$31-Tulokset!$I$31),0,IF(Tulokset!$G$31=Tulokset!$I$31,IF(AND('24'!$I$32=Tulokset!$G$31,'24'!$K$32=Tulokset!$I$31),6,3),MAX(0,6-(ABS('24'!$I$32-Tulokset!$G$31)+ABS('24'!$K$32-Tulokset!$I$31))))))</f>
        <v/>
      </c>
      <c r="AH27" t="str">
        <f>IF(OR(Tulokset!$G$32="",Tulokset!$I$32="",'24'!$I$33="",'24'!$K$33=""),"",IF(SIGN('24'!$I$33-'24'!$K$33)&lt;&gt;SIGN(Tulokset!$G$32-Tulokset!$I$32),0,IF(Tulokset!$G$32=Tulokset!$I$32,IF(AND('24'!$I$33=Tulokset!$G$32,'24'!$K$33=Tulokset!$I$32),6,3),MAX(0,6-(ABS('24'!$I$33-Tulokset!$G$32)+ABS('24'!$K$33-Tulokset!$I$32))))))</f>
        <v/>
      </c>
      <c r="AI27" t="str">
        <f>IF(OR(Tulokset!$G$33="",Tulokset!$I$33="",'24'!$I$34="",'24'!$K$34=""),"",IF(SIGN('24'!$I$34-'24'!$K$34)&lt;&gt;SIGN(Tulokset!$G$33-Tulokset!$I$33),0,IF(Tulokset!$G$33=Tulokset!$I$33,IF(AND('24'!$I$34=Tulokset!$G$33,'24'!$K$34=Tulokset!$I$33),6,3),MAX(0,6-(ABS('24'!$I$34-Tulokset!$G$33)+ABS('24'!$K$34-Tulokset!$I$33))))))</f>
        <v/>
      </c>
      <c r="AJ27" t="str">
        <f>IF(OR(Tulokset!$G$34="",Tulokset!$I$34="",'24'!$I$35="",'24'!$K$35=""),"",IF(SIGN('24'!$I$35-'24'!$K$35)&lt;&gt;SIGN(Tulokset!$G$34-Tulokset!$I$34),0,IF(Tulokset!$G$34=Tulokset!$I$34,IF(AND('24'!$I$35=Tulokset!$G$34,'24'!$K$35=Tulokset!$I$34),6,3),MAX(0,6-(ABS('24'!$I$35-Tulokset!$G$34)+ABS('24'!$K$35-Tulokset!$I$34))))))</f>
        <v/>
      </c>
      <c r="AK27" t="str">
        <f>IF(OR(Tulokset!$G$35="",Tulokset!$I$35="",'24'!$I$36="",'24'!$K$36=""),"",IF(SIGN('24'!$I$36-'24'!$K$36)&lt;&gt;SIGN(Tulokset!$G$35-Tulokset!$I$35),0,IF(Tulokset!$G$35=Tulokset!$I$35,IF(AND('24'!$I$36=Tulokset!$G$35,'24'!$K$36=Tulokset!$I$35),6,3),MAX(0,6-(ABS('24'!$I$36-Tulokset!$G$35)+ABS('24'!$K$36-Tulokset!$I$35))))))</f>
        <v/>
      </c>
      <c r="AL27" t="str">
        <f>IF(OR(Tulokset!$G$36="",Tulokset!$I$36="",'24'!$I$37="",'24'!$K$37=""),"",IF(SIGN('24'!$I$37-'24'!$K$37)&lt;&gt;SIGN(Tulokset!$G$36-Tulokset!$I$36),0,IF(Tulokset!$G$36=Tulokset!$I$36,IF(AND('24'!$I$37=Tulokset!$G$36,'24'!$K$37=Tulokset!$I$36),6,3),MAX(0,6-(ABS('24'!$I$37-Tulokset!$G$36)+ABS('24'!$K$37-Tulokset!$I$36))))))</f>
        <v/>
      </c>
      <c r="AM27" t="str">
        <f>IF(OR(Tulokset!$G$37="",Tulokset!$I$37="",'24'!$I$38="",'24'!$K$38=""),"",IF(SIGN('24'!$I$38-'24'!$K$38)&lt;&gt;SIGN(Tulokset!$G$37-Tulokset!$I$37),0,IF(Tulokset!$G$37=Tulokset!$I$37,IF(AND('24'!$I$38=Tulokset!$G$37,'24'!$K$38=Tulokset!$I$37),6,3),MAX(0,6-(ABS('24'!$I$38-Tulokset!$G$37)+ABS('24'!$K$38-Tulokset!$I$37))))))</f>
        <v/>
      </c>
      <c r="AN27" t="str">
        <f>IF(OR(Tulokset!$G$38="",Tulokset!$I$38="",'24'!$I$39="",'24'!$K$39=""),"",IF(SIGN('24'!$I$39-'24'!$K$39)&lt;&gt;SIGN(Tulokset!$G$38-Tulokset!$I$38),0,IF(Tulokset!$G$38=Tulokset!$I$38,IF(AND('24'!$I$39=Tulokset!$G$38,'24'!$K$39=Tulokset!$I$38),6,3),MAX(0,6-(ABS('24'!$I$39-Tulokset!$G$38)+ABS('24'!$K$39-Tulokset!$I$38))))))</f>
        <v/>
      </c>
      <c r="AO27" t="str">
        <f>IF(OR(Tulokset!$G$39="",Tulokset!$I$39="",'24'!$I$40="",'24'!$K$40=""),"",IF(SIGN('24'!$I$40-'24'!$K$40)&lt;&gt;SIGN(Tulokset!$G$39-Tulokset!$I$39),0,IF(Tulokset!$G$39=Tulokset!$I$39,IF(AND('24'!$I$40=Tulokset!$G$39,'24'!$K$40=Tulokset!$I$39),6,3),MAX(0,6-(ABS('24'!$I$40-Tulokset!$G$39)+ABS('24'!$K$40-Tulokset!$I$39))))))</f>
        <v/>
      </c>
      <c r="AP27" t="str">
        <f>IF(OR(Tulokset!$G$40="",Tulokset!$I$40="",'24'!$I$41="",'24'!$K$41=""),"",IF(SIGN('24'!$I$41-'24'!$K$41)&lt;&gt;SIGN(Tulokset!$G$40-Tulokset!$I$40),0,IF(Tulokset!$G$40=Tulokset!$I$40,IF(AND('24'!$I$41=Tulokset!$G$40,'24'!$K$41=Tulokset!$I$40),6,3),MAX(0,6-(ABS('24'!$I$41-Tulokset!$G$40)+ABS('24'!$K$41-Tulokset!$I$40))))))</f>
        <v/>
      </c>
      <c r="AQ27" t="str">
        <f>IF(OR(Tulokset!$G$41="",Tulokset!$I$41="",'24'!$I$42="",'24'!$K$42=""),"",IF(SIGN('24'!$I$42-'24'!$K$42)&lt;&gt;SIGN(Tulokset!$G$41-Tulokset!$I$41),0,IF(Tulokset!$G$41=Tulokset!$I$41,IF(AND('24'!$I$42=Tulokset!$G$41,'24'!$K$42=Tulokset!$I$41),6,3),MAX(0,6-(ABS('24'!$I$42-Tulokset!$G$41)+ABS('24'!$K$42-Tulokset!$I$41))))))</f>
        <v/>
      </c>
      <c r="AR27" t="str">
        <f>IF(OR(Tulokset!$G$42="",Tulokset!$I$42="",'24'!$I$43="",'24'!$K$43=""),"",IF(SIGN('24'!$I$43-'24'!$K$43)&lt;&gt;SIGN(Tulokset!$G$42-Tulokset!$I$42),0,IF(Tulokset!$G$42=Tulokset!$I$42,IF(AND('24'!$I$43=Tulokset!$G$42,'24'!$K$43=Tulokset!$I$42),6,3),MAX(0,6-(ABS('24'!$I$43-Tulokset!$G$42)+ABS('24'!$K$43-Tulokset!$I$42))))))</f>
        <v/>
      </c>
      <c r="AS27" t="str">
        <f>IF(OR(Tulokset!$G$43="",Tulokset!$I$43="",'24'!$I$44="",'24'!$K$44=""),"",IF(SIGN('24'!$I$44-'24'!$K$44)&lt;&gt;SIGN(Tulokset!$G$43-Tulokset!$I$43),0,IF(Tulokset!$G$43=Tulokset!$I$43,IF(AND('24'!$I$44=Tulokset!$G$43,'24'!$K$44=Tulokset!$I$43),6,3),MAX(0,6-(ABS('24'!$I$44-Tulokset!$G$43)+ABS('24'!$K$44-Tulokset!$I$43))))))</f>
        <v/>
      </c>
      <c r="AT27" t="str">
        <f>IF(OR(Tulokset!$G$44="",Tulokset!$I$44="",'24'!$I$45="",'24'!$K$45=""),"",IF(SIGN('24'!$I$45-'24'!$K$45)&lt;&gt;SIGN(Tulokset!$G$44-Tulokset!$I$44),0,IF(Tulokset!$G$44=Tulokset!$I$44,IF(AND('24'!$I$45=Tulokset!$G$44,'24'!$K$45=Tulokset!$I$44),6,3),MAX(0,6-(ABS('24'!$I$45-Tulokset!$G$44)+ABS('24'!$K$45-Tulokset!$I$44))))))</f>
        <v/>
      </c>
      <c r="AU27" t="str">
        <f>IF(OR(Tulokset!$G$45="",Tulokset!$I$45="",'24'!$I$46="",'24'!$K$46=""),"",IF(SIGN('24'!$I$46-'24'!$K$46)&lt;&gt;SIGN(Tulokset!$G$45-Tulokset!$I$45),0,IF(Tulokset!$G$45=Tulokset!$I$45,IF(AND('24'!$I$46=Tulokset!$G$45,'24'!$K$46=Tulokset!$I$45),6,3),MAX(0,6-(ABS('24'!$I$46-Tulokset!$G$45)+ABS('24'!$K$46-Tulokset!$I$45))))))</f>
        <v/>
      </c>
      <c r="AV27" t="str">
        <f>IF(OR(Tulokset!$G$46="",Tulokset!$I$46="",'24'!$I$47="",'24'!$K$47=""),"",IF(SIGN('24'!$I$47-'24'!$K$47)&lt;&gt;SIGN(Tulokset!$G$46-Tulokset!$I$46),0,IF(Tulokset!$G$46=Tulokset!$I$46,IF(AND('24'!$I$47=Tulokset!$G$46,'24'!$K$47=Tulokset!$I$46),6,3),MAX(0,6-(ABS('24'!$I$47-Tulokset!$G$46)+ABS('24'!$K$47-Tulokset!$I$46))))))</f>
        <v/>
      </c>
      <c r="AW27" t="str">
        <f>IF(OR(Tulokset!$G$47="",Tulokset!$I$47="",'24'!$I$48="",'24'!$K$48=""),"",IF(SIGN('24'!$I$48-'24'!$K$48)&lt;&gt;SIGN(Tulokset!$G$47-Tulokset!$I$47),0,IF(Tulokset!$G$47=Tulokset!$I$47,IF(AND('24'!$I$48=Tulokset!$G$47,'24'!$K$48=Tulokset!$I$47),6,3),MAX(0,6-(ABS('24'!$I$48-Tulokset!$G$47)+ABS('24'!$K$48-Tulokset!$I$47))))))</f>
        <v/>
      </c>
      <c r="AX27" t="str">
        <f>IF(OR(Tulokset!$G$48="",Tulokset!$I$48="",'24'!$I$49="",'24'!$K$49=""),"",IF(SIGN('24'!$I$49-'24'!$K$49)&lt;&gt;SIGN(Tulokset!$G$48-Tulokset!$I$48),0,IF(Tulokset!$G$48=Tulokset!$I$48,IF(AND('24'!$I$49=Tulokset!$G$48,'24'!$K$49=Tulokset!$I$48),6,3),MAX(0,6-(ABS('24'!$I$49-Tulokset!$G$48)+ABS('24'!$K$49-Tulokset!$I$48))))))</f>
        <v/>
      </c>
      <c r="AY27" t="str">
        <f>IF(OR(Tulokset!$G$49="",Tulokset!$I$49="",'24'!$I$50="",'24'!$K$50=""),"",IF(SIGN('24'!$I$50-'24'!$K$50)&lt;&gt;SIGN(Tulokset!$G$49-Tulokset!$I$49),0,IF(Tulokset!$G$49=Tulokset!$I$49,IF(AND('24'!$I$50=Tulokset!$G$49,'24'!$K$50=Tulokset!$I$49),6,3),MAX(0,6-(ABS('24'!$I$50-Tulokset!$G$49)+ABS('24'!$K$50-Tulokset!$I$49))))))</f>
        <v/>
      </c>
      <c r="AZ27" t="str">
        <f>IF(OR(Tulokset!$G$50="",Tulokset!$I$50="",'24'!$I$51="",'24'!$K$51=""),"",IF(SIGN('24'!$I$51-'24'!$K$51)&lt;&gt;SIGN(Tulokset!$G$50-Tulokset!$I$50),0,IF(Tulokset!$G$50=Tulokset!$I$50,IF(AND('24'!$I$51=Tulokset!$G$50,'24'!$K$51=Tulokset!$I$50),6,3),MAX(0,6-(ABS('24'!$I$51-Tulokset!$G$50)+ABS('24'!$K$51-Tulokset!$I$50))))))</f>
        <v/>
      </c>
      <c r="BA27" t="str">
        <f>IF(OR(Tulokset!$G$51="",Tulokset!$I$51="",'24'!$I$52="",'24'!$K$52=""),"",IF(SIGN('24'!$I$52-'24'!$K$52)&lt;&gt;SIGN(Tulokset!$G$51-Tulokset!$I$51),0,IF(Tulokset!$G$51=Tulokset!$I$51,IF(AND('24'!$I$52=Tulokset!$G$51,'24'!$K$52=Tulokset!$I$51),6,3),MAX(0,6-(ABS('24'!$I$52-Tulokset!$G$51)+ABS('24'!$K$52-Tulokset!$I$51))))))</f>
        <v/>
      </c>
      <c r="BB27" t="str">
        <f>IF(OR(Tulokset!$G$52="",Tulokset!$I$52="",'24'!$I$53="",'24'!$K$53=""),"",IF(SIGN('24'!$I$53-'24'!$K$53)&lt;&gt;SIGN(Tulokset!$G$52-Tulokset!$I$52),0,IF(Tulokset!$G$52=Tulokset!$I$52,IF(AND('24'!$I$53=Tulokset!$G$52,'24'!$K$53=Tulokset!$I$52),6,3),MAX(0,6-(ABS('24'!$I$53-Tulokset!$G$52)+ABS('24'!$K$53-Tulokset!$I$52))))))</f>
        <v/>
      </c>
      <c r="BC27" t="str">
        <f>IF(OR(Tulokset!$G$53="",Tulokset!$I$53="",'24'!$I$54="",'24'!$K$54=""),"",IF(SIGN('24'!$I$54-'24'!$K$54)&lt;&gt;SIGN(Tulokset!$G$53-Tulokset!$I$53),0,IF(Tulokset!$G$53=Tulokset!$I$53,IF(AND('24'!$I$54=Tulokset!$G$53,'24'!$K$54=Tulokset!$I$53),6,3),MAX(0,6-(ABS('24'!$I$54-Tulokset!$G$53)+ABS('24'!$K$54-Tulokset!$I$53))))))</f>
        <v/>
      </c>
      <c r="BD27" t="str">
        <f>IF(OR(Tulokset!$G$54="",Tulokset!$I$54="",'24'!$I$55="",'24'!$K$55=""),"",IF(SIGN('24'!$I$55-'24'!$K$55)&lt;&gt;SIGN(Tulokset!$G$54-Tulokset!$I$54),0,IF(Tulokset!$G$54=Tulokset!$I$54,IF(AND('24'!$I$55=Tulokset!$G$54,'24'!$K$55=Tulokset!$I$54),6,3),MAX(0,6-(ABS('24'!$I$55-Tulokset!$G$54)+ABS('24'!$K$55-Tulokset!$I$54))))))</f>
        <v/>
      </c>
      <c r="BE27" t="str">
        <f>IF(OR(Tulokset!$G$55="",Tulokset!$I$55="",'24'!$I$56="",'24'!$K$56=""),"",IF(SIGN('24'!$I$56-'24'!$K$56)&lt;&gt;SIGN(Tulokset!$G$55-Tulokset!$I$55),0,IF(Tulokset!$G$55=Tulokset!$I$55,IF(AND('24'!$I$56=Tulokset!$G$55,'24'!$K$56=Tulokset!$I$55),6,3),MAX(0,6-(ABS('24'!$I$56-Tulokset!$G$55)+ABS('24'!$K$56-Tulokset!$I$55))))))</f>
        <v/>
      </c>
      <c r="BF27" t="str">
        <f>IF(OR(Tulokset!$G$56="",Tulokset!$I$56="",'24'!$I$57="",'24'!$K$57=""),"",IF(SIGN('24'!$I$57-'24'!$K$57)&lt;&gt;SIGN(Tulokset!$G$56-Tulokset!$I$56),0,IF(Tulokset!$G$56=Tulokset!$I$56,IF(AND('24'!$I$57=Tulokset!$G$56,'24'!$K$57=Tulokset!$I$56),6,3),MAX(0,6-(ABS('24'!$I$57-Tulokset!$G$56)+ABS('24'!$K$57-Tulokset!$I$56))))))</f>
        <v/>
      </c>
      <c r="BG27" t="str">
        <f>IF(OR(Tulokset!$G$57="",Tulokset!$I$57="",'24'!$I$58="",'24'!$K$58=""),"",IF(SIGN('24'!$I$58-'24'!$K$58)&lt;&gt;SIGN(Tulokset!$G$57-Tulokset!$I$57),0,IF(Tulokset!$G$57=Tulokset!$I$57,IF(AND('24'!$I$58=Tulokset!$G$57,'24'!$K$58=Tulokset!$I$57),6,3),MAX(0,6-(ABS('24'!$I$58-Tulokset!$G$57)+ABS('24'!$K$58-Tulokset!$I$57))))))</f>
        <v/>
      </c>
      <c r="BH27" t="str">
        <f>IF(OR(Tulokset!$G$58="",Tulokset!$I$58="",'24'!$I$59="",'24'!$K$59=""),"",IF(SIGN('24'!$I$59-'24'!$K$59)&lt;&gt;SIGN(Tulokset!$G$58-Tulokset!$I$58),0,IF(Tulokset!$G$58=Tulokset!$I$58,IF(AND('24'!$I$59=Tulokset!$G$58,'24'!$K$59=Tulokset!$I$58),6,3),MAX(0,6-(ABS('24'!$I$59-Tulokset!$G$58)+ABS('24'!$K$59-Tulokset!$I$58))))))</f>
        <v/>
      </c>
      <c r="BI27" t="str">
        <f>IF(OR(Tulokset!$G$59="",Tulokset!$I$59="",'24'!$I$60="",'24'!$K$60=""),"",IF(SIGN('24'!$I$60-'24'!$K$60)&lt;&gt;SIGN(Tulokset!$G$59-Tulokset!$I$59),0,IF(Tulokset!$G$59=Tulokset!$I$59,IF(AND('24'!$I$60=Tulokset!$G$59,'24'!$K$60=Tulokset!$I$59),6,3),MAX(0,6-(ABS('24'!$I$60-Tulokset!$G$59)+ABS('24'!$K$60-Tulokset!$I$59))))))</f>
        <v/>
      </c>
      <c r="BJ27" t="str">
        <f>IF(OR(Tulokset!$G$60="",Tulokset!$I$60="",'24'!$I$61="",'24'!$K$61=""),"",IF(SIGN('24'!$I$61-'24'!$K$61)&lt;&gt;SIGN(Tulokset!$G$60-Tulokset!$I$60),0,IF(Tulokset!$G$60=Tulokset!$I$60,IF(AND('24'!$I$61=Tulokset!$G$60,'24'!$K$61=Tulokset!$I$60),6,3),MAX(0,6-(ABS('24'!$I$61-Tulokset!$G$60)+ABS('24'!$K$61-Tulokset!$I$60))))))</f>
        <v/>
      </c>
      <c r="BK27" t="str">
        <f>IF(OR(Tulokset!$G$61="",Tulokset!$I$61="",'24'!$I$62="",'24'!$K$62=""),"",IF(SIGN('24'!$I$62-'24'!$K$62)&lt;&gt;SIGN(Tulokset!$G$61-Tulokset!$I$61),0,IF(Tulokset!$G$61=Tulokset!$I$61,IF(AND('24'!$I$62=Tulokset!$G$61,'24'!$K$62=Tulokset!$I$61),6,3),MAX(0,6-(ABS('24'!$I$62-Tulokset!$G$61)+ABS('24'!$K$62-Tulokset!$I$61))))))</f>
        <v/>
      </c>
      <c r="BL27" t="str">
        <f>IF(OR(Tulokset!$G$62="",Tulokset!$I$62="",'24'!$I$63="",'24'!$K$63=""),"",IF(SIGN('24'!$I$63-'24'!$K$63)&lt;&gt;SIGN(Tulokset!$G$62-Tulokset!$I$62),0,IF(Tulokset!$G$62=Tulokset!$I$62,IF(AND('24'!$I$63=Tulokset!$G$62,'24'!$K$63=Tulokset!$I$62),6,3),MAX(0,6-(ABS('24'!$I$63-Tulokset!$G$62)+ABS('24'!$K$63-Tulokset!$I$62))))))</f>
        <v/>
      </c>
      <c r="BM27" t="str">
        <f>IF(OR(Tulokset!$G$63="",Tulokset!$I$63="",'24'!$I$64="",'24'!$K$64=""),"",IF(SIGN('24'!$I$64-'24'!$K$64)&lt;&gt;SIGN(Tulokset!$G$63-Tulokset!$I$63),0,IF(Tulokset!$G$63=Tulokset!$I$63,IF(AND('24'!$I$64=Tulokset!$G$63,'24'!$K$64=Tulokset!$I$63),6,3),MAX(0,6-(ABS('24'!$I$64-Tulokset!$G$63)+ABS('24'!$K$64-Tulokset!$I$63))))))</f>
        <v/>
      </c>
      <c r="BN27" t="str">
        <f>IF(OR(Tulokset!$G$64="",Tulokset!$I$64="",'24'!$I$65="",'24'!$K$65=""),"",IF(SIGN('24'!$I$65-'24'!$K$65)&lt;&gt;SIGN(Tulokset!$G$64-Tulokset!$I$64),0,IF(Tulokset!$G$64=Tulokset!$I$64,IF(AND('24'!$I$65=Tulokset!$G$64,'24'!$K$65=Tulokset!$I$64),6,3),MAX(0,6-(ABS('24'!$I$65-Tulokset!$G$64)+ABS('24'!$K$65-Tulokset!$I$64))))))</f>
        <v/>
      </c>
      <c r="BO27" t="str">
        <f>IF(OR(Tulokset!$G$65="",Tulokset!$I$65="",'24'!$I$66="",'24'!$K$66=""),"",IF(SIGN('24'!$I$66-'24'!$K$66)&lt;&gt;SIGN(Tulokset!$G$65-Tulokset!$I$65),0,IF(Tulokset!$G$65=Tulokset!$I$65,IF(AND('24'!$I$66=Tulokset!$G$65,'24'!$K$66=Tulokset!$I$65),6,3),MAX(0,6-(ABS('24'!$I$66-Tulokset!$G$65)+ABS('24'!$K$66-Tulokset!$I$65))))))</f>
        <v/>
      </c>
      <c r="BP27" t="str">
        <f>IF(OR(Tulokset!$G$66="",Tulokset!$I$66="",'24'!$I$67="",'24'!$K$67=""),"",IF(SIGN('24'!$I$67-'24'!$K$67)&lt;&gt;SIGN(Tulokset!$G$66-Tulokset!$I$66),0,IF(Tulokset!$G$66=Tulokset!$I$66,IF(AND('24'!$I$67=Tulokset!$G$66,'24'!$K$67=Tulokset!$I$66),6,3),MAX(0,6-(ABS('24'!$I$67-Tulokset!$G$66)+ABS('24'!$K$67-Tulokset!$I$66))))))</f>
        <v/>
      </c>
      <c r="BQ27" t="str">
        <f>IF(OR(Tulokset!$G$67="",Tulokset!$I$67="",'24'!$I$68="",'24'!$K$68=""),"",IF(SIGN('24'!$I$68-'24'!$K$68)&lt;&gt;SIGN(Tulokset!$G$67-Tulokset!$I$67),0,IF(Tulokset!$G$67=Tulokset!$I$67,IF(AND('24'!$I$68=Tulokset!$G$67,'24'!$K$68=Tulokset!$I$67),6,3),MAX(0,6-(ABS('24'!$I$68-Tulokset!$G$67)+ABS('24'!$K$68-Tulokset!$I$67))))))</f>
        <v/>
      </c>
      <c r="BR27" t="str">
        <f>IF(OR(Tulokset!$G$68="",Tulokset!$I$68="",'24'!$I$69="",'24'!$K$69=""),"",IF(SIGN('24'!$I$69-'24'!$K$69)&lt;&gt;SIGN(Tulokset!$G$68-Tulokset!$I$68),0,IF(Tulokset!$G$68=Tulokset!$I$68,IF(AND('24'!$I$69=Tulokset!$G$68,'24'!$K$69=Tulokset!$I$68),6,3),MAX(0,6-(ABS('24'!$I$69-Tulokset!$G$68)+ABS('24'!$K$69-Tulokset!$I$68))))))</f>
        <v/>
      </c>
      <c r="BS27" t="str">
        <f>IF(OR(Tulokset!$G$69="",Tulokset!$I$69="",'24'!$I$70="",'24'!$K$70=""),"",IF(SIGN('24'!$I$70-'24'!$K$70)&lt;&gt;SIGN(Tulokset!$G$69-Tulokset!$I$69),0,IF(Tulokset!$G$69=Tulokset!$I$69,IF(AND('24'!$I$70=Tulokset!$G$69,'24'!$K$70=Tulokset!$I$69),6,3),MAX(0,6-(ABS('24'!$I$70-Tulokset!$G$69)+ABS('24'!$K$70-Tulokset!$I$69))))))</f>
        <v/>
      </c>
      <c r="BT27" t="str">
        <f>IF(OR(Tulokset!$G$70="",Tulokset!$I$70="",'24'!$I$71="",'24'!$K$71=""),"",IF(SIGN('24'!$I$71-'24'!$K$71)&lt;&gt;SIGN(Tulokset!$G$70-Tulokset!$I$70),0,IF(Tulokset!$G$70=Tulokset!$I$70,IF(AND('24'!$I$71=Tulokset!$G$70,'24'!$K$71=Tulokset!$I$70),6,3),MAX(0,6-(ABS('24'!$I$71-Tulokset!$G$70)+ABS('24'!$K$71-Tulokset!$I$70))))))</f>
        <v/>
      </c>
      <c r="BU27" t="str">
        <f>IF(OR(Tulokset!$G$71="",Tulokset!$I$71="",'24'!$I$72="",'24'!$K$72=""),"",IF(SIGN('24'!$I$72-'24'!$K$72)&lt;&gt;SIGN(Tulokset!$G$71-Tulokset!$I$71),0,IF(Tulokset!$G$71=Tulokset!$I$71,IF(AND('24'!$I$72=Tulokset!$G$71,'24'!$K$72=Tulokset!$I$71),6,3),MAX(0,6-(ABS('24'!$I$72-Tulokset!$G$71)+ABS('24'!$K$72-Tulokset!$I$71))))))</f>
        <v/>
      </c>
      <c r="BV27" t="str">
        <f>IF(OR(Tulokset!$G$72="",Tulokset!$I$72="",'24'!$I$73="",'24'!$K$73=""),"",IF(SIGN('24'!$I$73-'24'!$K$73)&lt;&gt;SIGN(Tulokset!$G$72-Tulokset!$I$72),0,IF(Tulokset!$G$72=Tulokset!$I$72,IF(AND('24'!$I$73=Tulokset!$G$72,'24'!$K$73=Tulokset!$I$72),6,3),MAX(0,6-(ABS('24'!$I$73-Tulokset!$G$72)+ABS('24'!$K$73-Tulokset!$I$72))))))</f>
        <v/>
      </c>
      <c r="BW27" t="str">
        <f>IF(OR(Tulokset!$G$73="",Tulokset!$I$73="",'24'!$I$74="",'24'!$K$74=""),"",IF(SIGN('24'!$I$74-'24'!$K$74)&lt;&gt;SIGN(Tulokset!$G$73-Tulokset!$I$73),0,IF(Tulokset!$G$73=Tulokset!$I$73,IF(AND('24'!$I$74=Tulokset!$G$73,'24'!$K$74=Tulokset!$I$73),6,3),MAX(0,6-(ABS('24'!$I$74-Tulokset!$G$73)+ABS('24'!$K$74-Tulokset!$I$73))))))</f>
        <v/>
      </c>
      <c r="BX27" t="str">
        <f>IF(OR(Tulokset!$G$74="",Tulokset!$I$74="",'24'!$I$75="",'24'!$K$75=""),"",IF(SIGN('24'!$I$75-'24'!$K$75)&lt;&gt;SIGN(Tulokset!$G$74-Tulokset!$I$74),0,IF(Tulokset!$G$74=Tulokset!$I$74,IF(AND('24'!$I$75=Tulokset!$G$74,'24'!$K$75=Tulokset!$I$74),6,3),MAX(0,6-(ABS('24'!$I$75-Tulokset!$G$74)+ABS('24'!$K$75-Tulokset!$I$74))))))</f>
        <v/>
      </c>
      <c r="BY27" t="str">
        <f>IF(OR(Tulokset!$G$75="",Tulokset!$I$75="",'24'!$I$76="",'24'!$K$76=""),"",IF(SIGN('24'!$I$76-'24'!$K$76)&lt;&gt;SIGN(Tulokset!$G$75-Tulokset!$I$75),0,IF(Tulokset!$G$75=Tulokset!$I$75,IF(AND('24'!$I$76=Tulokset!$G$75,'24'!$K$76=Tulokset!$I$75),6,3),MAX(0,6-(ABS('24'!$I$76-Tulokset!$G$75)+ABS('24'!$K$76-Tulokset!$I$75))))))</f>
        <v/>
      </c>
      <c r="BZ27" t="str">
        <f>IF(OR(Tulokset!$G$76="",Tulokset!$I$76="",'24'!$I$77="",'24'!$K$77=""),"",IF(SIGN('24'!$I$77-'24'!$K$77)&lt;&gt;SIGN(Tulokset!$G$76-Tulokset!$I$76),0,IF(Tulokset!$G$76=Tulokset!$I$76,IF(AND('24'!$I$77=Tulokset!$G$76,'24'!$K$77=Tulokset!$I$76),6,3),MAX(0,6-(ABS('24'!$I$77-Tulokset!$G$76)+ABS('24'!$K$77-Tulokset!$I$76))))))</f>
        <v/>
      </c>
      <c r="CA27" t="str">
        <f>IF(OR(Tulokset!$G$77="",Tulokset!$I$77="",'24'!$I$78="",'24'!$K$78=""),"",IF(SIGN('24'!$I$78-'24'!$K$78)&lt;&gt;SIGN(Tulokset!$G$77-Tulokset!$I$77),0,IF(Tulokset!$G$77=Tulokset!$I$77,IF(AND('24'!$I$78=Tulokset!$G$77,'24'!$K$78=Tulokset!$I$77),6,3),MAX(0,6-(ABS('24'!$I$78-Tulokset!$G$77)+ABS('24'!$K$78-Tulokset!$I$77))))))</f>
        <v/>
      </c>
      <c r="CD27" t="str">
        <f ca="1">IF(OR(Tulokset!$M$6="",INDIRECT("'"&amp;$A27&amp;"'!$P$8")=""),"",IF(TRIM(INDIRECT("'"&amp;$A27&amp;"'!$P$8"))=TRIM(Tulokset!$M$6),2,0))</f>
        <v/>
      </c>
      <c r="CE27" t="str">
        <f ca="1">IF(OR(Tulokset!$M$7="",INDIRECT("'"&amp;$A27&amp;"'!$P$9")=""),"",IF(TRIM(INDIRECT("'"&amp;$A27&amp;"'!$P$9"))=TRIM(Tulokset!$M$7),2,0))</f>
        <v/>
      </c>
      <c r="CF27" t="str">
        <f ca="1">IF(OR(Tulokset!$M$8="",INDIRECT("'"&amp;$A27&amp;"'!$P$10")=""),"",IF(TRIM(INDIRECT("'"&amp;$A27&amp;"'!$P$10"))=TRIM(Tulokset!$M$8),2,0))</f>
        <v/>
      </c>
      <c r="CG27" t="str">
        <f ca="1">IF(OR(Tulokset!$M$9="",INDIRECT("'"&amp;$A27&amp;"'!$P$11")=""),"",IF(TRIM(INDIRECT("'"&amp;$A27&amp;"'!$P$11"))=TRIM(Tulokset!$M$9),2,0))</f>
        <v/>
      </c>
      <c r="CH27" t="str">
        <f ca="1">IF(OR(Tulokset!$N$6="",INDIRECT("'"&amp;$A27&amp;"'!$Q$8")=""),"",IF(TRIM(INDIRECT("'"&amp;$A27&amp;"'!$Q$8"))=TRIM(Tulokset!$N$6),2,0))</f>
        <v/>
      </c>
      <c r="CI27" t="str">
        <f ca="1">IF(OR(Tulokset!$N$7="",INDIRECT("'"&amp;$A27&amp;"'!$Q$9")=""),"",IF(TRIM(INDIRECT("'"&amp;$A27&amp;"'!$Q$9"))=TRIM(Tulokset!$N$7),2,0))</f>
        <v/>
      </c>
      <c r="CJ27" t="str">
        <f ca="1">IF(OR(Tulokset!$N$8="",INDIRECT("'"&amp;$A27&amp;"'!$Q$10")=""),"",IF(TRIM(INDIRECT("'"&amp;$A27&amp;"'!$Q$10"))=TRIM(Tulokset!$N$8),2,0))</f>
        <v/>
      </c>
      <c r="CK27" t="str">
        <f ca="1">IF(OR(Tulokset!$N$9="",INDIRECT("'"&amp;$A27&amp;"'!$Q$11")=""),"",IF(TRIM(INDIRECT("'"&amp;$A27&amp;"'!$Q$11"))=TRIM(Tulokset!$N$9),2,0))</f>
        <v/>
      </c>
      <c r="CL27" t="str">
        <f ca="1">IF(OR(Tulokset!$O$6="",INDIRECT("'"&amp;$A27&amp;"'!$R$8")=""),"",IF(TRIM(INDIRECT("'"&amp;$A27&amp;"'!$R$8"))=TRIM(Tulokset!$O$6),2,0))</f>
        <v/>
      </c>
      <c r="CM27" t="str">
        <f ca="1">IF(OR(Tulokset!$O$7="",INDIRECT("'"&amp;$A27&amp;"'!$R$9")=""),"",IF(TRIM(INDIRECT("'"&amp;$A27&amp;"'!$R$9"))=TRIM(Tulokset!$O$7),2,0))</f>
        <v/>
      </c>
      <c r="CN27" t="str">
        <f ca="1">IF(OR(Tulokset!$O$8="",INDIRECT("'"&amp;$A27&amp;"'!$R$10")=""),"",IF(TRIM(INDIRECT("'"&amp;$A27&amp;"'!$R$10"))=TRIM(Tulokset!$O$8),2,0))</f>
        <v/>
      </c>
      <c r="CO27" t="str">
        <f ca="1">IF(OR(Tulokset!$O$9="",INDIRECT("'"&amp;$A27&amp;"'!$R$11")=""),"",IF(TRIM(INDIRECT("'"&amp;$A27&amp;"'!$R$11"))=TRIM(Tulokset!$O$9),2,0))</f>
        <v/>
      </c>
      <c r="CP27" t="str">
        <f ca="1">IF(OR(Tulokset!$P$6="",INDIRECT("'"&amp;$A27&amp;"'!$S$8")=""),"",IF(TRIM(INDIRECT("'"&amp;$A27&amp;"'!$S$8"))=TRIM(Tulokset!$P$6),2,0))</f>
        <v/>
      </c>
      <c r="CQ27" t="str">
        <f ca="1">IF(OR(Tulokset!$P$7="",INDIRECT("'"&amp;$A27&amp;"'!$S$9")=""),"",IF(TRIM(INDIRECT("'"&amp;$A27&amp;"'!$S$9"))=TRIM(Tulokset!$P$7),2,0))</f>
        <v/>
      </c>
      <c r="CR27" t="str">
        <f ca="1">IF(OR(Tulokset!$P$8="",INDIRECT("'"&amp;$A27&amp;"'!$S$10")=""),"",IF(TRIM(INDIRECT("'"&amp;$A27&amp;"'!$S$10"))=TRIM(Tulokset!$P$8),2,0))</f>
        <v/>
      </c>
      <c r="CS27" t="str">
        <f ca="1">IF(OR(Tulokset!$P$9="",INDIRECT("'"&amp;$A27&amp;"'!$S$11")=""),"",IF(TRIM(INDIRECT("'"&amp;$A27&amp;"'!$S$11"))=TRIM(Tulokset!$P$9),2,0))</f>
        <v/>
      </c>
      <c r="CT27" t="str">
        <f ca="1">IF(OR(Tulokset!$Q$6="",INDIRECT("'"&amp;$A27&amp;"'!$T$8")=""),"",IF(TRIM(INDIRECT("'"&amp;$A27&amp;"'!$T$8"))=TRIM(Tulokset!$Q$6),2,0))</f>
        <v/>
      </c>
      <c r="CU27" t="str">
        <f ca="1">IF(OR(Tulokset!$Q$7="",INDIRECT("'"&amp;$A27&amp;"'!$T$9")=""),"",IF(TRIM(INDIRECT("'"&amp;$A27&amp;"'!$T$9"))=TRIM(Tulokset!$Q$7),2,0))</f>
        <v/>
      </c>
      <c r="CV27" t="str">
        <f ca="1">IF(OR(Tulokset!$Q$8="",INDIRECT("'"&amp;$A27&amp;"'!$T$10")=""),"",IF(TRIM(INDIRECT("'"&amp;$A27&amp;"'!$T$10"))=TRIM(Tulokset!$Q$8),2,0))</f>
        <v/>
      </c>
      <c r="CW27" t="str">
        <f ca="1">IF(OR(Tulokset!$Q$9="",INDIRECT("'"&amp;$A27&amp;"'!$T$11")=""),"",IF(TRIM(INDIRECT("'"&amp;$A27&amp;"'!$T$11"))=TRIM(Tulokset!$Q$9),2,0))</f>
        <v/>
      </c>
      <c r="CX27" t="str">
        <f ca="1">IF(OR(Tulokset!$R$6="",INDIRECT("'"&amp;$A27&amp;"'!$U$8")=""),"",IF(TRIM(INDIRECT("'"&amp;$A27&amp;"'!$U$8"))=TRIM(Tulokset!$R$6),2,0))</f>
        <v/>
      </c>
      <c r="CY27" t="str">
        <f ca="1">IF(OR(Tulokset!$R$7="",INDIRECT("'"&amp;$A27&amp;"'!$U$9")=""),"",IF(TRIM(INDIRECT("'"&amp;$A27&amp;"'!$U$9"))=TRIM(Tulokset!$R$7),2,0))</f>
        <v/>
      </c>
      <c r="CZ27" t="str">
        <f ca="1">IF(OR(Tulokset!$R$8="",INDIRECT("'"&amp;$A27&amp;"'!$U$10")=""),"",IF(TRIM(INDIRECT("'"&amp;$A27&amp;"'!$U$10"))=TRIM(Tulokset!$R$8),2,0))</f>
        <v/>
      </c>
      <c r="DA27" t="str">
        <f ca="1">IF(OR(Tulokset!$R$9="",INDIRECT("'"&amp;$A27&amp;"'!$U$11")=""),"",IF(TRIM(INDIRECT("'"&amp;$A27&amp;"'!$U$11"))=TRIM(Tulokset!$R$9),2,0))</f>
        <v/>
      </c>
      <c r="DB27" t="str">
        <f ca="1">IF(OR(Tulokset!$M$12="",INDIRECT("'"&amp;$A27&amp;"'!$P$14")=""),"",IF(TRIM(INDIRECT("'"&amp;$A27&amp;"'!$P$14"))=TRIM(Tulokset!$M$12),2,0))</f>
        <v/>
      </c>
      <c r="DC27" t="str">
        <f ca="1">IF(OR(Tulokset!$M$13="",INDIRECT("'"&amp;$A27&amp;"'!$P$15")=""),"",IF(TRIM(INDIRECT("'"&amp;$A27&amp;"'!$P$15"))=TRIM(Tulokset!$M$13),2,0))</f>
        <v/>
      </c>
      <c r="DD27" t="str">
        <f ca="1">IF(OR(Tulokset!$M$14="",INDIRECT("'"&amp;$A27&amp;"'!$P$16")=""),"",IF(TRIM(INDIRECT("'"&amp;$A27&amp;"'!$P$16"))=TRIM(Tulokset!$M$14),2,0))</f>
        <v/>
      </c>
      <c r="DE27" t="str">
        <f ca="1">IF(OR(Tulokset!$M$15="",INDIRECT("'"&amp;$A27&amp;"'!$P$17")=""),"",IF(TRIM(INDIRECT("'"&amp;$A27&amp;"'!$P$17"))=TRIM(Tulokset!$M$15),2,0))</f>
        <v/>
      </c>
      <c r="DF27" t="str">
        <f ca="1">IF(OR(Tulokset!$N$12="",INDIRECT("'"&amp;$A27&amp;"'!$Q$14")=""),"",IF(TRIM(INDIRECT("'"&amp;$A27&amp;"'!$Q$14"))=TRIM(Tulokset!$N$12),2,0))</f>
        <v/>
      </c>
      <c r="DG27" t="str">
        <f ca="1">IF(OR(Tulokset!$N$13="",INDIRECT("'"&amp;$A27&amp;"'!$Q$15")=""),"",IF(TRIM(INDIRECT("'"&amp;$A27&amp;"'!$Q$15"))=TRIM(Tulokset!$N$13),2,0))</f>
        <v/>
      </c>
      <c r="DH27" t="str">
        <f ca="1">IF(OR(Tulokset!$N$14="",INDIRECT("'"&amp;$A27&amp;"'!$Q$16")=""),"",IF(TRIM(INDIRECT("'"&amp;$A27&amp;"'!$Q$16"))=TRIM(Tulokset!$N$14),2,0))</f>
        <v/>
      </c>
      <c r="DI27" t="str">
        <f ca="1">IF(OR(Tulokset!$N$15="",INDIRECT("'"&amp;$A27&amp;"'!$Q$17")=""),"",IF(TRIM(INDIRECT("'"&amp;$A27&amp;"'!$Q$17"))=TRIM(Tulokset!$N$15),2,0))</f>
        <v/>
      </c>
      <c r="DJ27" t="str">
        <f ca="1">IF(OR(Tulokset!$O$12="",INDIRECT("'"&amp;$A27&amp;"'!$R$14")=""),"",IF(TRIM(INDIRECT("'"&amp;$A27&amp;"'!$R$14"))=TRIM(Tulokset!$O$12),2,0))</f>
        <v/>
      </c>
      <c r="DK27" t="str">
        <f ca="1">IF(OR(Tulokset!$O$13="",INDIRECT("'"&amp;$A27&amp;"'!$R$15")=""),"",IF(TRIM(INDIRECT("'"&amp;$A27&amp;"'!$R$15"))=TRIM(Tulokset!$O$13),2,0))</f>
        <v/>
      </c>
      <c r="DL27" t="str">
        <f ca="1">IF(OR(Tulokset!$O$14="",INDIRECT("'"&amp;$A27&amp;"'!$R$16")=""),"",IF(TRIM(INDIRECT("'"&amp;$A27&amp;"'!$R$16"))=TRIM(Tulokset!$O$14),2,0))</f>
        <v/>
      </c>
      <c r="DM27" t="str">
        <f ca="1">IF(OR(Tulokset!$O$15="",INDIRECT("'"&amp;$A27&amp;"'!$R$17")=""),"",IF(TRIM(INDIRECT("'"&amp;$A27&amp;"'!$R$17"))=TRIM(Tulokset!$O$15),2,0))</f>
        <v/>
      </c>
      <c r="DN27" t="str">
        <f ca="1">IF(OR(Tulokset!$P$12="",INDIRECT("'"&amp;$A27&amp;"'!$S$14")=""),"",IF(TRIM(INDIRECT("'"&amp;$A27&amp;"'!$S$14"))=TRIM(Tulokset!$P$12),2,0))</f>
        <v/>
      </c>
      <c r="DO27" t="str">
        <f ca="1">IF(OR(Tulokset!$P$13="",INDIRECT("'"&amp;$A27&amp;"'!$S$15")=""),"",IF(TRIM(INDIRECT("'"&amp;$A27&amp;"'!$S$15"))=TRIM(Tulokset!$P$13),2,0))</f>
        <v/>
      </c>
      <c r="DP27" t="str">
        <f ca="1">IF(OR(Tulokset!$P$14="",INDIRECT("'"&amp;$A27&amp;"'!$S$16")=""),"",IF(TRIM(INDIRECT("'"&amp;$A27&amp;"'!$S$16"))=TRIM(Tulokset!$P$14),2,0))</f>
        <v/>
      </c>
      <c r="DQ27" t="str">
        <f ca="1">IF(OR(Tulokset!$P$15="",INDIRECT("'"&amp;$A27&amp;"'!$S$17")=""),"",IF(TRIM(INDIRECT("'"&amp;$A27&amp;"'!$S$17"))=TRIM(Tulokset!$P$15),2,0))</f>
        <v/>
      </c>
      <c r="DR27" t="str">
        <f ca="1">IF(OR(Tulokset!$Q$12="",INDIRECT("'"&amp;$A27&amp;"'!$T$14")=""),"",IF(TRIM(INDIRECT("'"&amp;$A27&amp;"'!$T$14"))=TRIM(Tulokset!$Q$12),2,0))</f>
        <v/>
      </c>
      <c r="DS27" t="str">
        <f ca="1">IF(OR(Tulokset!$Q$13="",INDIRECT("'"&amp;$A27&amp;"'!$T$15")=""),"",IF(TRIM(INDIRECT("'"&amp;$A27&amp;"'!$T$15"))=TRIM(Tulokset!$Q$13),2,0))</f>
        <v/>
      </c>
      <c r="DT27" t="str">
        <f ca="1">IF(OR(Tulokset!$Q$14="",INDIRECT("'"&amp;$A27&amp;"'!$T$16")=""),"",IF(TRIM(INDIRECT("'"&amp;$A27&amp;"'!$T$16"))=TRIM(Tulokset!$Q$14),2,0))</f>
        <v/>
      </c>
      <c r="DU27" t="str">
        <f ca="1">IF(OR(Tulokset!$Q$15="",INDIRECT("'"&amp;$A27&amp;"'!$T$17")=""),"",IF(TRIM(INDIRECT("'"&amp;$A27&amp;"'!$T$17"))=TRIM(Tulokset!$Q$15),2,0))</f>
        <v/>
      </c>
      <c r="DV27" t="str">
        <f ca="1">IF(OR(Tulokset!$R$12="",INDIRECT("'"&amp;$A27&amp;"'!$U$14")=""),"",IF(TRIM(INDIRECT("'"&amp;$A27&amp;"'!$U$14"))=TRIM(Tulokset!$R$12),2,0))</f>
        <v/>
      </c>
      <c r="DW27" t="str">
        <f ca="1">IF(OR(Tulokset!$R$13="",INDIRECT("'"&amp;$A27&amp;"'!$U$15")=""),"",IF(TRIM(INDIRECT("'"&amp;$A27&amp;"'!$U$15"))=TRIM(Tulokset!$R$13),2,0))</f>
        <v/>
      </c>
      <c r="DX27" t="str">
        <f ca="1">IF(OR(Tulokset!$R$14="",INDIRECT("'"&amp;$A27&amp;"'!$U$16")=""),"",IF(TRIM(INDIRECT("'"&amp;$A27&amp;"'!$U$16"))=TRIM(Tulokset!$R$14),2,0))</f>
        <v/>
      </c>
      <c r="DY27" t="str">
        <f ca="1">IF(OR(Tulokset!$R$15="",INDIRECT("'"&amp;$A27&amp;"'!$U$17")=""),"",IF(TRIM(INDIRECT("'"&amp;$A27&amp;"'!$U$17"))=TRIM(Tulokset!$R$15),2,0))</f>
        <v/>
      </c>
      <c r="EA27" t="str">
        <f ca="1">IF(OR(INDIRECT("'"&amp;$A27&amp;"'!$E$79")="",COUNTA(Tulokset!$M$20:$M$21)=0),"",IF(COUNTIF(Tulokset!$M$20:$M$21,INDIRECT("'"&amp;$A27&amp;"'!$E$79"))&gt;0,2,0))</f>
        <v/>
      </c>
      <c r="EB27" t="str">
        <f ca="1">IF(OR(INDIRECT("'"&amp;$A27&amp;"'!$G$79")="",COUNTA(Tulokset!$M$20:$M$21)=0),"",IF(COUNTIF(Tulokset!$M$20:$M$21,INDIRECT("'"&amp;$A27&amp;"'!$G$79"))&gt;0,2,0))</f>
        <v/>
      </c>
      <c r="EC27" t="str">
        <f ca="1">IF(OR(INDIRECT("'"&amp;$A27&amp;"'!$E$80")="",COUNTA(Tulokset!$M$23:$M$24)=0),"",IF(COUNTIF(Tulokset!$M$23:$M$24,INDIRECT("'"&amp;$A27&amp;"'!$E$80"))&gt;0,2,0))</f>
        <v/>
      </c>
      <c r="ED27" t="str">
        <f ca="1">IF(OR(INDIRECT("'"&amp;$A27&amp;"'!$G$80")="",COUNTA(Tulokset!$M$23:$M$24)=0),"",IF(COUNTIF(Tulokset!$M$23:$M$24,INDIRECT("'"&amp;$A27&amp;"'!$G$80"))&gt;0,2,0))</f>
        <v/>
      </c>
    </row>
    <row r="28" spans="1:134">
      <c r="A28" t="s">
        <v>243</v>
      </c>
      <c r="B28" t="str">
        <f t="shared" ca="1" si="0"/>
        <v/>
      </c>
      <c r="C28" s="95">
        <f t="shared" si="1"/>
        <v>0</v>
      </c>
      <c r="D28" s="95">
        <f t="shared" ca="1" si="2"/>
        <v>0</v>
      </c>
      <c r="E28" s="95">
        <f t="shared" ca="1" si="3"/>
        <v>0</v>
      </c>
      <c r="F28" s="95" t="str">
        <f t="shared" ca="1" si="4"/>
        <v/>
      </c>
      <c r="G28" s="95">
        <f t="shared" si="5"/>
        <v>0</v>
      </c>
      <c r="H28" t="str">
        <f>IF(OR(Tulokset!$G$6="",Tulokset!$I$6="",'25'!$I$7="",'25'!$K$7=""),"",IF(SIGN('25'!$I$7-'25'!$K$7)&lt;&gt;SIGN(Tulokset!$G$6-Tulokset!$I$6),0,IF(Tulokset!$G$6=Tulokset!$I$6,IF(AND('25'!$I$7=Tulokset!$G$6,'25'!$K$7=Tulokset!$I$6),6,3),MAX(0,6-(ABS('25'!$I$7-Tulokset!$G$6)+ABS('25'!$K$7-Tulokset!$I$6))))))</f>
        <v/>
      </c>
      <c r="I28" t="str">
        <f>IF(OR(Tulokset!$G$7="",Tulokset!$I$7="",'25'!$I$8="",'25'!$K$8=""),"",IF(SIGN('25'!$I$8-'25'!$K$8)&lt;&gt;SIGN(Tulokset!$G$7-Tulokset!$I$7),0,IF(Tulokset!$G$7=Tulokset!$I$7,IF(AND('25'!$I$8=Tulokset!$G$7,'25'!$K$8=Tulokset!$I$7),6,3),MAX(0,6-(ABS('25'!$I$8-Tulokset!$G$7)+ABS('25'!$K$8-Tulokset!$I$7))))))</f>
        <v/>
      </c>
      <c r="J28" t="str">
        <f>IF(OR(Tulokset!$G$8="",Tulokset!$I$8="",'25'!$I$9="",'25'!$K$9=""),"",IF(SIGN('25'!$I$9-'25'!$K$9)&lt;&gt;SIGN(Tulokset!$G$8-Tulokset!$I$8),0,IF(Tulokset!$G$8=Tulokset!$I$8,IF(AND('25'!$I$9=Tulokset!$G$8,'25'!$K$9=Tulokset!$I$8),6,3),MAX(0,6-(ABS('25'!$I$9-Tulokset!$G$8)+ABS('25'!$K$9-Tulokset!$I$8))))))</f>
        <v/>
      </c>
      <c r="K28" t="str">
        <f>IF(OR(Tulokset!$G$9="",Tulokset!$I$9="",'25'!$I$10="",'25'!$K$10=""),"",IF(SIGN('25'!$I$10-'25'!$K$10)&lt;&gt;SIGN(Tulokset!$G$9-Tulokset!$I$9),0,IF(Tulokset!$G$9=Tulokset!$I$9,IF(AND('25'!$I$10=Tulokset!$G$9,'25'!$K$10=Tulokset!$I$9),6,3),MAX(0,6-(ABS('25'!$I$10-Tulokset!$G$9)+ABS('25'!$K$10-Tulokset!$I$9))))))</f>
        <v/>
      </c>
      <c r="L28" t="str">
        <f>IF(OR(Tulokset!$G$10="",Tulokset!$I$10="",'25'!$I$11="",'25'!$K$11=""),"",IF(SIGN('25'!$I$11-'25'!$K$11)&lt;&gt;SIGN(Tulokset!$G$10-Tulokset!$I$10),0,IF(Tulokset!$G$10=Tulokset!$I$10,IF(AND('25'!$I$11=Tulokset!$G$10,'25'!$K$11=Tulokset!$I$10),6,3),MAX(0,6-(ABS('25'!$I$11-Tulokset!$G$10)+ABS('25'!$K$11-Tulokset!$I$10))))))</f>
        <v/>
      </c>
      <c r="M28" t="str">
        <f>IF(OR(Tulokset!$G$11="",Tulokset!$I$11="",'25'!$I$12="",'25'!$K$12=""),"",IF(SIGN('25'!$I$12-'25'!$K$12)&lt;&gt;SIGN(Tulokset!$G$11-Tulokset!$I$11),0,IF(Tulokset!$G$11=Tulokset!$I$11,IF(AND('25'!$I$12=Tulokset!$G$11,'25'!$K$12=Tulokset!$I$11),6,3),MAX(0,6-(ABS('25'!$I$12-Tulokset!$G$11)+ABS('25'!$K$12-Tulokset!$I$11))))))</f>
        <v/>
      </c>
      <c r="N28" t="str">
        <f>IF(OR(Tulokset!$G$12="",Tulokset!$I$12="",'25'!$I$13="",'25'!$K$13=""),"",IF(SIGN('25'!$I$13-'25'!$K$13)&lt;&gt;SIGN(Tulokset!$G$12-Tulokset!$I$12),0,IF(Tulokset!$G$12=Tulokset!$I$12,IF(AND('25'!$I$13=Tulokset!$G$12,'25'!$K$13=Tulokset!$I$12),6,3),MAX(0,6-(ABS('25'!$I$13-Tulokset!$G$12)+ABS('25'!$K$13-Tulokset!$I$12))))))</f>
        <v/>
      </c>
      <c r="O28" t="str">
        <f>IF(OR(Tulokset!$G$13="",Tulokset!$I$13="",'25'!$I$14="",'25'!$K$14=""),"",IF(SIGN('25'!$I$14-'25'!$K$14)&lt;&gt;SIGN(Tulokset!$G$13-Tulokset!$I$13),0,IF(Tulokset!$G$13=Tulokset!$I$13,IF(AND('25'!$I$14=Tulokset!$G$13,'25'!$K$14=Tulokset!$I$13),6,3),MAX(0,6-(ABS('25'!$I$14-Tulokset!$G$13)+ABS('25'!$K$14-Tulokset!$I$13))))))</f>
        <v/>
      </c>
      <c r="P28" t="str">
        <f>IF(OR(Tulokset!$G$14="",Tulokset!$I$14="",'25'!$I$15="",'25'!$K$15=""),"",IF(SIGN('25'!$I$15-'25'!$K$15)&lt;&gt;SIGN(Tulokset!$G$14-Tulokset!$I$14),0,IF(Tulokset!$G$14=Tulokset!$I$14,IF(AND('25'!$I$15=Tulokset!$G$14,'25'!$K$15=Tulokset!$I$14),6,3),MAX(0,6-(ABS('25'!$I$15-Tulokset!$G$14)+ABS('25'!$K$15-Tulokset!$I$14))))))</f>
        <v/>
      </c>
      <c r="Q28" t="str">
        <f>IF(OR(Tulokset!$G$15="",Tulokset!$I$15="",'25'!$I$16="",'25'!$K$16=""),"",IF(SIGN('25'!$I$16-'25'!$K$16)&lt;&gt;SIGN(Tulokset!$G$15-Tulokset!$I$15),0,IF(Tulokset!$G$15=Tulokset!$I$15,IF(AND('25'!$I$16=Tulokset!$G$15,'25'!$K$16=Tulokset!$I$15),6,3),MAX(0,6-(ABS('25'!$I$16-Tulokset!$G$15)+ABS('25'!$K$16-Tulokset!$I$15))))))</f>
        <v/>
      </c>
      <c r="R28" t="str">
        <f>IF(OR(Tulokset!$G$16="",Tulokset!$I$16="",'25'!$I$17="",'25'!$K$17=""),"",IF(SIGN('25'!$I$17-'25'!$K$17)&lt;&gt;SIGN(Tulokset!$G$16-Tulokset!$I$16),0,IF(Tulokset!$G$16=Tulokset!$I$16,IF(AND('25'!$I$17=Tulokset!$G$16,'25'!$K$17=Tulokset!$I$16),6,3),MAX(0,6-(ABS('25'!$I$17-Tulokset!$G$16)+ABS('25'!$K$17-Tulokset!$I$16))))))</f>
        <v/>
      </c>
      <c r="S28" t="str">
        <f>IF(OR(Tulokset!$G$17="",Tulokset!$I$17="",'25'!$I$18="",'25'!$K$18=""),"",IF(SIGN('25'!$I$18-'25'!$K$18)&lt;&gt;SIGN(Tulokset!$G$17-Tulokset!$I$17),0,IF(Tulokset!$G$17=Tulokset!$I$17,IF(AND('25'!$I$18=Tulokset!$G$17,'25'!$K$18=Tulokset!$I$17),6,3),MAX(0,6-(ABS('25'!$I$18-Tulokset!$G$17)+ABS('25'!$K$18-Tulokset!$I$17))))))</f>
        <v/>
      </c>
      <c r="T28" t="str">
        <f>IF(OR(Tulokset!$G$18="",Tulokset!$I$18="",'25'!$I$19="",'25'!$K$19=""),"",IF(SIGN('25'!$I$19-'25'!$K$19)&lt;&gt;SIGN(Tulokset!$G$18-Tulokset!$I$18),0,IF(Tulokset!$G$18=Tulokset!$I$18,IF(AND('25'!$I$19=Tulokset!$G$18,'25'!$K$19=Tulokset!$I$18),6,3),MAX(0,6-(ABS('25'!$I$19-Tulokset!$G$18)+ABS('25'!$K$19-Tulokset!$I$18))))))</f>
        <v/>
      </c>
      <c r="U28" t="str">
        <f>IF(OR(Tulokset!$G$19="",Tulokset!$I$19="",'25'!$I$20="",'25'!$K$20=""),"",IF(SIGN('25'!$I$20-'25'!$K$20)&lt;&gt;SIGN(Tulokset!$G$19-Tulokset!$I$19),0,IF(Tulokset!$G$19=Tulokset!$I$19,IF(AND('25'!$I$20=Tulokset!$G$19,'25'!$K$20=Tulokset!$I$19),6,3),MAX(0,6-(ABS('25'!$I$20-Tulokset!$G$19)+ABS('25'!$K$20-Tulokset!$I$19))))))</f>
        <v/>
      </c>
      <c r="V28" t="str">
        <f>IF(OR(Tulokset!$G$20="",Tulokset!$I$20="",'25'!$I$21="",'25'!$K$21=""),"",IF(SIGN('25'!$I$21-'25'!$K$21)&lt;&gt;SIGN(Tulokset!$G$20-Tulokset!$I$20),0,IF(Tulokset!$G$20=Tulokset!$I$20,IF(AND('25'!$I$21=Tulokset!$G$20,'25'!$K$21=Tulokset!$I$20),6,3),MAX(0,6-(ABS('25'!$I$21-Tulokset!$G$20)+ABS('25'!$K$21-Tulokset!$I$20))))))</f>
        <v/>
      </c>
      <c r="W28" t="str">
        <f>IF(OR(Tulokset!$G$21="",Tulokset!$I$21="",'25'!$I$22="",'25'!$K$22=""),"",IF(SIGN('25'!$I$22-'25'!$K$22)&lt;&gt;SIGN(Tulokset!$G$21-Tulokset!$I$21),0,IF(Tulokset!$G$21=Tulokset!$I$21,IF(AND('25'!$I$22=Tulokset!$G$21,'25'!$K$22=Tulokset!$I$21),6,3),MAX(0,6-(ABS('25'!$I$22-Tulokset!$G$21)+ABS('25'!$K$22-Tulokset!$I$21))))))</f>
        <v/>
      </c>
      <c r="X28" t="str">
        <f>IF(OR(Tulokset!$G$22="",Tulokset!$I$22="",'25'!$I$23="",'25'!$K$23=""),"",IF(SIGN('25'!$I$23-'25'!$K$23)&lt;&gt;SIGN(Tulokset!$G$22-Tulokset!$I$22),0,IF(Tulokset!$G$22=Tulokset!$I$22,IF(AND('25'!$I$23=Tulokset!$G$22,'25'!$K$23=Tulokset!$I$22),6,3),MAX(0,6-(ABS('25'!$I$23-Tulokset!$G$22)+ABS('25'!$K$23-Tulokset!$I$22))))))</f>
        <v/>
      </c>
      <c r="Y28" t="str">
        <f>IF(OR(Tulokset!$G$23="",Tulokset!$I$23="",'25'!$I$24="",'25'!$K$24=""),"",IF(SIGN('25'!$I$24-'25'!$K$24)&lt;&gt;SIGN(Tulokset!$G$23-Tulokset!$I$23),0,IF(Tulokset!$G$23=Tulokset!$I$23,IF(AND('25'!$I$24=Tulokset!$G$23,'25'!$K$24=Tulokset!$I$23),6,3),MAX(0,6-(ABS('25'!$I$24-Tulokset!$G$23)+ABS('25'!$K$24-Tulokset!$I$23))))))</f>
        <v/>
      </c>
      <c r="Z28" t="str">
        <f>IF(OR(Tulokset!$G$24="",Tulokset!$I$24="",'25'!$I$25="",'25'!$K$25=""),"",IF(SIGN('25'!$I$25-'25'!$K$25)&lt;&gt;SIGN(Tulokset!$G$24-Tulokset!$I$24),0,IF(Tulokset!$G$24=Tulokset!$I$24,IF(AND('25'!$I$25=Tulokset!$G$24,'25'!$K$25=Tulokset!$I$24),6,3),MAX(0,6-(ABS('25'!$I$25-Tulokset!$G$24)+ABS('25'!$K$25-Tulokset!$I$24))))))</f>
        <v/>
      </c>
      <c r="AA28" t="str">
        <f>IF(OR(Tulokset!$G$25="",Tulokset!$I$25="",'25'!$I$26="",'25'!$K$26=""),"",IF(SIGN('25'!$I$26-'25'!$K$26)&lt;&gt;SIGN(Tulokset!$G$25-Tulokset!$I$25),0,IF(Tulokset!$G$25=Tulokset!$I$25,IF(AND('25'!$I$26=Tulokset!$G$25,'25'!$K$26=Tulokset!$I$25),6,3),MAX(0,6-(ABS('25'!$I$26-Tulokset!$G$25)+ABS('25'!$K$26-Tulokset!$I$25))))))</f>
        <v/>
      </c>
      <c r="AB28" t="str">
        <f>IF(OR(Tulokset!$G$26="",Tulokset!$I$26="",'25'!$I$27="",'25'!$K$27=""),"",IF(SIGN('25'!$I$27-'25'!$K$27)&lt;&gt;SIGN(Tulokset!$G$26-Tulokset!$I$26),0,IF(Tulokset!$G$26=Tulokset!$I$26,IF(AND('25'!$I$27=Tulokset!$G$26,'25'!$K$27=Tulokset!$I$26),6,3),MAX(0,6-(ABS('25'!$I$27-Tulokset!$G$26)+ABS('25'!$K$27-Tulokset!$I$26))))))</f>
        <v/>
      </c>
      <c r="AC28" t="str">
        <f>IF(OR(Tulokset!$G$27="",Tulokset!$I$27="",'25'!$I$28="",'25'!$K$28=""),"",IF(SIGN('25'!$I$28-'25'!$K$28)&lt;&gt;SIGN(Tulokset!$G$27-Tulokset!$I$27),0,IF(Tulokset!$G$27=Tulokset!$I$27,IF(AND('25'!$I$28=Tulokset!$G$27,'25'!$K$28=Tulokset!$I$27),6,3),MAX(0,6-(ABS('25'!$I$28-Tulokset!$G$27)+ABS('25'!$K$28-Tulokset!$I$27))))))</f>
        <v/>
      </c>
      <c r="AD28" t="str">
        <f>IF(OR(Tulokset!$G$28="",Tulokset!$I$28="",'25'!$I$29="",'25'!$K$29=""),"",IF(SIGN('25'!$I$29-'25'!$K$29)&lt;&gt;SIGN(Tulokset!$G$28-Tulokset!$I$28),0,IF(Tulokset!$G$28=Tulokset!$I$28,IF(AND('25'!$I$29=Tulokset!$G$28,'25'!$K$29=Tulokset!$I$28),6,3),MAX(0,6-(ABS('25'!$I$29-Tulokset!$G$28)+ABS('25'!$K$29-Tulokset!$I$28))))))</f>
        <v/>
      </c>
      <c r="AE28" t="str">
        <f>IF(OR(Tulokset!$G$29="",Tulokset!$I$29="",'25'!$I$30="",'25'!$K$30=""),"",IF(SIGN('25'!$I$30-'25'!$K$30)&lt;&gt;SIGN(Tulokset!$G$29-Tulokset!$I$29),0,IF(Tulokset!$G$29=Tulokset!$I$29,IF(AND('25'!$I$30=Tulokset!$G$29,'25'!$K$30=Tulokset!$I$29),6,3),MAX(0,6-(ABS('25'!$I$30-Tulokset!$G$29)+ABS('25'!$K$30-Tulokset!$I$29))))))</f>
        <v/>
      </c>
      <c r="AF28" t="str">
        <f>IF(OR(Tulokset!$G$30="",Tulokset!$I$30="",'25'!$I$31="",'25'!$K$31=""),"",IF(SIGN('25'!$I$31-'25'!$K$31)&lt;&gt;SIGN(Tulokset!$G$30-Tulokset!$I$30),0,IF(Tulokset!$G$30=Tulokset!$I$30,IF(AND('25'!$I$31=Tulokset!$G$30,'25'!$K$31=Tulokset!$I$30),6,3),MAX(0,6-(ABS('25'!$I$31-Tulokset!$G$30)+ABS('25'!$K$31-Tulokset!$I$30))))))</f>
        <v/>
      </c>
      <c r="AG28" t="str">
        <f>IF(OR(Tulokset!$G$31="",Tulokset!$I$31="",'25'!$I$32="",'25'!$K$32=""),"",IF(SIGN('25'!$I$32-'25'!$K$32)&lt;&gt;SIGN(Tulokset!$G$31-Tulokset!$I$31),0,IF(Tulokset!$G$31=Tulokset!$I$31,IF(AND('25'!$I$32=Tulokset!$G$31,'25'!$K$32=Tulokset!$I$31),6,3),MAX(0,6-(ABS('25'!$I$32-Tulokset!$G$31)+ABS('25'!$K$32-Tulokset!$I$31))))))</f>
        <v/>
      </c>
      <c r="AH28" t="str">
        <f>IF(OR(Tulokset!$G$32="",Tulokset!$I$32="",'25'!$I$33="",'25'!$K$33=""),"",IF(SIGN('25'!$I$33-'25'!$K$33)&lt;&gt;SIGN(Tulokset!$G$32-Tulokset!$I$32),0,IF(Tulokset!$G$32=Tulokset!$I$32,IF(AND('25'!$I$33=Tulokset!$G$32,'25'!$K$33=Tulokset!$I$32),6,3),MAX(0,6-(ABS('25'!$I$33-Tulokset!$G$32)+ABS('25'!$K$33-Tulokset!$I$32))))))</f>
        <v/>
      </c>
      <c r="AI28" t="str">
        <f>IF(OR(Tulokset!$G$33="",Tulokset!$I$33="",'25'!$I$34="",'25'!$K$34=""),"",IF(SIGN('25'!$I$34-'25'!$K$34)&lt;&gt;SIGN(Tulokset!$G$33-Tulokset!$I$33),0,IF(Tulokset!$G$33=Tulokset!$I$33,IF(AND('25'!$I$34=Tulokset!$G$33,'25'!$K$34=Tulokset!$I$33),6,3),MAX(0,6-(ABS('25'!$I$34-Tulokset!$G$33)+ABS('25'!$K$34-Tulokset!$I$33))))))</f>
        <v/>
      </c>
      <c r="AJ28" t="str">
        <f>IF(OR(Tulokset!$G$34="",Tulokset!$I$34="",'25'!$I$35="",'25'!$K$35=""),"",IF(SIGN('25'!$I$35-'25'!$K$35)&lt;&gt;SIGN(Tulokset!$G$34-Tulokset!$I$34),0,IF(Tulokset!$G$34=Tulokset!$I$34,IF(AND('25'!$I$35=Tulokset!$G$34,'25'!$K$35=Tulokset!$I$34),6,3),MAX(0,6-(ABS('25'!$I$35-Tulokset!$G$34)+ABS('25'!$K$35-Tulokset!$I$34))))))</f>
        <v/>
      </c>
      <c r="AK28" t="str">
        <f>IF(OR(Tulokset!$G$35="",Tulokset!$I$35="",'25'!$I$36="",'25'!$K$36=""),"",IF(SIGN('25'!$I$36-'25'!$K$36)&lt;&gt;SIGN(Tulokset!$G$35-Tulokset!$I$35),0,IF(Tulokset!$G$35=Tulokset!$I$35,IF(AND('25'!$I$36=Tulokset!$G$35,'25'!$K$36=Tulokset!$I$35),6,3),MAX(0,6-(ABS('25'!$I$36-Tulokset!$G$35)+ABS('25'!$K$36-Tulokset!$I$35))))))</f>
        <v/>
      </c>
      <c r="AL28" t="str">
        <f>IF(OR(Tulokset!$G$36="",Tulokset!$I$36="",'25'!$I$37="",'25'!$K$37=""),"",IF(SIGN('25'!$I$37-'25'!$K$37)&lt;&gt;SIGN(Tulokset!$G$36-Tulokset!$I$36),0,IF(Tulokset!$G$36=Tulokset!$I$36,IF(AND('25'!$I$37=Tulokset!$G$36,'25'!$K$37=Tulokset!$I$36),6,3),MAX(0,6-(ABS('25'!$I$37-Tulokset!$G$36)+ABS('25'!$K$37-Tulokset!$I$36))))))</f>
        <v/>
      </c>
      <c r="AM28" t="str">
        <f>IF(OR(Tulokset!$G$37="",Tulokset!$I$37="",'25'!$I$38="",'25'!$K$38=""),"",IF(SIGN('25'!$I$38-'25'!$K$38)&lt;&gt;SIGN(Tulokset!$G$37-Tulokset!$I$37),0,IF(Tulokset!$G$37=Tulokset!$I$37,IF(AND('25'!$I$38=Tulokset!$G$37,'25'!$K$38=Tulokset!$I$37),6,3),MAX(0,6-(ABS('25'!$I$38-Tulokset!$G$37)+ABS('25'!$K$38-Tulokset!$I$37))))))</f>
        <v/>
      </c>
      <c r="AN28" t="str">
        <f>IF(OR(Tulokset!$G$38="",Tulokset!$I$38="",'25'!$I$39="",'25'!$K$39=""),"",IF(SIGN('25'!$I$39-'25'!$K$39)&lt;&gt;SIGN(Tulokset!$G$38-Tulokset!$I$38),0,IF(Tulokset!$G$38=Tulokset!$I$38,IF(AND('25'!$I$39=Tulokset!$G$38,'25'!$K$39=Tulokset!$I$38),6,3),MAX(0,6-(ABS('25'!$I$39-Tulokset!$G$38)+ABS('25'!$K$39-Tulokset!$I$38))))))</f>
        <v/>
      </c>
      <c r="AO28" t="str">
        <f>IF(OR(Tulokset!$G$39="",Tulokset!$I$39="",'25'!$I$40="",'25'!$K$40=""),"",IF(SIGN('25'!$I$40-'25'!$K$40)&lt;&gt;SIGN(Tulokset!$G$39-Tulokset!$I$39),0,IF(Tulokset!$G$39=Tulokset!$I$39,IF(AND('25'!$I$40=Tulokset!$G$39,'25'!$K$40=Tulokset!$I$39),6,3),MAX(0,6-(ABS('25'!$I$40-Tulokset!$G$39)+ABS('25'!$K$40-Tulokset!$I$39))))))</f>
        <v/>
      </c>
      <c r="AP28" t="str">
        <f>IF(OR(Tulokset!$G$40="",Tulokset!$I$40="",'25'!$I$41="",'25'!$K$41=""),"",IF(SIGN('25'!$I$41-'25'!$K$41)&lt;&gt;SIGN(Tulokset!$G$40-Tulokset!$I$40),0,IF(Tulokset!$G$40=Tulokset!$I$40,IF(AND('25'!$I$41=Tulokset!$G$40,'25'!$K$41=Tulokset!$I$40),6,3),MAX(0,6-(ABS('25'!$I$41-Tulokset!$G$40)+ABS('25'!$K$41-Tulokset!$I$40))))))</f>
        <v/>
      </c>
      <c r="AQ28" t="str">
        <f>IF(OR(Tulokset!$G$41="",Tulokset!$I$41="",'25'!$I$42="",'25'!$K$42=""),"",IF(SIGN('25'!$I$42-'25'!$K$42)&lt;&gt;SIGN(Tulokset!$G$41-Tulokset!$I$41),0,IF(Tulokset!$G$41=Tulokset!$I$41,IF(AND('25'!$I$42=Tulokset!$G$41,'25'!$K$42=Tulokset!$I$41),6,3),MAX(0,6-(ABS('25'!$I$42-Tulokset!$G$41)+ABS('25'!$K$42-Tulokset!$I$41))))))</f>
        <v/>
      </c>
      <c r="AR28" t="str">
        <f>IF(OR(Tulokset!$G$42="",Tulokset!$I$42="",'25'!$I$43="",'25'!$K$43=""),"",IF(SIGN('25'!$I$43-'25'!$K$43)&lt;&gt;SIGN(Tulokset!$G$42-Tulokset!$I$42),0,IF(Tulokset!$G$42=Tulokset!$I$42,IF(AND('25'!$I$43=Tulokset!$G$42,'25'!$K$43=Tulokset!$I$42),6,3),MAX(0,6-(ABS('25'!$I$43-Tulokset!$G$42)+ABS('25'!$K$43-Tulokset!$I$42))))))</f>
        <v/>
      </c>
      <c r="AS28" t="str">
        <f>IF(OR(Tulokset!$G$43="",Tulokset!$I$43="",'25'!$I$44="",'25'!$K$44=""),"",IF(SIGN('25'!$I$44-'25'!$K$44)&lt;&gt;SIGN(Tulokset!$G$43-Tulokset!$I$43),0,IF(Tulokset!$G$43=Tulokset!$I$43,IF(AND('25'!$I$44=Tulokset!$G$43,'25'!$K$44=Tulokset!$I$43),6,3),MAX(0,6-(ABS('25'!$I$44-Tulokset!$G$43)+ABS('25'!$K$44-Tulokset!$I$43))))))</f>
        <v/>
      </c>
      <c r="AT28" t="str">
        <f>IF(OR(Tulokset!$G$44="",Tulokset!$I$44="",'25'!$I$45="",'25'!$K$45=""),"",IF(SIGN('25'!$I$45-'25'!$K$45)&lt;&gt;SIGN(Tulokset!$G$44-Tulokset!$I$44),0,IF(Tulokset!$G$44=Tulokset!$I$44,IF(AND('25'!$I$45=Tulokset!$G$44,'25'!$K$45=Tulokset!$I$44),6,3),MAX(0,6-(ABS('25'!$I$45-Tulokset!$G$44)+ABS('25'!$K$45-Tulokset!$I$44))))))</f>
        <v/>
      </c>
      <c r="AU28" t="str">
        <f>IF(OR(Tulokset!$G$45="",Tulokset!$I$45="",'25'!$I$46="",'25'!$K$46=""),"",IF(SIGN('25'!$I$46-'25'!$K$46)&lt;&gt;SIGN(Tulokset!$G$45-Tulokset!$I$45),0,IF(Tulokset!$G$45=Tulokset!$I$45,IF(AND('25'!$I$46=Tulokset!$G$45,'25'!$K$46=Tulokset!$I$45),6,3),MAX(0,6-(ABS('25'!$I$46-Tulokset!$G$45)+ABS('25'!$K$46-Tulokset!$I$45))))))</f>
        <v/>
      </c>
      <c r="AV28" t="str">
        <f>IF(OR(Tulokset!$G$46="",Tulokset!$I$46="",'25'!$I$47="",'25'!$K$47=""),"",IF(SIGN('25'!$I$47-'25'!$K$47)&lt;&gt;SIGN(Tulokset!$G$46-Tulokset!$I$46),0,IF(Tulokset!$G$46=Tulokset!$I$46,IF(AND('25'!$I$47=Tulokset!$G$46,'25'!$K$47=Tulokset!$I$46),6,3),MAX(0,6-(ABS('25'!$I$47-Tulokset!$G$46)+ABS('25'!$K$47-Tulokset!$I$46))))))</f>
        <v/>
      </c>
      <c r="AW28" t="str">
        <f>IF(OR(Tulokset!$G$47="",Tulokset!$I$47="",'25'!$I$48="",'25'!$K$48=""),"",IF(SIGN('25'!$I$48-'25'!$K$48)&lt;&gt;SIGN(Tulokset!$G$47-Tulokset!$I$47),0,IF(Tulokset!$G$47=Tulokset!$I$47,IF(AND('25'!$I$48=Tulokset!$G$47,'25'!$K$48=Tulokset!$I$47),6,3),MAX(0,6-(ABS('25'!$I$48-Tulokset!$G$47)+ABS('25'!$K$48-Tulokset!$I$47))))))</f>
        <v/>
      </c>
      <c r="AX28" t="str">
        <f>IF(OR(Tulokset!$G$48="",Tulokset!$I$48="",'25'!$I$49="",'25'!$K$49=""),"",IF(SIGN('25'!$I$49-'25'!$K$49)&lt;&gt;SIGN(Tulokset!$G$48-Tulokset!$I$48),0,IF(Tulokset!$G$48=Tulokset!$I$48,IF(AND('25'!$I$49=Tulokset!$G$48,'25'!$K$49=Tulokset!$I$48),6,3),MAX(0,6-(ABS('25'!$I$49-Tulokset!$G$48)+ABS('25'!$K$49-Tulokset!$I$48))))))</f>
        <v/>
      </c>
      <c r="AY28" t="str">
        <f>IF(OR(Tulokset!$G$49="",Tulokset!$I$49="",'25'!$I$50="",'25'!$K$50=""),"",IF(SIGN('25'!$I$50-'25'!$K$50)&lt;&gt;SIGN(Tulokset!$G$49-Tulokset!$I$49),0,IF(Tulokset!$G$49=Tulokset!$I$49,IF(AND('25'!$I$50=Tulokset!$G$49,'25'!$K$50=Tulokset!$I$49),6,3),MAX(0,6-(ABS('25'!$I$50-Tulokset!$G$49)+ABS('25'!$K$50-Tulokset!$I$49))))))</f>
        <v/>
      </c>
      <c r="AZ28" t="str">
        <f>IF(OR(Tulokset!$G$50="",Tulokset!$I$50="",'25'!$I$51="",'25'!$K$51=""),"",IF(SIGN('25'!$I$51-'25'!$K$51)&lt;&gt;SIGN(Tulokset!$G$50-Tulokset!$I$50),0,IF(Tulokset!$G$50=Tulokset!$I$50,IF(AND('25'!$I$51=Tulokset!$G$50,'25'!$K$51=Tulokset!$I$50),6,3),MAX(0,6-(ABS('25'!$I$51-Tulokset!$G$50)+ABS('25'!$K$51-Tulokset!$I$50))))))</f>
        <v/>
      </c>
      <c r="BA28" t="str">
        <f>IF(OR(Tulokset!$G$51="",Tulokset!$I$51="",'25'!$I$52="",'25'!$K$52=""),"",IF(SIGN('25'!$I$52-'25'!$K$52)&lt;&gt;SIGN(Tulokset!$G$51-Tulokset!$I$51),0,IF(Tulokset!$G$51=Tulokset!$I$51,IF(AND('25'!$I$52=Tulokset!$G$51,'25'!$K$52=Tulokset!$I$51),6,3),MAX(0,6-(ABS('25'!$I$52-Tulokset!$G$51)+ABS('25'!$K$52-Tulokset!$I$51))))))</f>
        <v/>
      </c>
      <c r="BB28" t="str">
        <f>IF(OR(Tulokset!$G$52="",Tulokset!$I$52="",'25'!$I$53="",'25'!$K$53=""),"",IF(SIGN('25'!$I$53-'25'!$K$53)&lt;&gt;SIGN(Tulokset!$G$52-Tulokset!$I$52),0,IF(Tulokset!$G$52=Tulokset!$I$52,IF(AND('25'!$I$53=Tulokset!$G$52,'25'!$K$53=Tulokset!$I$52),6,3),MAX(0,6-(ABS('25'!$I$53-Tulokset!$G$52)+ABS('25'!$K$53-Tulokset!$I$52))))))</f>
        <v/>
      </c>
      <c r="BC28" t="str">
        <f>IF(OR(Tulokset!$G$53="",Tulokset!$I$53="",'25'!$I$54="",'25'!$K$54=""),"",IF(SIGN('25'!$I$54-'25'!$K$54)&lt;&gt;SIGN(Tulokset!$G$53-Tulokset!$I$53),0,IF(Tulokset!$G$53=Tulokset!$I$53,IF(AND('25'!$I$54=Tulokset!$G$53,'25'!$K$54=Tulokset!$I$53),6,3),MAX(0,6-(ABS('25'!$I$54-Tulokset!$G$53)+ABS('25'!$K$54-Tulokset!$I$53))))))</f>
        <v/>
      </c>
      <c r="BD28" t="str">
        <f>IF(OR(Tulokset!$G$54="",Tulokset!$I$54="",'25'!$I$55="",'25'!$K$55=""),"",IF(SIGN('25'!$I$55-'25'!$K$55)&lt;&gt;SIGN(Tulokset!$G$54-Tulokset!$I$54),0,IF(Tulokset!$G$54=Tulokset!$I$54,IF(AND('25'!$I$55=Tulokset!$G$54,'25'!$K$55=Tulokset!$I$54),6,3),MAX(0,6-(ABS('25'!$I$55-Tulokset!$G$54)+ABS('25'!$K$55-Tulokset!$I$54))))))</f>
        <v/>
      </c>
      <c r="BE28" t="str">
        <f>IF(OR(Tulokset!$G$55="",Tulokset!$I$55="",'25'!$I$56="",'25'!$K$56=""),"",IF(SIGN('25'!$I$56-'25'!$K$56)&lt;&gt;SIGN(Tulokset!$G$55-Tulokset!$I$55),0,IF(Tulokset!$G$55=Tulokset!$I$55,IF(AND('25'!$I$56=Tulokset!$G$55,'25'!$K$56=Tulokset!$I$55),6,3),MAX(0,6-(ABS('25'!$I$56-Tulokset!$G$55)+ABS('25'!$K$56-Tulokset!$I$55))))))</f>
        <v/>
      </c>
      <c r="BF28" t="str">
        <f>IF(OR(Tulokset!$G$56="",Tulokset!$I$56="",'25'!$I$57="",'25'!$K$57=""),"",IF(SIGN('25'!$I$57-'25'!$K$57)&lt;&gt;SIGN(Tulokset!$G$56-Tulokset!$I$56),0,IF(Tulokset!$G$56=Tulokset!$I$56,IF(AND('25'!$I$57=Tulokset!$G$56,'25'!$K$57=Tulokset!$I$56),6,3),MAX(0,6-(ABS('25'!$I$57-Tulokset!$G$56)+ABS('25'!$K$57-Tulokset!$I$56))))))</f>
        <v/>
      </c>
      <c r="BG28" t="str">
        <f>IF(OR(Tulokset!$G$57="",Tulokset!$I$57="",'25'!$I$58="",'25'!$K$58=""),"",IF(SIGN('25'!$I$58-'25'!$K$58)&lt;&gt;SIGN(Tulokset!$G$57-Tulokset!$I$57),0,IF(Tulokset!$G$57=Tulokset!$I$57,IF(AND('25'!$I$58=Tulokset!$G$57,'25'!$K$58=Tulokset!$I$57),6,3),MAX(0,6-(ABS('25'!$I$58-Tulokset!$G$57)+ABS('25'!$K$58-Tulokset!$I$57))))))</f>
        <v/>
      </c>
      <c r="BH28" t="str">
        <f>IF(OR(Tulokset!$G$58="",Tulokset!$I$58="",'25'!$I$59="",'25'!$K$59=""),"",IF(SIGN('25'!$I$59-'25'!$K$59)&lt;&gt;SIGN(Tulokset!$G$58-Tulokset!$I$58),0,IF(Tulokset!$G$58=Tulokset!$I$58,IF(AND('25'!$I$59=Tulokset!$G$58,'25'!$K$59=Tulokset!$I$58),6,3),MAX(0,6-(ABS('25'!$I$59-Tulokset!$G$58)+ABS('25'!$K$59-Tulokset!$I$58))))))</f>
        <v/>
      </c>
      <c r="BI28" t="str">
        <f>IF(OR(Tulokset!$G$59="",Tulokset!$I$59="",'25'!$I$60="",'25'!$K$60=""),"",IF(SIGN('25'!$I$60-'25'!$K$60)&lt;&gt;SIGN(Tulokset!$G$59-Tulokset!$I$59),0,IF(Tulokset!$G$59=Tulokset!$I$59,IF(AND('25'!$I$60=Tulokset!$G$59,'25'!$K$60=Tulokset!$I$59),6,3),MAX(0,6-(ABS('25'!$I$60-Tulokset!$G$59)+ABS('25'!$K$60-Tulokset!$I$59))))))</f>
        <v/>
      </c>
      <c r="BJ28" t="str">
        <f>IF(OR(Tulokset!$G$60="",Tulokset!$I$60="",'25'!$I$61="",'25'!$K$61=""),"",IF(SIGN('25'!$I$61-'25'!$K$61)&lt;&gt;SIGN(Tulokset!$G$60-Tulokset!$I$60),0,IF(Tulokset!$G$60=Tulokset!$I$60,IF(AND('25'!$I$61=Tulokset!$G$60,'25'!$K$61=Tulokset!$I$60),6,3),MAX(0,6-(ABS('25'!$I$61-Tulokset!$G$60)+ABS('25'!$K$61-Tulokset!$I$60))))))</f>
        <v/>
      </c>
      <c r="BK28" t="str">
        <f>IF(OR(Tulokset!$G$61="",Tulokset!$I$61="",'25'!$I$62="",'25'!$K$62=""),"",IF(SIGN('25'!$I$62-'25'!$K$62)&lt;&gt;SIGN(Tulokset!$G$61-Tulokset!$I$61),0,IF(Tulokset!$G$61=Tulokset!$I$61,IF(AND('25'!$I$62=Tulokset!$G$61,'25'!$K$62=Tulokset!$I$61),6,3),MAX(0,6-(ABS('25'!$I$62-Tulokset!$G$61)+ABS('25'!$K$62-Tulokset!$I$61))))))</f>
        <v/>
      </c>
      <c r="BL28" t="str">
        <f>IF(OR(Tulokset!$G$62="",Tulokset!$I$62="",'25'!$I$63="",'25'!$K$63=""),"",IF(SIGN('25'!$I$63-'25'!$K$63)&lt;&gt;SIGN(Tulokset!$G$62-Tulokset!$I$62),0,IF(Tulokset!$G$62=Tulokset!$I$62,IF(AND('25'!$I$63=Tulokset!$G$62,'25'!$K$63=Tulokset!$I$62),6,3),MAX(0,6-(ABS('25'!$I$63-Tulokset!$G$62)+ABS('25'!$K$63-Tulokset!$I$62))))))</f>
        <v/>
      </c>
      <c r="BM28" t="str">
        <f>IF(OR(Tulokset!$G$63="",Tulokset!$I$63="",'25'!$I$64="",'25'!$K$64=""),"",IF(SIGN('25'!$I$64-'25'!$K$64)&lt;&gt;SIGN(Tulokset!$G$63-Tulokset!$I$63),0,IF(Tulokset!$G$63=Tulokset!$I$63,IF(AND('25'!$I$64=Tulokset!$G$63,'25'!$K$64=Tulokset!$I$63),6,3),MAX(0,6-(ABS('25'!$I$64-Tulokset!$G$63)+ABS('25'!$K$64-Tulokset!$I$63))))))</f>
        <v/>
      </c>
      <c r="BN28" t="str">
        <f>IF(OR(Tulokset!$G$64="",Tulokset!$I$64="",'25'!$I$65="",'25'!$K$65=""),"",IF(SIGN('25'!$I$65-'25'!$K$65)&lt;&gt;SIGN(Tulokset!$G$64-Tulokset!$I$64),0,IF(Tulokset!$G$64=Tulokset!$I$64,IF(AND('25'!$I$65=Tulokset!$G$64,'25'!$K$65=Tulokset!$I$64),6,3),MAX(0,6-(ABS('25'!$I$65-Tulokset!$G$64)+ABS('25'!$K$65-Tulokset!$I$64))))))</f>
        <v/>
      </c>
      <c r="BO28" t="str">
        <f>IF(OR(Tulokset!$G$65="",Tulokset!$I$65="",'25'!$I$66="",'25'!$K$66=""),"",IF(SIGN('25'!$I$66-'25'!$K$66)&lt;&gt;SIGN(Tulokset!$G$65-Tulokset!$I$65),0,IF(Tulokset!$G$65=Tulokset!$I$65,IF(AND('25'!$I$66=Tulokset!$G$65,'25'!$K$66=Tulokset!$I$65),6,3),MAX(0,6-(ABS('25'!$I$66-Tulokset!$G$65)+ABS('25'!$K$66-Tulokset!$I$65))))))</f>
        <v/>
      </c>
      <c r="BP28" t="str">
        <f>IF(OR(Tulokset!$G$66="",Tulokset!$I$66="",'25'!$I$67="",'25'!$K$67=""),"",IF(SIGN('25'!$I$67-'25'!$K$67)&lt;&gt;SIGN(Tulokset!$G$66-Tulokset!$I$66),0,IF(Tulokset!$G$66=Tulokset!$I$66,IF(AND('25'!$I$67=Tulokset!$G$66,'25'!$K$67=Tulokset!$I$66),6,3),MAX(0,6-(ABS('25'!$I$67-Tulokset!$G$66)+ABS('25'!$K$67-Tulokset!$I$66))))))</f>
        <v/>
      </c>
      <c r="BQ28" t="str">
        <f>IF(OR(Tulokset!$G$67="",Tulokset!$I$67="",'25'!$I$68="",'25'!$K$68=""),"",IF(SIGN('25'!$I$68-'25'!$K$68)&lt;&gt;SIGN(Tulokset!$G$67-Tulokset!$I$67),0,IF(Tulokset!$G$67=Tulokset!$I$67,IF(AND('25'!$I$68=Tulokset!$G$67,'25'!$K$68=Tulokset!$I$67),6,3),MAX(0,6-(ABS('25'!$I$68-Tulokset!$G$67)+ABS('25'!$K$68-Tulokset!$I$67))))))</f>
        <v/>
      </c>
      <c r="BR28" t="str">
        <f>IF(OR(Tulokset!$G$68="",Tulokset!$I$68="",'25'!$I$69="",'25'!$K$69=""),"",IF(SIGN('25'!$I$69-'25'!$K$69)&lt;&gt;SIGN(Tulokset!$G$68-Tulokset!$I$68),0,IF(Tulokset!$G$68=Tulokset!$I$68,IF(AND('25'!$I$69=Tulokset!$G$68,'25'!$K$69=Tulokset!$I$68),6,3),MAX(0,6-(ABS('25'!$I$69-Tulokset!$G$68)+ABS('25'!$K$69-Tulokset!$I$68))))))</f>
        <v/>
      </c>
      <c r="BS28" t="str">
        <f>IF(OR(Tulokset!$G$69="",Tulokset!$I$69="",'25'!$I$70="",'25'!$K$70=""),"",IF(SIGN('25'!$I$70-'25'!$K$70)&lt;&gt;SIGN(Tulokset!$G$69-Tulokset!$I$69),0,IF(Tulokset!$G$69=Tulokset!$I$69,IF(AND('25'!$I$70=Tulokset!$G$69,'25'!$K$70=Tulokset!$I$69),6,3),MAX(0,6-(ABS('25'!$I$70-Tulokset!$G$69)+ABS('25'!$K$70-Tulokset!$I$69))))))</f>
        <v/>
      </c>
      <c r="BT28" t="str">
        <f>IF(OR(Tulokset!$G$70="",Tulokset!$I$70="",'25'!$I$71="",'25'!$K$71=""),"",IF(SIGN('25'!$I$71-'25'!$K$71)&lt;&gt;SIGN(Tulokset!$G$70-Tulokset!$I$70),0,IF(Tulokset!$G$70=Tulokset!$I$70,IF(AND('25'!$I$71=Tulokset!$G$70,'25'!$K$71=Tulokset!$I$70),6,3),MAX(0,6-(ABS('25'!$I$71-Tulokset!$G$70)+ABS('25'!$K$71-Tulokset!$I$70))))))</f>
        <v/>
      </c>
      <c r="BU28" t="str">
        <f>IF(OR(Tulokset!$G$71="",Tulokset!$I$71="",'25'!$I$72="",'25'!$K$72=""),"",IF(SIGN('25'!$I$72-'25'!$K$72)&lt;&gt;SIGN(Tulokset!$G$71-Tulokset!$I$71),0,IF(Tulokset!$G$71=Tulokset!$I$71,IF(AND('25'!$I$72=Tulokset!$G$71,'25'!$K$72=Tulokset!$I$71),6,3),MAX(0,6-(ABS('25'!$I$72-Tulokset!$G$71)+ABS('25'!$K$72-Tulokset!$I$71))))))</f>
        <v/>
      </c>
      <c r="BV28" t="str">
        <f>IF(OR(Tulokset!$G$72="",Tulokset!$I$72="",'25'!$I$73="",'25'!$K$73=""),"",IF(SIGN('25'!$I$73-'25'!$K$73)&lt;&gt;SIGN(Tulokset!$G$72-Tulokset!$I$72),0,IF(Tulokset!$G$72=Tulokset!$I$72,IF(AND('25'!$I$73=Tulokset!$G$72,'25'!$K$73=Tulokset!$I$72),6,3),MAX(0,6-(ABS('25'!$I$73-Tulokset!$G$72)+ABS('25'!$K$73-Tulokset!$I$72))))))</f>
        <v/>
      </c>
      <c r="BW28" t="str">
        <f>IF(OR(Tulokset!$G$73="",Tulokset!$I$73="",'25'!$I$74="",'25'!$K$74=""),"",IF(SIGN('25'!$I$74-'25'!$K$74)&lt;&gt;SIGN(Tulokset!$G$73-Tulokset!$I$73),0,IF(Tulokset!$G$73=Tulokset!$I$73,IF(AND('25'!$I$74=Tulokset!$G$73,'25'!$K$74=Tulokset!$I$73),6,3),MAX(0,6-(ABS('25'!$I$74-Tulokset!$G$73)+ABS('25'!$K$74-Tulokset!$I$73))))))</f>
        <v/>
      </c>
      <c r="BX28" t="str">
        <f>IF(OR(Tulokset!$G$74="",Tulokset!$I$74="",'25'!$I$75="",'25'!$K$75=""),"",IF(SIGN('25'!$I$75-'25'!$K$75)&lt;&gt;SIGN(Tulokset!$G$74-Tulokset!$I$74),0,IF(Tulokset!$G$74=Tulokset!$I$74,IF(AND('25'!$I$75=Tulokset!$G$74,'25'!$K$75=Tulokset!$I$74),6,3),MAX(0,6-(ABS('25'!$I$75-Tulokset!$G$74)+ABS('25'!$K$75-Tulokset!$I$74))))))</f>
        <v/>
      </c>
      <c r="BY28" t="str">
        <f>IF(OR(Tulokset!$G$75="",Tulokset!$I$75="",'25'!$I$76="",'25'!$K$76=""),"",IF(SIGN('25'!$I$76-'25'!$K$76)&lt;&gt;SIGN(Tulokset!$G$75-Tulokset!$I$75),0,IF(Tulokset!$G$75=Tulokset!$I$75,IF(AND('25'!$I$76=Tulokset!$G$75,'25'!$K$76=Tulokset!$I$75),6,3),MAX(0,6-(ABS('25'!$I$76-Tulokset!$G$75)+ABS('25'!$K$76-Tulokset!$I$75))))))</f>
        <v/>
      </c>
      <c r="BZ28" t="str">
        <f>IF(OR(Tulokset!$G$76="",Tulokset!$I$76="",'25'!$I$77="",'25'!$K$77=""),"",IF(SIGN('25'!$I$77-'25'!$K$77)&lt;&gt;SIGN(Tulokset!$G$76-Tulokset!$I$76),0,IF(Tulokset!$G$76=Tulokset!$I$76,IF(AND('25'!$I$77=Tulokset!$G$76,'25'!$K$77=Tulokset!$I$76),6,3),MAX(0,6-(ABS('25'!$I$77-Tulokset!$G$76)+ABS('25'!$K$77-Tulokset!$I$76))))))</f>
        <v/>
      </c>
      <c r="CA28" t="str">
        <f>IF(OR(Tulokset!$G$77="",Tulokset!$I$77="",'25'!$I$78="",'25'!$K$78=""),"",IF(SIGN('25'!$I$78-'25'!$K$78)&lt;&gt;SIGN(Tulokset!$G$77-Tulokset!$I$77),0,IF(Tulokset!$G$77=Tulokset!$I$77,IF(AND('25'!$I$78=Tulokset!$G$77,'25'!$K$78=Tulokset!$I$77),6,3),MAX(0,6-(ABS('25'!$I$78-Tulokset!$G$77)+ABS('25'!$K$78-Tulokset!$I$77))))))</f>
        <v/>
      </c>
      <c r="CD28" t="str">
        <f ca="1">IF(OR(Tulokset!$M$6="",INDIRECT("'"&amp;$A28&amp;"'!$P$8")=""),"",IF(TRIM(INDIRECT("'"&amp;$A28&amp;"'!$P$8"))=TRIM(Tulokset!$M$6),2,0))</f>
        <v/>
      </c>
      <c r="CE28" t="str">
        <f ca="1">IF(OR(Tulokset!$M$7="",INDIRECT("'"&amp;$A28&amp;"'!$P$9")=""),"",IF(TRIM(INDIRECT("'"&amp;$A28&amp;"'!$P$9"))=TRIM(Tulokset!$M$7),2,0))</f>
        <v/>
      </c>
      <c r="CF28" t="str">
        <f ca="1">IF(OR(Tulokset!$M$8="",INDIRECT("'"&amp;$A28&amp;"'!$P$10")=""),"",IF(TRIM(INDIRECT("'"&amp;$A28&amp;"'!$P$10"))=TRIM(Tulokset!$M$8),2,0))</f>
        <v/>
      </c>
      <c r="CG28" t="str">
        <f ca="1">IF(OR(Tulokset!$M$9="",INDIRECT("'"&amp;$A28&amp;"'!$P$11")=""),"",IF(TRIM(INDIRECT("'"&amp;$A28&amp;"'!$P$11"))=TRIM(Tulokset!$M$9),2,0))</f>
        <v/>
      </c>
      <c r="CH28" t="str">
        <f ca="1">IF(OR(Tulokset!$N$6="",INDIRECT("'"&amp;$A28&amp;"'!$Q$8")=""),"",IF(TRIM(INDIRECT("'"&amp;$A28&amp;"'!$Q$8"))=TRIM(Tulokset!$N$6),2,0))</f>
        <v/>
      </c>
      <c r="CI28" t="str">
        <f ca="1">IF(OR(Tulokset!$N$7="",INDIRECT("'"&amp;$A28&amp;"'!$Q$9")=""),"",IF(TRIM(INDIRECT("'"&amp;$A28&amp;"'!$Q$9"))=TRIM(Tulokset!$N$7),2,0))</f>
        <v/>
      </c>
      <c r="CJ28" t="str">
        <f ca="1">IF(OR(Tulokset!$N$8="",INDIRECT("'"&amp;$A28&amp;"'!$Q$10")=""),"",IF(TRIM(INDIRECT("'"&amp;$A28&amp;"'!$Q$10"))=TRIM(Tulokset!$N$8),2,0))</f>
        <v/>
      </c>
      <c r="CK28" t="str">
        <f ca="1">IF(OR(Tulokset!$N$9="",INDIRECT("'"&amp;$A28&amp;"'!$Q$11")=""),"",IF(TRIM(INDIRECT("'"&amp;$A28&amp;"'!$Q$11"))=TRIM(Tulokset!$N$9),2,0))</f>
        <v/>
      </c>
      <c r="CL28" t="str">
        <f ca="1">IF(OR(Tulokset!$O$6="",INDIRECT("'"&amp;$A28&amp;"'!$R$8")=""),"",IF(TRIM(INDIRECT("'"&amp;$A28&amp;"'!$R$8"))=TRIM(Tulokset!$O$6),2,0))</f>
        <v/>
      </c>
      <c r="CM28" t="str">
        <f ca="1">IF(OR(Tulokset!$O$7="",INDIRECT("'"&amp;$A28&amp;"'!$R$9")=""),"",IF(TRIM(INDIRECT("'"&amp;$A28&amp;"'!$R$9"))=TRIM(Tulokset!$O$7),2,0))</f>
        <v/>
      </c>
      <c r="CN28" t="str">
        <f ca="1">IF(OR(Tulokset!$O$8="",INDIRECT("'"&amp;$A28&amp;"'!$R$10")=""),"",IF(TRIM(INDIRECT("'"&amp;$A28&amp;"'!$R$10"))=TRIM(Tulokset!$O$8),2,0))</f>
        <v/>
      </c>
      <c r="CO28" t="str">
        <f ca="1">IF(OR(Tulokset!$O$9="",INDIRECT("'"&amp;$A28&amp;"'!$R$11")=""),"",IF(TRIM(INDIRECT("'"&amp;$A28&amp;"'!$R$11"))=TRIM(Tulokset!$O$9),2,0))</f>
        <v/>
      </c>
      <c r="CP28" t="str">
        <f ca="1">IF(OR(Tulokset!$P$6="",INDIRECT("'"&amp;$A28&amp;"'!$S$8")=""),"",IF(TRIM(INDIRECT("'"&amp;$A28&amp;"'!$S$8"))=TRIM(Tulokset!$P$6),2,0))</f>
        <v/>
      </c>
      <c r="CQ28" t="str">
        <f ca="1">IF(OR(Tulokset!$P$7="",INDIRECT("'"&amp;$A28&amp;"'!$S$9")=""),"",IF(TRIM(INDIRECT("'"&amp;$A28&amp;"'!$S$9"))=TRIM(Tulokset!$P$7),2,0))</f>
        <v/>
      </c>
      <c r="CR28" t="str">
        <f ca="1">IF(OR(Tulokset!$P$8="",INDIRECT("'"&amp;$A28&amp;"'!$S$10")=""),"",IF(TRIM(INDIRECT("'"&amp;$A28&amp;"'!$S$10"))=TRIM(Tulokset!$P$8),2,0))</f>
        <v/>
      </c>
      <c r="CS28" t="str">
        <f ca="1">IF(OR(Tulokset!$P$9="",INDIRECT("'"&amp;$A28&amp;"'!$S$11")=""),"",IF(TRIM(INDIRECT("'"&amp;$A28&amp;"'!$S$11"))=TRIM(Tulokset!$P$9),2,0))</f>
        <v/>
      </c>
      <c r="CT28" t="str">
        <f ca="1">IF(OR(Tulokset!$Q$6="",INDIRECT("'"&amp;$A28&amp;"'!$T$8")=""),"",IF(TRIM(INDIRECT("'"&amp;$A28&amp;"'!$T$8"))=TRIM(Tulokset!$Q$6),2,0))</f>
        <v/>
      </c>
      <c r="CU28" t="str">
        <f ca="1">IF(OR(Tulokset!$Q$7="",INDIRECT("'"&amp;$A28&amp;"'!$T$9")=""),"",IF(TRIM(INDIRECT("'"&amp;$A28&amp;"'!$T$9"))=TRIM(Tulokset!$Q$7),2,0))</f>
        <v/>
      </c>
      <c r="CV28" t="str">
        <f ca="1">IF(OR(Tulokset!$Q$8="",INDIRECT("'"&amp;$A28&amp;"'!$T$10")=""),"",IF(TRIM(INDIRECT("'"&amp;$A28&amp;"'!$T$10"))=TRIM(Tulokset!$Q$8),2,0))</f>
        <v/>
      </c>
      <c r="CW28" t="str">
        <f ca="1">IF(OR(Tulokset!$Q$9="",INDIRECT("'"&amp;$A28&amp;"'!$T$11")=""),"",IF(TRIM(INDIRECT("'"&amp;$A28&amp;"'!$T$11"))=TRIM(Tulokset!$Q$9),2,0))</f>
        <v/>
      </c>
      <c r="CX28" t="str">
        <f ca="1">IF(OR(Tulokset!$R$6="",INDIRECT("'"&amp;$A28&amp;"'!$U$8")=""),"",IF(TRIM(INDIRECT("'"&amp;$A28&amp;"'!$U$8"))=TRIM(Tulokset!$R$6),2,0))</f>
        <v/>
      </c>
      <c r="CY28" t="str">
        <f ca="1">IF(OR(Tulokset!$R$7="",INDIRECT("'"&amp;$A28&amp;"'!$U$9")=""),"",IF(TRIM(INDIRECT("'"&amp;$A28&amp;"'!$U$9"))=TRIM(Tulokset!$R$7),2,0))</f>
        <v/>
      </c>
      <c r="CZ28" t="str">
        <f ca="1">IF(OR(Tulokset!$R$8="",INDIRECT("'"&amp;$A28&amp;"'!$U$10")=""),"",IF(TRIM(INDIRECT("'"&amp;$A28&amp;"'!$U$10"))=TRIM(Tulokset!$R$8),2,0))</f>
        <v/>
      </c>
      <c r="DA28" t="str">
        <f ca="1">IF(OR(Tulokset!$R$9="",INDIRECT("'"&amp;$A28&amp;"'!$U$11")=""),"",IF(TRIM(INDIRECT("'"&amp;$A28&amp;"'!$U$11"))=TRIM(Tulokset!$R$9),2,0))</f>
        <v/>
      </c>
      <c r="DB28" t="str">
        <f ca="1">IF(OR(Tulokset!$M$12="",INDIRECT("'"&amp;$A28&amp;"'!$P$14")=""),"",IF(TRIM(INDIRECT("'"&amp;$A28&amp;"'!$P$14"))=TRIM(Tulokset!$M$12),2,0))</f>
        <v/>
      </c>
      <c r="DC28" t="str">
        <f ca="1">IF(OR(Tulokset!$M$13="",INDIRECT("'"&amp;$A28&amp;"'!$P$15")=""),"",IF(TRIM(INDIRECT("'"&amp;$A28&amp;"'!$P$15"))=TRIM(Tulokset!$M$13),2,0))</f>
        <v/>
      </c>
      <c r="DD28" t="str">
        <f ca="1">IF(OR(Tulokset!$M$14="",INDIRECT("'"&amp;$A28&amp;"'!$P$16")=""),"",IF(TRIM(INDIRECT("'"&amp;$A28&amp;"'!$P$16"))=TRIM(Tulokset!$M$14),2,0))</f>
        <v/>
      </c>
      <c r="DE28" t="str">
        <f ca="1">IF(OR(Tulokset!$M$15="",INDIRECT("'"&amp;$A28&amp;"'!$P$17")=""),"",IF(TRIM(INDIRECT("'"&amp;$A28&amp;"'!$P$17"))=TRIM(Tulokset!$M$15),2,0))</f>
        <v/>
      </c>
      <c r="DF28" t="str">
        <f ca="1">IF(OR(Tulokset!$N$12="",INDIRECT("'"&amp;$A28&amp;"'!$Q$14")=""),"",IF(TRIM(INDIRECT("'"&amp;$A28&amp;"'!$Q$14"))=TRIM(Tulokset!$N$12),2,0))</f>
        <v/>
      </c>
      <c r="DG28" t="str">
        <f ca="1">IF(OR(Tulokset!$N$13="",INDIRECT("'"&amp;$A28&amp;"'!$Q$15")=""),"",IF(TRIM(INDIRECT("'"&amp;$A28&amp;"'!$Q$15"))=TRIM(Tulokset!$N$13),2,0))</f>
        <v/>
      </c>
      <c r="DH28" t="str">
        <f ca="1">IF(OR(Tulokset!$N$14="",INDIRECT("'"&amp;$A28&amp;"'!$Q$16")=""),"",IF(TRIM(INDIRECT("'"&amp;$A28&amp;"'!$Q$16"))=TRIM(Tulokset!$N$14),2,0))</f>
        <v/>
      </c>
      <c r="DI28" t="str">
        <f ca="1">IF(OR(Tulokset!$N$15="",INDIRECT("'"&amp;$A28&amp;"'!$Q$17")=""),"",IF(TRIM(INDIRECT("'"&amp;$A28&amp;"'!$Q$17"))=TRIM(Tulokset!$N$15),2,0))</f>
        <v/>
      </c>
      <c r="DJ28" t="str">
        <f ca="1">IF(OR(Tulokset!$O$12="",INDIRECT("'"&amp;$A28&amp;"'!$R$14")=""),"",IF(TRIM(INDIRECT("'"&amp;$A28&amp;"'!$R$14"))=TRIM(Tulokset!$O$12),2,0))</f>
        <v/>
      </c>
      <c r="DK28" t="str">
        <f ca="1">IF(OR(Tulokset!$O$13="",INDIRECT("'"&amp;$A28&amp;"'!$R$15")=""),"",IF(TRIM(INDIRECT("'"&amp;$A28&amp;"'!$R$15"))=TRIM(Tulokset!$O$13),2,0))</f>
        <v/>
      </c>
      <c r="DL28" t="str">
        <f ca="1">IF(OR(Tulokset!$O$14="",INDIRECT("'"&amp;$A28&amp;"'!$R$16")=""),"",IF(TRIM(INDIRECT("'"&amp;$A28&amp;"'!$R$16"))=TRIM(Tulokset!$O$14),2,0))</f>
        <v/>
      </c>
      <c r="DM28" t="str">
        <f ca="1">IF(OR(Tulokset!$O$15="",INDIRECT("'"&amp;$A28&amp;"'!$R$17")=""),"",IF(TRIM(INDIRECT("'"&amp;$A28&amp;"'!$R$17"))=TRIM(Tulokset!$O$15),2,0))</f>
        <v/>
      </c>
      <c r="DN28" t="str">
        <f ca="1">IF(OR(Tulokset!$P$12="",INDIRECT("'"&amp;$A28&amp;"'!$S$14")=""),"",IF(TRIM(INDIRECT("'"&amp;$A28&amp;"'!$S$14"))=TRIM(Tulokset!$P$12),2,0))</f>
        <v/>
      </c>
      <c r="DO28" t="str">
        <f ca="1">IF(OR(Tulokset!$P$13="",INDIRECT("'"&amp;$A28&amp;"'!$S$15")=""),"",IF(TRIM(INDIRECT("'"&amp;$A28&amp;"'!$S$15"))=TRIM(Tulokset!$P$13),2,0))</f>
        <v/>
      </c>
      <c r="DP28" t="str">
        <f ca="1">IF(OR(Tulokset!$P$14="",INDIRECT("'"&amp;$A28&amp;"'!$S$16")=""),"",IF(TRIM(INDIRECT("'"&amp;$A28&amp;"'!$S$16"))=TRIM(Tulokset!$P$14),2,0))</f>
        <v/>
      </c>
      <c r="DQ28" t="str">
        <f ca="1">IF(OR(Tulokset!$P$15="",INDIRECT("'"&amp;$A28&amp;"'!$S$17")=""),"",IF(TRIM(INDIRECT("'"&amp;$A28&amp;"'!$S$17"))=TRIM(Tulokset!$P$15),2,0))</f>
        <v/>
      </c>
      <c r="DR28" t="str">
        <f ca="1">IF(OR(Tulokset!$Q$12="",INDIRECT("'"&amp;$A28&amp;"'!$T$14")=""),"",IF(TRIM(INDIRECT("'"&amp;$A28&amp;"'!$T$14"))=TRIM(Tulokset!$Q$12),2,0))</f>
        <v/>
      </c>
      <c r="DS28" t="str">
        <f ca="1">IF(OR(Tulokset!$Q$13="",INDIRECT("'"&amp;$A28&amp;"'!$T$15")=""),"",IF(TRIM(INDIRECT("'"&amp;$A28&amp;"'!$T$15"))=TRIM(Tulokset!$Q$13),2,0))</f>
        <v/>
      </c>
      <c r="DT28" t="str">
        <f ca="1">IF(OR(Tulokset!$Q$14="",INDIRECT("'"&amp;$A28&amp;"'!$T$16")=""),"",IF(TRIM(INDIRECT("'"&amp;$A28&amp;"'!$T$16"))=TRIM(Tulokset!$Q$14),2,0))</f>
        <v/>
      </c>
      <c r="DU28" t="str">
        <f ca="1">IF(OR(Tulokset!$Q$15="",INDIRECT("'"&amp;$A28&amp;"'!$T$17")=""),"",IF(TRIM(INDIRECT("'"&amp;$A28&amp;"'!$T$17"))=TRIM(Tulokset!$Q$15),2,0))</f>
        <v/>
      </c>
      <c r="DV28" t="str">
        <f ca="1">IF(OR(Tulokset!$R$12="",INDIRECT("'"&amp;$A28&amp;"'!$U$14")=""),"",IF(TRIM(INDIRECT("'"&amp;$A28&amp;"'!$U$14"))=TRIM(Tulokset!$R$12),2,0))</f>
        <v/>
      </c>
      <c r="DW28" t="str">
        <f ca="1">IF(OR(Tulokset!$R$13="",INDIRECT("'"&amp;$A28&amp;"'!$U$15")=""),"",IF(TRIM(INDIRECT("'"&amp;$A28&amp;"'!$U$15"))=TRIM(Tulokset!$R$13),2,0))</f>
        <v/>
      </c>
      <c r="DX28" t="str">
        <f ca="1">IF(OR(Tulokset!$R$14="",INDIRECT("'"&amp;$A28&amp;"'!$U$16")=""),"",IF(TRIM(INDIRECT("'"&amp;$A28&amp;"'!$U$16"))=TRIM(Tulokset!$R$14),2,0))</f>
        <v/>
      </c>
      <c r="DY28" t="str">
        <f ca="1">IF(OR(Tulokset!$R$15="",INDIRECT("'"&amp;$A28&amp;"'!$U$17")=""),"",IF(TRIM(INDIRECT("'"&amp;$A28&amp;"'!$U$17"))=TRIM(Tulokset!$R$15),2,0))</f>
        <v/>
      </c>
      <c r="EA28" t="str">
        <f ca="1">IF(OR(INDIRECT("'"&amp;$A28&amp;"'!$E$79")="",COUNTA(Tulokset!$M$20:$M$21)=0),"",IF(COUNTIF(Tulokset!$M$20:$M$21,INDIRECT("'"&amp;$A28&amp;"'!$E$79"))&gt;0,2,0))</f>
        <v/>
      </c>
      <c r="EB28" t="str">
        <f ca="1">IF(OR(INDIRECT("'"&amp;$A28&amp;"'!$G$79")="",COUNTA(Tulokset!$M$20:$M$21)=0),"",IF(COUNTIF(Tulokset!$M$20:$M$21,INDIRECT("'"&amp;$A28&amp;"'!$G$79"))&gt;0,2,0))</f>
        <v/>
      </c>
      <c r="EC28" t="str">
        <f ca="1">IF(OR(INDIRECT("'"&amp;$A28&amp;"'!$E$80")="",COUNTA(Tulokset!$M$23:$M$24)=0),"",IF(COUNTIF(Tulokset!$M$23:$M$24,INDIRECT("'"&amp;$A28&amp;"'!$E$80"))&gt;0,2,0))</f>
        <v/>
      </c>
      <c r="ED28" t="str">
        <f ca="1">IF(OR(INDIRECT("'"&amp;$A28&amp;"'!$G$80")="",COUNTA(Tulokset!$M$23:$M$24)=0),"",IF(COUNTIF(Tulokset!$M$23:$M$24,INDIRECT("'"&amp;$A28&amp;"'!$G$80"))&gt;0,2,0))</f>
        <v/>
      </c>
    </row>
    <row r="29" spans="1:134">
      <c r="A29" t="s">
        <v>244</v>
      </c>
      <c r="B29" t="str">
        <f t="shared" ca="1" si="0"/>
        <v/>
      </c>
      <c r="C29" s="95">
        <f t="shared" si="1"/>
        <v>0</v>
      </c>
      <c r="D29" s="95">
        <f t="shared" ca="1" si="2"/>
        <v>0</v>
      </c>
      <c r="E29" s="95">
        <f t="shared" ca="1" si="3"/>
        <v>0</v>
      </c>
      <c r="F29" s="95" t="str">
        <f t="shared" ca="1" si="4"/>
        <v/>
      </c>
      <c r="G29" s="95">
        <f t="shared" si="5"/>
        <v>0</v>
      </c>
      <c r="H29" t="str">
        <f>IF(OR(Tulokset!$G$6="",Tulokset!$I$6="",'26'!$I$7="",'26'!$K$7=""),"",IF(SIGN('26'!$I$7-'26'!$K$7)&lt;&gt;SIGN(Tulokset!$G$6-Tulokset!$I$6),0,IF(Tulokset!$G$6=Tulokset!$I$6,IF(AND('26'!$I$7=Tulokset!$G$6,'26'!$K$7=Tulokset!$I$6),6,3),MAX(0,6-(ABS('26'!$I$7-Tulokset!$G$6)+ABS('26'!$K$7-Tulokset!$I$6))))))</f>
        <v/>
      </c>
      <c r="I29" t="str">
        <f>IF(OR(Tulokset!$G$7="",Tulokset!$I$7="",'26'!$I$8="",'26'!$K$8=""),"",IF(SIGN('26'!$I$8-'26'!$K$8)&lt;&gt;SIGN(Tulokset!$G$7-Tulokset!$I$7),0,IF(Tulokset!$G$7=Tulokset!$I$7,IF(AND('26'!$I$8=Tulokset!$G$7,'26'!$K$8=Tulokset!$I$7),6,3),MAX(0,6-(ABS('26'!$I$8-Tulokset!$G$7)+ABS('26'!$K$8-Tulokset!$I$7))))))</f>
        <v/>
      </c>
      <c r="J29" t="str">
        <f>IF(OR(Tulokset!$G$8="",Tulokset!$I$8="",'26'!$I$9="",'26'!$K$9=""),"",IF(SIGN('26'!$I$9-'26'!$K$9)&lt;&gt;SIGN(Tulokset!$G$8-Tulokset!$I$8),0,IF(Tulokset!$G$8=Tulokset!$I$8,IF(AND('26'!$I$9=Tulokset!$G$8,'26'!$K$9=Tulokset!$I$8),6,3),MAX(0,6-(ABS('26'!$I$9-Tulokset!$G$8)+ABS('26'!$K$9-Tulokset!$I$8))))))</f>
        <v/>
      </c>
      <c r="K29" t="str">
        <f>IF(OR(Tulokset!$G$9="",Tulokset!$I$9="",'26'!$I$10="",'26'!$K$10=""),"",IF(SIGN('26'!$I$10-'26'!$K$10)&lt;&gt;SIGN(Tulokset!$G$9-Tulokset!$I$9),0,IF(Tulokset!$G$9=Tulokset!$I$9,IF(AND('26'!$I$10=Tulokset!$G$9,'26'!$K$10=Tulokset!$I$9),6,3),MAX(0,6-(ABS('26'!$I$10-Tulokset!$G$9)+ABS('26'!$K$10-Tulokset!$I$9))))))</f>
        <v/>
      </c>
      <c r="L29" t="str">
        <f>IF(OR(Tulokset!$G$10="",Tulokset!$I$10="",'26'!$I$11="",'26'!$K$11=""),"",IF(SIGN('26'!$I$11-'26'!$K$11)&lt;&gt;SIGN(Tulokset!$G$10-Tulokset!$I$10),0,IF(Tulokset!$G$10=Tulokset!$I$10,IF(AND('26'!$I$11=Tulokset!$G$10,'26'!$K$11=Tulokset!$I$10),6,3),MAX(0,6-(ABS('26'!$I$11-Tulokset!$G$10)+ABS('26'!$K$11-Tulokset!$I$10))))))</f>
        <v/>
      </c>
      <c r="M29" t="str">
        <f>IF(OR(Tulokset!$G$11="",Tulokset!$I$11="",'26'!$I$12="",'26'!$K$12=""),"",IF(SIGN('26'!$I$12-'26'!$K$12)&lt;&gt;SIGN(Tulokset!$G$11-Tulokset!$I$11),0,IF(Tulokset!$G$11=Tulokset!$I$11,IF(AND('26'!$I$12=Tulokset!$G$11,'26'!$K$12=Tulokset!$I$11),6,3),MAX(0,6-(ABS('26'!$I$12-Tulokset!$G$11)+ABS('26'!$K$12-Tulokset!$I$11))))))</f>
        <v/>
      </c>
      <c r="N29" t="str">
        <f>IF(OR(Tulokset!$G$12="",Tulokset!$I$12="",'26'!$I$13="",'26'!$K$13=""),"",IF(SIGN('26'!$I$13-'26'!$K$13)&lt;&gt;SIGN(Tulokset!$G$12-Tulokset!$I$12),0,IF(Tulokset!$G$12=Tulokset!$I$12,IF(AND('26'!$I$13=Tulokset!$G$12,'26'!$K$13=Tulokset!$I$12),6,3),MAX(0,6-(ABS('26'!$I$13-Tulokset!$G$12)+ABS('26'!$K$13-Tulokset!$I$12))))))</f>
        <v/>
      </c>
      <c r="O29" t="str">
        <f>IF(OR(Tulokset!$G$13="",Tulokset!$I$13="",'26'!$I$14="",'26'!$K$14=""),"",IF(SIGN('26'!$I$14-'26'!$K$14)&lt;&gt;SIGN(Tulokset!$G$13-Tulokset!$I$13),0,IF(Tulokset!$G$13=Tulokset!$I$13,IF(AND('26'!$I$14=Tulokset!$G$13,'26'!$K$14=Tulokset!$I$13),6,3),MAX(0,6-(ABS('26'!$I$14-Tulokset!$G$13)+ABS('26'!$K$14-Tulokset!$I$13))))))</f>
        <v/>
      </c>
      <c r="P29" t="str">
        <f>IF(OR(Tulokset!$G$14="",Tulokset!$I$14="",'26'!$I$15="",'26'!$K$15=""),"",IF(SIGN('26'!$I$15-'26'!$K$15)&lt;&gt;SIGN(Tulokset!$G$14-Tulokset!$I$14),0,IF(Tulokset!$G$14=Tulokset!$I$14,IF(AND('26'!$I$15=Tulokset!$G$14,'26'!$K$15=Tulokset!$I$14),6,3),MAX(0,6-(ABS('26'!$I$15-Tulokset!$G$14)+ABS('26'!$K$15-Tulokset!$I$14))))))</f>
        <v/>
      </c>
      <c r="Q29" t="str">
        <f>IF(OR(Tulokset!$G$15="",Tulokset!$I$15="",'26'!$I$16="",'26'!$K$16=""),"",IF(SIGN('26'!$I$16-'26'!$K$16)&lt;&gt;SIGN(Tulokset!$G$15-Tulokset!$I$15),0,IF(Tulokset!$G$15=Tulokset!$I$15,IF(AND('26'!$I$16=Tulokset!$G$15,'26'!$K$16=Tulokset!$I$15),6,3),MAX(0,6-(ABS('26'!$I$16-Tulokset!$G$15)+ABS('26'!$K$16-Tulokset!$I$15))))))</f>
        <v/>
      </c>
      <c r="R29" t="str">
        <f>IF(OR(Tulokset!$G$16="",Tulokset!$I$16="",'26'!$I$17="",'26'!$K$17=""),"",IF(SIGN('26'!$I$17-'26'!$K$17)&lt;&gt;SIGN(Tulokset!$G$16-Tulokset!$I$16),0,IF(Tulokset!$G$16=Tulokset!$I$16,IF(AND('26'!$I$17=Tulokset!$G$16,'26'!$K$17=Tulokset!$I$16),6,3),MAX(0,6-(ABS('26'!$I$17-Tulokset!$G$16)+ABS('26'!$K$17-Tulokset!$I$16))))))</f>
        <v/>
      </c>
      <c r="S29" t="str">
        <f>IF(OR(Tulokset!$G$17="",Tulokset!$I$17="",'26'!$I$18="",'26'!$K$18=""),"",IF(SIGN('26'!$I$18-'26'!$K$18)&lt;&gt;SIGN(Tulokset!$G$17-Tulokset!$I$17),0,IF(Tulokset!$G$17=Tulokset!$I$17,IF(AND('26'!$I$18=Tulokset!$G$17,'26'!$K$18=Tulokset!$I$17),6,3),MAX(0,6-(ABS('26'!$I$18-Tulokset!$G$17)+ABS('26'!$K$18-Tulokset!$I$17))))))</f>
        <v/>
      </c>
      <c r="T29" t="str">
        <f>IF(OR(Tulokset!$G$18="",Tulokset!$I$18="",'26'!$I$19="",'26'!$K$19=""),"",IF(SIGN('26'!$I$19-'26'!$K$19)&lt;&gt;SIGN(Tulokset!$G$18-Tulokset!$I$18),0,IF(Tulokset!$G$18=Tulokset!$I$18,IF(AND('26'!$I$19=Tulokset!$G$18,'26'!$K$19=Tulokset!$I$18),6,3),MAX(0,6-(ABS('26'!$I$19-Tulokset!$G$18)+ABS('26'!$K$19-Tulokset!$I$18))))))</f>
        <v/>
      </c>
      <c r="U29" t="str">
        <f>IF(OR(Tulokset!$G$19="",Tulokset!$I$19="",'26'!$I$20="",'26'!$K$20=""),"",IF(SIGN('26'!$I$20-'26'!$K$20)&lt;&gt;SIGN(Tulokset!$G$19-Tulokset!$I$19),0,IF(Tulokset!$G$19=Tulokset!$I$19,IF(AND('26'!$I$20=Tulokset!$G$19,'26'!$K$20=Tulokset!$I$19),6,3),MAX(0,6-(ABS('26'!$I$20-Tulokset!$G$19)+ABS('26'!$K$20-Tulokset!$I$19))))))</f>
        <v/>
      </c>
      <c r="V29" t="str">
        <f>IF(OR(Tulokset!$G$20="",Tulokset!$I$20="",'26'!$I$21="",'26'!$K$21=""),"",IF(SIGN('26'!$I$21-'26'!$K$21)&lt;&gt;SIGN(Tulokset!$G$20-Tulokset!$I$20),0,IF(Tulokset!$G$20=Tulokset!$I$20,IF(AND('26'!$I$21=Tulokset!$G$20,'26'!$K$21=Tulokset!$I$20),6,3),MAX(0,6-(ABS('26'!$I$21-Tulokset!$G$20)+ABS('26'!$K$21-Tulokset!$I$20))))))</f>
        <v/>
      </c>
      <c r="W29" t="str">
        <f>IF(OR(Tulokset!$G$21="",Tulokset!$I$21="",'26'!$I$22="",'26'!$K$22=""),"",IF(SIGN('26'!$I$22-'26'!$K$22)&lt;&gt;SIGN(Tulokset!$G$21-Tulokset!$I$21),0,IF(Tulokset!$G$21=Tulokset!$I$21,IF(AND('26'!$I$22=Tulokset!$G$21,'26'!$K$22=Tulokset!$I$21),6,3),MAX(0,6-(ABS('26'!$I$22-Tulokset!$G$21)+ABS('26'!$K$22-Tulokset!$I$21))))))</f>
        <v/>
      </c>
      <c r="X29" t="str">
        <f>IF(OR(Tulokset!$G$22="",Tulokset!$I$22="",'26'!$I$23="",'26'!$K$23=""),"",IF(SIGN('26'!$I$23-'26'!$K$23)&lt;&gt;SIGN(Tulokset!$G$22-Tulokset!$I$22),0,IF(Tulokset!$G$22=Tulokset!$I$22,IF(AND('26'!$I$23=Tulokset!$G$22,'26'!$K$23=Tulokset!$I$22),6,3),MAX(0,6-(ABS('26'!$I$23-Tulokset!$G$22)+ABS('26'!$K$23-Tulokset!$I$22))))))</f>
        <v/>
      </c>
      <c r="Y29" t="str">
        <f>IF(OR(Tulokset!$G$23="",Tulokset!$I$23="",'26'!$I$24="",'26'!$K$24=""),"",IF(SIGN('26'!$I$24-'26'!$K$24)&lt;&gt;SIGN(Tulokset!$G$23-Tulokset!$I$23),0,IF(Tulokset!$G$23=Tulokset!$I$23,IF(AND('26'!$I$24=Tulokset!$G$23,'26'!$K$24=Tulokset!$I$23),6,3),MAX(0,6-(ABS('26'!$I$24-Tulokset!$G$23)+ABS('26'!$K$24-Tulokset!$I$23))))))</f>
        <v/>
      </c>
      <c r="Z29" t="str">
        <f>IF(OR(Tulokset!$G$24="",Tulokset!$I$24="",'26'!$I$25="",'26'!$K$25=""),"",IF(SIGN('26'!$I$25-'26'!$K$25)&lt;&gt;SIGN(Tulokset!$G$24-Tulokset!$I$24),0,IF(Tulokset!$G$24=Tulokset!$I$24,IF(AND('26'!$I$25=Tulokset!$G$24,'26'!$K$25=Tulokset!$I$24),6,3),MAX(0,6-(ABS('26'!$I$25-Tulokset!$G$24)+ABS('26'!$K$25-Tulokset!$I$24))))))</f>
        <v/>
      </c>
      <c r="AA29" t="str">
        <f>IF(OR(Tulokset!$G$25="",Tulokset!$I$25="",'26'!$I$26="",'26'!$K$26=""),"",IF(SIGN('26'!$I$26-'26'!$K$26)&lt;&gt;SIGN(Tulokset!$G$25-Tulokset!$I$25),0,IF(Tulokset!$G$25=Tulokset!$I$25,IF(AND('26'!$I$26=Tulokset!$G$25,'26'!$K$26=Tulokset!$I$25),6,3),MAX(0,6-(ABS('26'!$I$26-Tulokset!$G$25)+ABS('26'!$K$26-Tulokset!$I$25))))))</f>
        <v/>
      </c>
      <c r="AB29" t="str">
        <f>IF(OR(Tulokset!$G$26="",Tulokset!$I$26="",'26'!$I$27="",'26'!$K$27=""),"",IF(SIGN('26'!$I$27-'26'!$K$27)&lt;&gt;SIGN(Tulokset!$G$26-Tulokset!$I$26),0,IF(Tulokset!$G$26=Tulokset!$I$26,IF(AND('26'!$I$27=Tulokset!$G$26,'26'!$K$27=Tulokset!$I$26),6,3),MAX(0,6-(ABS('26'!$I$27-Tulokset!$G$26)+ABS('26'!$K$27-Tulokset!$I$26))))))</f>
        <v/>
      </c>
      <c r="AC29" t="str">
        <f>IF(OR(Tulokset!$G$27="",Tulokset!$I$27="",'26'!$I$28="",'26'!$K$28=""),"",IF(SIGN('26'!$I$28-'26'!$K$28)&lt;&gt;SIGN(Tulokset!$G$27-Tulokset!$I$27),0,IF(Tulokset!$G$27=Tulokset!$I$27,IF(AND('26'!$I$28=Tulokset!$G$27,'26'!$K$28=Tulokset!$I$27),6,3),MAX(0,6-(ABS('26'!$I$28-Tulokset!$G$27)+ABS('26'!$K$28-Tulokset!$I$27))))))</f>
        <v/>
      </c>
      <c r="AD29" t="str">
        <f>IF(OR(Tulokset!$G$28="",Tulokset!$I$28="",'26'!$I$29="",'26'!$K$29=""),"",IF(SIGN('26'!$I$29-'26'!$K$29)&lt;&gt;SIGN(Tulokset!$G$28-Tulokset!$I$28),0,IF(Tulokset!$G$28=Tulokset!$I$28,IF(AND('26'!$I$29=Tulokset!$G$28,'26'!$K$29=Tulokset!$I$28),6,3),MAX(0,6-(ABS('26'!$I$29-Tulokset!$G$28)+ABS('26'!$K$29-Tulokset!$I$28))))))</f>
        <v/>
      </c>
      <c r="AE29" t="str">
        <f>IF(OR(Tulokset!$G$29="",Tulokset!$I$29="",'26'!$I$30="",'26'!$K$30=""),"",IF(SIGN('26'!$I$30-'26'!$K$30)&lt;&gt;SIGN(Tulokset!$G$29-Tulokset!$I$29),0,IF(Tulokset!$G$29=Tulokset!$I$29,IF(AND('26'!$I$30=Tulokset!$G$29,'26'!$K$30=Tulokset!$I$29),6,3),MAX(0,6-(ABS('26'!$I$30-Tulokset!$G$29)+ABS('26'!$K$30-Tulokset!$I$29))))))</f>
        <v/>
      </c>
      <c r="AF29" t="str">
        <f>IF(OR(Tulokset!$G$30="",Tulokset!$I$30="",'26'!$I$31="",'26'!$K$31=""),"",IF(SIGN('26'!$I$31-'26'!$K$31)&lt;&gt;SIGN(Tulokset!$G$30-Tulokset!$I$30),0,IF(Tulokset!$G$30=Tulokset!$I$30,IF(AND('26'!$I$31=Tulokset!$G$30,'26'!$K$31=Tulokset!$I$30),6,3),MAX(0,6-(ABS('26'!$I$31-Tulokset!$G$30)+ABS('26'!$K$31-Tulokset!$I$30))))))</f>
        <v/>
      </c>
      <c r="AG29" t="str">
        <f>IF(OR(Tulokset!$G$31="",Tulokset!$I$31="",'26'!$I$32="",'26'!$K$32=""),"",IF(SIGN('26'!$I$32-'26'!$K$32)&lt;&gt;SIGN(Tulokset!$G$31-Tulokset!$I$31),0,IF(Tulokset!$G$31=Tulokset!$I$31,IF(AND('26'!$I$32=Tulokset!$G$31,'26'!$K$32=Tulokset!$I$31),6,3),MAX(0,6-(ABS('26'!$I$32-Tulokset!$G$31)+ABS('26'!$K$32-Tulokset!$I$31))))))</f>
        <v/>
      </c>
      <c r="AH29" t="str">
        <f>IF(OR(Tulokset!$G$32="",Tulokset!$I$32="",'26'!$I$33="",'26'!$K$33=""),"",IF(SIGN('26'!$I$33-'26'!$K$33)&lt;&gt;SIGN(Tulokset!$G$32-Tulokset!$I$32),0,IF(Tulokset!$G$32=Tulokset!$I$32,IF(AND('26'!$I$33=Tulokset!$G$32,'26'!$K$33=Tulokset!$I$32),6,3),MAX(0,6-(ABS('26'!$I$33-Tulokset!$G$32)+ABS('26'!$K$33-Tulokset!$I$32))))))</f>
        <v/>
      </c>
      <c r="AI29" t="str">
        <f>IF(OR(Tulokset!$G$33="",Tulokset!$I$33="",'26'!$I$34="",'26'!$K$34=""),"",IF(SIGN('26'!$I$34-'26'!$K$34)&lt;&gt;SIGN(Tulokset!$G$33-Tulokset!$I$33),0,IF(Tulokset!$G$33=Tulokset!$I$33,IF(AND('26'!$I$34=Tulokset!$G$33,'26'!$K$34=Tulokset!$I$33),6,3),MAX(0,6-(ABS('26'!$I$34-Tulokset!$G$33)+ABS('26'!$K$34-Tulokset!$I$33))))))</f>
        <v/>
      </c>
      <c r="AJ29" t="str">
        <f>IF(OR(Tulokset!$G$34="",Tulokset!$I$34="",'26'!$I$35="",'26'!$K$35=""),"",IF(SIGN('26'!$I$35-'26'!$K$35)&lt;&gt;SIGN(Tulokset!$G$34-Tulokset!$I$34),0,IF(Tulokset!$G$34=Tulokset!$I$34,IF(AND('26'!$I$35=Tulokset!$G$34,'26'!$K$35=Tulokset!$I$34),6,3),MAX(0,6-(ABS('26'!$I$35-Tulokset!$G$34)+ABS('26'!$K$35-Tulokset!$I$34))))))</f>
        <v/>
      </c>
      <c r="AK29" t="str">
        <f>IF(OR(Tulokset!$G$35="",Tulokset!$I$35="",'26'!$I$36="",'26'!$K$36=""),"",IF(SIGN('26'!$I$36-'26'!$K$36)&lt;&gt;SIGN(Tulokset!$G$35-Tulokset!$I$35),0,IF(Tulokset!$G$35=Tulokset!$I$35,IF(AND('26'!$I$36=Tulokset!$G$35,'26'!$K$36=Tulokset!$I$35),6,3),MAX(0,6-(ABS('26'!$I$36-Tulokset!$G$35)+ABS('26'!$K$36-Tulokset!$I$35))))))</f>
        <v/>
      </c>
      <c r="AL29" t="str">
        <f>IF(OR(Tulokset!$G$36="",Tulokset!$I$36="",'26'!$I$37="",'26'!$K$37=""),"",IF(SIGN('26'!$I$37-'26'!$K$37)&lt;&gt;SIGN(Tulokset!$G$36-Tulokset!$I$36),0,IF(Tulokset!$G$36=Tulokset!$I$36,IF(AND('26'!$I$37=Tulokset!$G$36,'26'!$K$37=Tulokset!$I$36),6,3),MAX(0,6-(ABS('26'!$I$37-Tulokset!$G$36)+ABS('26'!$K$37-Tulokset!$I$36))))))</f>
        <v/>
      </c>
      <c r="AM29" t="str">
        <f>IF(OR(Tulokset!$G$37="",Tulokset!$I$37="",'26'!$I$38="",'26'!$K$38=""),"",IF(SIGN('26'!$I$38-'26'!$K$38)&lt;&gt;SIGN(Tulokset!$G$37-Tulokset!$I$37),0,IF(Tulokset!$G$37=Tulokset!$I$37,IF(AND('26'!$I$38=Tulokset!$G$37,'26'!$K$38=Tulokset!$I$37),6,3),MAX(0,6-(ABS('26'!$I$38-Tulokset!$G$37)+ABS('26'!$K$38-Tulokset!$I$37))))))</f>
        <v/>
      </c>
      <c r="AN29" t="str">
        <f>IF(OR(Tulokset!$G$38="",Tulokset!$I$38="",'26'!$I$39="",'26'!$K$39=""),"",IF(SIGN('26'!$I$39-'26'!$K$39)&lt;&gt;SIGN(Tulokset!$G$38-Tulokset!$I$38),0,IF(Tulokset!$G$38=Tulokset!$I$38,IF(AND('26'!$I$39=Tulokset!$G$38,'26'!$K$39=Tulokset!$I$38),6,3),MAX(0,6-(ABS('26'!$I$39-Tulokset!$G$38)+ABS('26'!$K$39-Tulokset!$I$38))))))</f>
        <v/>
      </c>
      <c r="AO29" t="str">
        <f>IF(OR(Tulokset!$G$39="",Tulokset!$I$39="",'26'!$I$40="",'26'!$K$40=""),"",IF(SIGN('26'!$I$40-'26'!$K$40)&lt;&gt;SIGN(Tulokset!$G$39-Tulokset!$I$39),0,IF(Tulokset!$G$39=Tulokset!$I$39,IF(AND('26'!$I$40=Tulokset!$G$39,'26'!$K$40=Tulokset!$I$39),6,3),MAX(0,6-(ABS('26'!$I$40-Tulokset!$G$39)+ABS('26'!$K$40-Tulokset!$I$39))))))</f>
        <v/>
      </c>
      <c r="AP29" t="str">
        <f>IF(OR(Tulokset!$G$40="",Tulokset!$I$40="",'26'!$I$41="",'26'!$K$41=""),"",IF(SIGN('26'!$I$41-'26'!$K$41)&lt;&gt;SIGN(Tulokset!$G$40-Tulokset!$I$40),0,IF(Tulokset!$G$40=Tulokset!$I$40,IF(AND('26'!$I$41=Tulokset!$G$40,'26'!$K$41=Tulokset!$I$40),6,3),MAX(0,6-(ABS('26'!$I$41-Tulokset!$G$40)+ABS('26'!$K$41-Tulokset!$I$40))))))</f>
        <v/>
      </c>
      <c r="AQ29" t="str">
        <f>IF(OR(Tulokset!$G$41="",Tulokset!$I$41="",'26'!$I$42="",'26'!$K$42=""),"",IF(SIGN('26'!$I$42-'26'!$K$42)&lt;&gt;SIGN(Tulokset!$G$41-Tulokset!$I$41),0,IF(Tulokset!$G$41=Tulokset!$I$41,IF(AND('26'!$I$42=Tulokset!$G$41,'26'!$K$42=Tulokset!$I$41),6,3),MAX(0,6-(ABS('26'!$I$42-Tulokset!$G$41)+ABS('26'!$K$42-Tulokset!$I$41))))))</f>
        <v/>
      </c>
      <c r="AR29" t="str">
        <f>IF(OR(Tulokset!$G$42="",Tulokset!$I$42="",'26'!$I$43="",'26'!$K$43=""),"",IF(SIGN('26'!$I$43-'26'!$K$43)&lt;&gt;SIGN(Tulokset!$G$42-Tulokset!$I$42),0,IF(Tulokset!$G$42=Tulokset!$I$42,IF(AND('26'!$I$43=Tulokset!$G$42,'26'!$K$43=Tulokset!$I$42),6,3),MAX(0,6-(ABS('26'!$I$43-Tulokset!$G$42)+ABS('26'!$K$43-Tulokset!$I$42))))))</f>
        <v/>
      </c>
      <c r="AS29" t="str">
        <f>IF(OR(Tulokset!$G$43="",Tulokset!$I$43="",'26'!$I$44="",'26'!$K$44=""),"",IF(SIGN('26'!$I$44-'26'!$K$44)&lt;&gt;SIGN(Tulokset!$G$43-Tulokset!$I$43),0,IF(Tulokset!$G$43=Tulokset!$I$43,IF(AND('26'!$I$44=Tulokset!$G$43,'26'!$K$44=Tulokset!$I$43),6,3),MAX(0,6-(ABS('26'!$I$44-Tulokset!$G$43)+ABS('26'!$K$44-Tulokset!$I$43))))))</f>
        <v/>
      </c>
      <c r="AT29" t="str">
        <f>IF(OR(Tulokset!$G$44="",Tulokset!$I$44="",'26'!$I$45="",'26'!$K$45=""),"",IF(SIGN('26'!$I$45-'26'!$K$45)&lt;&gt;SIGN(Tulokset!$G$44-Tulokset!$I$44),0,IF(Tulokset!$G$44=Tulokset!$I$44,IF(AND('26'!$I$45=Tulokset!$G$44,'26'!$K$45=Tulokset!$I$44),6,3),MAX(0,6-(ABS('26'!$I$45-Tulokset!$G$44)+ABS('26'!$K$45-Tulokset!$I$44))))))</f>
        <v/>
      </c>
      <c r="AU29" t="str">
        <f>IF(OR(Tulokset!$G$45="",Tulokset!$I$45="",'26'!$I$46="",'26'!$K$46=""),"",IF(SIGN('26'!$I$46-'26'!$K$46)&lt;&gt;SIGN(Tulokset!$G$45-Tulokset!$I$45),0,IF(Tulokset!$G$45=Tulokset!$I$45,IF(AND('26'!$I$46=Tulokset!$G$45,'26'!$K$46=Tulokset!$I$45),6,3),MAX(0,6-(ABS('26'!$I$46-Tulokset!$G$45)+ABS('26'!$K$46-Tulokset!$I$45))))))</f>
        <v/>
      </c>
      <c r="AV29" t="str">
        <f>IF(OR(Tulokset!$G$46="",Tulokset!$I$46="",'26'!$I$47="",'26'!$K$47=""),"",IF(SIGN('26'!$I$47-'26'!$K$47)&lt;&gt;SIGN(Tulokset!$G$46-Tulokset!$I$46),0,IF(Tulokset!$G$46=Tulokset!$I$46,IF(AND('26'!$I$47=Tulokset!$G$46,'26'!$K$47=Tulokset!$I$46),6,3),MAX(0,6-(ABS('26'!$I$47-Tulokset!$G$46)+ABS('26'!$K$47-Tulokset!$I$46))))))</f>
        <v/>
      </c>
      <c r="AW29" t="str">
        <f>IF(OR(Tulokset!$G$47="",Tulokset!$I$47="",'26'!$I$48="",'26'!$K$48=""),"",IF(SIGN('26'!$I$48-'26'!$K$48)&lt;&gt;SIGN(Tulokset!$G$47-Tulokset!$I$47),0,IF(Tulokset!$G$47=Tulokset!$I$47,IF(AND('26'!$I$48=Tulokset!$G$47,'26'!$K$48=Tulokset!$I$47),6,3),MAX(0,6-(ABS('26'!$I$48-Tulokset!$G$47)+ABS('26'!$K$48-Tulokset!$I$47))))))</f>
        <v/>
      </c>
      <c r="AX29" t="str">
        <f>IF(OR(Tulokset!$G$48="",Tulokset!$I$48="",'26'!$I$49="",'26'!$K$49=""),"",IF(SIGN('26'!$I$49-'26'!$K$49)&lt;&gt;SIGN(Tulokset!$G$48-Tulokset!$I$48),0,IF(Tulokset!$G$48=Tulokset!$I$48,IF(AND('26'!$I$49=Tulokset!$G$48,'26'!$K$49=Tulokset!$I$48),6,3),MAX(0,6-(ABS('26'!$I$49-Tulokset!$G$48)+ABS('26'!$K$49-Tulokset!$I$48))))))</f>
        <v/>
      </c>
      <c r="AY29" t="str">
        <f>IF(OR(Tulokset!$G$49="",Tulokset!$I$49="",'26'!$I$50="",'26'!$K$50=""),"",IF(SIGN('26'!$I$50-'26'!$K$50)&lt;&gt;SIGN(Tulokset!$G$49-Tulokset!$I$49),0,IF(Tulokset!$G$49=Tulokset!$I$49,IF(AND('26'!$I$50=Tulokset!$G$49,'26'!$K$50=Tulokset!$I$49),6,3),MAX(0,6-(ABS('26'!$I$50-Tulokset!$G$49)+ABS('26'!$K$50-Tulokset!$I$49))))))</f>
        <v/>
      </c>
      <c r="AZ29" t="str">
        <f>IF(OR(Tulokset!$G$50="",Tulokset!$I$50="",'26'!$I$51="",'26'!$K$51=""),"",IF(SIGN('26'!$I$51-'26'!$K$51)&lt;&gt;SIGN(Tulokset!$G$50-Tulokset!$I$50),0,IF(Tulokset!$G$50=Tulokset!$I$50,IF(AND('26'!$I$51=Tulokset!$G$50,'26'!$K$51=Tulokset!$I$50),6,3),MAX(0,6-(ABS('26'!$I$51-Tulokset!$G$50)+ABS('26'!$K$51-Tulokset!$I$50))))))</f>
        <v/>
      </c>
      <c r="BA29" t="str">
        <f>IF(OR(Tulokset!$G$51="",Tulokset!$I$51="",'26'!$I$52="",'26'!$K$52=""),"",IF(SIGN('26'!$I$52-'26'!$K$52)&lt;&gt;SIGN(Tulokset!$G$51-Tulokset!$I$51),0,IF(Tulokset!$G$51=Tulokset!$I$51,IF(AND('26'!$I$52=Tulokset!$G$51,'26'!$K$52=Tulokset!$I$51),6,3),MAX(0,6-(ABS('26'!$I$52-Tulokset!$G$51)+ABS('26'!$K$52-Tulokset!$I$51))))))</f>
        <v/>
      </c>
      <c r="BB29" t="str">
        <f>IF(OR(Tulokset!$G$52="",Tulokset!$I$52="",'26'!$I$53="",'26'!$K$53=""),"",IF(SIGN('26'!$I$53-'26'!$K$53)&lt;&gt;SIGN(Tulokset!$G$52-Tulokset!$I$52),0,IF(Tulokset!$G$52=Tulokset!$I$52,IF(AND('26'!$I$53=Tulokset!$G$52,'26'!$K$53=Tulokset!$I$52),6,3),MAX(0,6-(ABS('26'!$I$53-Tulokset!$G$52)+ABS('26'!$K$53-Tulokset!$I$52))))))</f>
        <v/>
      </c>
      <c r="BC29" t="str">
        <f>IF(OR(Tulokset!$G$53="",Tulokset!$I$53="",'26'!$I$54="",'26'!$K$54=""),"",IF(SIGN('26'!$I$54-'26'!$K$54)&lt;&gt;SIGN(Tulokset!$G$53-Tulokset!$I$53),0,IF(Tulokset!$G$53=Tulokset!$I$53,IF(AND('26'!$I$54=Tulokset!$G$53,'26'!$K$54=Tulokset!$I$53),6,3),MAX(0,6-(ABS('26'!$I$54-Tulokset!$G$53)+ABS('26'!$K$54-Tulokset!$I$53))))))</f>
        <v/>
      </c>
      <c r="BD29" t="str">
        <f>IF(OR(Tulokset!$G$54="",Tulokset!$I$54="",'26'!$I$55="",'26'!$K$55=""),"",IF(SIGN('26'!$I$55-'26'!$K$55)&lt;&gt;SIGN(Tulokset!$G$54-Tulokset!$I$54),0,IF(Tulokset!$G$54=Tulokset!$I$54,IF(AND('26'!$I$55=Tulokset!$G$54,'26'!$K$55=Tulokset!$I$54),6,3),MAX(0,6-(ABS('26'!$I$55-Tulokset!$G$54)+ABS('26'!$K$55-Tulokset!$I$54))))))</f>
        <v/>
      </c>
      <c r="BE29" t="str">
        <f>IF(OR(Tulokset!$G$55="",Tulokset!$I$55="",'26'!$I$56="",'26'!$K$56=""),"",IF(SIGN('26'!$I$56-'26'!$K$56)&lt;&gt;SIGN(Tulokset!$G$55-Tulokset!$I$55),0,IF(Tulokset!$G$55=Tulokset!$I$55,IF(AND('26'!$I$56=Tulokset!$G$55,'26'!$K$56=Tulokset!$I$55),6,3),MAX(0,6-(ABS('26'!$I$56-Tulokset!$G$55)+ABS('26'!$K$56-Tulokset!$I$55))))))</f>
        <v/>
      </c>
      <c r="BF29" t="str">
        <f>IF(OR(Tulokset!$G$56="",Tulokset!$I$56="",'26'!$I$57="",'26'!$K$57=""),"",IF(SIGN('26'!$I$57-'26'!$K$57)&lt;&gt;SIGN(Tulokset!$G$56-Tulokset!$I$56),0,IF(Tulokset!$G$56=Tulokset!$I$56,IF(AND('26'!$I$57=Tulokset!$G$56,'26'!$K$57=Tulokset!$I$56),6,3),MAX(0,6-(ABS('26'!$I$57-Tulokset!$G$56)+ABS('26'!$K$57-Tulokset!$I$56))))))</f>
        <v/>
      </c>
      <c r="BG29" t="str">
        <f>IF(OR(Tulokset!$G$57="",Tulokset!$I$57="",'26'!$I$58="",'26'!$K$58=""),"",IF(SIGN('26'!$I$58-'26'!$K$58)&lt;&gt;SIGN(Tulokset!$G$57-Tulokset!$I$57),0,IF(Tulokset!$G$57=Tulokset!$I$57,IF(AND('26'!$I$58=Tulokset!$G$57,'26'!$K$58=Tulokset!$I$57),6,3),MAX(0,6-(ABS('26'!$I$58-Tulokset!$G$57)+ABS('26'!$K$58-Tulokset!$I$57))))))</f>
        <v/>
      </c>
      <c r="BH29" t="str">
        <f>IF(OR(Tulokset!$G$58="",Tulokset!$I$58="",'26'!$I$59="",'26'!$K$59=""),"",IF(SIGN('26'!$I$59-'26'!$K$59)&lt;&gt;SIGN(Tulokset!$G$58-Tulokset!$I$58),0,IF(Tulokset!$G$58=Tulokset!$I$58,IF(AND('26'!$I$59=Tulokset!$G$58,'26'!$K$59=Tulokset!$I$58),6,3),MAX(0,6-(ABS('26'!$I$59-Tulokset!$G$58)+ABS('26'!$K$59-Tulokset!$I$58))))))</f>
        <v/>
      </c>
      <c r="BI29" t="str">
        <f>IF(OR(Tulokset!$G$59="",Tulokset!$I$59="",'26'!$I$60="",'26'!$K$60=""),"",IF(SIGN('26'!$I$60-'26'!$K$60)&lt;&gt;SIGN(Tulokset!$G$59-Tulokset!$I$59),0,IF(Tulokset!$G$59=Tulokset!$I$59,IF(AND('26'!$I$60=Tulokset!$G$59,'26'!$K$60=Tulokset!$I$59),6,3),MAX(0,6-(ABS('26'!$I$60-Tulokset!$G$59)+ABS('26'!$K$60-Tulokset!$I$59))))))</f>
        <v/>
      </c>
      <c r="BJ29" t="str">
        <f>IF(OR(Tulokset!$G$60="",Tulokset!$I$60="",'26'!$I$61="",'26'!$K$61=""),"",IF(SIGN('26'!$I$61-'26'!$K$61)&lt;&gt;SIGN(Tulokset!$G$60-Tulokset!$I$60),0,IF(Tulokset!$G$60=Tulokset!$I$60,IF(AND('26'!$I$61=Tulokset!$G$60,'26'!$K$61=Tulokset!$I$60),6,3),MAX(0,6-(ABS('26'!$I$61-Tulokset!$G$60)+ABS('26'!$K$61-Tulokset!$I$60))))))</f>
        <v/>
      </c>
      <c r="BK29" t="str">
        <f>IF(OR(Tulokset!$G$61="",Tulokset!$I$61="",'26'!$I$62="",'26'!$K$62=""),"",IF(SIGN('26'!$I$62-'26'!$K$62)&lt;&gt;SIGN(Tulokset!$G$61-Tulokset!$I$61),0,IF(Tulokset!$G$61=Tulokset!$I$61,IF(AND('26'!$I$62=Tulokset!$G$61,'26'!$K$62=Tulokset!$I$61),6,3),MAX(0,6-(ABS('26'!$I$62-Tulokset!$G$61)+ABS('26'!$K$62-Tulokset!$I$61))))))</f>
        <v/>
      </c>
      <c r="BL29" t="str">
        <f>IF(OR(Tulokset!$G$62="",Tulokset!$I$62="",'26'!$I$63="",'26'!$K$63=""),"",IF(SIGN('26'!$I$63-'26'!$K$63)&lt;&gt;SIGN(Tulokset!$G$62-Tulokset!$I$62),0,IF(Tulokset!$G$62=Tulokset!$I$62,IF(AND('26'!$I$63=Tulokset!$G$62,'26'!$K$63=Tulokset!$I$62),6,3),MAX(0,6-(ABS('26'!$I$63-Tulokset!$G$62)+ABS('26'!$K$63-Tulokset!$I$62))))))</f>
        <v/>
      </c>
      <c r="BM29" t="str">
        <f>IF(OR(Tulokset!$G$63="",Tulokset!$I$63="",'26'!$I$64="",'26'!$K$64=""),"",IF(SIGN('26'!$I$64-'26'!$K$64)&lt;&gt;SIGN(Tulokset!$G$63-Tulokset!$I$63),0,IF(Tulokset!$G$63=Tulokset!$I$63,IF(AND('26'!$I$64=Tulokset!$G$63,'26'!$K$64=Tulokset!$I$63),6,3),MAX(0,6-(ABS('26'!$I$64-Tulokset!$G$63)+ABS('26'!$K$64-Tulokset!$I$63))))))</f>
        <v/>
      </c>
      <c r="BN29" t="str">
        <f>IF(OR(Tulokset!$G$64="",Tulokset!$I$64="",'26'!$I$65="",'26'!$K$65=""),"",IF(SIGN('26'!$I$65-'26'!$K$65)&lt;&gt;SIGN(Tulokset!$G$64-Tulokset!$I$64),0,IF(Tulokset!$G$64=Tulokset!$I$64,IF(AND('26'!$I$65=Tulokset!$G$64,'26'!$K$65=Tulokset!$I$64),6,3),MAX(0,6-(ABS('26'!$I$65-Tulokset!$G$64)+ABS('26'!$K$65-Tulokset!$I$64))))))</f>
        <v/>
      </c>
      <c r="BO29" t="str">
        <f>IF(OR(Tulokset!$G$65="",Tulokset!$I$65="",'26'!$I$66="",'26'!$K$66=""),"",IF(SIGN('26'!$I$66-'26'!$K$66)&lt;&gt;SIGN(Tulokset!$G$65-Tulokset!$I$65),0,IF(Tulokset!$G$65=Tulokset!$I$65,IF(AND('26'!$I$66=Tulokset!$G$65,'26'!$K$66=Tulokset!$I$65),6,3),MAX(0,6-(ABS('26'!$I$66-Tulokset!$G$65)+ABS('26'!$K$66-Tulokset!$I$65))))))</f>
        <v/>
      </c>
      <c r="BP29" t="str">
        <f>IF(OR(Tulokset!$G$66="",Tulokset!$I$66="",'26'!$I$67="",'26'!$K$67=""),"",IF(SIGN('26'!$I$67-'26'!$K$67)&lt;&gt;SIGN(Tulokset!$G$66-Tulokset!$I$66),0,IF(Tulokset!$G$66=Tulokset!$I$66,IF(AND('26'!$I$67=Tulokset!$G$66,'26'!$K$67=Tulokset!$I$66),6,3),MAX(0,6-(ABS('26'!$I$67-Tulokset!$G$66)+ABS('26'!$K$67-Tulokset!$I$66))))))</f>
        <v/>
      </c>
      <c r="BQ29" t="str">
        <f>IF(OR(Tulokset!$G$67="",Tulokset!$I$67="",'26'!$I$68="",'26'!$K$68=""),"",IF(SIGN('26'!$I$68-'26'!$K$68)&lt;&gt;SIGN(Tulokset!$G$67-Tulokset!$I$67),0,IF(Tulokset!$G$67=Tulokset!$I$67,IF(AND('26'!$I$68=Tulokset!$G$67,'26'!$K$68=Tulokset!$I$67),6,3),MAX(0,6-(ABS('26'!$I$68-Tulokset!$G$67)+ABS('26'!$K$68-Tulokset!$I$67))))))</f>
        <v/>
      </c>
      <c r="BR29" t="str">
        <f>IF(OR(Tulokset!$G$68="",Tulokset!$I$68="",'26'!$I$69="",'26'!$K$69=""),"",IF(SIGN('26'!$I$69-'26'!$K$69)&lt;&gt;SIGN(Tulokset!$G$68-Tulokset!$I$68),0,IF(Tulokset!$G$68=Tulokset!$I$68,IF(AND('26'!$I$69=Tulokset!$G$68,'26'!$K$69=Tulokset!$I$68),6,3),MAX(0,6-(ABS('26'!$I$69-Tulokset!$G$68)+ABS('26'!$K$69-Tulokset!$I$68))))))</f>
        <v/>
      </c>
      <c r="BS29" t="str">
        <f>IF(OR(Tulokset!$G$69="",Tulokset!$I$69="",'26'!$I$70="",'26'!$K$70=""),"",IF(SIGN('26'!$I$70-'26'!$K$70)&lt;&gt;SIGN(Tulokset!$G$69-Tulokset!$I$69),0,IF(Tulokset!$G$69=Tulokset!$I$69,IF(AND('26'!$I$70=Tulokset!$G$69,'26'!$K$70=Tulokset!$I$69),6,3),MAX(0,6-(ABS('26'!$I$70-Tulokset!$G$69)+ABS('26'!$K$70-Tulokset!$I$69))))))</f>
        <v/>
      </c>
      <c r="BT29" t="str">
        <f>IF(OR(Tulokset!$G$70="",Tulokset!$I$70="",'26'!$I$71="",'26'!$K$71=""),"",IF(SIGN('26'!$I$71-'26'!$K$71)&lt;&gt;SIGN(Tulokset!$G$70-Tulokset!$I$70),0,IF(Tulokset!$G$70=Tulokset!$I$70,IF(AND('26'!$I$71=Tulokset!$G$70,'26'!$K$71=Tulokset!$I$70),6,3),MAX(0,6-(ABS('26'!$I$71-Tulokset!$G$70)+ABS('26'!$K$71-Tulokset!$I$70))))))</f>
        <v/>
      </c>
      <c r="BU29" t="str">
        <f>IF(OR(Tulokset!$G$71="",Tulokset!$I$71="",'26'!$I$72="",'26'!$K$72=""),"",IF(SIGN('26'!$I$72-'26'!$K$72)&lt;&gt;SIGN(Tulokset!$G$71-Tulokset!$I$71),0,IF(Tulokset!$G$71=Tulokset!$I$71,IF(AND('26'!$I$72=Tulokset!$G$71,'26'!$K$72=Tulokset!$I$71),6,3),MAX(0,6-(ABS('26'!$I$72-Tulokset!$G$71)+ABS('26'!$K$72-Tulokset!$I$71))))))</f>
        <v/>
      </c>
      <c r="BV29" t="str">
        <f>IF(OR(Tulokset!$G$72="",Tulokset!$I$72="",'26'!$I$73="",'26'!$K$73=""),"",IF(SIGN('26'!$I$73-'26'!$K$73)&lt;&gt;SIGN(Tulokset!$G$72-Tulokset!$I$72),0,IF(Tulokset!$G$72=Tulokset!$I$72,IF(AND('26'!$I$73=Tulokset!$G$72,'26'!$K$73=Tulokset!$I$72),6,3),MAX(0,6-(ABS('26'!$I$73-Tulokset!$G$72)+ABS('26'!$K$73-Tulokset!$I$72))))))</f>
        <v/>
      </c>
      <c r="BW29" t="str">
        <f>IF(OR(Tulokset!$G$73="",Tulokset!$I$73="",'26'!$I$74="",'26'!$K$74=""),"",IF(SIGN('26'!$I$74-'26'!$K$74)&lt;&gt;SIGN(Tulokset!$G$73-Tulokset!$I$73),0,IF(Tulokset!$G$73=Tulokset!$I$73,IF(AND('26'!$I$74=Tulokset!$G$73,'26'!$K$74=Tulokset!$I$73),6,3),MAX(0,6-(ABS('26'!$I$74-Tulokset!$G$73)+ABS('26'!$K$74-Tulokset!$I$73))))))</f>
        <v/>
      </c>
      <c r="BX29" t="str">
        <f>IF(OR(Tulokset!$G$74="",Tulokset!$I$74="",'26'!$I$75="",'26'!$K$75=""),"",IF(SIGN('26'!$I$75-'26'!$K$75)&lt;&gt;SIGN(Tulokset!$G$74-Tulokset!$I$74),0,IF(Tulokset!$G$74=Tulokset!$I$74,IF(AND('26'!$I$75=Tulokset!$G$74,'26'!$K$75=Tulokset!$I$74),6,3),MAX(0,6-(ABS('26'!$I$75-Tulokset!$G$74)+ABS('26'!$K$75-Tulokset!$I$74))))))</f>
        <v/>
      </c>
      <c r="BY29" t="str">
        <f>IF(OR(Tulokset!$G$75="",Tulokset!$I$75="",'26'!$I$76="",'26'!$K$76=""),"",IF(SIGN('26'!$I$76-'26'!$K$76)&lt;&gt;SIGN(Tulokset!$G$75-Tulokset!$I$75),0,IF(Tulokset!$G$75=Tulokset!$I$75,IF(AND('26'!$I$76=Tulokset!$G$75,'26'!$K$76=Tulokset!$I$75),6,3),MAX(0,6-(ABS('26'!$I$76-Tulokset!$G$75)+ABS('26'!$K$76-Tulokset!$I$75))))))</f>
        <v/>
      </c>
      <c r="BZ29" t="str">
        <f>IF(OR(Tulokset!$G$76="",Tulokset!$I$76="",'26'!$I$77="",'26'!$K$77=""),"",IF(SIGN('26'!$I$77-'26'!$K$77)&lt;&gt;SIGN(Tulokset!$G$76-Tulokset!$I$76),0,IF(Tulokset!$G$76=Tulokset!$I$76,IF(AND('26'!$I$77=Tulokset!$G$76,'26'!$K$77=Tulokset!$I$76),6,3),MAX(0,6-(ABS('26'!$I$77-Tulokset!$G$76)+ABS('26'!$K$77-Tulokset!$I$76))))))</f>
        <v/>
      </c>
      <c r="CA29" t="str">
        <f>IF(OR(Tulokset!$G$77="",Tulokset!$I$77="",'26'!$I$78="",'26'!$K$78=""),"",IF(SIGN('26'!$I$78-'26'!$K$78)&lt;&gt;SIGN(Tulokset!$G$77-Tulokset!$I$77),0,IF(Tulokset!$G$77=Tulokset!$I$77,IF(AND('26'!$I$78=Tulokset!$G$77,'26'!$K$78=Tulokset!$I$77),6,3),MAX(0,6-(ABS('26'!$I$78-Tulokset!$G$77)+ABS('26'!$K$78-Tulokset!$I$77))))))</f>
        <v/>
      </c>
      <c r="CD29" t="str">
        <f ca="1">IF(OR(Tulokset!$M$6="",INDIRECT("'"&amp;$A29&amp;"'!$P$8")=""),"",IF(TRIM(INDIRECT("'"&amp;$A29&amp;"'!$P$8"))=TRIM(Tulokset!$M$6),2,0))</f>
        <v/>
      </c>
      <c r="CE29" t="str">
        <f ca="1">IF(OR(Tulokset!$M$7="",INDIRECT("'"&amp;$A29&amp;"'!$P$9")=""),"",IF(TRIM(INDIRECT("'"&amp;$A29&amp;"'!$P$9"))=TRIM(Tulokset!$M$7),2,0))</f>
        <v/>
      </c>
      <c r="CF29" t="str">
        <f ca="1">IF(OR(Tulokset!$M$8="",INDIRECT("'"&amp;$A29&amp;"'!$P$10")=""),"",IF(TRIM(INDIRECT("'"&amp;$A29&amp;"'!$P$10"))=TRIM(Tulokset!$M$8),2,0))</f>
        <v/>
      </c>
      <c r="CG29" t="str">
        <f ca="1">IF(OR(Tulokset!$M$9="",INDIRECT("'"&amp;$A29&amp;"'!$P$11")=""),"",IF(TRIM(INDIRECT("'"&amp;$A29&amp;"'!$P$11"))=TRIM(Tulokset!$M$9),2,0))</f>
        <v/>
      </c>
      <c r="CH29" t="str">
        <f ca="1">IF(OR(Tulokset!$N$6="",INDIRECT("'"&amp;$A29&amp;"'!$Q$8")=""),"",IF(TRIM(INDIRECT("'"&amp;$A29&amp;"'!$Q$8"))=TRIM(Tulokset!$N$6),2,0))</f>
        <v/>
      </c>
      <c r="CI29" t="str">
        <f ca="1">IF(OR(Tulokset!$N$7="",INDIRECT("'"&amp;$A29&amp;"'!$Q$9")=""),"",IF(TRIM(INDIRECT("'"&amp;$A29&amp;"'!$Q$9"))=TRIM(Tulokset!$N$7),2,0))</f>
        <v/>
      </c>
      <c r="CJ29" t="str">
        <f ca="1">IF(OR(Tulokset!$N$8="",INDIRECT("'"&amp;$A29&amp;"'!$Q$10")=""),"",IF(TRIM(INDIRECT("'"&amp;$A29&amp;"'!$Q$10"))=TRIM(Tulokset!$N$8),2,0))</f>
        <v/>
      </c>
      <c r="CK29" t="str">
        <f ca="1">IF(OR(Tulokset!$N$9="",INDIRECT("'"&amp;$A29&amp;"'!$Q$11")=""),"",IF(TRIM(INDIRECT("'"&amp;$A29&amp;"'!$Q$11"))=TRIM(Tulokset!$N$9),2,0))</f>
        <v/>
      </c>
      <c r="CL29" t="str">
        <f ca="1">IF(OR(Tulokset!$O$6="",INDIRECT("'"&amp;$A29&amp;"'!$R$8")=""),"",IF(TRIM(INDIRECT("'"&amp;$A29&amp;"'!$R$8"))=TRIM(Tulokset!$O$6),2,0))</f>
        <v/>
      </c>
      <c r="CM29" t="str">
        <f ca="1">IF(OR(Tulokset!$O$7="",INDIRECT("'"&amp;$A29&amp;"'!$R$9")=""),"",IF(TRIM(INDIRECT("'"&amp;$A29&amp;"'!$R$9"))=TRIM(Tulokset!$O$7),2,0))</f>
        <v/>
      </c>
      <c r="CN29" t="str">
        <f ca="1">IF(OR(Tulokset!$O$8="",INDIRECT("'"&amp;$A29&amp;"'!$R$10")=""),"",IF(TRIM(INDIRECT("'"&amp;$A29&amp;"'!$R$10"))=TRIM(Tulokset!$O$8),2,0))</f>
        <v/>
      </c>
      <c r="CO29" t="str">
        <f ca="1">IF(OR(Tulokset!$O$9="",INDIRECT("'"&amp;$A29&amp;"'!$R$11")=""),"",IF(TRIM(INDIRECT("'"&amp;$A29&amp;"'!$R$11"))=TRIM(Tulokset!$O$9),2,0))</f>
        <v/>
      </c>
      <c r="CP29" t="str">
        <f ca="1">IF(OR(Tulokset!$P$6="",INDIRECT("'"&amp;$A29&amp;"'!$S$8")=""),"",IF(TRIM(INDIRECT("'"&amp;$A29&amp;"'!$S$8"))=TRIM(Tulokset!$P$6),2,0))</f>
        <v/>
      </c>
      <c r="CQ29" t="str">
        <f ca="1">IF(OR(Tulokset!$P$7="",INDIRECT("'"&amp;$A29&amp;"'!$S$9")=""),"",IF(TRIM(INDIRECT("'"&amp;$A29&amp;"'!$S$9"))=TRIM(Tulokset!$P$7),2,0))</f>
        <v/>
      </c>
      <c r="CR29" t="str">
        <f ca="1">IF(OR(Tulokset!$P$8="",INDIRECT("'"&amp;$A29&amp;"'!$S$10")=""),"",IF(TRIM(INDIRECT("'"&amp;$A29&amp;"'!$S$10"))=TRIM(Tulokset!$P$8),2,0))</f>
        <v/>
      </c>
      <c r="CS29" t="str">
        <f ca="1">IF(OR(Tulokset!$P$9="",INDIRECT("'"&amp;$A29&amp;"'!$S$11")=""),"",IF(TRIM(INDIRECT("'"&amp;$A29&amp;"'!$S$11"))=TRIM(Tulokset!$P$9),2,0))</f>
        <v/>
      </c>
      <c r="CT29" t="str">
        <f ca="1">IF(OR(Tulokset!$Q$6="",INDIRECT("'"&amp;$A29&amp;"'!$T$8")=""),"",IF(TRIM(INDIRECT("'"&amp;$A29&amp;"'!$T$8"))=TRIM(Tulokset!$Q$6),2,0))</f>
        <v/>
      </c>
      <c r="CU29" t="str">
        <f ca="1">IF(OR(Tulokset!$Q$7="",INDIRECT("'"&amp;$A29&amp;"'!$T$9")=""),"",IF(TRIM(INDIRECT("'"&amp;$A29&amp;"'!$T$9"))=TRIM(Tulokset!$Q$7),2,0))</f>
        <v/>
      </c>
      <c r="CV29" t="str">
        <f ca="1">IF(OR(Tulokset!$Q$8="",INDIRECT("'"&amp;$A29&amp;"'!$T$10")=""),"",IF(TRIM(INDIRECT("'"&amp;$A29&amp;"'!$T$10"))=TRIM(Tulokset!$Q$8),2,0))</f>
        <v/>
      </c>
      <c r="CW29" t="str">
        <f ca="1">IF(OR(Tulokset!$Q$9="",INDIRECT("'"&amp;$A29&amp;"'!$T$11")=""),"",IF(TRIM(INDIRECT("'"&amp;$A29&amp;"'!$T$11"))=TRIM(Tulokset!$Q$9),2,0))</f>
        <v/>
      </c>
      <c r="CX29" t="str">
        <f ca="1">IF(OR(Tulokset!$R$6="",INDIRECT("'"&amp;$A29&amp;"'!$U$8")=""),"",IF(TRIM(INDIRECT("'"&amp;$A29&amp;"'!$U$8"))=TRIM(Tulokset!$R$6),2,0))</f>
        <v/>
      </c>
      <c r="CY29" t="str">
        <f ca="1">IF(OR(Tulokset!$R$7="",INDIRECT("'"&amp;$A29&amp;"'!$U$9")=""),"",IF(TRIM(INDIRECT("'"&amp;$A29&amp;"'!$U$9"))=TRIM(Tulokset!$R$7),2,0))</f>
        <v/>
      </c>
      <c r="CZ29" t="str">
        <f ca="1">IF(OR(Tulokset!$R$8="",INDIRECT("'"&amp;$A29&amp;"'!$U$10")=""),"",IF(TRIM(INDIRECT("'"&amp;$A29&amp;"'!$U$10"))=TRIM(Tulokset!$R$8),2,0))</f>
        <v/>
      </c>
      <c r="DA29" t="str">
        <f ca="1">IF(OR(Tulokset!$R$9="",INDIRECT("'"&amp;$A29&amp;"'!$U$11")=""),"",IF(TRIM(INDIRECT("'"&amp;$A29&amp;"'!$U$11"))=TRIM(Tulokset!$R$9),2,0))</f>
        <v/>
      </c>
      <c r="DB29" t="str">
        <f ca="1">IF(OR(Tulokset!$M$12="",INDIRECT("'"&amp;$A29&amp;"'!$P$14")=""),"",IF(TRIM(INDIRECT("'"&amp;$A29&amp;"'!$P$14"))=TRIM(Tulokset!$M$12),2,0))</f>
        <v/>
      </c>
      <c r="DC29" t="str">
        <f ca="1">IF(OR(Tulokset!$M$13="",INDIRECT("'"&amp;$A29&amp;"'!$P$15")=""),"",IF(TRIM(INDIRECT("'"&amp;$A29&amp;"'!$P$15"))=TRIM(Tulokset!$M$13),2,0))</f>
        <v/>
      </c>
      <c r="DD29" t="str">
        <f ca="1">IF(OR(Tulokset!$M$14="",INDIRECT("'"&amp;$A29&amp;"'!$P$16")=""),"",IF(TRIM(INDIRECT("'"&amp;$A29&amp;"'!$P$16"))=TRIM(Tulokset!$M$14),2,0))</f>
        <v/>
      </c>
      <c r="DE29" t="str">
        <f ca="1">IF(OR(Tulokset!$M$15="",INDIRECT("'"&amp;$A29&amp;"'!$P$17")=""),"",IF(TRIM(INDIRECT("'"&amp;$A29&amp;"'!$P$17"))=TRIM(Tulokset!$M$15),2,0))</f>
        <v/>
      </c>
      <c r="DF29" t="str">
        <f ca="1">IF(OR(Tulokset!$N$12="",INDIRECT("'"&amp;$A29&amp;"'!$Q$14")=""),"",IF(TRIM(INDIRECT("'"&amp;$A29&amp;"'!$Q$14"))=TRIM(Tulokset!$N$12),2,0))</f>
        <v/>
      </c>
      <c r="DG29" t="str">
        <f ca="1">IF(OR(Tulokset!$N$13="",INDIRECT("'"&amp;$A29&amp;"'!$Q$15")=""),"",IF(TRIM(INDIRECT("'"&amp;$A29&amp;"'!$Q$15"))=TRIM(Tulokset!$N$13),2,0))</f>
        <v/>
      </c>
      <c r="DH29" t="str">
        <f ca="1">IF(OR(Tulokset!$N$14="",INDIRECT("'"&amp;$A29&amp;"'!$Q$16")=""),"",IF(TRIM(INDIRECT("'"&amp;$A29&amp;"'!$Q$16"))=TRIM(Tulokset!$N$14),2,0))</f>
        <v/>
      </c>
      <c r="DI29" t="str">
        <f ca="1">IF(OR(Tulokset!$N$15="",INDIRECT("'"&amp;$A29&amp;"'!$Q$17")=""),"",IF(TRIM(INDIRECT("'"&amp;$A29&amp;"'!$Q$17"))=TRIM(Tulokset!$N$15),2,0))</f>
        <v/>
      </c>
      <c r="DJ29" t="str">
        <f ca="1">IF(OR(Tulokset!$O$12="",INDIRECT("'"&amp;$A29&amp;"'!$R$14")=""),"",IF(TRIM(INDIRECT("'"&amp;$A29&amp;"'!$R$14"))=TRIM(Tulokset!$O$12),2,0))</f>
        <v/>
      </c>
      <c r="DK29" t="str">
        <f ca="1">IF(OR(Tulokset!$O$13="",INDIRECT("'"&amp;$A29&amp;"'!$R$15")=""),"",IF(TRIM(INDIRECT("'"&amp;$A29&amp;"'!$R$15"))=TRIM(Tulokset!$O$13),2,0))</f>
        <v/>
      </c>
      <c r="DL29" t="str">
        <f ca="1">IF(OR(Tulokset!$O$14="",INDIRECT("'"&amp;$A29&amp;"'!$R$16")=""),"",IF(TRIM(INDIRECT("'"&amp;$A29&amp;"'!$R$16"))=TRIM(Tulokset!$O$14),2,0))</f>
        <v/>
      </c>
      <c r="DM29" t="str">
        <f ca="1">IF(OR(Tulokset!$O$15="",INDIRECT("'"&amp;$A29&amp;"'!$R$17")=""),"",IF(TRIM(INDIRECT("'"&amp;$A29&amp;"'!$R$17"))=TRIM(Tulokset!$O$15),2,0))</f>
        <v/>
      </c>
      <c r="DN29" t="str">
        <f ca="1">IF(OR(Tulokset!$P$12="",INDIRECT("'"&amp;$A29&amp;"'!$S$14")=""),"",IF(TRIM(INDIRECT("'"&amp;$A29&amp;"'!$S$14"))=TRIM(Tulokset!$P$12),2,0))</f>
        <v/>
      </c>
      <c r="DO29" t="str">
        <f ca="1">IF(OR(Tulokset!$P$13="",INDIRECT("'"&amp;$A29&amp;"'!$S$15")=""),"",IF(TRIM(INDIRECT("'"&amp;$A29&amp;"'!$S$15"))=TRIM(Tulokset!$P$13),2,0))</f>
        <v/>
      </c>
      <c r="DP29" t="str">
        <f ca="1">IF(OR(Tulokset!$P$14="",INDIRECT("'"&amp;$A29&amp;"'!$S$16")=""),"",IF(TRIM(INDIRECT("'"&amp;$A29&amp;"'!$S$16"))=TRIM(Tulokset!$P$14),2,0))</f>
        <v/>
      </c>
      <c r="DQ29" t="str">
        <f ca="1">IF(OR(Tulokset!$P$15="",INDIRECT("'"&amp;$A29&amp;"'!$S$17")=""),"",IF(TRIM(INDIRECT("'"&amp;$A29&amp;"'!$S$17"))=TRIM(Tulokset!$P$15),2,0))</f>
        <v/>
      </c>
      <c r="DR29" t="str">
        <f ca="1">IF(OR(Tulokset!$Q$12="",INDIRECT("'"&amp;$A29&amp;"'!$T$14")=""),"",IF(TRIM(INDIRECT("'"&amp;$A29&amp;"'!$T$14"))=TRIM(Tulokset!$Q$12),2,0))</f>
        <v/>
      </c>
      <c r="DS29" t="str">
        <f ca="1">IF(OR(Tulokset!$Q$13="",INDIRECT("'"&amp;$A29&amp;"'!$T$15")=""),"",IF(TRIM(INDIRECT("'"&amp;$A29&amp;"'!$T$15"))=TRIM(Tulokset!$Q$13),2,0))</f>
        <v/>
      </c>
      <c r="DT29" t="str">
        <f ca="1">IF(OR(Tulokset!$Q$14="",INDIRECT("'"&amp;$A29&amp;"'!$T$16")=""),"",IF(TRIM(INDIRECT("'"&amp;$A29&amp;"'!$T$16"))=TRIM(Tulokset!$Q$14),2,0))</f>
        <v/>
      </c>
      <c r="DU29" t="str">
        <f ca="1">IF(OR(Tulokset!$Q$15="",INDIRECT("'"&amp;$A29&amp;"'!$T$17")=""),"",IF(TRIM(INDIRECT("'"&amp;$A29&amp;"'!$T$17"))=TRIM(Tulokset!$Q$15),2,0))</f>
        <v/>
      </c>
      <c r="DV29" t="str">
        <f ca="1">IF(OR(Tulokset!$R$12="",INDIRECT("'"&amp;$A29&amp;"'!$U$14")=""),"",IF(TRIM(INDIRECT("'"&amp;$A29&amp;"'!$U$14"))=TRIM(Tulokset!$R$12),2,0))</f>
        <v/>
      </c>
      <c r="DW29" t="str">
        <f ca="1">IF(OR(Tulokset!$R$13="",INDIRECT("'"&amp;$A29&amp;"'!$U$15")=""),"",IF(TRIM(INDIRECT("'"&amp;$A29&amp;"'!$U$15"))=TRIM(Tulokset!$R$13),2,0))</f>
        <v/>
      </c>
      <c r="DX29" t="str">
        <f ca="1">IF(OR(Tulokset!$R$14="",INDIRECT("'"&amp;$A29&amp;"'!$U$16")=""),"",IF(TRIM(INDIRECT("'"&amp;$A29&amp;"'!$U$16"))=TRIM(Tulokset!$R$14),2,0))</f>
        <v/>
      </c>
      <c r="DY29" t="str">
        <f ca="1">IF(OR(Tulokset!$R$15="",INDIRECT("'"&amp;$A29&amp;"'!$U$17")=""),"",IF(TRIM(INDIRECT("'"&amp;$A29&amp;"'!$U$17"))=TRIM(Tulokset!$R$15),2,0))</f>
        <v/>
      </c>
      <c r="EA29" t="str">
        <f ca="1">IF(OR(INDIRECT("'"&amp;$A29&amp;"'!$E$79")="",COUNTA(Tulokset!$M$20:$M$21)=0),"",IF(COUNTIF(Tulokset!$M$20:$M$21,INDIRECT("'"&amp;$A29&amp;"'!$E$79"))&gt;0,2,0))</f>
        <v/>
      </c>
      <c r="EB29" t="str">
        <f ca="1">IF(OR(INDIRECT("'"&amp;$A29&amp;"'!$G$79")="",COUNTA(Tulokset!$M$20:$M$21)=0),"",IF(COUNTIF(Tulokset!$M$20:$M$21,INDIRECT("'"&amp;$A29&amp;"'!$G$79"))&gt;0,2,0))</f>
        <v/>
      </c>
      <c r="EC29" t="str">
        <f ca="1">IF(OR(INDIRECT("'"&amp;$A29&amp;"'!$E$80")="",COUNTA(Tulokset!$M$23:$M$24)=0),"",IF(COUNTIF(Tulokset!$M$23:$M$24,INDIRECT("'"&amp;$A29&amp;"'!$E$80"))&gt;0,2,0))</f>
        <v/>
      </c>
      <c r="ED29" t="str">
        <f ca="1">IF(OR(INDIRECT("'"&amp;$A29&amp;"'!$G$80")="",COUNTA(Tulokset!$M$23:$M$24)=0),"",IF(COUNTIF(Tulokset!$M$23:$M$24,INDIRECT("'"&amp;$A29&amp;"'!$G$80"))&gt;0,2,0))</f>
        <v/>
      </c>
    </row>
    <row r="30" spans="1:134">
      <c r="A30" t="s">
        <v>245</v>
      </c>
      <c r="B30" t="str">
        <f t="shared" ca="1" si="0"/>
        <v/>
      </c>
      <c r="C30" s="95">
        <f t="shared" si="1"/>
        <v>0</v>
      </c>
      <c r="D30" s="95">
        <f t="shared" ca="1" si="2"/>
        <v>0</v>
      </c>
      <c r="E30" s="95">
        <f t="shared" ca="1" si="3"/>
        <v>0</v>
      </c>
      <c r="F30" s="95" t="str">
        <f t="shared" ca="1" si="4"/>
        <v/>
      </c>
      <c r="G30" s="95">
        <f t="shared" si="5"/>
        <v>0</v>
      </c>
      <c r="H30" t="str">
        <f>IF(OR(Tulokset!$G$6="",Tulokset!$I$6="",'27'!$I$7="",'27'!$K$7=""),"",IF(SIGN('27'!$I$7-'27'!$K$7)&lt;&gt;SIGN(Tulokset!$G$6-Tulokset!$I$6),0,IF(Tulokset!$G$6=Tulokset!$I$6,IF(AND('27'!$I$7=Tulokset!$G$6,'27'!$K$7=Tulokset!$I$6),6,3),MAX(0,6-(ABS('27'!$I$7-Tulokset!$G$6)+ABS('27'!$K$7-Tulokset!$I$6))))))</f>
        <v/>
      </c>
      <c r="I30" t="str">
        <f>IF(OR(Tulokset!$G$7="",Tulokset!$I$7="",'27'!$I$8="",'27'!$K$8=""),"",IF(SIGN('27'!$I$8-'27'!$K$8)&lt;&gt;SIGN(Tulokset!$G$7-Tulokset!$I$7),0,IF(Tulokset!$G$7=Tulokset!$I$7,IF(AND('27'!$I$8=Tulokset!$G$7,'27'!$K$8=Tulokset!$I$7),6,3),MAX(0,6-(ABS('27'!$I$8-Tulokset!$G$7)+ABS('27'!$K$8-Tulokset!$I$7))))))</f>
        <v/>
      </c>
      <c r="J30" t="str">
        <f>IF(OR(Tulokset!$G$8="",Tulokset!$I$8="",'27'!$I$9="",'27'!$K$9=""),"",IF(SIGN('27'!$I$9-'27'!$K$9)&lt;&gt;SIGN(Tulokset!$G$8-Tulokset!$I$8),0,IF(Tulokset!$G$8=Tulokset!$I$8,IF(AND('27'!$I$9=Tulokset!$G$8,'27'!$K$9=Tulokset!$I$8),6,3),MAX(0,6-(ABS('27'!$I$9-Tulokset!$G$8)+ABS('27'!$K$9-Tulokset!$I$8))))))</f>
        <v/>
      </c>
      <c r="K30" t="str">
        <f>IF(OR(Tulokset!$G$9="",Tulokset!$I$9="",'27'!$I$10="",'27'!$K$10=""),"",IF(SIGN('27'!$I$10-'27'!$K$10)&lt;&gt;SIGN(Tulokset!$G$9-Tulokset!$I$9),0,IF(Tulokset!$G$9=Tulokset!$I$9,IF(AND('27'!$I$10=Tulokset!$G$9,'27'!$K$10=Tulokset!$I$9),6,3),MAX(0,6-(ABS('27'!$I$10-Tulokset!$G$9)+ABS('27'!$K$10-Tulokset!$I$9))))))</f>
        <v/>
      </c>
      <c r="L30" t="str">
        <f>IF(OR(Tulokset!$G$10="",Tulokset!$I$10="",'27'!$I$11="",'27'!$K$11=""),"",IF(SIGN('27'!$I$11-'27'!$K$11)&lt;&gt;SIGN(Tulokset!$G$10-Tulokset!$I$10),0,IF(Tulokset!$G$10=Tulokset!$I$10,IF(AND('27'!$I$11=Tulokset!$G$10,'27'!$K$11=Tulokset!$I$10),6,3),MAX(0,6-(ABS('27'!$I$11-Tulokset!$G$10)+ABS('27'!$K$11-Tulokset!$I$10))))))</f>
        <v/>
      </c>
      <c r="M30" t="str">
        <f>IF(OR(Tulokset!$G$11="",Tulokset!$I$11="",'27'!$I$12="",'27'!$K$12=""),"",IF(SIGN('27'!$I$12-'27'!$K$12)&lt;&gt;SIGN(Tulokset!$G$11-Tulokset!$I$11),0,IF(Tulokset!$G$11=Tulokset!$I$11,IF(AND('27'!$I$12=Tulokset!$G$11,'27'!$K$12=Tulokset!$I$11),6,3),MAX(0,6-(ABS('27'!$I$12-Tulokset!$G$11)+ABS('27'!$K$12-Tulokset!$I$11))))))</f>
        <v/>
      </c>
      <c r="N30" t="str">
        <f>IF(OR(Tulokset!$G$12="",Tulokset!$I$12="",'27'!$I$13="",'27'!$K$13=""),"",IF(SIGN('27'!$I$13-'27'!$K$13)&lt;&gt;SIGN(Tulokset!$G$12-Tulokset!$I$12),0,IF(Tulokset!$G$12=Tulokset!$I$12,IF(AND('27'!$I$13=Tulokset!$G$12,'27'!$K$13=Tulokset!$I$12),6,3),MAX(0,6-(ABS('27'!$I$13-Tulokset!$G$12)+ABS('27'!$K$13-Tulokset!$I$12))))))</f>
        <v/>
      </c>
      <c r="O30" t="str">
        <f>IF(OR(Tulokset!$G$13="",Tulokset!$I$13="",'27'!$I$14="",'27'!$K$14=""),"",IF(SIGN('27'!$I$14-'27'!$K$14)&lt;&gt;SIGN(Tulokset!$G$13-Tulokset!$I$13),0,IF(Tulokset!$G$13=Tulokset!$I$13,IF(AND('27'!$I$14=Tulokset!$G$13,'27'!$K$14=Tulokset!$I$13),6,3),MAX(0,6-(ABS('27'!$I$14-Tulokset!$G$13)+ABS('27'!$K$14-Tulokset!$I$13))))))</f>
        <v/>
      </c>
      <c r="P30" t="str">
        <f>IF(OR(Tulokset!$G$14="",Tulokset!$I$14="",'27'!$I$15="",'27'!$K$15=""),"",IF(SIGN('27'!$I$15-'27'!$K$15)&lt;&gt;SIGN(Tulokset!$G$14-Tulokset!$I$14),0,IF(Tulokset!$G$14=Tulokset!$I$14,IF(AND('27'!$I$15=Tulokset!$G$14,'27'!$K$15=Tulokset!$I$14),6,3),MAX(0,6-(ABS('27'!$I$15-Tulokset!$G$14)+ABS('27'!$K$15-Tulokset!$I$14))))))</f>
        <v/>
      </c>
      <c r="Q30" t="str">
        <f>IF(OR(Tulokset!$G$15="",Tulokset!$I$15="",'27'!$I$16="",'27'!$K$16=""),"",IF(SIGN('27'!$I$16-'27'!$K$16)&lt;&gt;SIGN(Tulokset!$G$15-Tulokset!$I$15),0,IF(Tulokset!$G$15=Tulokset!$I$15,IF(AND('27'!$I$16=Tulokset!$G$15,'27'!$K$16=Tulokset!$I$15),6,3),MAX(0,6-(ABS('27'!$I$16-Tulokset!$G$15)+ABS('27'!$K$16-Tulokset!$I$15))))))</f>
        <v/>
      </c>
      <c r="R30" t="str">
        <f>IF(OR(Tulokset!$G$16="",Tulokset!$I$16="",'27'!$I$17="",'27'!$K$17=""),"",IF(SIGN('27'!$I$17-'27'!$K$17)&lt;&gt;SIGN(Tulokset!$G$16-Tulokset!$I$16),0,IF(Tulokset!$G$16=Tulokset!$I$16,IF(AND('27'!$I$17=Tulokset!$G$16,'27'!$K$17=Tulokset!$I$16),6,3),MAX(0,6-(ABS('27'!$I$17-Tulokset!$G$16)+ABS('27'!$K$17-Tulokset!$I$16))))))</f>
        <v/>
      </c>
      <c r="S30" t="str">
        <f>IF(OR(Tulokset!$G$17="",Tulokset!$I$17="",'27'!$I$18="",'27'!$K$18=""),"",IF(SIGN('27'!$I$18-'27'!$K$18)&lt;&gt;SIGN(Tulokset!$G$17-Tulokset!$I$17),0,IF(Tulokset!$G$17=Tulokset!$I$17,IF(AND('27'!$I$18=Tulokset!$G$17,'27'!$K$18=Tulokset!$I$17),6,3),MAX(0,6-(ABS('27'!$I$18-Tulokset!$G$17)+ABS('27'!$K$18-Tulokset!$I$17))))))</f>
        <v/>
      </c>
      <c r="T30" t="str">
        <f>IF(OR(Tulokset!$G$18="",Tulokset!$I$18="",'27'!$I$19="",'27'!$K$19=""),"",IF(SIGN('27'!$I$19-'27'!$K$19)&lt;&gt;SIGN(Tulokset!$G$18-Tulokset!$I$18),0,IF(Tulokset!$G$18=Tulokset!$I$18,IF(AND('27'!$I$19=Tulokset!$G$18,'27'!$K$19=Tulokset!$I$18),6,3),MAX(0,6-(ABS('27'!$I$19-Tulokset!$G$18)+ABS('27'!$K$19-Tulokset!$I$18))))))</f>
        <v/>
      </c>
      <c r="U30" t="str">
        <f>IF(OR(Tulokset!$G$19="",Tulokset!$I$19="",'27'!$I$20="",'27'!$K$20=""),"",IF(SIGN('27'!$I$20-'27'!$K$20)&lt;&gt;SIGN(Tulokset!$G$19-Tulokset!$I$19),0,IF(Tulokset!$G$19=Tulokset!$I$19,IF(AND('27'!$I$20=Tulokset!$G$19,'27'!$K$20=Tulokset!$I$19),6,3),MAX(0,6-(ABS('27'!$I$20-Tulokset!$G$19)+ABS('27'!$K$20-Tulokset!$I$19))))))</f>
        <v/>
      </c>
      <c r="V30" t="str">
        <f>IF(OR(Tulokset!$G$20="",Tulokset!$I$20="",'27'!$I$21="",'27'!$K$21=""),"",IF(SIGN('27'!$I$21-'27'!$K$21)&lt;&gt;SIGN(Tulokset!$G$20-Tulokset!$I$20),0,IF(Tulokset!$G$20=Tulokset!$I$20,IF(AND('27'!$I$21=Tulokset!$G$20,'27'!$K$21=Tulokset!$I$20),6,3),MAX(0,6-(ABS('27'!$I$21-Tulokset!$G$20)+ABS('27'!$K$21-Tulokset!$I$20))))))</f>
        <v/>
      </c>
      <c r="W30" t="str">
        <f>IF(OR(Tulokset!$G$21="",Tulokset!$I$21="",'27'!$I$22="",'27'!$K$22=""),"",IF(SIGN('27'!$I$22-'27'!$K$22)&lt;&gt;SIGN(Tulokset!$G$21-Tulokset!$I$21),0,IF(Tulokset!$G$21=Tulokset!$I$21,IF(AND('27'!$I$22=Tulokset!$G$21,'27'!$K$22=Tulokset!$I$21),6,3),MAX(0,6-(ABS('27'!$I$22-Tulokset!$G$21)+ABS('27'!$K$22-Tulokset!$I$21))))))</f>
        <v/>
      </c>
      <c r="X30" t="str">
        <f>IF(OR(Tulokset!$G$22="",Tulokset!$I$22="",'27'!$I$23="",'27'!$K$23=""),"",IF(SIGN('27'!$I$23-'27'!$K$23)&lt;&gt;SIGN(Tulokset!$G$22-Tulokset!$I$22),0,IF(Tulokset!$G$22=Tulokset!$I$22,IF(AND('27'!$I$23=Tulokset!$G$22,'27'!$K$23=Tulokset!$I$22),6,3),MAX(0,6-(ABS('27'!$I$23-Tulokset!$G$22)+ABS('27'!$K$23-Tulokset!$I$22))))))</f>
        <v/>
      </c>
      <c r="Y30" t="str">
        <f>IF(OR(Tulokset!$G$23="",Tulokset!$I$23="",'27'!$I$24="",'27'!$K$24=""),"",IF(SIGN('27'!$I$24-'27'!$K$24)&lt;&gt;SIGN(Tulokset!$G$23-Tulokset!$I$23),0,IF(Tulokset!$G$23=Tulokset!$I$23,IF(AND('27'!$I$24=Tulokset!$G$23,'27'!$K$24=Tulokset!$I$23),6,3),MAX(0,6-(ABS('27'!$I$24-Tulokset!$G$23)+ABS('27'!$K$24-Tulokset!$I$23))))))</f>
        <v/>
      </c>
      <c r="Z30" t="str">
        <f>IF(OR(Tulokset!$G$24="",Tulokset!$I$24="",'27'!$I$25="",'27'!$K$25=""),"",IF(SIGN('27'!$I$25-'27'!$K$25)&lt;&gt;SIGN(Tulokset!$G$24-Tulokset!$I$24),0,IF(Tulokset!$G$24=Tulokset!$I$24,IF(AND('27'!$I$25=Tulokset!$G$24,'27'!$K$25=Tulokset!$I$24),6,3),MAX(0,6-(ABS('27'!$I$25-Tulokset!$G$24)+ABS('27'!$K$25-Tulokset!$I$24))))))</f>
        <v/>
      </c>
      <c r="AA30" t="str">
        <f>IF(OR(Tulokset!$G$25="",Tulokset!$I$25="",'27'!$I$26="",'27'!$K$26=""),"",IF(SIGN('27'!$I$26-'27'!$K$26)&lt;&gt;SIGN(Tulokset!$G$25-Tulokset!$I$25),0,IF(Tulokset!$G$25=Tulokset!$I$25,IF(AND('27'!$I$26=Tulokset!$G$25,'27'!$K$26=Tulokset!$I$25),6,3),MAX(0,6-(ABS('27'!$I$26-Tulokset!$G$25)+ABS('27'!$K$26-Tulokset!$I$25))))))</f>
        <v/>
      </c>
      <c r="AB30" t="str">
        <f>IF(OR(Tulokset!$G$26="",Tulokset!$I$26="",'27'!$I$27="",'27'!$K$27=""),"",IF(SIGN('27'!$I$27-'27'!$K$27)&lt;&gt;SIGN(Tulokset!$G$26-Tulokset!$I$26),0,IF(Tulokset!$G$26=Tulokset!$I$26,IF(AND('27'!$I$27=Tulokset!$G$26,'27'!$K$27=Tulokset!$I$26),6,3),MAX(0,6-(ABS('27'!$I$27-Tulokset!$G$26)+ABS('27'!$K$27-Tulokset!$I$26))))))</f>
        <v/>
      </c>
      <c r="AC30" t="str">
        <f>IF(OR(Tulokset!$G$27="",Tulokset!$I$27="",'27'!$I$28="",'27'!$K$28=""),"",IF(SIGN('27'!$I$28-'27'!$K$28)&lt;&gt;SIGN(Tulokset!$G$27-Tulokset!$I$27),0,IF(Tulokset!$G$27=Tulokset!$I$27,IF(AND('27'!$I$28=Tulokset!$G$27,'27'!$K$28=Tulokset!$I$27),6,3),MAX(0,6-(ABS('27'!$I$28-Tulokset!$G$27)+ABS('27'!$K$28-Tulokset!$I$27))))))</f>
        <v/>
      </c>
      <c r="AD30" t="str">
        <f>IF(OR(Tulokset!$G$28="",Tulokset!$I$28="",'27'!$I$29="",'27'!$K$29=""),"",IF(SIGN('27'!$I$29-'27'!$K$29)&lt;&gt;SIGN(Tulokset!$G$28-Tulokset!$I$28),0,IF(Tulokset!$G$28=Tulokset!$I$28,IF(AND('27'!$I$29=Tulokset!$G$28,'27'!$K$29=Tulokset!$I$28),6,3),MAX(0,6-(ABS('27'!$I$29-Tulokset!$G$28)+ABS('27'!$K$29-Tulokset!$I$28))))))</f>
        <v/>
      </c>
      <c r="AE30" t="str">
        <f>IF(OR(Tulokset!$G$29="",Tulokset!$I$29="",'27'!$I$30="",'27'!$K$30=""),"",IF(SIGN('27'!$I$30-'27'!$K$30)&lt;&gt;SIGN(Tulokset!$G$29-Tulokset!$I$29),0,IF(Tulokset!$G$29=Tulokset!$I$29,IF(AND('27'!$I$30=Tulokset!$G$29,'27'!$K$30=Tulokset!$I$29),6,3),MAX(0,6-(ABS('27'!$I$30-Tulokset!$G$29)+ABS('27'!$K$30-Tulokset!$I$29))))))</f>
        <v/>
      </c>
      <c r="AF30" t="str">
        <f>IF(OR(Tulokset!$G$30="",Tulokset!$I$30="",'27'!$I$31="",'27'!$K$31=""),"",IF(SIGN('27'!$I$31-'27'!$K$31)&lt;&gt;SIGN(Tulokset!$G$30-Tulokset!$I$30),0,IF(Tulokset!$G$30=Tulokset!$I$30,IF(AND('27'!$I$31=Tulokset!$G$30,'27'!$K$31=Tulokset!$I$30),6,3),MAX(0,6-(ABS('27'!$I$31-Tulokset!$G$30)+ABS('27'!$K$31-Tulokset!$I$30))))))</f>
        <v/>
      </c>
      <c r="AG30" t="str">
        <f>IF(OR(Tulokset!$G$31="",Tulokset!$I$31="",'27'!$I$32="",'27'!$K$32=""),"",IF(SIGN('27'!$I$32-'27'!$K$32)&lt;&gt;SIGN(Tulokset!$G$31-Tulokset!$I$31),0,IF(Tulokset!$G$31=Tulokset!$I$31,IF(AND('27'!$I$32=Tulokset!$G$31,'27'!$K$32=Tulokset!$I$31),6,3),MAX(0,6-(ABS('27'!$I$32-Tulokset!$G$31)+ABS('27'!$K$32-Tulokset!$I$31))))))</f>
        <v/>
      </c>
      <c r="AH30" t="str">
        <f>IF(OR(Tulokset!$G$32="",Tulokset!$I$32="",'27'!$I$33="",'27'!$K$33=""),"",IF(SIGN('27'!$I$33-'27'!$K$33)&lt;&gt;SIGN(Tulokset!$G$32-Tulokset!$I$32),0,IF(Tulokset!$G$32=Tulokset!$I$32,IF(AND('27'!$I$33=Tulokset!$G$32,'27'!$K$33=Tulokset!$I$32),6,3),MAX(0,6-(ABS('27'!$I$33-Tulokset!$G$32)+ABS('27'!$K$33-Tulokset!$I$32))))))</f>
        <v/>
      </c>
      <c r="AI30" t="str">
        <f>IF(OR(Tulokset!$G$33="",Tulokset!$I$33="",'27'!$I$34="",'27'!$K$34=""),"",IF(SIGN('27'!$I$34-'27'!$K$34)&lt;&gt;SIGN(Tulokset!$G$33-Tulokset!$I$33),0,IF(Tulokset!$G$33=Tulokset!$I$33,IF(AND('27'!$I$34=Tulokset!$G$33,'27'!$K$34=Tulokset!$I$33),6,3),MAX(0,6-(ABS('27'!$I$34-Tulokset!$G$33)+ABS('27'!$K$34-Tulokset!$I$33))))))</f>
        <v/>
      </c>
      <c r="AJ30" t="str">
        <f>IF(OR(Tulokset!$G$34="",Tulokset!$I$34="",'27'!$I$35="",'27'!$K$35=""),"",IF(SIGN('27'!$I$35-'27'!$K$35)&lt;&gt;SIGN(Tulokset!$G$34-Tulokset!$I$34),0,IF(Tulokset!$G$34=Tulokset!$I$34,IF(AND('27'!$I$35=Tulokset!$G$34,'27'!$K$35=Tulokset!$I$34),6,3),MAX(0,6-(ABS('27'!$I$35-Tulokset!$G$34)+ABS('27'!$K$35-Tulokset!$I$34))))))</f>
        <v/>
      </c>
      <c r="AK30" t="str">
        <f>IF(OR(Tulokset!$G$35="",Tulokset!$I$35="",'27'!$I$36="",'27'!$K$36=""),"",IF(SIGN('27'!$I$36-'27'!$K$36)&lt;&gt;SIGN(Tulokset!$G$35-Tulokset!$I$35),0,IF(Tulokset!$G$35=Tulokset!$I$35,IF(AND('27'!$I$36=Tulokset!$G$35,'27'!$K$36=Tulokset!$I$35),6,3),MAX(0,6-(ABS('27'!$I$36-Tulokset!$G$35)+ABS('27'!$K$36-Tulokset!$I$35))))))</f>
        <v/>
      </c>
      <c r="AL30" t="str">
        <f>IF(OR(Tulokset!$G$36="",Tulokset!$I$36="",'27'!$I$37="",'27'!$K$37=""),"",IF(SIGN('27'!$I$37-'27'!$K$37)&lt;&gt;SIGN(Tulokset!$G$36-Tulokset!$I$36),0,IF(Tulokset!$G$36=Tulokset!$I$36,IF(AND('27'!$I$37=Tulokset!$G$36,'27'!$K$37=Tulokset!$I$36),6,3),MAX(0,6-(ABS('27'!$I$37-Tulokset!$G$36)+ABS('27'!$K$37-Tulokset!$I$36))))))</f>
        <v/>
      </c>
      <c r="AM30" t="str">
        <f>IF(OR(Tulokset!$G$37="",Tulokset!$I$37="",'27'!$I$38="",'27'!$K$38=""),"",IF(SIGN('27'!$I$38-'27'!$K$38)&lt;&gt;SIGN(Tulokset!$G$37-Tulokset!$I$37),0,IF(Tulokset!$G$37=Tulokset!$I$37,IF(AND('27'!$I$38=Tulokset!$G$37,'27'!$K$38=Tulokset!$I$37),6,3),MAX(0,6-(ABS('27'!$I$38-Tulokset!$G$37)+ABS('27'!$K$38-Tulokset!$I$37))))))</f>
        <v/>
      </c>
      <c r="AN30" t="str">
        <f>IF(OR(Tulokset!$G$38="",Tulokset!$I$38="",'27'!$I$39="",'27'!$K$39=""),"",IF(SIGN('27'!$I$39-'27'!$K$39)&lt;&gt;SIGN(Tulokset!$G$38-Tulokset!$I$38),0,IF(Tulokset!$G$38=Tulokset!$I$38,IF(AND('27'!$I$39=Tulokset!$G$38,'27'!$K$39=Tulokset!$I$38),6,3),MAX(0,6-(ABS('27'!$I$39-Tulokset!$G$38)+ABS('27'!$K$39-Tulokset!$I$38))))))</f>
        <v/>
      </c>
      <c r="AO30" t="str">
        <f>IF(OR(Tulokset!$G$39="",Tulokset!$I$39="",'27'!$I$40="",'27'!$K$40=""),"",IF(SIGN('27'!$I$40-'27'!$K$40)&lt;&gt;SIGN(Tulokset!$G$39-Tulokset!$I$39),0,IF(Tulokset!$G$39=Tulokset!$I$39,IF(AND('27'!$I$40=Tulokset!$G$39,'27'!$K$40=Tulokset!$I$39),6,3),MAX(0,6-(ABS('27'!$I$40-Tulokset!$G$39)+ABS('27'!$K$40-Tulokset!$I$39))))))</f>
        <v/>
      </c>
      <c r="AP30" t="str">
        <f>IF(OR(Tulokset!$G$40="",Tulokset!$I$40="",'27'!$I$41="",'27'!$K$41=""),"",IF(SIGN('27'!$I$41-'27'!$K$41)&lt;&gt;SIGN(Tulokset!$G$40-Tulokset!$I$40),0,IF(Tulokset!$G$40=Tulokset!$I$40,IF(AND('27'!$I$41=Tulokset!$G$40,'27'!$K$41=Tulokset!$I$40),6,3),MAX(0,6-(ABS('27'!$I$41-Tulokset!$G$40)+ABS('27'!$K$41-Tulokset!$I$40))))))</f>
        <v/>
      </c>
      <c r="AQ30" t="str">
        <f>IF(OR(Tulokset!$G$41="",Tulokset!$I$41="",'27'!$I$42="",'27'!$K$42=""),"",IF(SIGN('27'!$I$42-'27'!$K$42)&lt;&gt;SIGN(Tulokset!$G$41-Tulokset!$I$41),0,IF(Tulokset!$G$41=Tulokset!$I$41,IF(AND('27'!$I$42=Tulokset!$G$41,'27'!$K$42=Tulokset!$I$41),6,3),MAX(0,6-(ABS('27'!$I$42-Tulokset!$G$41)+ABS('27'!$K$42-Tulokset!$I$41))))))</f>
        <v/>
      </c>
      <c r="AR30" t="str">
        <f>IF(OR(Tulokset!$G$42="",Tulokset!$I$42="",'27'!$I$43="",'27'!$K$43=""),"",IF(SIGN('27'!$I$43-'27'!$K$43)&lt;&gt;SIGN(Tulokset!$G$42-Tulokset!$I$42),0,IF(Tulokset!$G$42=Tulokset!$I$42,IF(AND('27'!$I$43=Tulokset!$G$42,'27'!$K$43=Tulokset!$I$42),6,3),MAX(0,6-(ABS('27'!$I$43-Tulokset!$G$42)+ABS('27'!$K$43-Tulokset!$I$42))))))</f>
        <v/>
      </c>
      <c r="AS30" t="str">
        <f>IF(OR(Tulokset!$G$43="",Tulokset!$I$43="",'27'!$I$44="",'27'!$K$44=""),"",IF(SIGN('27'!$I$44-'27'!$K$44)&lt;&gt;SIGN(Tulokset!$G$43-Tulokset!$I$43),0,IF(Tulokset!$G$43=Tulokset!$I$43,IF(AND('27'!$I$44=Tulokset!$G$43,'27'!$K$44=Tulokset!$I$43),6,3),MAX(0,6-(ABS('27'!$I$44-Tulokset!$G$43)+ABS('27'!$K$44-Tulokset!$I$43))))))</f>
        <v/>
      </c>
      <c r="AT30" t="str">
        <f>IF(OR(Tulokset!$G$44="",Tulokset!$I$44="",'27'!$I$45="",'27'!$K$45=""),"",IF(SIGN('27'!$I$45-'27'!$K$45)&lt;&gt;SIGN(Tulokset!$G$44-Tulokset!$I$44),0,IF(Tulokset!$G$44=Tulokset!$I$44,IF(AND('27'!$I$45=Tulokset!$G$44,'27'!$K$45=Tulokset!$I$44),6,3),MAX(0,6-(ABS('27'!$I$45-Tulokset!$G$44)+ABS('27'!$K$45-Tulokset!$I$44))))))</f>
        <v/>
      </c>
      <c r="AU30" t="str">
        <f>IF(OR(Tulokset!$G$45="",Tulokset!$I$45="",'27'!$I$46="",'27'!$K$46=""),"",IF(SIGN('27'!$I$46-'27'!$K$46)&lt;&gt;SIGN(Tulokset!$G$45-Tulokset!$I$45),0,IF(Tulokset!$G$45=Tulokset!$I$45,IF(AND('27'!$I$46=Tulokset!$G$45,'27'!$K$46=Tulokset!$I$45),6,3),MAX(0,6-(ABS('27'!$I$46-Tulokset!$G$45)+ABS('27'!$K$46-Tulokset!$I$45))))))</f>
        <v/>
      </c>
      <c r="AV30" t="str">
        <f>IF(OR(Tulokset!$G$46="",Tulokset!$I$46="",'27'!$I$47="",'27'!$K$47=""),"",IF(SIGN('27'!$I$47-'27'!$K$47)&lt;&gt;SIGN(Tulokset!$G$46-Tulokset!$I$46),0,IF(Tulokset!$G$46=Tulokset!$I$46,IF(AND('27'!$I$47=Tulokset!$G$46,'27'!$K$47=Tulokset!$I$46),6,3),MAX(0,6-(ABS('27'!$I$47-Tulokset!$G$46)+ABS('27'!$K$47-Tulokset!$I$46))))))</f>
        <v/>
      </c>
      <c r="AW30" t="str">
        <f>IF(OR(Tulokset!$G$47="",Tulokset!$I$47="",'27'!$I$48="",'27'!$K$48=""),"",IF(SIGN('27'!$I$48-'27'!$K$48)&lt;&gt;SIGN(Tulokset!$G$47-Tulokset!$I$47),0,IF(Tulokset!$G$47=Tulokset!$I$47,IF(AND('27'!$I$48=Tulokset!$G$47,'27'!$K$48=Tulokset!$I$47),6,3),MAX(0,6-(ABS('27'!$I$48-Tulokset!$G$47)+ABS('27'!$K$48-Tulokset!$I$47))))))</f>
        <v/>
      </c>
      <c r="AX30" t="str">
        <f>IF(OR(Tulokset!$G$48="",Tulokset!$I$48="",'27'!$I$49="",'27'!$K$49=""),"",IF(SIGN('27'!$I$49-'27'!$K$49)&lt;&gt;SIGN(Tulokset!$G$48-Tulokset!$I$48),0,IF(Tulokset!$G$48=Tulokset!$I$48,IF(AND('27'!$I$49=Tulokset!$G$48,'27'!$K$49=Tulokset!$I$48),6,3),MAX(0,6-(ABS('27'!$I$49-Tulokset!$G$48)+ABS('27'!$K$49-Tulokset!$I$48))))))</f>
        <v/>
      </c>
      <c r="AY30" t="str">
        <f>IF(OR(Tulokset!$G$49="",Tulokset!$I$49="",'27'!$I$50="",'27'!$K$50=""),"",IF(SIGN('27'!$I$50-'27'!$K$50)&lt;&gt;SIGN(Tulokset!$G$49-Tulokset!$I$49),0,IF(Tulokset!$G$49=Tulokset!$I$49,IF(AND('27'!$I$50=Tulokset!$G$49,'27'!$K$50=Tulokset!$I$49),6,3),MAX(0,6-(ABS('27'!$I$50-Tulokset!$G$49)+ABS('27'!$K$50-Tulokset!$I$49))))))</f>
        <v/>
      </c>
      <c r="AZ30" t="str">
        <f>IF(OR(Tulokset!$G$50="",Tulokset!$I$50="",'27'!$I$51="",'27'!$K$51=""),"",IF(SIGN('27'!$I$51-'27'!$K$51)&lt;&gt;SIGN(Tulokset!$G$50-Tulokset!$I$50),0,IF(Tulokset!$G$50=Tulokset!$I$50,IF(AND('27'!$I$51=Tulokset!$G$50,'27'!$K$51=Tulokset!$I$50),6,3),MAX(0,6-(ABS('27'!$I$51-Tulokset!$G$50)+ABS('27'!$K$51-Tulokset!$I$50))))))</f>
        <v/>
      </c>
      <c r="BA30" t="str">
        <f>IF(OR(Tulokset!$G$51="",Tulokset!$I$51="",'27'!$I$52="",'27'!$K$52=""),"",IF(SIGN('27'!$I$52-'27'!$K$52)&lt;&gt;SIGN(Tulokset!$G$51-Tulokset!$I$51),0,IF(Tulokset!$G$51=Tulokset!$I$51,IF(AND('27'!$I$52=Tulokset!$G$51,'27'!$K$52=Tulokset!$I$51),6,3),MAX(0,6-(ABS('27'!$I$52-Tulokset!$G$51)+ABS('27'!$K$52-Tulokset!$I$51))))))</f>
        <v/>
      </c>
      <c r="BB30" t="str">
        <f>IF(OR(Tulokset!$G$52="",Tulokset!$I$52="",'27'!$I$53="",'27'!$K$53=""),"",IF(SIGN('27'!$I$53-'27'!$K$53)&lt;&gt;SIGN(Tulokset!$G$52-Tulokset!$I$52),0,IF(Tulokset!$G$52=Tulokset!$I$52,IF(AND('27'!$I$53=Tulokset!$G$52,'27'!$K$53=Tulokset!$I$52),6,3),MAX(0,6-(ABS('27'!$I$53-Tulokset!$G$52)+ABS('27'!$K$53-Tulokset!$I$52))))))</f>
        <v/>
      </c>
      <c r="BC30" t="str">
        <f>IF(OR(Tulokset!$G$53="",Tulokset!$I$53="",'27'!$I$54="",'27'!$K$54=""),"",IF(SIGN('27'!$I$54-'27'!$K$54)&lt;&gt;SIGN(Tulokset!$G$53-Tulokset!$I$53),0,IF(Tulokset!$G$53=Tulokset!$I$53,IF(AND('27'!$I$54=Tulokset!$G$53,'27'!$K$54=Tulokset!$I$53),6,3),MAX(0,6-(ABS('27'!$I$54-Tulokset!$G$53)+ABS('27'!$K$54-Tulokset!$I$53))))))</f>
        <v/>
      </c>
      <c r="BD30" t="str">
        <f>IF(OR(Tulokset!$G$54="",Tulokset!$I$54="",'27'!$I$55="",'27'!$K$55=""),"",IF(SIGN('27'!$I$55-'27'!$K$55)&lt;&gt;SIGN(Tulokset!$G$54-Tulokset!$I$54),0,IF(Tulokset!$G$54=Tulokset!$I$54,IF(AND('27'!$I$55=Tulokset!$G$54,'27'!$K$55=Tulokset!$I$54),6,3),MAX(0,6-(ABS('27'!$I$55-Tulokset!$G$54)+ABS('27'!$K$55-Tulokset!$I$54))))))</f>
        <v/>
      </c>
      <c r="BE30" t="str">
        <f>IF(OR(Tulokset!$G$55="",Tulokset!$I$55="",'27'!$I$56="",'27'!$K$56=""),"",IF(SIGN('27'!$I$56-'27'!$K$56)&lt;&gt;SIGN(Tulokset!$G$55-Tulokset!$I$55),0,IF(Tulokset!$G$55=Tulokset!$I$55,IF(AND('27'!$I$56=Tulokset!$G$55,'27'!$K$56=Tulokset!$I$55),6,3),MAX(0,6-(ABS('27'!$I$56-Tulokset!$G$55)+ABS('27'!$K$56-Tulokset!$I$55))))))</f>
        <v/>
      </c>
      <c r="BF30" t="str">
        <f>IF(OR(Tulokset!$G$56="",Tulokset!$I$56="",'27'!$I$57="",'27'!$K$57=""),"",IF(SIGN('27'!$I$57-'27'!$K$57)&lt;&gt;SIGN(Tulokset!$G$56-Tulokset!$I$56),0,IF(Tulokset!$G$56=Tulokset!$I$56,IF(AND('27'!$I$57=Tulokset!$G$56,'27'!$K$57=Tulokset!$I$56),6,3),MAX(0,6-(ABS('27'!$I$57-Tulokset!$G$56)+ABS('27'!$K$57-Tulokset!$I$56))))))</f>
        <v/>
      </c>
      <c r="BG30" t="str">
        <f>IF(OR(Tulokset!$G$57="",Tulokset!$I$57="",'27'!$I$58="",'27'!$K$58=""),"",IF(SIGN('27'!$I$58-'27'!$K$58)&lt;&gt;SIGN(Tulokset!$G$57-Tulokset!$I$57),0,IF(Tulokset!$G$57=Tulokset!$I$57,IF(AND('27'!$I$58=Tulokset!$G$57,'27'!$K$58=Tulokset!$I$57),6,3),MAX(0,6-(ABS('27'!$I$58-Tulokset!$G$57)+ABS('27'!$K$58-Tulokset!$I$57))))))</f>
        <v/>
      </c>
      <c r="BH30" t="str">
        <f>IF(OR(Tulokset!$G$58="",Tulokset!$I$58="",'27'!$I$59="",'27'!$K$59=""),"",IF(SIGN('27'!$I$59-'27'!$K$59)&lt;&gt;SIGN(Tulokset!$G$58-Tulokset!$I$58),0,IF(Tulokset!$G$58=Tulokset!$I$58,IF(AND('27'!$I$59=Tulokset!$G$58,'27'!$K$59=Tulokset!$I$58),6,3),MAX(0,6-(ABS('27'!$I$59-Tulokset!$G$58)+ABS('27'!$K$59-Tulokset!$I$58))))))</f>
        <v/>
      </c>
      <c r="BI30" t="str">
        <f>IF(OR(Tulokset!$G$59="",Tulokset!$I$59="",'27'!$I$60="",'27'!$K$60=""),"",IF(SIGN('27'!$I$60-'27'!$K$60)&lt;&gt;SIGN(Tulokset!$G$59-Tulokset!$I$59),0,IF(Tulokset!$G$59=Tulokset!$I$59,IF(AND('27'!$I$60=Tulokset!$G$59,'27'!$K$60=Tulokset!$I$59),6,3),MAX(0,6-(ABS('27'!$I$60-Tulokset!$G$59)+ABS('27'!$K$60-Tulokset!$I$59))))))</f>
        <v/>
      </c>
      <c r="BJ30" t="str">
        <f>IF(OR(Tulokset!$G$60="",Tulokset!$I$60="",'27'!$I$61="",'27'!$K$61=""),"",IF(SIGN('27'!$I$61-'27'!$K$61)&lt;&gt;SIGN(Tulokset!$G$60-Tulokset!$I$60),0,IF(Tulokset!$G$60=Tulokset!$I$60,IF(AND('27'!$I$61=Tulokset!$G$60,'27'!$K$61=Tulokset!$I$60),6,3),MAX(0,6-(ABS('27'!$I$61-Tulokset!$G$60)+ABS('27'!$K$61-Tulokset!$I$60))))))</f>
        <v/>
      </c>
      <c r="BK30" t="str">
        <f>IF(OR(Tulokset!$G$61="",Tulokset!$I$61="",'27'!$I$62="",'27'!$K$62=""),"",IF(SIGN('27'!$I$62-'27'!$K$62)&lt;&gt;SIGN(Tulokset!$G$61-Tulokset!$I$61),0,IF(Tulokset!$G$61=Tulokset!$I$61,IF(AND('27'!$I$62=Tulokset!$G$61,'27'!$K$62=Tulokset!$I$61),6,3),MAX(0,6-(ABS('27'!$I$62-Tulokset!$G$61)+ABS('27'!$K$62-Tulokset!$I$61))))))</f>
        <v/>
      </c>
      <c r="BL30" t="str">
        <f>IF(OR(Tulokset!$G$62="",Tulokset!$I$62="",'27'!$I$63="",'27'!$K$63=""),"",IF(SIGN('27'!$I$63-'27'!$K$63)&lt;&gt;SIGN(Tulokset!$G$62-Tulokset!$I$62),0,IF(Tulokset!$G$62=Tulokset!$I$62,IF(AND('27'!$I$63=Tulokset!$G$62,'27'!$K$63=Tulokset!$I$62),6,3),MAX(0,6-(ABS('27'!$I$63-Tulokset!$G$62)+ABS('27'!$K$63-Tulokset!$I$62))))))</f>
        <v/>
      </c>
      <c r="BM30" t="str">
        <f>IF(OR(Tulokset!$G$63="",Tulokset!$I$63="",'27'!$I$64="",'27'!$K$64=""),"",IF(SIGN('27'!$I$64-'27'!$K$64)&lt;&gt;SIGN(Tulokset!$G$63-Tulokset!$I$63),0,IF(Tulokset!$G$63=Tulokset!$I$63,IF(AND('27'!$I$64=Tulokset!$G$63,'27'!$K$64=Tulokset!$I$63),6,3),MAX(0,6-(ABS('27'!$I$64-Tulokset!$G$63)+ABS('27'!$K$64-Tulokset!$I$63))))))</f>
        <v/>
      </c>
      <c r="BN30" t="str">
        <f>IF(OR(Tulokset!$G$64="",Tulokset!$I$64="",'27'!$I$65="",'27'!$K$65=""),"",IF(SIGN('27'!$I$65-'27'!$K$65)&lt;&gt;SIGN(Tulokset!$G$64-Tulokset!$I$64),0,IF(Tulokset!$G$64=Tulokset!$I$64,IF(AND('27'!$I$65=Tulokset!$G$64,'27'!$K$65=Tulokset!$I$64),6,3),MAX(0,6-(ABS('27'!$I$65-Tulokset!$G$64)+ABS('27'!$K$65-Tulokset!$I$64))))))</f>
        <v/>
      </c>
      <c r="BO30" t="str">
        <f>IF(OR(Tulokset!$G$65="",Tulokset!$I$65="",'27'!$I$66="",'27'!$K$66=""),"",IF(SIGN('27'!$I$66-'27'!$K$66)&lt;&gt;SIGN(Tulokset!$G$65-Tulokset!$I$65),0,IF(Tulokset!$G$65=Tulokset!$I$65,IF(AND('27'!$I$66=Tulokset!$G$65,'27'!$K$66=Tulokset!$I$65),6,3),MAX(0,6-(ABS('27'!$I$66-Tulokset!$G$65)+ABS('27'!$K$66-Tulokset!$I$65))))))</f>
        <v/>
      </c>
      <c r="BP30" t="str">
        <f>IF(OR(Tulokset!$G$66="",Tulokset!$I$66="",'27'!$I$67="",'27'!$K$67=""),"",IF(SIGN('27'!$I$67-'27'!$K$67)&lt;&gt;SIGN(Tulokset!$G$66-Tulokset!$I$66),0,IF(Tulokset!$G$66=Tulokset!$I$66,IF(AND('27'!$I$67=Tulokset!$G$66,'27'!$K$67=Tulokset!$I$66),6,3),MAX(0,6-(ABS('27'!$I$67-Tulokset!$G$66)+ABS('27'!$K$67-Tulokset!$I$66))))))</f>
        <v/>
      </c>
      <c r="BQ30" t="str">
        <f>IF(OR(Tulokset!$G$67="",Tulokset!$I$67="",'27'!$I$68="",'27'!$K$68=""),"",IF(SIGN('27'!$I$68-'27'!$K$68)&lt;&gt;SIGN(Tulokset!$G$67-Tulokset!$I$67),0,IF(Tulokset!$G$67=Tulokset!$I$67,IF(AND('27'!$I$68=Tulokset!$G$67,'27'!$K$68=Tulokset!$I$67),6,3),MAX(0,6-(ABS('27'!$I$68-Tulokset!$G$67)+ABS('27'!$K$68-Tulokset!$I$67))))))</f>
        <v/>
      </c>
      <c r="BR30" t="str">
        <f>IF(OR(Tulokset!$G$68="",Tulokset!$I$68="",'27'!$I$69="",'27'!$K$69=""),"",IF(SIGN('27'!$I$69-'27'!$K$69)&lt;&gt;SIGN(Tulokset!$G$68-Tulokset!$I$68),0,IF(Tulokset!$G$68=Tulokset!$I$68,IF(AND('27'!$I$69=Tulokset!$G$68,'27'!$K$69=Tulokset!$I$68),6,3),MAX(0,6-(ABS('27'!$I$69-Tulokset!$G$68)+ABS('27'!$K$69-Tulokset!$I$68))))))</f>
        <v/>
      </c>
      <c r="BS30" t="str">
        <f>IF(OR(Tulokset!$G$69="",Tulokset!$I$69="",'27'!$I$70="",'27'!$K$70=""),"",IF(SIGN('27'!$I$70-'27'!$K$70)&lt;&gt;SIGN(Tulokset!$G$69-Tulokset!$I$69),0,IF(Tulokset!$G$69=Tulokset!$I$69,IF(AND('27'!$I$70=Tulokset!$G$69,'27'!$K$70=Tulokset!$I$69),6,3),MAX(0,6-(ABS('27'!$I$70-Tulokset!$G$69)+ABS('27'!$K$70-Tulokset!$I$69))))))</f>
        <v/>
      </c>
      <c r="BT30" t="str">
        <f>IF(OR(Tulokset!$G$70="",Tulokset!$I$70="",'27'!$I$71="",'27'!$K$71=""),"",IF(SIGN('27'!$I$71-'27'!$K$71)&lt;&gt;SIGN(Tulokset!$G$70-Tulokset!$I$70),0,IF(Tulokset!$G$70=Tulokset!$I$70,IF(AND('27'!$I$71=Tulokset!$G$70,'27'!$K$71=Tulokset!$I$70),6,3),MAX(0,6-(ABS('27'!$I$71-Tulokset!$G$70)+ABS('27'!$K$71-Tulokset!$I$70))))))</f>
        <v/>
      </c>
      <c r="BU30" t="str">
        <f>IF(OR(Tulokset!$G$71="",Tulokset!$I$71="",'27'!$I$72="",'27'!$K$72=""),"",IF(SIGN('27'!$I$72-'27'!$K$72)&lt;&gt;SIGN(Tulokset!$G$71-Tulokset!$I$71),0,IF(Tulokset!$G$71=Tulokset!$I$71,IF(AND('27'!$I$72=Tulokset!$G$71,'27'!$K$72=Tulokset!$I$71),6,3),MAX(0,6-(ABS('27'!$I$72-Tulokset!$G$71)+ABS('27'!$K$72-Tulokset!$I$71))))))</f>
        <v/>
      </c>
      <c r="BV30" t="str">
        <f>IF(OR(Tulokset!$G$72="",Tulokset!$I$72="",'27'!$I$73="",'27'!$K$73=""),"",IF(SIGN('27'!$I$73-'27'!$K$73)&lt;&gt;SIGN(Tulokset!$G$72-Tulokset!$I$72),0,IF(Tulokset!$G$72=Tulokset!$I$72,IF(AND('27'!$I$73=Tulokset!$G$72,'27'!$K$73=Tulokset!$I$72),6,3),MAX(0,6-(ABS('27'!$I$73-Tulokset!$G$72)+ABS('27'!$K$73-Tulokset!$I$72))))))</f>
        <v/>
      </c>
      <c r="BW30" t="str">
        <f>IF(OR(Tulokset!$G$73="",Tulokset!$I$73="",'27'!$I$74="",'27'!$K$74=""),"",IF(SIGN('27'!$I$74-'27'!$K$74)&lt;&gt;SIGN(Tulokset!$G$73-Tulokset!$I$73),0,IF(Tulokset!$G$73=Tulokset!$I$73,IF(AND('27'!$I$74=Tulokset!$G$73,'27'!$K$74=Tulokset!$I$73),6,3),MAX(0,6-(ABS('27'!$I$74-Tulokset!$G$73)+ABS('27'!$K$74-Tulokset!$I$73))))))</f>
        <v/>
      </c>
      <c r="BX30" t="str">
        <f>IF(OR(Tulokset!$G$74="",Tulokset!$I$74="",'27'!$I$75="",'27'!$K$75=""),"",IF(SIGN('27'!$I$75-'27'!$K$75)&lt;&gt;SIGN(Tulokset!$G$74-Tulokset!$I$74),0,IF(Tulokset!$G$74=Tulokset!$I$74,IF(AND('27'!$I$75=Tulokset!$G$74,'27'!$K$75=Tulokset!$I$74),6,3),MAX(0,6-(ABS('27'!$I$75-Tulokset!$G$74)+ABS('27'!$K$75-Tulokset!$I$74))))))</f>
        <v/>
      </c>
      <c r="BY30" t="str">
        <f>IF(OR(Tulokset!$G$75="",Tulokset!$I$75="",'27'!$I$76="",'27'!$K$76=""),"",IF(SIGN('27'!$I$76-'27'!$K$76)&lt;&gt;SIGN(Tulokset!$G$75-Tulokset!$I$75),0,IF(Tulokset!$G$75=Tulokset!$I$75,IF(AND('27'!$I$76=Tulokset!$G$75,'27'!$K$76=Tulokset!$I$75),6,3),MAX(0,6-(ABS('27'!$I$76-Tulokset!$G$75)+ABS('27'!$K$76-Tulokset!$I$75))))))</f>
        <v/>
      </c>
      <c r="BZ30" t="str">
        <f>IF(OR(Tulokset!$G$76="",Tulokset!$I$76="",'27'!$I$77="",'27'!$K$77=""),"",IF(SIGN('27'!$I$77-'27'!$K$77)&lt;&gt;SIGN(Tulokset!$G$76-Tulokset!$I$76),0,IF(Tulokset!$G$76=Tulokset!$I$76,IF(AND('27'!$I$77=Tulokset!$G$76,'27'!$K$77=Tulokset!$I$76),6,3),MAX(0,6-(ABS('27'!$I$77-Tulokset!$G$76)+ABS('27'!$K$77-Tulokset!$I$76))))))</f>
        <v/>
      </c>
      <c r="CA30" t="str">
        <f>IF(OR(Tulokset!$G$77="",Tulokset!$I$77="",'27'!$I$78="",'27'!$K$78=""),"",IF(SIGN('27'!$I$78-'27'!$K$78)&lt;&gt;SIGN(Tulokset!$G$77-Tulokset!$I$77),0,IF(Tulokset!$G$77=Tulokset!$I$77,IF(AND('27'!$I$78=Tulokset!$G$77,'27'!$K$78=Tulokset!$I$77),6,3),MAX(0,6-(ABS('27'!$I$78-Tulokset!$G$77)+ABS('27'!$K$78-Tulokset!$I$77))))))</f>
        <v/>
      </c>
      <c r="CD30" t="str">
        <f ca="1">IF(OR(Tulokset!$M$6="",INDIRECT("'"&amp;$A30&amp;"'!$P$8")=""),"",IF(TRIM(INDIRECT("'"&amp;$A30&amp;"'!$P$8"))=TRIM(Tulokset!$M$6),2,0))</f>
        <v/>
      </c>
      <c r="CE30" t="str">
        <f ca="1">IF(OR(Tulokset!$M$7="",INDIRECT("'"&amp;$A30&amp;"'!$P$9")=""),"",IF(TRIM(INDIRECT("'"&amp;$A30&amp;"'!$P$9"))=TRIM(Tulokset!$M$7),2,0))</f>
        <v/>
      </c>
      <c r="CF30" t="str">
        <f ca="1">IF(OR(Tulokset!$M$8="",INDIRECT("'"&amp;$A30&amp;"'!$P$10")=""),"",IF(TRIM(INDIRECT("'"&amp;$A30&amp;"'!$P$10"))=TRIM(Tulokset!$M$8),2,0))</f>
        <v/>
      </c>
      <c r="CG30" t="str">
        <f ca="1">IF(OR(Tulokset!$M$9="",INDIRECT("'"&amp;$A30&amp;"'!$P$11")=""),"",IF(TRIM(INDIRECT("'"&amp;$A30&amp;"'!$P$11"))=TRIM(Tulokset!$M$9),2,0))</f>
        <v/>
      </c>
      <c r="CH30" t="str">
        <f ca="1">IF(OR(Tulokset!$N$6="",INDIRECT("'"&amp;$A30&amp;"'!$Q$8")=""),"",IF(TRIM(INDIRECT("'"&amp;$A30&amp;"'!$Q$8"))=TRIM(Tulokset!$N$6),2,0))</f>
        <v/>
      </c>
      <c r="CI30" t="str">
        <f ca="1">IF(OR(Tulokset!$N$7="",INDIRECT("'"&amp;$A30&amp;"'!$Q$9")=""),"",IF(TRIM(INDIRECT("'"&amp;$A30&amp;"'!$Q$9"))=TRIM(Tulokset!$N$7),2,0))</f>
        <v/>
      </c>
      <c r="CJ30" t="str">
        <f ca="1">IF(OR(Tulokset!$N$8="",INDIRECT("'"&amp;$A30&amp;"'!$Q$10")=""),"",IF(TRIM(INDIRECT("'"&amp;$A30&amp;"'!$Q$10"))=TRIM(Tulokset!$N$8),2,0))</f>
        <v/>
      </c>
      <c r="CK30" t="str">
        <f ca="1">IF(OR(Tulokset!$N$9="",INDIRECT("'"&amp;$A30&amp;"'!$Q$11")=""),"",IF(TRIM(INDIRECT("'"&amp;$A30&amp;"'!$Q$11"))=TRIM(Tulokset!$N$9),2,0))</f>
        <v/>
      </c>
      <c r="CL30" t="str">
        <f ca="1">IF(OR(Tulokset!$O$6="",INDIRECT("'"&amp;$A30&amp;"'!$R$8")=""),"",IF(TRIM(INDIRECT("'"&amp;$A30&amp;"'!$R$8"))=TRIM(Tulokset!$O$6),2,0))</f>
        <v/>
      </c>
      <c r="CM30" t="str">
        <f ca="1">IF(OR(Tulokset!$O$7="",INDIRECT("'"&amp;$A30&amp;"'!$R$9")=""),"",IF(TRIM(INDIRECT("'"&amp;$A30&amp;"'!$R$9"))=TRIM(Tulokset!$O$7),2,0))</f>
        <v/>
      </c>
      <c r="CN30" t="str">
        <f ca="1">IF(OR(Tulokset!$O$8="",INDIRECT("'"&amp;$A30&amp;"'!$R$10")=""),"",IF(TRIM(INDIRECT("'"&amp;$A30&amp;"'!$R$10"))=TRIM(Tulokset!$O$8),2,0))</f>
        <v/>
      </c>
      <c r="CO30" t="str">
        <f ca="1">IF(OR(Tulokset!$O$9="",INDIRECT("'"&amp;$A30&amp;"'!$R$11")=""),"",IF(TRIM(INDIRECT("'"&amp;$A30&amp;"'!$R$11"))=TRIM(Tulokset!$O$9),2,0))</f>
        <v/>
      </c>
      <c r="CP30" t="str">
        <f ca="1">IF(OR(Tulokset!$P$6="",INDIRECT("'"&amp;$A30&amp;"'!$S$8")=""),"",IF(TRIM(INDIRECT("'"&amp;$A30&amp;"'!$S$8"))=TRIM(Tulokset!$P$6),2,0))</f>
        <v/>
      </c>
      <c r="CQ30" t="str">
        <f ca="1">IF(OR(Tulokset!$P$7="",INDIRECT("'"&amp;$A30&amp;"'!$S$9")=""),"",IF(TRIM(INDIRECT("'"&amp;$A30&amp;"'!$S$9"))=TRIM(Tulokset!$P$7),2,0))</f>
        <v/>
      </c>
      <c r="CR30" t="str">
        <f ca="1">IF(OR(Tulokset!$P$8="",INDIRECT("'"&amp;$A30&amp;"'!$S$10")=""),"",IF(TRIM(INDIRECT("'"&amp;$A30&amp;"'!$S$10"))=TRIM(Tulokset!$P$8),2,0))</f>
        <v/>
      </c>
      <c r="CS30" t="str">
        <f ca="1">IF(OR(Tulokset!$P$9="",INDIRECT("'"&amp;$A30&amp;"'!$S$11")=""),"",IF(TRIM(INDIRECT("'"&amp;$A30&amp;"'!$S$11"))=TRIM(Tulokset!$P$9),2,0))</f>
        <v/>
      </c>
      <c r="CT30" t="str">
        <f ca="1">IF(OR(Tulokset!$Q$6="",INDIRECT("'"&amp;$A30&amp;"'!$T$8")=""),"",IF(TRIM(INDIRECT("'"&amp;$A30&amp;"'!$T$8"))=TRIM(Tulokset!$Q$6),2,0))</f>
        <v/>
      </c>
      <c r="CU30" t="str">
        <f ca="1">IF(OR(Tulokset!$Q$7="",INDIRECT("'"&amp;$A30&amp;"'!$T$9")=""),"",IF(TRIM(INDIRECT("'"&amp;$A30&amp;"'!$T$9"))=TRIM(Tulokset!$Q$7),2,0))</f>
        <v/>
      </c>
      <c r="CV30" t="str">
        <f ca="1">IF(OR(Tulokset!$Q$8="",INDIRECT("'"&amp;$A30&amp;"'!$T$10")=""),"",IF(TRIM(INDIRECT("'"&amp;$A30&amp;"'!$T$10"))=TRIM(Tulokset!$Q$8),2,0))</f>
        <v/>
      </c>
      <c r="CW30" t="str">
        <f ca="1">IF(OR(Tulokset!$Q$9="",INDIRECT("'"&amp;$A30&amp;"'!$T$11")=""),"",IF(TRIM(INDIRECT("'"&amp;$A30&amp;"'!$T$11"))=TRIM(Tulokset!$Q$9),2,0))</f>
        <v/>
      </c>
      <c r="CX30" t="str">
        <f ca="1">IF(OR(Tulokset!$R$6="",INDIRECT("'"&amp;$A30&amp;"'!$U$8")=""),"",IF(TRIM(INDIRECT("'"&amp;$A30&amp;"'!$U$8"))=TRIM(Tulokset!$R$6),2,0))</f>
        <v/>
      </c>
      <c r="CY30" t="str">
        <f ca="1">IF(OR(Tulokset!$R$7="",INDIRECT("'"&amp;$A30&amp;"'!$U$9")=""),"",IF(TRIM(INDIRECT("'"&amp;$A30&amp;"'!$U$9"))=TRIM(Tulokset!$R$7),2,0))</f>
        <v/>
      </c>
      <c r="CZ30" t="str">
        <f ca="1">IF(OR(Tulokset!$R$8="",INDIRECT("'"&amp;$A30&amp;"'!$U$10")=""),"",IF(TRIM(INDIRECT("'"&amp;$A30&amp;"'!$U$10"))=TRIM(Tulokset!$R$8),2,0))</f>
        <v/>
      </c>
      <c r="DA30" t="str">
        <f ca="1">IF(OR(Tulokset!$R$9="",INDIRECT("'"&amp;$A30&amp;"'!$U$11")=""),"",IF(TRIM(INDIRECT("'"&amp;$A30&amp;"'!$U$11"))=TRIM(Tulokset!$R$9),2,0))</f>
        <v/>
      </c>
      <c r="DB30" t="str">
        <f ca="1">IF(OR(Tulokset!$M$12="",INDIRECT("'"&amp;$A30&amp;"'!$P$14")=""),"",IF(TRIM(INDIRECT("'"&amp;$A30&amp;"'!$P$14"))=TRIM(Tulokset!$M$12),2,0))</f>
        <v/>
      </c>
      <c r="DC30" t="str">
        <f ca="1">IF(OR(Tulokset!$M$13="",INDIRECT("'"&amp;$A30&amp;"'!$P$15")=""),"",IF(TRIM(INDIRECT("'"&amp;$A30&amp;"'!$P$15"))=TRIM(Tulokset!$M$13),2,0))</f>
        <v/>
      </c>
      <c r="DD30" t="str">
        <f ca="1">IF(OR(Tulokset!$M$14="",INDIRECT("'"&amp;$A30&amp;"'!$P$16")=""),"",IF(TRIM(INDIRECT("'"&amp;$A30&amp;"'!$P$16"))=TRIM(Tulokset!$M$14),2,0))</f>
        <v/>
      </c>
      <c r="DE30" t="str">
        <f ca="1">IF(OR(Tulokset!$M$15="",INDIRECT("'"&amp;$A30&amp;"'!$P$17")=""),"",IF(TRIM(INDIRECT("'"&amp;$A30&amp;"'!$P$17"))=TRIM(Tulokset!$M$15),2,0))</f>
        <v/>
      </c>
      <c r="DF30" t="str">
        <f ca="1">IF(OR(Tulokset!$N$12="",INDIRECT("'"&amp;$A30&amp;"'!$Q$14")=""),"",IF(TRIM(INDIRECT("'"&amp;$A30&amp;"'!$Q$14"))=TRIM(Tulokset!$N$12),2,0))</f>
        <v/>
      </c>
      <c r="DG30" t="str">
        <f ca="1">IF(OR(Tulokset!$N$13="",INDIRECT("'"&amp;$A30&amp;"'!$Q$15")=""),"",IF(TRIM(INDIRECT("'"&amp;$A30&amp;"'!$Q$15"))=TRIM(Tulokset!$N$13),2,0))</f>
        <v/>
      </c>
      <c r="DH30" t="str">
        <f ca="1">IF(OR(Tulokset!$N$14="",INDIRECT("'"&amp;$A30&amp;"'!$Q$16")=""),"",IF(TRIM(INDIRECT("'"&amp;$A30&amp;"'!$Q$16"))=TRIM(Tulokset!$N$14),2,0))</f>
        <v/>
      </c>
      <c r="DI30" t="str">
        <f ca="1">IF(OR(Tulokset!$N$15="",INDIRECT("'"&amp;$A30&amp;"'!$Q$17")=""),"",IF(TRIM(INDIRECT("'"&amp;$A30&amp;"'!$Q$17"))=TRIM(Tulokset!$N$15),2,0))</f>
        <v/>
      </c>
      <c r="DJ30" t="str">
        <f ca="1">IF(OR(Tulokset!$O$12="",INDIRECT("'"&amp;$A30&amp;"'!$R$14")=""),"",IF(TRIM(INDIRECT("'"&amp;$A30&amp;"'!$R$14"))=TRIM(Tulokset!$O$12),2,0))</f>
        <v/>
      </c>
      <c r="DK30" t="str">
        <f ca="1">IF(OR(Tulokset!$O$13="",INDIRECT("'"&amp;$A30&amp;"'!$R$15")=""),"",IF(TRIM(INDIRECT("'"&amp;$A30&amp;"'!$R$15"))=TRIM(Tulokset!$O$13),2,0))</f>
        <v/>
      </c>
      <c r="DL30" t="str">
        <f ca="1">IF(OR(Tulokset!$O$14="",INDIRECT("'"&amp;$A30&amp;"'!$R$16")=""),"",IF(TRIM(INDIRECT("'"&amp;$A30&amp;"'!$R$16"))=TRIM(Tulokset!$O$14),2,0))</f>
        <v/>
      </c>
      <c r="DM30" t="str">
        <f ca="1">IF(OR(Tulokset!$O$15="",INDIRECT("'"&amp;$A30&amp;"'!$R$17")=""),"",IF(TRIM(INDIRECT("'"&amp;$A30&amp;"'!$R$17"))=TRIM(Tulokset!$O$15),2,0))</f>
        <v/>
      </c>
      <c r="DN30" t="str">
        <f ca="1">IF(OR(Tulokset!$P$12="",INDIRECT("'"&amp;$A30&amp;"'!$S$14")=""),"",IF(TRIM(INDIRECT("'"&amp;$A30&amp;"'!$S$14"))=TRIM(Tulokset!$P$12),2,0))</f>
        <v/>
      </c>
      <c r="DO30" t="str">
        <f ca="1">IF(OR(Tulokset!$P$13="",INDIRECT("'"&amp;$A30&amp;"'!$S$15")=""),"",IF(TRIM(INDIRECT("'"&amp;$A30&amp;"'!$S$15"))=TRIM(Tulokset!$P$13),2,0))</f>
        <v/>
      </c>
      <c r="DP30" t="str">
        <f ca="1">IF(OR(Tulokset!$P$14="",INDIRECT("'"&amp;$A30&amp;"'!$S$16")=""),"",IF(TRIM(INDIRECT("'"&amp;$A30&amp;"'!$S$16"))=TRIM(Tulokset!$P$14),2,0))</f>
        <v/>
      </c>
      <c r="DQ30" t="str">
        <f ca="1">IF(OR(Tulokset!$P$15="",INDIRECT("'"&amp;$A30&amp;"'!$S$17")=""),"",IF(TRIM(INDIRECT("'"&amp;$A30&amp;"'!$S$17"))=TRIM(Tulokset!$P$15),2,0))</f>
        <v/>
      </c>
      <c r="DR30" t="str">
        <f ca="1">IF(OR(Tulokset!$Q$12="",INDIRECT("'"&amp;$A30&amp;"'!$T$14")=""),"",IF(TRIM(INDIRECT("'"&amp;$A30&amp;"'!$T$14"))=TRIM(Tulokset!$Q$12),2,0))</f>
        <v/>
      </c>
      <c r="DS30" t="str">
        <f ca="1">IF(OR(Tulokset!$Q$13="",INDIRECT("'"&amp;$A30&amp;"'!$T$15")=""),"",IF(TRIM(INDIRECT("'"&amp;$A30&amp;"'!$T$15"))=TRIM(Tulokset!$Q$13),2,0))</f>
        <v/>
      </c>
      <c r="DT30" t="str">
        <f ca="1">IF(OR(Tulokset!$Q$14="",INDIRECT("'"&amp;$A30&amp;"'!$T$16")=""),"",IF(TRIM(INDIRECT("'"&amp;$A30&amp;"'!$T$16"))=TRIM(Tulokset!$Q$14),2,0))</f>
        <v/>
      </c>
      <c r="DU30" t="str">
        <f ca="1">IF(OR(Tulokset!$Q$15="",INDIRECT("'"&amp;$A30&amp;"'!$T$17")=""),"",IF(TRIM(INDIRECT("'"&amp;$A30&amp;"'!$T$17"))=TRIM(Tulokset!$Q$15),2,0))</f>
        <v/>
      </c>
      <c r="DV30" t="str">
        <f ca="1">IF(OR(Tulokset!$R$12="",INDIRECT("'"&amp;$A30&amp;"'!$U$14")=""),"",IF(TRIM(INDIRECT("'"&amp;$A30&amp;"'!$U$14"))=TRIM(Tulokset!$R$12),2,0))</f>
        <v/>
      </c>
      <c r="DW30" t="str">
        <f ca="1">IF(OR(Tulokset!$R$13="",INDIRECT("'"&amp;$A30&amp;"'!$U$15")=""),"",IF(TRIM(INDIRECT("'"&amp;$A30&amp;"'!$U$15"))=TRIM(Tulokset!$R$13),2,0))</f>
        <v/>
      </c>
      <c r="DX30" t="str">
        <f ca="1">IF(OR(Tulokset!$R$14="",INDIRECT("'"&amp;$A30&amp;"'!$U$16")=""),"",IF(TRIM(INDIRECT("'"&amp;$A30&amp;"'!$U$16"))=TRIM(Tulokset!$R$14),2,0))</f>
        <v/>
      </c>
      <c r="DY30" t="str">
        <f ca="1">IF(OR(Tulokset!$R$15="",INDIRECT("'"&amp;$A30&amp;"'!$U$17")=""),"",IF(TRIM(INDIRECT("'"&amp;$A30&amp;"'!$U$17"))=TRIM(Tulokset!$R$15),2,0))</f>
        <v/>
      </c>
      <c r="EA30" t="str">
        <f ca="1">IF(OR(INDIRECT("'"&amp;$A30&amp;"'!$E$79")="",COUNTA(Tulokset!$M$20:$M$21)=0),"",IF(COUNTIF(Tulokset!$M$20:$M$21,INDIRECT("'"&amp;$A30&amp;"'!$E$79"))&gt;0,2,0))</f>
        <v/>
      </c>
      <c r="EB30" t="str">
        <f ca="1">IF(OR(INDIRECT("'"&amp;$A30&amp;"'!$G$79")="",COUNTA(Tulokset!$M$20:$M$21)=0),"",IF(COUNTIF(Tulokset!$M$20:$M$21,INDIRECT("'"&amp;$A30&amp;"'!$G$79"))&gt;0,2,0))</f>
        <v/>
      </c>
      <c r="EC30" t="str">
        <f ca="1">IF(OR(INDIRECT("'"&amp;$A30&amp;"'!$E$80")="",COUNTA(Tulokset!$M$23:$M$24)=0),"",IF(COUNTIF(Tulokset!$M$23:$M$24,INDIRECT("'"&amp;$A30&amp;"'!$E$80"))&gt;0,2,0))</f>
        <v/>
      </c>
      <c r="ED30" t="str">
        <f ca="1">IF(OR(INDIRECT("'"&amp;$A30&amp;"'!$G$80")="",COUNTA(Tulokset!$M$23:$M$24)=0),"",IF(COUNTIF(Tulokset!$M$23:$M$24,INDIRECT("'"&amp;$A30&amp;"'!$G$80"))&gt;0,2,0))</f>
        <v/>
      </c>
    </row>
    <row r="31" spans="1:134">
      <c r="A31" t="s">
        <v>246</v>
      </c>
      <c r="B31" t="str">
        <f t="shared" ca="1" si="0"/>
        <v/>
      </c>
      <c r="C31" s="95">
        <f t="shared" si="1"/>
        <v>0</v>
      </c>
      <c r="D31" s="95">
        <f t="shared" ca="1" si="2"/>
        <v>0</v>
      </c>
      <c r="E31" s="95">
        <f t="shared" ca="1" si="3"/>
        <v>0</v>
      </c>
      <c r="F31" s="95" t="str">
        <f t="shared" ca="1" si="4"/>
        <v/>
      </c>
      <c r="G31" s="95">
        <f t="shared" si="5"/>
        <v>0</v>
      </c>
      <c r="H31" t="str">
        <f>IF(OR(Tulokset!$G$6="",Tulokset!$I$6="",'28'!$I$7="",'28'!$K$7=""),"",IF(SIGN('28'!$I$7-'28'!$K$7)&lt;&gt;SIGN(Tulokset!$G$6-Tulokset!$I$6),0,IF(Tulokset!$G$6=Tulokset!$I$6,IF(AND('28'!$I$7=Tulokset!$G$6,'28'!$K$7=Tulokset!$I$6),6,3),MAX(0,6-(ABS('28'!$I$7-Tulokset!$G$6)+ABS('28'!$K$7-Tulokset!$I$6))))))</f>
        <v/>
      </c>
      <c r="I31" t="str">
        <f>IF(OR(Tulokset!$G$7="",Tulokset!$I$7="",'28'!$I$8="",'28'!$K$8=""),"",IF(SIGN('28'!$I$8-'28'!$K$8)&lt;&gt;SIGN(Tulokset!$G$7-Tulokset!$I$7),0,IF(Tulokset!$G$7=Tulokset!$I$7,IF(AND('28'!$I$8=Tulokset!$G$7,'28'!$K$8=Tulokset!$I$7),6,3),MAX(0,6-(ABS('28'!$I$8-Tulokset!$G$7)+ABS('28'!$K$8-Tulokset!$I$7))))))</f>
        <v/>
      </c>
      <c r="J31" t="str">
        <f>IF(OR(Tulokset!$G$8="",Tulokset!$I$8="",'28'!$I$9="",'28'!$K$9=""),"",IF(SIGN('28'!$I$9-'28'!$K$9)&lt;&gt;SIGN(Tulokset!$G$8-Tulokset!$I$8),0,IF(Tulokset!$G$8=Tulokset!$I$8,IF(AND('28'!$I$9=Tulokset!$G$8,'28'!$K$9=Tulokset!$I$8),6,3),MAX(0,6-(ABS('28'!$I$9-Tulokset!$G$8)+ABS('28'!$K$9-Tulokset!$I$8))))))</f>
        <v/>
      </c>
      <c r="K31" t="str">
        <f>IF(OR(Tulokset!$G$9="",Tulokset!$I$9="",'28'!$I$10="",'28'!$K$10=""),"",IF(SIGN('28'!$I$10-'28'!$K$10)&lt;&gt;SIGN(Tulokset!$G$9-Tulokset!$I$9),0,IF(Tulokset!$G$9=Tulokset!$I$9,IF(AND('28'!$I$10=Tulokset!$G$9,'28'!$K$10=Tulokset!$I$9),6,3),MAX(0,6-(ABS('28'!$I$10-Tulokset!$G$9)+ABS('28'!$K$10-Tulokset!$I$9))))))</f>
        <v/>
      </c>
      <c r="L31" t="str">
        <f>IF(OR(Tulokset!$G$10="",Tulokset!$I$10="",'28'!$I$11="",'28'!$K$11=""),"",IF(SIGN('28'!$I$11-'28'!$K$11)&lt;&gt;SIGN(Tulokset!$G$10-Tulokset!$I$10),0,IF(Tulokset!$G$10=Tulokset!$I$10,IF(AND('28'!$I$11=Tulokset!$G$10,'28'!$K$11=Tulokset!$I$10),6,3),MAX(0,6-(ABS('28'!$I$11-Tulokset!$G$10)+ABS('28'!$K$11-Tulokset!$I$10))))))</f>
        <v/>
      </c>
      <c r="M31" t="str">
        <f>IF(OR(Tulokset!$G$11="",Tulokset!$I$11="",'28'!$I$12="",'28'!$K$12=""),"",IF(SIGN('28'!$I$12-'28'!$K$12)&lt;&gt;SIGN(Tulokset!$G$11-Tulokset!$I$11),0,IF(Tulokset!$G$11=Tulokset!$I$11,IF(AND('28'!$I$12=Tulokset!$G$11,'28'!$K$12=Tulokset!$I$11),6,3),MAX(0,6-(ABS('28'!$I$12-Tulokset!$G$11)+ABS('28'!$K$12-Tulokset!$I$11))))))</f>
        <v/>
      </c>
      <c r="N31" t="str">
        <f>IF(OR(Tulokset!$G$12="",Tulokset!$I$12="",'28'!$I$13="",'28'!$K$13=""),"",IF(SIGN('28'!$I$13-'28'!$K$13)&lt;&gt;SIGN(Tulokset!$G$12-Tulokset!$I$12),0,IF(Tulokset!$G$12=Tulokset!$I$12,IF(AND('28'!$I$13=Tulokset!$G$12,'28'!$K$13=Tulokset!$I$12),6,3),MAX(0,6-(ABS('28'!$I$13-Tulokset!$G$12)+ABS('28'!$K$13-Tulokset!$I$12))))))</f>
        <v/>
      </c>
      <c r="O31" t="str">
        <f>IF(OR(Tulokset!$G$13="",Tulokset!$I$13="",'28'!$I$14="",'28'!$K$14=""),"",IF(SIGN('28'!$I$14-'28'!$K$14)&lt;&gt;SIGN(Tulokset!$G$13-Tulokset!$I$13),0,IF(Tulokset!$G$13=Tulokset!$I$13,IF(AND('28'!$I$14=Tulokset!$G$13,'28'!$K$14=Tulokset!$I$13),6,3),MAX(0,6-(ABS('28'!$I$14-Tulokset!$G$13)+ABS('28'!$K$14-Tulokset!$I$13))))))</f>
        <v/>
      </c>
      <c r="P31" t="str">
        <f>IF(OR(Tulokset!$G$14="",Tulokset!$I$14="",'28'!$I$15="",'28'!$K$15=""),"",IF(SIGN('28'!$I$15-'28'!$K$15)&lt;&gt;SIGN(Tulokset!$G$14-Tulokset!$I$14),0,IF(Tulokset!$G$14=Tulokset!$I$14,IF(AND('28'!$I$15=Tulokset!$G$14,'28'!$K$15=Tulokset!$I$14),6,3),MAX(0,6-(ABS('28'!$I$15-Tulokset!$G$14)+ABS('28'!$K$15-Tulokset!$I$14))))))</f>
        <v/>
      </c>
      <c r="Q31" t="str">
        <f>IF(OR(Tulokset!$G$15="",Tulokset!$I$15="",'28'!$I$16="",'28'!$K$16=""),"",IF(SIGN('28'!$I$16-'28'!$K$16)&lt;&gt;SIGN(Tulokset!$G$15-Tulokset!$I$15),0,IF(Tulokset!$G$15=Tulokset!$I$15,IF(AND('28'!$I$16=Tulokset!$G$15,'28'!$K$16=Tulokset!$I$15),6,3),MAX(0,6-(ABS('28'!$I$16-Tulokset!$G$15)+ABS('28'!$K$16-Tulokset!$I$15))))))</f>
        <v/>
      </c>
      <c r="R31" t="str">
        <f>IF(OR(Tulokset!$G$16="",Tulokset!$I$16="",'28'!$I$17="",'28'!$K$17=""),"",IF(SIGN('28'!$I$17-'28'!$K$17)&lt;&gt;SIGN(Tulokset!$G$16-Tulokset!$I$16),0,IF(Tulokset!$G$16=Tulokset!$I$16,IF(AND('28'!$I$17=Tulokset!$G$16,'28'!$K$17=Tulokset!$I$16),6,3),MAX(0,6-(ABS('28'!$I$17-Tulokset!$G$16)+ABS('28'!$K$17-Tulokset!$I$16))))))</f>
        <v/>
      </c>
      <c r="S31" t="str">
        <f>IF(OR(Tulokset!$G$17="",Tulokset!$I$17="",'28'!$I$18="",'28'!$K$18=""),"",IF(SIGN('28'!$I$18-'28'!$K$18)&lt;&gt;SIGN(Tulokset!$G$17-Tulokset!$I$17),0,IF(Tulokset!$G$17=Tulokset!$I$17,IF(AND('28'!$I$18=Tulokset!$G$17,'28'!$K$18=Tulokset!$I$17),6,3),MAX(0,6-(ABS('28'!$I$18-Tulokset!$G$17)+ABS('28'!$K$18-Tulokset!$I$17))))))</f>
        <v/>
      </c>
      <c r="T31" t="str">
        <f>IF(OR(Tulokset!$G$18="",Tulokset!$I$18="",'28'!$I$19="",'28'!$K$19=""),"",IF(SIGN('28'!$I$19-'28'!$K$19)&lt;&gt;SIGN(Tulokset!$G$18-Tulokset!$I$18),0,IF(Tulokset!$G$18=Tulokset!$I$18,IF(AND('28'!$I$19=Tulokset!$G$18,'28'!$K$19=Tulokset!$I$18),6,3),MAX(0,6-(ABS('28'!$I$19-Tulokset!$G$18)+ABS('28'!$K$19-Tulokset!$I$18))))))</f>
        <v/>
      </c>
      <c r="U31" t="str">
        <f>IF(OR(Tulokset!$G$19="",Tulokset!$I$19="",'28'!$I$20="",'28'!$K$20=""),"",IF(SIGN('28'!$I$20-'28'!$K$20)&lt;&gt;SIGN(Tulokset!$G$19-Tulokset!$I$19),0,IF(Tulokset!$G$19=Tulokset!$I$19,IF(AND('28'!$I$20=Tulokset!$G$19,'28'!$K$20=Tulokset!$I$19),6,3),MAX(0,6-(ABS('28'!$I$20-Tulokset!$G$19)+ABS('28'!$K$20-Tulokset!$I$19))))))</f>
        <v/>
      </c>
      <c r="V31" t="str">
        <f>IF(OR(Tulokset!$G$20="",Tulokset!$I$20="",'28'!$I$21="",'28'!$K$21=""),"",IF(SIGN('28'!$I$21-'28'!$K$21)&lt;&gt;SIGN(Tulokset!$G$20-Tulokset!$I$20),0,IF(Tulokset!$G$20=Tulokset!$I$20,IF(AND('28'!$I$21=Tulokset!$G$20,'28'!$K$21=Tulokset!$I$20),6,3),MAX(0,6-(ABS('28'!$I$21-Tulokset!$G$20)+ABS('28'!$K$21-Tulokset!$I$20))))))</f>
        <v/>
      </c>
      <c r="W31" t="str">
        <f>IF(OR(Tulokset!$G$21="",Tulokset!$I$21="",'28'!$I$22="",'28'!$K$22=""),"",IF(SIGN('28'!$I$22-'28'!$K$22)&lt;&gt;SIGN(Tulokset!$G$21-Tulokset!$I$21),0,IF(Tulokset!$G$21=Tulokset!$I$21,IF(AND('28'!$I$22=Tulokset!$G$21,'28'!$K$22=Tulokset!$I$21),6,3),MAX(0,6-(ABS('28'!$I$22-Tulokset!$G$21)+ABS('28'!$K$22-Tulokset!$I$21))))))</f>
        <v/>
      </c>
      <c r="X31" t="str">
        <f>IF(OR(Tulokset!$G$22="",Tulokset!$I$22="",'28'!$I$23="",'28'!$K$23=""),"",IF(SIGN('28'!$I$23-'28'!$K$23)&lt;&gt;SIGN(Tulokset!$G$22-Tulokset!$I$22),0,IF(Tulokset!$G$22=Tulokset!$I$22,IF(AND('28'!$I$23=Tulokset!$G$22,'28'!$K$23=Tulokset!$I$22),6,3),MAX(0,6-(ABS('28'!$I$23-Tulokset!$G$22)+ABS('28'!$K$23-Tulokset!$I$22))))))</f>
        <v/>
      </c>
      <c r="Y31" t="str">
        <f>IF(OR(Tulokset!$G$23="",Tulokset!$I$23="",'28'!$I$24="",'28'!$K$24=""),"",IF(SIGN('28'!$I$24-'28'!$K$24)&lt;&gt;SIGN(Tulokset!$G$23-Tulokset!$I$23),0,IF(Tulokset!$G$23=Tulokset!$I$23,IF(AND('28'!$I$24=Tulokset!$G$23,'28'!$K$24=Tulokset!$I$23),6,3),MAX(0,6-(ABS('28'!$I$24-Tulokset!$G$23)+ABS('28'!$K$24-Tulokset!$I$23))))))</f>
        <v/>
      </c>
      <c r="Z31" t="str">
        <f>IF(OR(Tulokset!$G$24="",Tulokset!$I$24="",'28'!$I$25="",'28'!$K$25=""),"",IF(SIGN('28'!$I$25-'28'!$K$25)&lt;&gt;SIGN(Tulokset!$G$24-Tulokset!$I$24),0,IF(Tulokset!$G$24=Tulokset!$I$24,IF(AND('28'!$I$25=Tulokset!$G$24,'28'!$K$25=Tulokset!$I$24),6,3),MAX(0,6-(ABS('28'!$I$25-Tulokset!$G$24)+ABS('28'!$K$25-Tulokset!$I$24))))))</f>
        <v/>
      </c>
      <c r="AA31" t="str">
        <f>IF(OR(Tulokset!$G$25="",Tulokset!$I$25="",'28'!$I$26="",'28'!$K$26=""),"",IF(SIGN('28'!$I$26-'28'!$K$26)&lt;&gt;SIGN(Tulokset!$G$25-Tulokset!$I$25),0,IF(Tulokset!$G$25=Tulokset!$I$25,IF(AND('28'!$I$26=Tulokset!$G$25,'28'!$K$26=Tulokset!$I$25),6,3),MAX(0,6-(ABS('28'!$I$26-Tulokset!$G$25)+ABS('28'!$K$26-Tulokset!$I$25))))))</f>
        <v/>
      </c>
      <c r="AB31" t="str">
        <f>IF(OR(Tulokset!$G$26="",Tulokset!$I$26="",'28'!$I$27="",'28'!$K$27=""),"",IF(SIGN('28'!$I$27-'28'!$K$27)&lt;&gt;SIGN(Tulokset!$G$26-Tulokset!$I$26),0,IF(Tulokset!$G$26=Tulokset!$I$26,IF(AND('28'!$I$27=Tulokset!$G$26,'28'!$K$27=Tulokset!$I$26),6,3),MAX(0,6-(ABS('28'!$I$27-Tulokset!$G$26)+ABS('28'!$K$27-Tulokset!$I$26))))))</f>
        <v/>
      </c>
      <c r="AC31" t="str">
        <f>IF(OR(Tulokset!$G$27="",Tulokset!$I$27="",'28'!$I$28="",'28'!$K$28=""),"",IF(SIGN('28'!$I$28-'28'!$K$28)&lt;&gt;SIGN(Tulokset!$G$27-Tulokset!$I$27),0,IF(Tulokset!$G$27=Tulokset!$I$27,IF(AND('28'!$I$28=Tulokset!$G$27,'28'!$K$28=Tulokset!$I$27),6,3),MAX(0,6-(ABS('28'!$I$28-Tulokset!$G$27)+ABS('28'!$K$28-Tulokset!$I$27))))))</f>
        <v/>
      </c>
      <c r="AD31" t="str">
        <f>IF(OR(Tulokset!$G$28="",Tulokset!$I$28="",'28'!$I$29="",'28'!$K$29=""),"",IF(SIGN('28'!$I$29-'28'!$K$29)&lt;&gt;SIGN(Tulokset!$G$28-Tulokset!$I$28),0,IF(Tulokset!$G$28=Tulokset!$I$28,IF(AND('28'!$I$29=Tulokset!$G$28,'28'!$K$29=Tulokset!$I$28),6,3),MAX(0,6-(ABS('28'!$I$29-Tulokset!$G$28)+ABS('28'!$K$29-Tulokset!$I$28))))))</f>
        <v/>
      </c>
      <c r="AE31" t="str">
        <f>IF(OR(Tulokset!$G$29="",Tulokset!$I$29="",'28'!$I$30="",'28'!$K$30=""),"",IF(SIGN('28'!$I$30-'28'!$K$30)&lt;&gt;SIGN(Tulokset!$G$29-Tulokset!$I$29),0,IF(Tulokset!$G$29=Tulokset!$I$29,IF(AND('28'!$I$30=Tulokset!$G$29,'28'!$K$30=Tulokset!$I$29),6,3),MAX(0,6-(ABS('28'!$I$30-Tulokset!$G$29)+ABS('28'!$K$30-Tulokset!$I$29))))))</f>
        <v/>
      </c>
      <c r="AF31" t="str">
        <f>IF(OR(Tulokset!$G$30="",Tulokset!$I$30="",'28'!$I$31="",'28'!$K$31=""),"",IF(SIGN('28'!$I$31-'28'!$K$31)&lt;&gt;SIGN(Tulokset!$G$30-Tulokset!$I$30),0,IF(Tulokset!$G$30=Tulokset!$I$30,IF(AND('28'!$I$31=Tulokset!$G$30,'28'!$K$31=Tulokset!$I$30),6,3),MAX(0,6-(ABS('28'!$I$31-Tulokset!$G$30)+ABS('28'!$K$31-Tulokset!$I$30))))))</f>
        <v/>
      </c>
      <c r="AG31" t="str">
        <f>IF(OR(Tulokset!$G$31="",Tulokset!$I$31="",'28'!$I$32="",'28'!$K$32=""),"",IF(SIGN('28'!$I$32-'28'!$K$32)&lt;&gt;SIGN(Tulokset!$G$31-Tulokset!$I$31),0,IF(Tulokset!$G$31=Tulokset!$I$31,IF(AND('28'!$I$32=Tulokset!$G$31,'28'!$K$32=Tulokset!$I$31),6,3),MAX(0,6-(ABS('28'!$I$32-Tulokset!$G$31)+ABS('28'!$K$32-Tulokset!$I$31))))))</f>
        <v/>
      </c>
      <c r="AH31" t="str">
        <f>IF(OR(Tulokset!$G$32="",Tulokset!$I$32="",'28'!$I$33="",'28'!$K$33=""),"",IF(SIGN('28'!$I$33-'28'!$K$33)&lt;&gt;SIGN(Tulokset!$G$32-Tulokset!$I$32),0,IF(Tulokset!$G$32=Tulokset!$I$32,IF(AND('28'!$I$33=Tulokset!$G$32,'28'!$K$33=Tulokset!$I$32),6,3),MAX(0,6-(ABS('28'!$I$33-Tulokset!$G$32)+ABS('28'!$K$33-Tulokset!$I$32))))))</f>
        <v/>
      </c>
      <c r="AI31" t="str">
        <f>IF(OR(Tulokset!$G$33="",Tulokset!$I$33="",'28'!$I$34="",'28'!$K$34=""),"",IF(SIGN('28'!$I$34-'28'!$K$34)&lt;&gt;SIGN(Tulokset!$G$33-Tulokset!$I$33),0,IF(Tulokset!$G$33=Tulokset!$I$33,IF(AND('28'!$I$34=Tulokset!$G$33,'28'!$K$34=Tulokset!$I$33),6,3),MAX(0,6-(ABS('28'!$I$34-Tulokset!$G$33)+ABS('28'!$K$34-Tulokset!$I$33))))))</f>
        <v/>
      </c>
      <c r="AJ31" t="str">
        <f>IF(OR(Tulokset!$G$34="",Tulokset!$I$34="",'28'!$I$35="",'28'!$K$35=""),"",IF(SIGN('28'!$I$35-'28'!$K$35)&lt;&gt;SIGN(Tulokset!$G$34-Tulokset!$I$34),0,IF(Tulokset!$G$34=Tulokset!$I$34,IF(AND('28'!$I$35=Tulokset!$G$34,'28'!$K$35=Tulokset!$I$34),6,3),MAX(0,6-(ABS('28'!$I$35-Tulokset!$G$34)+ABS('28'!$K$35-Tulokset!$I$34))))))</f>
        <v/>
      </c>
      <c r="AK31" t="str">
        <f>IF(OR(Tulokset!$G$35="",Tulokset!$I$35="",'28'!$I$36="",'28'!$K$36=""),"",IF(SIGN('28'!$I$36-'28'!$K$36)&lt;&gt;SIGN(Tulokset!$G$35-Tulokset!$I$35),0,IF(Tulokset!$G$35=Tulokset!$I$35,IF(AND('28'!$I$36=Tulokset!$G$35,'28'!$K$36=Tulokset!$I$35),6,3),MAX(0,6-(ABS('28'!$I$36-Tulokset!$G$35)+ABS('28'!$K$36-Tulokset!$I$35))))))</f>
        <v/>
      </c>
      <c r="AL31" t="str">
        <f>IF(OR(Tulokset!$G$36="",Tulokset!$I$36="",'28'!$I$37="",'28'!$K$37=""),"",IF(SIGN('28'!$I$37-'28'!$K$37)&lt;&gt;SIGN(Tulokset!$G$36-Tulokset!$I$36),0,IF(Tulokset!$G$36=Tulokset!$I$36,IF(AND('28'!$I$37=Tulokset!$G$36,'28'!$K$37=Tulokset!$I$36),6,3),MAX(0,6-(ABS('28'!$I$37-Tulokset!$G$36)+ABS('28'!$K$37-Tulokset!$I$36))))))</f>
        <v/>
      </c>
      <c r="AM31" t="str">
        <f>IF(OR(Tulokset!$G$37="",Tulokset!$I$37="",'28'!$I$38="",'28'!$K$38=""),"",IF(SIGN('28'!$I$38-'28'!$K$38)&lt;&gt;SIGN(Tulokset!$G$37-Tulokset!$I$37),0,IF(Tulokset!$G$37=Tulokset!$I$37,IF(AND('28'!$I$38=Tulokset!$G$37,'28'!$K$38=Tulokset!$I$37),6,3),MAX(0,6-(ABS('28'!$I$38-Tulokset!$G$37)+ABS('28'!$K$38-Tulokset!$I$37))))))</f>
        <v/>
      </c>
      <c r="AN31" t="str">
        <f>IF(OR(Tulokset!$G$38="",Tulokset!$I$38="",'28'!$I$39="",'28'!$K$39=""),"",IF(SIGN('28'!$I$39-'28'!$K$39)&lt;&gt;SIGN(Tulokset!$G$38-Tulokset!$I$38),0,IF(Tulokset!$G$38=Tulokset!$I$38,IF(AND('28'!$I$39=Tulokset!$G$38,'28'!$K$39=Tulokset!$I$38),6,3),MAX(0,6-(ABS('28'!$I$39-Tulokset!$G$38)+ABS('28'!$K$39-Tulokset!$I$38))))))</f>
        <v/>
      </c>
      <c r="AO31" t="str">
        <f>IF(OR(Tulokset!$G$39="",Tulokset!$I$39="",'28'!$I$40="",'28'!$K$40=""),"",IF(SIGN('28'!$I$40-'28'!$K$40)&lt;&gt;SIGN(Tulokset!$G$39-Tulokset!$I$39),0,IF(Tulokset!$G$39=Tulokset!$I$39,IF(AND('28'!$I$40=Tulokset!$G$39,'28'!$K$40=Tulokset!$I$39),6,3),MAX(0,6-(ABS('28'!$I$40-Tulokset!$G$39)+ABS('28'!$K$40-Tulokset!$I$39))))))</f>
        <v/>
      </c>
      <c r="AP31" t="str">
        <f>IF(OR(Tulokset!$G$40="",Tulokset!$I$40="",'28'!$I$41="",'28'!$K$41=""),"",IF(SIGN('28'!$I$41-'28'!$K$41)&lt;&gt;SIGN(Tulokset!$G$40-Tulokset!$I$40),0,IF(Tulokset!$G$40=Tulokset!$I$40,IF(AND('28'!$I$41=Tulokset!$G$40,'28'!$K$41=Tulokset!$I$40),6,3),MAX(0,6-(ABS('28'!$I$41-Tulokset!$G$40)+ABS('28'!$K$41-Tulokset!$I$40))))))</f>
        <v/>
      </c>
      <c r="AQ31" t="str">
        <f>IF(OR(Tulokset!$G$41="",Tulokset!$I$41="",'28'!$I$42="",'28'!$K$42=""),"",IF(SIGN('28'!$I$42-'28'!$K$42)&lt;&gt;SIGN(Tulokset!$G$41-Tulokset!$I$41),0,IF(Tulokset!$G$41=Tulokset!$I$41,IF(AND('28'!$I$42=Tulokset!$G$41,'28'!$K$42=Tulokset!$I$41),6,3),MAX(0,6-(ABS('28'!$I$42-Tulokset!$G$41)+ABS('28'!$K$42-Tulokset!$I$41))))))</f>
        <v/>
      </c>
      <c r="AR31" t="str">
        <f>IF(OR(Tulokset!$G$42="",Tulokset!$I$42="",'28'!$I$43="",'28'!$K$43=""),"",IF(SIGN('28'!$I$43-'28'!$K$43)&lt;&gt;SIGN(Tulokset!$G$42-Tulokset!$I$42),0,IF(Tulokset!$G$42=Tulokset!$I$42,IF(AND('28'!$I$43=Tulokset!$G$42,'28'!$K$43=Tulokset!$I$42),6,3),MAX(0,6-(ABS('28'!$I$43-Tulokset!$G$42)+ABS('28'!$K$43-Tulokset!$I$42))))))</f>
        <v/>
      </c>
      <c r="AS31" t="str">
        <f>IF(OR(Tulokset!$G$43="",Tulokset!$I$43="",'28'!$I$44="",'28'!$K$44=""),"",IF(SIGN('28'!$I$44-'28'!$K$44)&lt;&gt;SIGN(Tulokset!$G$43-Tulokset!$I$43),0,IF(Tulokset!$G$43=Tulokset!$I$43,IF(AND('28'!$I$44=Tulokset!$G$43,'28'!$K$44=Tulokset!$I$43),6,3),MAX(0,6-(ABS('28'!$I$44-Tulokset!$G$43)+ABS('28'!$K$44-Tulokset!$I$43))))))</f>
        <v/>
      </c>
      <c r="AT31" t="str">
        <f>IF(OR(Tulokset!$G$44="",Tulokset!$I$44="",'28'!$I$45="",'28'!$K$45=""),"",IF(SIGN('28'!$I$45-'28'!$K$45)&lt;&gt;SIGN(Tulokset!$G$44-Tulokset!$I$44),0,IF(Tulokset!$G$44=Tulokset!$I$44,IF(AND('28'!$I$45=Tulokset!$G$44,'28'!$K$45=Tulokset!$I$44),6,3),MAX(0,6-(ABS('28'!$I$45-Tulokset!$G$44)+ABS('28'!$K$45-Tulokset!$I$44))))))</f>
        <v/>
      </c>
      <c r="AU31" t="str">
        <f>IF(OR(Tulokset!$G$45="",Tulokset!$I$45="",'28'!$I$46="",'28'!$K$46=""),"",IF(SIGN('28'!$I$46-'28'!$K$46)&lt;&gt;SIGN(Tulokset!$G$45-Tulokset!$I$45),0,IF(Tulokset!$G$45=Tulokset!$I$45,IF(AND('28'!$I$46=Tulokset!$G$45,'28'!$K$46=Tulokset!$I$45),6,3),MAX(0,6-(ABS('28'!$I$46-Tulokset!$G$45)+ABS('28'!$K$46-Tulokset!$I$45))))))</f>
        <v/>
      </c>
      <c r="AV31" t="str">
        <f>IF(OR(Tulokset!$G$46="",Tulokset!$I$46="",'28'!$I$47="",'28'!$K$47=""),"",IF(SIGN('28'!$I$47-'28'!$K$47)&lt;&gt;SIGN(Tulokset!$G$46-Tulokset!$I$46),0,IF(Tulokset!$G$46=Tulokset!$I$46,IF(AND('28'!$I$47=Tulokset!$G$46,'28'!$K$47=Tulokset!$I$46),6,3),MAX(0,6-(ABS('28'!$I$47-Tulokset!$G$46)+ABS('28'!$K$47-Tulokset!$I$46))))))</f>
        <v/>
      </c>
      <c r="AW31" t="str">
        <f>IF(OR(Tulokset!$G$47="",Tulokset!$I$47="",'28'!$I$48="",'28'!$K$48=""),"",IF(SIGN('28'!$I$48-'28'!$K$48)&lt;&gt;SIGN(Tulokset!$G$47-Tulokset!$I$47),0,IF(Tulokset!$G$47=Tulokset!$I$47,IF(AND('28'!$I$48=Tulokset!$G$47,'28'!$K$48=Tulokset!$I$47),6,3),MAX(0,6-(ABS('28'!$I$48-Tulokset!$G$47)+ABS('28'!$K$48-Tulokset!$I$47))))))</f>
        <v/>
      </c>
      <c r="AX31" t="str">
        <f>IF(OR(Tulokset!$G$48="",Tulokset!$I$48="",'28'!$I$49="",'28'!$K$49=""),"",IF(SIGN('28'!$I$49-'28'!$K$49)&lt;&gt;SIGN(Tulokset!$G$48-Tulokset!$I$48),0,IF(Tulokset!$G$48=Tulokset!$I$48,IF(AND('28'!$I$49=Tulokset!$G$48,'28'!$K$49=Tulokset!$I$48),6,3),MAX(0,6-(ABS('28'!$I$49-Tulokset!$G$48)+ABS('28'!$K$49-Tulokset!$I$48))))))</f>
        <v/>
      </c>
      <c r="AY31" t="str">
        <f>IF(OR(Tulokset!$G$49="",Tulokset!$I$49="",'28'!$I$50="",'28'!$K$50=""),"",IF(SIGN('28'!$I$50-'28'!$K$50)&lt;&gt;SIGN(Tulokset!$G$49-Tulokset!$I$49),0,IF(Tulokset!$G$49=Tulokset!$I$49,IF(AND('28'!$I$50=Tulokset!$G$49,'28'!$K$50=Tulokset!$I$49),6,3),MAX(0,6-(ABS('28'!$I$50-Tulokset!$G$49)+ABS('28'!$K$50-Tulokset!$I$49))))))</f>
        <v/>
      </c>
      <c r="AZ31" t="str">
        <f>IF(OR(Tulokset!$G$50="",Tulokset!$I$50="",'28'!$I$51="",'28'!$K$51=""),"",IF(SIGN('28'!$I$51-'28'!$K$51)&lt;&gt;SIGN(Tulokset!$G$50-Tulokset!$I$50),0,IF(Tulokset!$G$50=Tulokset!$I$50,IF(AND('28'!$I$51=Tulokset!$G$50,'28'!$K$51=Tulokset!$I$50),6,3),MAX(0,6-(ABS('28'!$I$51-Tulokset!$G$50)+ABS('28'!$K$51-Tulokset!$I$50))))))</f>
        <v/>
      </c>
      <c r="BA31" t="str">
        <f>IF(OR(Tulokset!$G$51="",Tulokset!$I$51="",'28'!$I$52="",'28'!$K$52=""),"",IF(SIGN('28'!$I$52-'28'!$K$52)&lt;&gt;SIGN(Tulokset!$G$51-Tulokset!$I$51),0,IF(Tulokset!$G$51=Tulokset!$I$51,IF(AND('28'!$I$52=Tulokset!$G$51,'28'!$K$52=Tulokset!$I$51),6,3),MAX(0,6-(ABS('28'!$I$52-Tulokset!$G$51)+ABS('28'!$K$52-Tulokset!$I$51))))))</f>
        <v/>
      </c>
      <c r="BB31" t="str">
        <f>IF(OR(Tulokset!$G$52="",Tulokset!$I$52="",'28'!$I$53="",'28'!$K$53=""),"",IF(SIGN('28'!$I$53-'28'!$K$53)&lt;&gt;SIGN(Tulokset!$G$52-Tulokset!$I$52),0,IF(Tulokset!$G$52=Tulokset!$I$52,IF(AND('28'!$I$53=Tulokset!$G$52,'28'!$K$53=Tulokset!$I$52),6,3),MAX(0,6-(ABS('28'!$I$53-Tulokset!$G$52)+ABS('28'!$K$53-Tulokset!$I$52))))))</f>
        <v/>
      </c>
      <c r="BC31" t="str">
        <f>IF(OR(Tulokset!$G$53="",Tulokset!$I$53="",'28'!$I$54="",'28'!$K$54=""),"",IF(SIGN('28'!$I$54-'28'!$K$54)&lt;&gt;SIGN(Tulokset!$G$53-Tulokset!$I$53),0,IF(Tulokset!$G$53=Tulokset!$I$53,IF(AND('28'!$I$54=Tulokset!$G$53,'28'!$K$54=Tulokset!$I$53),6,3),MAX(0,6-(ABS('28'!$I$54-Tulokset!$G$53)+ABS('28'!$K$54-Tulokset!$I$53))))))</f>
        <v/>
      </c>
      <c r="BD31" t="str">
        <f>IF(OR(Tulokset!$G$54="",Tulokset!$I$54="",'28'!$I$55="",'28'!$K$55=""),"",IF(SIGN('28'!$I$55-'28'!$K$55)&lt;&gt;SIGN(Tulokset!$G$54-Tulokset!$I$54),0,IF(Tulokset!$G$54=Tulokset!$I$54,IF(AND('28'!$I$55=Tulokset!$G$54,'28'!$K$55=Tulokset!$I$54),6,3),MAX(0,6-(ABS('28'!$I$55-Tulokset!$G$54)+ABS('28'!$K$55-Tulokset!$I$54))))))</f>
        <v/>
      </c>
      <c r="BE31" t="str">
        <f>IF(OR(Tulokset!$G$55="",Tulokset!$I$55="",'28'!$I$56="",'28'!$K$56=""),"",IF(SIGN('28'!$I$56-'28'!$K$56)&lt;&gt;SIGN(Tulokset!$G$55-Tulokset!$I$55),0,IF(Tulokset!$G$55=Tulokset!$I$55,IF(AND('28'!$I$56=Tulokset!$G$55,'28'!$K$56=Tulokset!$I$55),6,3),MAX(0,6-(ABS('28'!$I$56-Tulokset!$G$55)+ABS('28'!$K$56-Tulokset!$I$55))))))</f>
        <v/>
      </c>
      <c r="BF31" t="str">
        <f>IF(OR(Tulokset!$G$56="",Tulokset!$I$56="",'28'!$I$57="",'28'!$K$57=""),"",IF(SIGN('28'!$I$57-'28'!$K$57)&lt;&gt;SIGN(Tulokset!$G$56-Tulokset!$I$56),0,IF(Tulokset!$G$56=Tulokset!$I$56,IF(AND('28'!$I$57=Tulokset!$G$56,'28'!$K$57=Tulokset!$I$56),6,3),MAX(0,6-(ABS('28'!$I$57-Tulokset!$G$56)+ABS('28'!$K$57-Tulokset!$I$56))))))</f>
        <v/>
      </c>
      <c r="BG31" t="str">
        <f>IF(OR(Tulokset!$G$57="",Tulokset!$I$57="",'28'!$I$58="",'28'!$K$58=""),"",IF(SIGN('28'!$I$58-'28'!$K$58)&lt;&gt;SIGN(Tulokset!$G$57-Tulokset!$I$57),0,IF(Tulokset!$G$57=Tulokset!$I$57,IF(AND('28'!$I$58=Tulokset!$G$57,'28'!$K$58=Tulokset!$I$57),6,3),MAX(0,6-(ABS('28'!$I$58-Tulokset!$G$57)+ABS('28'!$K$58-Tulokset!$I$57))))))</f>
        <v/>
      </c>
      <c r="BH31" t="str">
        <f>IF(OR(Tulokset!$G$58="",Tulokset!$I$58="",'28'!$I$59="",'28'!$K$59=""),"",IF(SIGN('28'!$I$59-'28'!$K$59)&lt;&gt;SIGN(Tulokset!$G$58-Tulokset!$I$58),0,IF(Tulokset!$G$58=Tulokset!$I$58,IF(AND('28'!$I$59=Tulokset!$G$58,'28'!$K$59=Tulokset!$I$58),6,3),MAX(0,6-(ABS('28'!$I$59-Tulokset!$G$58)+ABS('28'!$K$59-Tulokset!$I$58))))))</f>
        <v/>
      </c>
      <c r="BI31" t="str">
        <f>IF(OR(Tulokset!$G$59="",Tulokset!$I$59="",'28'!$I$60="",'28'!$K$60=""),"",IF(SIGN('28'!$I$60-'28'!$K$60)&lt;&gt;SIGN(Tulokset!$G$59-Tulokset!$I$59),0,IF(Tulokset!$G$59=Tulokset!$I$59,IF(AND('28'!$I$60=Tulokset!$G$59,'28'!$K$60=Tulokset!$I$59),6,3),MAX(0,6-(ABS('28'!$I$60-Tulokset!$G$59)+ABS('28'!$K$60-Tulokset!$I$59))))))</f>
        <v/>
      </c>
      <c r="BJ31" t="str">
        <f>IF(OR(Tulokset!$G$60="",Tulokset!$I$60="",'28'!$I$61="",'28'!$K$61=""),"",IF(SIGN('28'!$I$61-'28'!$K$61)&lt;&gt;SIGN(Tulokset!$G$60-Tulokset!$I$60),0,IF(Tulokset!$G$60=Tulokset!$I$60,IF(AND('28'!$I$61=Tulokset!$G$60,'28'!$K$61=Tulokset!$I$60),6,3),MAX(0,6-(ABS('28'!$I$61-Tulokset!$G$60)+ABS('28'!$K$61-Tulokset!$I$60))))))</f>
        <v/>
      </c>
      <c r="BK31" t="str">
        <f>IF(OR(Tulokset!$G$61="",Tulokset!$I$61="",'28'!$I$62="",'28'!$K$62=""),"",IF(SIGN('28'!$I$62-'28'!$K$62)&lt;&gt;SIGN(Tulokset!$G$61-Tulokset!$I$61),0,IF(Tulokset!$G$61=Tulokset!$I$61,IF(AND('28'!$I$62=Tulokset!$G$61,'28'!$K$62=Tulokset!$I$61),6,3),MAX(0,6-(ABS('28'!$I$62-Tulokset!$G$61)+ABS('28'!$K$62-Tulokset!$I$61))))))</f>
        <v/>
      </c>
      <c r="BL31" t="str">
        <f>IF(OR(Tulokset!$G$62="",Tulokset!$I$62="",'28'!$I$63="",'28'!$K$63=""),"",IF(SIGN('28'!$I$63-'28'!$K$63)&lt;&gt;SIGN(Tulokset!$G$62-Tulokset!$I$62),0,IF(Tulokset!$G$62=Tulokset!$I$62,IF(AND('28'!$I$63=Tulokset!$G$62,'28'!$K$63=Tulokset!$I$62),6,3),MAX(0,6-(ABS('28'!$I$63-Tulokset!$G$62)+ABS('28'!$K$63-Tulokset!$I$62))))))</f>
        <v/>
      </c>
      <c r="BM31" t="str">
        <f>IF(OR(Tulokset!$G$63="",Tulokset!$I$63="",'28'!$I$64="",'28'!$K$64=""),"",IF(SIGN('28'!$I$64-'28'!$K$64)&lt;&gt;SIGN(Tulokset!$G$63-Tulokset!$I$63),0,IF(Tulokset!$G$63=Tulokset!$I$63,IF(AND('28'!$I$64=Tulokset!$G$63,'28'!$K$64=Tulokset!$I$63),6,3),MAX(0,6-(ABS('28'!$I$64-Tulokset!$G$63)+ABS('28'!$K$64-Tulokset!$I$63))))))</f>
        <v/>
      </c>
      <c r="BN31" t="str">
        <f>IF(OR(Tulokset!$G$64="",Tulokset!$I$64="",'28'!$I$65="",'28'!$K$65=""),"",IF(SIGN('28'!$I$65-'28'!$K$65)&lt;&gt;SIGN(Tulokset!$G$64-Tulokset!$I$64),0,IF(Tulokset!$G$64=Tulokset!$I$64,IF(AND('28'!$I$65=Tulokset!$G$64,'28'!$K$65=Tulokset!$I$64),6,3),MAX(0,6-(ABS('28'!$I$65-Tulokset!$G$64)+ABS('28'!$K$65-Tulokset!$I$64))))))</f>
        <v/>
      </c>
      <c r="BO31" t="str">
        <f>IF(OR(Tulokset!$G$65="",Tulokset!$I$65="",'28'!$I$66="",'28'!$K$66=""),"",IF(SIGN('28'!$I$66-'28'!$K$66)&lt;&gt;SIGN(Tulokset!$G$65-Tulokset!$I$65),0,IF(Tulokset!$G$65=Tulokset!$I$65,IF(AND('28'!$I$66=Tulokset!$G$65,'28'!$K$66=Tulokset!$I$65),6,3),MAX(0,6-(ABS('28'!$I$66-Tulokset!$G$65)+ABS('28'!$K$66-Tulokset!$I$65))))))</f>
        <v/>
      </c>
      <c r="BP31" t="str">
        <f>IF(OR(Tulokset!$G$66="",Tulokset!$I$66="",'28'!$I$67="",'28'!$K$67=""),"",IF(SIGN('28'!$I$67-'28'!$K$67)&lt;&gt;SIGN(Tulokset!$G$66-Tulokset!$I$66),0,IF(Tulokset!$G$66=Tulokset!$I$66,IF(AND('28'!$I$67=Tulokset!$G$66,'28'!$K$67=Tulokset!$I$66),6,3),MAX(0,6-(ABS('28'!$I$67-Tulokset!$G$66)+ABS('28'!$K$67-Tulokset!$I$66))))))</f>
        <v/>
      </c>
      <c r="BQ31" t="str">
        <f>IF(OR(Tulokset!$G$67="",Tulokset!$I$67="",'28'!$I$68="",'28'!$K$68=""),"",IF(SIGN('28'!$I$68-'28'!$K$68)&lt;&gt;SIGN(Tulokset!$G$67-Tulokset!$I$67),0,IF(Tulokset!$G$67=Tulokset!$I$67,IF(AND('28'!$I$68=Tulokset!$G$67,'28'!$K$68=Tulokset!$I$67),6,3),MAX(0,6-(ABS('28'!$I$68-Tulokset!$G$67)+ABS('28'!$K$68-Tulokset!$I$67))))))</f>
        <v/>
      </c>
      <c r="BR31" t="str">
        <f>IF(OR(Tulokset!$G$68="",Tulokset!$I$68="",'28'!$I$69="",'28'!$K$69=""),"",IF(SIGN('28'!$I$69-'28'!$K$69)&lt;&gt;SIGN(Tulokset!$G$68-Tulokset!$I$68),0,IF(Tulokset!$G$68=Tulokset!$I$68,IF(AND('28'!$I$69=Tulokset!$G$68,'28'!$K$69=Tulokset!$I$68),6,3),MAX(0,6-(ABS('28'!$I$69-Tulokset!$G$68)+ABS('28'!$K$69-Tulokset!$I$68))))))</f>
        <v/>
      </c>
      <c r="BS31" t="str">
        <f>IF(OR(Tulokset!$G$69="",Tulokset!$I$69="",'28'!$I$70="",'28'!$K$70=""),"",IF(SIGN('28'!$I$70-'28'!$K$70)&lt;&gt;SIGN(Tulokset!$G$69-Tulokset!$I$69),0,IF(Tulokset!$G$69=Tulokset!$I$69,IF(AND('28'!$I$70=Tulokset!$G$69,'28'!$K$70=Tulokset!$I$69),6,3),MAX(0,6-(ABS('28'!$I$70-Tulokset!$G$69)+ABS('28'!$K$70-Tulokset!$I$69))))))</f>
        <v/>
      </c>
      <c r="BT31" t="str">
        <f>IF(OR(Tulokset!$G$70="",Tulokset!$I$70="",'28'!$I$71="",'28'!$K$71=""),"",IF(SIGN('28'!$I$71-'28'!$K$71)&lt;&gt;SIGN(Tulokset!$G$70-Tulokset!$I$70),0,IF(Tulokset!$G$70=Tulokset!$I$70,IF(AND('28'!$I$71=Tulokset!$G$70,'28'!$K$71=Tulokset!$I$70),6,3),MAX(0,6-(ABS('28'!$I$71-Tulokset!$G$70)+ABS('28'!$K$71-Tulokset!$I$70))))))</f>
        <v/>
      </c>
      <c r="BU31" t="str">
        <f>IF(OR(Tulokset!$G$71="",Tulokset!$I$71="",'28'!$I$72="",'28'!$K$72=""),"",IF(SIGN('28'!$I$72-'28'!$K$72)&lt;&gt;SIGN(Tulokset!$G$71-Tulokset!$I$71),0,IF(Tulokset!$G$71=Tulokset!$I$71,IF(AND('28'!$I$72=Tulokset!$G$71,'28'!$K$72=Tulokset!$I$71),6,3),MAX(0,6-(ABS('28'!$I$72-Tulokset!$G$71)+ABS('28'!$K$72-Tulokset!$I$71))))))</f>
        <v/>
      </c>
      <c r="BV31" t="str">
        <f>IF(OR(Tulokset!$G$72="",Tulokset!$I$72="",'28'!$I$73="",'28'!$K$73=""),"",IF(SIGN('28'!$I$73-'28'!$K$73)&lt;&gt;SIGN(Tulokset!$G$72-Tulokset!$I$72),0,IF(Tulokset!$G$72=Tulokset!$I$72,IF(AND('28'!$I$73=Tulokset!$G$72,'28'!$K$73=Tulokset!$I$72),6,3),MAX(0,6-(ABS('28'!$I$73-Tulokset!$G$72)+ABS('28'!$K$73-Tulokset!$I$72))))))</f>
        <v/>
      </c>
      <c r="BW31" t="str">
        <f>IF(OR(Tulokset!$G$73="",Tulokset!$I$73="",'28'!$I$74="",'28'!$K$74=""),"",IF(SIGN('28'!$I$74-'28'!$K$74)&lt;&gt;SIGN(Tulokset!$G$73-Tulokset!$I$73),0,IF(Tulokset!$G$73=Tulokset!$I$73,IF(AND('28'!$I$74=Tulokset!$G$73,'28'!$K$74=Tulokset!$I$73),6,3),MAX(0,6-(ABS('28'!$I$74-Tulokset!$G$73)+ABS('28'!$K$74-Tulokset!$I$73))))))</f>
        <v/>
      </c>
      <c r="BX31" t="str">
        <f>IF(OR(Tulokset!$G$74="",Tulokset!$I$74="",'28'!$I$75="",'28'!$K$75=""),"",IF(SIGN('28'!$I$75-'28'!$K$75)&lt;&gt;SIGN(Tulokset!$G$74-Tulokset!$I$74),0,IF(Tulokset!$G$74=Tulokset!$I$74,IF(AND('28'!$I$75=Tulokset!$G$74,'28'!$K$75=Tulokset!$I$74),6,3),MAX(0,6-(ABS('28'!$I$75-Tulokset!$G$74)+ABS('28'!$K$75-Tulokset!$I$74))))))</f>
        <v/>
      </c>
      <c r="BY31" t="str">
        <f>IF(OR(Tulokset!$G$75="",Tulokset!$I$75="",'28'!$I$76="",'28'!$K$76=""),"",IF(SIGN('28'!$I$76-'28'!$K$76)&lt;&gt;SIGN(Tulokset!$G$75-Tulokset!$I$75),0,IF(Tulokset!$G$75=Tulokset!$I$75,IF(AND('28'!$I$76=Tulokset!$G$75,'28'!$K$76=Tulokset!$I$75),6,3),MAX(0,6-(ABS('28'!$I$76-Tulokset!$G$75)+ABS('28'!$K$76-Tulokset!$I$75))))))</f>
        <v/>
      </c>
      <c r="BZ31" t="str">
        <f>IF(OR(Tulokset!$G$76="",Tulokset!$I$76="",'28'!$I$77="",'28'!$K$77=""),"",IF(SIGN('28'!$I$77-'28'!$K$77)&lt;&gt;SIGN(Tulokset!$G$76-Tulokset!$I$76),0,IF(Tulokset!$G$76=Tulokset!$I$76,IF(AND('28'!$I$77=Tulokset!$G$76,'28'!$K$77=Tulokset!$I$76),6,3),MAX(0,6-(ABS('28'!$I$77-Tulokset!$G$76)+ABS('28'!$K$77-Tulokset!$I$76))))))</f>
        <v/>
      </c>
      <c r="CA31" t="str">
        <f>IF(OR(Tulokset!$G$77="",Tulokset!$I$77="",'28'!$I$78="",'28'!$K$78=""),"",IF(SIGN('28'!$I$78-'28'!$K$78)&lt;&gt;SIGN(Tulokset!$G$77-Tulokset!$I$77),0,IF(Tulokset!$G$77=Tulokset!$I$77,IF(AND('28'!$I$78=Tulokset!$G$77,'28'!$K$78=Tulokset!$I$77),6,3),MAX(0,6-(ABS('28'!$I$78-Tulokset!$G$77)+ABS('28'!$K$78-Tulokset!$I$77))))))</f>
        <v/>
      </c>
      <c r="CD31" t="str">
        <f ca="1">IF(OR(Tulokset!$M$6="",INDIRECT("'"&amp;$A31&amp;"'!$P$8")=""),"",IF(TRIM(INDIRECT("'"&amp;$A31&amp;"'!$P$8"))=TRIM(Tulokset!$M$6),2,0))</f>
        <v/>
      </c>
      <c r="CE31" t="str">
        <f ca="1">IF(OR(Tulokset!$M$7="",INDIRECT("'"&amp;$A31&amp;"'!$P$9")=""),"",IF(TRIM(INDIRECT("'"&amp;$A31&amp;"'!$P$9"))=TRIM(Tulokset!$M$7),2,0))</f>
        <v/>
      </c>
      <c r="CF31" t="str">
        <f ca="1">IF(OR(Tulokset!$M$8="",INDIRECT("'"&amp;$A31&amp;"'!$P$10")=""),"",IF(TRIM(INDIRECT("'"&amp;$A31&amp;"'!$P$10"))=TRIM(Tulokset!$M$8),2,0))</f>
        <v/>
      </c>
      <c r="CG31" t="str">
        <f ca="1">IF(OR(Tulokset!$M$9="",INDIRECT("'"&amp;$A31&amp;"'!$P$11")=""),"",IF(TRIM(INDIRECT("'"&amp;$A31&amp;"'!$P$11"))=TRIM(Tulokset!$M$9),2,0))</f>
        <v/>
      </c>
      <c r="CH31" t="str">
        <f ca="1">IF(OR(Tulokset!$N$6="",INDIRECT("'"&amp;$A31&amp;"'!$Q$8")=""),"",IF(TRIM(INDIRECT("'"&amp;$A31&amp;"'!$Q$8"))=TRIM(Tulokset!$N$6),2,0))</f>
        <v/>
      </c>
      <c r="CI31" t="str">
        <f ca="1">IF(OR(Tulokset!$N$7="",INDIRECT("'"&amp;$A31&amp;"'!$Q$9")=""),"",IF(TRIM(INDIRECT("'"&amp;$A31&amp;"'!$Q$9"))=TRIM(Tulokset!$N$7),2,0))</f>
        <v/>
      </c>
      <c r="CJ31" t="str">
        <f ca="1">IF(OR(Tulokset!$N$8="",INDIRECT("'"&amp;$A31&amp;"'!$Q$10")=""),"",IF(TRIM(INDIRECT("'"&amp;$A31&amp;"'!$Q$10"))=TRIM(Tulokset!$N$8),2,0))</f>
        <v/>
      </c>
      <c r="CK31" t="str">
        <f ca="1">IF(OR(Tulokset!$N$9="",INDIRECT("'"&amp;$A31&amp;"'!$Q$11")=""),"",IF(TRIM(INDIRECT("'"&amp;$A31&amp;"'!$Q$11"))=TRIM(Tulokset!$N$9),2,0))</f>
        <v/>
      </c>
      <c r="CL31" t="str">
        <f ca="1">IF(OR(Tulokset!$O$6="",INDIRECT("'"&amp;$A31&amp;"'!$R$8")=""),"",IF(TRIM(INDIRECT("'"&amp;$A31&amp;"'!$R$8"))=TRIM(Tulokset!$O$6),2,0))</f>
        <v/>
      </c>
      <c r="CM31" t="str">
        <f ca="1">IF(OR(Tulokset!$O$7="",INDIRECT("'"&amp;$A31&amp;"'!$R$9")=""),"",IF(TRIM(INDIRECT("'"&amp;$A31&amp;"'!$R$9"))=TRIM(Tulokset!$O$7),2,0))</f>
        <v/>
      </c>
      <c r="CN31" t="str">
        <f ca="1">IF(OR(Tulokset!$O$8="",INDIRECT("'"&amp;$A31&amp;"'!$R$10")=""),"",IF(TRIM(INDIRECT("'"&amp;$A31&amp;"'!$R$10"))=TRIM(Tulokset!$O$8),2,0))</f>
        <v/>
      </c>
      <c r="CO31" t="str">
        <f ca="1">IF(OR(Tulokset!$O$9="",INDIRECT("'"&amp;$A31&amp;"'!$R$11")=""),"",IF(TRIM(INDIRECT("'"&amp;$A31&amp;"'!$R$11"))=TRIM(Tulokset!$O$9),2,0))</f>
        <v/>
      </c>
      <c r="CP31" t="str">
        <f ca="1">IF(OR(Tulokset!$P$6="",INDIRECT("'"&amp;$A31&amp;"'!$S$8")=""),"",IF(TRIM(INDIRECT("'"&amp;$A31&amp;"'!$S$8"))=TRIM(Tulokset!$P$6),2,0))</f>
        <v/>
      </c>
      <c r="CQ31" t="str">
        <f ca="1">IF(OR(Tulokset!$P$7="",INDIRECT("'"&amp;$A31&amp;"'!$S$9")=""),"",IF(TRIM(INDIRECT("'"&amp;$A31&amp;"'!$S$9"))=TRIM(Tulokset!$P$7),2,0))</f>
        <v/>
      </c>
      <c r="CR31" t="str">
        <f ca="1">IF(OR(Tulokset!$P$8="",INDIRECT("'"&amp;$A31&amp;"'!$S$10")=""),"",IF(TRIM(INDIRECT("'"&amp;$A31&amp;"'!$S$10"))=TRIM(Tulokset!$P$8),2,0))</f>
        <v/>
      </c>
      <c r="CS31" t="str">
        <f ca="1">IF(OR(Tulokset!$P$9="",INDIRECT("'"&amp;$A31&amp;"'!$S$11")=""),"",IF(TRIM(INDIRECT("'"&amp;$A31&amp;"'!$S$11"))=TRIM(Tulokset!$P$9),2,0))</f>
        <v/>
      </c>
      <c r="CT31" t="str">
        <f ca="1">IF(OR(Tulokset!$Q$6="",INDIRECT("'"&amp;$A31&amp;"'!$T$8")=""),"",IF(TRIM(INDIRECT("'"&amp;$A31&amp;"'!$T$8"))=TRIM(Tulokset!$Q$6),2,0))</f>
        <v/>
      </c>
      <c r="CU31" t="str">
        <f ca="1">IF(OR(Tulokset!$Q$7="",INDIRECT("'"&amp;$A31&amp;"'!$T$9")=""),"",IF(TRIM(INDIRECT("'"&amp;$A31&amp;"'!$T$9"))=TRIM(Tulokset!$Q$7),2,0))</f>
        <v/>
      </c>
      <c r="CV31" t="str">
        <f ca="1">IF(OR(Tulokset!$Q$8="",INDIRECT("'"&amp;$A31&amp;"'!$T$10")=""),"",IF(TRIM(INDIRECT("'"&amp;$A31&amp;"'!$T$10"))=TRIM(Tulokset!$Q$8),2,0))</f>
        <v/>
      </c>
      <c r="CW31" t="str">
        <f ca="1">IF(OR(Tulokset!$Q$9="",INDIRECT("'"&amp;$A31&amp;"'!$T$11")=""),"",IF(TRIM(INDIRECT("'"&amp;$A31&amp;"'!$T$11"))=TRIM(Tulokset!$Q$9),2,0))</f>
        <v/>
      </c>
      <c r="CX31" t="str">
        <f ca="1">IF(OR(Tulokset!$R$6="",INDIRECT("'"&amp;$A31&amp;"'!$U$8")=""),"",IF(TRIM(INDIRECT("'"&amp;$A31&amp;"'!$U$8"))=TRIM(Tulokset!$R$6),2,0))</f>
        <v/>
      </c>
      <c r="CY31" t="str">
        <f ca="1">IF(OR(Tulokset!$R$7="",INDIRECT("'"&amp;$A31&amp;"'!$U$9")=""),"",IF(TRIM(INDIRECT("'"&amp;$A31&amp;"'!$U$9"))=TRIM(Tulokset!$R$7),2,0))</f>
        <v/>
      </c>
      <c r="CZ31" t="str">
        <f ca="1">IF(OR(Tulokset!$R$8="",INDIRECT("'"&amp;$A31&amp;"'!$U$10")=""),"",IF(TRIM(INDIRECT("'"&amp;$A31&amp;"'!$U$10"))=TRIM(Tulokset!$R$8),2,0))</f>
        <v/>
      </c>
      <c r="DA31" t="str">
        <f ca="1">IF(OR(Tulokset!$R$9="",INDIRECT("'"&amp;$A31&amp;"'!$U$11")=""),"",IF(TRIM(INDIRECT("'"&amp;$A31&amp;"'!$U$11"))=TRIM(Tulokset!$R$9),2,0))</f>
        <v/>
      </c>
      <c r="DB31" t="str">
        <f ca="1">IF(OR(Tulokset!$M$12="",INDIRECT("'"&amp;$A31&amp;"'!$P$14")=""),"",IF(TRIM(INDIRECT("'"&amp;$A31&amp;"'!$P$14"))=TRIM(Tulokset!$M$12),2,0))</f>
        <v/>
      </c>
      <c r="DC31" t="str">
        <f ca="1">IF(OR(Tulokset!$M$13="",INDIRECT("'"&amp;$A31&amp;"'!$P$15")=""),"",IF(TRIM(INDIRECT("'"&amp;$A31&amp;"'!$P$15"))=TRIM(Tulokset!$M$13),2,0))</f>
        <v/>
      </c>
      <c r="DD31" t="str">
        <f ca="1">IF(OR(Tulokset!$M$14="",INDIRECT("'"&amp;$A31&amp;"'!$P$16")=""),"",IF(TRIM(INDIRECT("'"&amp;$A31&amp;"'!$P$16"))=TRIM(Tulokset!$M$14),2,0))</f>
        <v/>
      </c>
      <c r="DE31" t="str">
        <f ca="1">IF(OR(Tulokset!$M$15="",INDIRECT("'"&amp;$A31&amp;"'!$P$17")=""),"",IF(TRIM(INDIRECT("'"&amp;$A31&amp;"'!$P$17"))=TRIM(Tulokset!$M$15),2,0))</f>
        <v/>
      </c>
      <c r="DF31" t="str">
        <f ca="1">IF(OR(Tulokset!$N$12="",INDIRECT("'"&amp;$A31&amp;"'!$Q$14")=""),"",IF(TRIM(INDIRECT("'"&amp;$A31&amp;"'!$Q$14"))=TRIM(Tulokset!$N$12),2,0))</f>
        <v/>
      </c>
      <c r="DG31" t="str">
        <f ca="1">IF(OR(Tulokset!$N$13="",INDIRECT("'"&amp;$A31&amp;"'!$Q$15")=""),"",IF(TRIM(INDIRECT("'"&amp;$A31&amp;"'!$Q$15"))=TRIM(Tulokset!$N$13),2,0))</f>
        <v/>
      </c>
      <c r="DH31" t="str">
        <f ca="1">IF(OR(Tulokset!$N$14="",INDIRECT("'"&amp;$A31&amp;"'!$Q$16")=""),"",IF(TRIM(INDIRECT("'"&amp;$A31&amp;"'!$Q$16"))=TRIM(Tulokset!$N$14),2,0))</f>
        <v/>
      </c>
      <c r="DI31" t="str">
        <f ca="1">IF(OR(Tulokset!$N$15="",INDIRECT("'"&amp;$A31&amp;"'!$Q$17")=""),"",IF(TRIM(INDIRECT("'"&amp;$A31&amp;"'!$Q$17"))=TRIM(Tulokset!$N$15),2,0))</f>
        <v/>
      </c>
      <c r="DJ31" t="str">
        <f ca="1">IF(OR(Tulokset!$O$12="",INDIRECT("'"&amp;$A31&amp;"'!$R$14")=""),"",IF(TRIM(INDIRECT("'"&amp;$A31&amp;"'!$R$14"))=TRIM(Tulokset!$O$12),2,0))</f>
        <v/>
      </c>
      <c r="DK31" t="str">
        <f ca="1">IF(OR(Tulokset!$O$13="",INDIRECT("'"&amp;$A31&amp;"'!$R$15")=""),"",IF(TRIM(INDIRECT("'"&amp;$A31&amp;"'!$R$15"))=TRIM(Tulokset!$O$13),2,0))</f>
        <v/>
      </c>
      <c r="DL31" t="str">
        <f ca="1">IF(OR(Tulokset!$O$14="",INDIRECT("'"&amp;$A31&amp;"'!$R$16")=""),"",IF(TRIM(INDIRECT("'"&amp;$A31&amp;"'!$R$16"))=TRIM(Tulokset!$O$14),2,0))</f>
        <v/>
      </c>
      <c r="DM31" t="str">
        <f ca="1">IF(OR(Tulokset!$O$15="",INDIRECT("'"&amp;$A31&amp;"'!$R$17")=""),"",IF(TRIM(INDIRECT("'"&amp;$A31&amp;"'!$R$17"))=TRIM(Tulokset!$O$15),2,0))</f>
        <v/>
      </c>
      <c r="DN31" t="str">
        <f ca="1">IF(OR(Tulokset!$P$12="",INDIRECT("'"&amp;$A31&amp;"'!$S$14")=""),"",IF(TRIM(INDIRECT("'"&amp;$A31&amp;"'!$S$14"))=TRIM(Tulokset!$P$12),2,0))</f>
        <v/>
      </c>
      <c r="DO31" t="str">
        <f ca="1">IF(OR(Tulokset!$P$13="",INDIRECT("'"&amp;$A31&amp;"'!$S$15")=""),"",IF(TRIM(INDIRECT("'"&amp;$A31&amp;"'!$S$15"))=TRIM(Tulokset!$P$13),2,0))</f>
        <v/>
      </c>
      <c r="DP31" t="str">
        <f ca="1">IF(OR(Tulokset!$P$14="",INDIRECT("'"&amp;$A31&amp;"'!$S$16")=""),"",IF(TRIM(INDIRECT("'"&amp;$A31&amp;"'!$S$16"))=TRIM(Tulokset!$P$14),2,0))</f>
        <v/>
      </c>
      <c r="DQ31" t="str">
        <f ca="1">IF(OR(Tulokset!$P$15="",INDIRECT("'"&amp;$A31&amp;"'!$S$17")=""),"",IF(TRIM(INDIRECT("'"&amp;$A31&amp;"'!$S$17"))=TRIM(Tulokset!$P$15),2,0))</f>
        <v/>
      </c>
      <c r="DR31" t="str">
        <f ca="1">IF(OR(Tulokset!$Q$12="",INDIRECT("'"&amp;$A31&amp;"'!$T$14")=""),"",IF(TRIM(INDIRECT("'"&amp;$A31&amp;"'!$T$14"))=TRIM(Tulokset!$Q$12),2,0))</f>
        <v/>
      </c>
      <c r="DS31" t="str">
        <f ca="1">IF(OR(Tulokset!$Q$13="",INDIRECT("'"&amp;$A31&amp;"'!$T$15")=""),"",IF(TRIM(INDIRECT("'"&amp;$A31&amp;"'!$T$15"))=TRIM(Tulokset!$Q$13),2,0))</f>
        <v/>
      </c>
      <c r="DT31" t="str">
        <f ca="1">IF(OR(Tulokset!$Q$14="",INDIRECT("'"&amp;$A31&amp;"'!$T$16")=""),"",IF(TRIM(INDIRECT("'"&amp;$A31&amp;"'!$T$16"))=TRIM(Tulokset!$Q$14),2,0))</f>
        <v/>
      </c>
      <c r="DU31" t="str">
        <f ca="1">IF(OR(Tulokset!$Q$15="",INDIRECT("'"&amp;$A31&amp;"'!$T$17")=""),"",IF(TRIM(INDIRECT("'"&amp;$A31&amp;"'!$T$17"))=TRIM(Tulokset!$Q$15),2,0))</f>
        <v/>
      </c>
      <c r="DV31" t="str">
        <f ca="1">IF(OR(Tulokset!$R$12="",INDIRECT("'"&amp;$A31&amp;"'!$U$14")=""),"",IF(TRIM(INDIRECT("'"&amp;$A31&amp;"'!$U$14"))=TRIM(Tulokset!$R$12),2,0))</f>
        <v/>
      </c>
      <c r="DW31" t="str">
        <f ca="1">IF(OR(Tulokset!$R$13="",INDIRECT("'"&amp;$A31&amp;"'!$U$15")=""),"",IF(TRIM(INDIRECT("'"&amp;$A31&amp;"'!$U$15"))=TRIM(Tulokset!$R$13),2,0))</f>
        <v/>
      </c>
      <c r="DX31" t="str">
        <f ca="1">IF(OR(Tulokset!$R$14="",INDIRECT("'"&amp;$A31&amp;"'!$U$16")=""),"",IF(TRIM(INDIRECT("'"&amp;$A31&amp;"'!$U$16"))=TRIM(Tulokset!$R$14),2,0))</f>
        <v/>
      </c>
      <c r="DY31" t="str">
        <f ca="1">IF(OR(Tulokset!$R$15="",INDIRECT("'"&amp;$A31&amp;"'!$U$17")=""),"",IF(TRIM(INDIRECT("'"&amp;$A31&amp;"'!$U$17"))=TRIM(Tulokset!$R$15),2,0))</f>
        <v/>
      </c>
      <c r="EA31" t="str">
        <f ca="1">IF(OR(INDIRECT("'"&amp;$A31&amp;"'!$E$79")="",COUNTA(Tulokset!$M$20:$M$21)=0),"",IF(COUNTIF(Tulokset!$M$20:$M$21,INDIRECT("'"&amp;$A31&amp;"'!$E$79"))&gt;0,2,0))</f>
        <v/>
      </c>
      <c r="EB31" t="str">
        <f ca="1">IF(OR(INDIRECT("'"&amp;$A31&amp;"'!$G$79")="",COUNTA(Tulokset!$M$20:$M$21)=0),"",IF(COUNTIF(Tulokset!$M$20:$M$21,INDIRECT("'"&amp;$A31&amp;"'!$G$79"))&gt;0,2,0))</f>
        <v/>
      </c>
      <c r="EC31" t="str">
        <f ca="1">IF(OR(INDIRECT("'"&amp;$A31&amp;"'!$E$80")="",COUNTA(Tulokset!$M$23:$M$24)=0),"",IF(COUNTIF(Tulokset!$M$23:$M$24,INDIRECT("'"&amp;$A31&amp;"'!$E$80"))&gt;0,2,0))</f>
        <v/>
      </c>
      <c r="ED31" t="str">
        <f ca="1">IF(OR(INDIRECT("'"&amp;$A31&amp;"'!$G$80")="",COUNTA(Tulokset!$M$23:$M$24)=0),"",IF(COUNTIF(Tulokset!$M$23:$M$24,INDIRECT("'"&amp;$A31&amp;"'!$G$80"))&gt;0,2,0))</f>
        <v/>
      </c>
    </row>
    <row r="32" spans="1:134">
      <c r="A32" t="s">
        <v>247</v>
      </c>
      <c r="B32" t="str">
        <f t="shared" ca="1" si="0"/>
        <v/>
      </c>
      <c r="C32" s="95">
        <f t="shared" si="1"/>
        <v>0</v>
      </c>
      <c r="D32" s="95">
        <f t="shared" ca="1" si="2"/>
        <v>0</v>
      </c>
      <c r="E32" s="95">
        <f t="shared" ca="1" si="3"/>
        <v>0</v>
      </c>
      <c r="F32" s="95" t="str">
        <f t="shared" ca="1" si="4"/>
        <v/>
      </c>
      <c r="G32" s="95">
        <f t="shared" si="5"/>
        <v>0</v>
      </c>
      <c r="H32" t="str">
        <f>IF(OR(Tulokset!$G$6="",Tulokset!$I$6="",'29'!$I$7="",'29'!$K$7=""),"",IF(SIGN('29'!$I$7-'29'!$K$7)&lt;&gt;SIGN(Tulokset!$G$6-Tulokset!$I$6),0,IF(Tulokset!$G$6=Tulokset!$I$6,IF(AND('29'!$I$7=Tulokset!$G$6,'29'!$K$7=Tulokset!$I$6),6,3),MAX(0,6-(ABS('29'!$I$7-Tulokset!$G$6)+ABS('29'!$K$7-Tulokset!$I$6))))))</f>
        <v/>
      </c>
      <c r="I32" t="str">
        <f>IF(OR(Tulokset!$G$7="",Tulokset!$I$7="",'29'!$I$8="",'29'!$K$8=""),"",IF(SIGN('29'!$I$8-'29'!$K$8)&lt;&gt;SIGN(Tulokset!$G$7-Tulokset!$I$7),0,IF(Tulokset!$G$7=Tulokset!$I$7,IF(AND('29'!$I$8=Tulokset!$G$7,'29'!$K$8=Tulokset!$I$7),6,3),MAX(0,6-(ABS('29'!$I$8-Tulokset!$G$7)+ABS('29'!$K$8-Tulokset!$I$7))))))</f>
        <v/>
      </c>
      <c r="J32" t="str">
        <f>IF(OR(Tulokset!$G$8="",Tulokset!$I$8="",'29'!$I$9="",'29'!$K$9=""),"",IF(SIGN('29'!$I$9-'29'!$K$9)&lt;&gt;SIGN(Tulokset!$G$8-Tulokset!$I$8),0,IF(Tulokset!$G$8=Tulokset!$I$8,IF(AND('29'!$I$9=Tulokset!$G$8,'29'!$K$9=Tulokset!$I$8),6,3),MAX(0,6-(ABS('29'!$I$9-Tulokset!$G$8)+ABS('29'!$K$9-Tulokset!$I$8))))))</f>
        <v/>
      </c>
      <c r="K32" t="str">
        <f>IF(OR(Tulokset!$G$9="",Tulokset!$I$9="",'29'!$I$10="",'29'!$K$10=""),"",IF(SIGN('29'!$I$10-'29'!$K$10)&lt;&gt;SIGN(Tulokset!$G$9-Tulokset!$I$9),0,IF(Tulokset!$G$9=Tulokset!$I$9,IF(AND('29'!$I$10=Tulokset!$G$9,'29'!$K$10=Tulokset!$I$9),6,3),MAX(0,6-(ABS('29'!$I$10-Tulokset!$G$9)+ABS('29'!$K$10-Tulokset!$I$9))))))</f>
        <v/>
      </c>
      <c r="L32" t="str">
        <f>IF(OR(Tulokset!$G$10="",Tulokset!$I$10="",'29'!$I$11="",'29'!$K$11=""),"",IF(SIGN('29'!$I$11-'29'!$K$11)&lt;&gt;SIGN(Tulokset!$G$10-Tulokset!$I$10),0,IF(Tulokset!$G$10=Tulokset!$I$10,IF(AND('29'!$I$11=Tulokset!$G$10,'29'!$K$11=Tulokset!$I$10),6,3),MAX(0,6-(ABS('29'!$I$11-Tulokset!$G$10)+ABS('29'!$K$11-Tulokset!$I$10))))))</f>
        <v/>
      </c>
      <c r="M32" t="str">
        <f>IF(OR(Tulokset!$G$11="",Tulokset!$I$11="",'29'!$I$12="",'29'!$K$12=""),"",IF(SIGN('29'!$I$12-'29'!$K$12)&lt;&gt;SIGN(Tulokset!$G$11-Tulokset!$I$11),0,IF(Tulokset!$G$11=Tulokset!$I$11,IF(AND('29'!$I$12=Tulokset!$G$11,'29'!$K$12=Tulokset!$I$11),6,3),MAX(0,6-(ABS('29'!$I$12-Tulokset!$G$11)+ABS('29'!$K$12-Tulokset!$I$11))))))</f>
        <v/>
      </c>
      <c r="N32" t="str">
        <f>IF(OR(Tulokset!$G$12="",Tulokset!$I$12="",'29'!$I$13="",'29'!$K$13=""),"",IF(SIGN('29'!$I$13-'29'!$K$13)&lt;&gt;SIGN(Tulokset!$G$12-Tulokset!$I$12),0,IF(Tulokset!$G$12=Tulokset!$I$12,IF(AND('29'!$I$13=Tulokset!$G$12,'29'!$K$13=Tulokset!$I$12),6,3),MAX(0,6-(ABS('29'!$I$13-Tulokset!$G$12)+ABS('29'!$K$13-Tulokset!$I$12))))))</f>
        <v/>
      </c>
      <c r="O32" t="str">
        <f>IF(OR(Tulokset!$G$13="",Tulokset!$I$13="",'29'!$I$14="",'29'!$K$14=""),"",IF(SIGN('29'!$I$14-'29'!$K$14)&lt;&gt;SIGN(Tulokset!$G$13-Tulokset!$I$13),0,IF(Tulokset!$G$13=Tulokset!$I$13,IF(AND('29'!$I$14=Tulokset!$G$13,'29'!$K$14=Tulokset!$I$13),6,3),MAX(0,6-(ABS('29'!$I$14-Tulokset!$G$13)+ABS('29'!$K$14-Tulokset!$I$13))))))</f>
        <v/>
      </c>
      <c r="P32" t="str">
        <f>IF(OR(Tulokset!$G$14="",Tulokset!$I$14="",'29'!$I$15="",'29'!$K$15=""),"",IF(SIGN('29'!$I$15-'29'!$K$15)&lt;&gt;SIGN(Tulokset!$G$14-Tulokset!$I$14),0,IF(Tulokset!$G$14=Tulokset!$I$14,IF(AND('29'!$I$15=Tulokset!$G$14,'29'!$K$15=Tulokset!$I$14),6,3),MAX(0,6-(ABS('29'!$I$15-Tulokset!$G$14)+ABS('29'!$K$15-Tulokset!$I$14))))))</f>
        <v/>
      </c>
      <c r="Q32" t="str">
        <f>IF(OR(Tulokset!$G$15="",Tulokset!$I$15="",'29'!$I$16="",'29'!$K$16=""),"",IF(SIGN('29'!$I$16-'29'!$K$16)&lt;&gt;SIGN(Tulokset!$G$15-Tulokset!$I$15),0,IF(Tulokset!$G$15=Tulokset!$I$15,IF(AND('29'!$I$16=Tulokset!$G$15,'29'!$K$16=Tulokset!$I$15),6,3),MAX(0,6-(ABS('29'!$I$16-Tulokset!$G$15)+ABS('29'!$K$16-Tulokset!$I$15))))))</f>
        <v/>
      </c>
      <c r="R32" t="str">
        <f>IF(OR(Tulokset!$G$16="",Tulokset!$I$16="",'29'!$I$17="",'29'!$K$17=""),"",IF(SIGN('29'!$I$17-'29'!$K$17)&lt;&gt;SIGN(Tulokset!$G$16-Tulokset!$I$16),0,IF(Tulokset!$G$16=Tulokset!$I$16,IF(AND('29'!$I$17=Tulokset!$G$16,'29'!$K$17=Tulokset!$I$16),6,3),MAX(0,6-(ABS('29'!$I$17-Tulokset!$G$16)+ABS('29'!$K$17-Tulokset!$I$16))))))</f>
        <v/>
      </c>
      <c r="S32" t="str">
        <f>IF(OR(Tulokset!$G$17="",Tulokset!$I$17="",'29'!$I$18="",'29'!$K$18=""),"",IF(SIGN('29'!$I$18-'29'!$K$18)&lt;&gt;SIGN(Tulokset!$G$17-Tulokset!$I$17),0,IF(Tulokset!$G$17=Tulokset!$I$17,IF(AND('29'!$I$18=Tulokset!$G$17,'29'!$K$18=Tulokset!$I$17),6,3),MAX(0,6-(ABS('29'!$I$18-Tulokset!$G$17)+ABS('29'!$K$18-Tulokset!$I$17))))))</f>
        <v/>
      </c>
      <c r="T32" t="str">
        <f>IF(OR(Tulokset!$G$18="",Tulokset!$I$18="",'29'!$I$19="",'29'!$K$19=""),"",IF(SIGN('29'!$I$19-'29'!$K$19)&lt;&gt;SIGN(Tulokset!$G$18-Tulokset!$I$18),0,IF(Tulokset!$G$18=Tulokset!$I$18,IF(AND('29'!$I$19=Tulokset!$G$18,'29'!$K$19=Tulokset!$I$18),6,3),MAX(0,6-(ABS('29'!$I$19-Tulokset!$G$18)+ABS('29'!$K$19-Tulokset!$I$18))))))</f>
        <v/>
      </c>
      <c r="U32" t="str">
        <f>IF(OR(Tulokset!$G$19="",Tulokset!$I$19="",'29'!$I$20="",'29'!$K$20=""),"",IF(SIGN('29'!$I$20-'29'!$K$20)&lt;&gt;SIGN(Tulokset!$G$19-Tulokset!$I$19),0,IF(Tulokset!$G$19=Tulokset!$I$19,IF(AND('29'!$I$20=Tulokset!$G$19,'29'!$K$20=Tulokset!$I$19),6,3),MAX(0,6-(ABS('29'!$I$20-Tulokset!$G$19)+ABS('29'!$K$20-Tulokset!$I$19))))))</f>
        <v/>
      </c>
      <c r="V32" t="str">
        <f>IF(OR(Tulokset!$G$20="",Tulokset!$I$20="",'29'!$I$21="",'29'!$K$21=""),"",IF(SIGN('29'!$I$21-'29'!$K$21)&lt;&gt;SIGN(Tulokset!$G$20-Tulokset!$I$20),0,IF(Tulokset!$G$20=Tulokset!$I$20,IF(AND('29'!$I$21=Tulokset!$G$20,'29'!$K$21=Tulokset!$I$20),6,3),MAX(0,6-(ABS('29'!$I$21-Tulokset!$G$20)+ABS('29'!$K$21-Tulokset!$I$20))))))</f>
        <v/>
      </c>
      <c r="W32" t="str">
        <f>IF(OR(Tulokset!$G$21="",Tulokset!$I$21="",'29'!$I$22="",'29'!$K$22=""),"",IF(SIGN('29'!$I$22-'29'!$K$22)&lt;&gt;SIGN(Tulokset!$G$21-Tulokset!$I$21),0,IF(Tulokset!$G$21=Tulokset!$I$21,IF(AND('29'!$I$22=Tulokset!$G$21,'29'!$K$22=Tulokset!$I$21),6,3),MAX(0,6-(ABS('29'!$I$22-Tulokset!$G$21)+ABS('29'!$K$22-Tulokset!$I$21))))))</f>
        <v/>
      </c>
      <c r="X32" t="str">
        <f>IF(OR(Tulokset!$G$22="",Tulokset!$I$22="",'29'!$I$23="",'29'!$K$23=""),"",IF(SIGN('29'!$I$23-'29'!$K$23)&lt;&gt;SIGN(Tulokset!$G$22-Tulokset!$I$22),0,IF(Tulokset!$G$22=Tulokset!$I$22,IF(AND('29'!$I$23=Tulokset!$G$22,'29'!$K$23=Tulokset!$I$22),6,3),MAX(0,6-(ABS('29'!$I$23-Tulokset!$G$22)+ABS('29'!$K$23-Tulokset!$I$22))))))</f>
        <v/>
      </c>
      <c r="Y32" t="str">
        <f>IF(OR(Tulokset!$G$23="",Tulokset!$I$23="",'29'!$I$24="",'29'!$K$24=""),"",IF(SIGN('29'!$I$24-'29'!$K$24)&lt;&gt;SIGN(Tulokset!$G$23-Tulokset!$I$23),0,IF(Tulokset!$G$23=Tulokset!$I$23,IF(AND('29'!$I$24=Tulokset!$G$23,'29'!$K$24=Tulokset!$I$23),6,3),MAX(0,6-(ABS('29'!$I$24-Tulokset!$G$23)+ABS('29'!$K$24-Tulokset!$I$23))))))</f>
        <v/>
      </c>
      <c r="Z32" t="str">
        <f>IF(OR(Tulokset!$G$24="",Tulokset!$I$24="",'29'!$I$25="",'29'!$K$25=""),"",IF(SIGN('29'!$I$25-'29'!$K$25)&lt;&gt;SIGN(Tulokset!$G$24-Tulokset!$I$24),0,IF(Tulokset!$G$24=Tulokset!$I$24,IF(AND('29'!$I$25=Tulokset!$G$24,'29'!$K$25=Tulokset!$I$24),6,3),MAX(0,6-(ABS('29'!$I$25-Tulokset!$G$24)+ABS('29'!$K$25-Tulokset!$I$24))))))</f>
        <v/>
      </c>
      <c r="AA32" t="str">
        <f>IF(OR(Tulokset!$G$25="",Tulokset!$I$25="",'29'!$I$26="",'29'!$K$26=""),"",IF(SIGN('29'!$I$26-'29'!$K$26)&lt;&gt;SIGN(Tulokset!$G$25-Tulokset!$I$25),0,IF(Tulokset!$G$25=Tulokset!$I$25,IF(AND('29'!$I$26=Tulokset!$G$25,'29'!$K$26=Tulokset!$I$25),6,3),MAX(0,6-(ABS('29'!$I$26-Tulokset!$G$25)+ABS('29'!$K$26-Tulokset!$I$25))))))</f>
        <v/>
      </c>
      <c r="AB32" t="str">
        <f>IF(OR(Tulokset!$G$26="",Tulokset!$I$26="",'29'!$I$27="",'29'!$K$27=""),"",IF(SIGN('29'!$I$27-'29'!$K$27)&lt;&gt;SIGN(Tulokset!$G$26-Tulokset!$I$26),0,IF(Tulokset!$G$26=Tulokset!$I$26,IF(AND('29'!$I$27=Tulokset!$G$26,'29'!$K$27=Tulokset!$I$26),6,3),MAX(0,6-(ABS('29'!$I$27-Tulokset!$G$26)+ABS('29'!$K$27-Tulokset!$I$26))))))</f>
        <v/>
      </c>
      <c r="AC32" t="str">
        <f>IF(OR(Tulokset!$G$27="",Tulokset!$I$27="",'29'!$I$28="",'29'!$K$28=""),"",IF(SIGN('29'!$I$28-'29'!$K$28)&lt;&gt;SIGN(Tulokset!$G$27-Tulokset!$I$27),0,IF(Tulokset!$G$27=Tulokset!$I$27,IF(AND('29'!$I$28=Tulokset!$G$27,'29'!$K$28=Tulokset!$I$27),6,3),MAX(0,6-(ABS('29'!$I$28-Tulokset!$G$27)+ABS('29'!$K$28-Tulokset!$I$27))))))</f>
        <v/>
      </c>
      <c r="AD32" t="str">
        <f>IF(OR(Tulokset!$G$28="",Tulokset!$I$28="",'29'!$I$29="",'29'!$K$29=""),"",IF(SIGN('29'!$I$29-'29'!$K$29)&lt;&gt;SIGN(Tulokset!$G$28-Tulokset!$I$28),0,IF(Tulokset!$G$28=Tulokset!$I$28,IF(AND('29'!$I$29=Tulokset!$G$28,'29'!$K$29=Tulokset!$I$28),6,3),MAX(0,6-(ABS('29'!$I$29-Tulokset!$G$28)+ABS('29'!$K$29-Tulokset!$I$28))))))</f>
        <v/>
      </c>
      <c r="AE32" t="str">
        <f>IF(OR(Tulokset!$G$29="",Tulokset!$I$29="",'29'!$I$30="",'29'!$K$30=""),"",IF(SIGN('29'!$I$30-'29'!$K$30)&lt;&gt;SIGN(Tulokset!$G$29-Tulokset!$I$29),0,IF(Tulokset!$G$29=Tulokset!$I$29,IF(AND('29'!$I$30=Tulokset!$G$29,'29'!$K$30=Tulokset!$I$29),6,3),MAX(0,6-(ABS('29'!$I$30-Tulokset!$G$29)+ABS('29'!$K$30-Tulokset!$I$29))))))</f>
        <v/>
      </c>
      <c r="AF32" t="str">
        <f>IF(OR(Tulokset!$G$30="",Tulokset!$I$30="",'29'!$I$31="",'29'!$K$31=""),"",IF(SIGN('29'!$I$31-'29'!$K$31)&lt;&gt;SIGN(Tulokset!$G$30-Tulokset!$I$30),0,IF(Tulokset!$G$30=Tulokset!$I$30,IF(AND('29'!$I$31=Tulokset!$G$30,'29'!$K$31=Tulokset!$I$30),6,3),MAX(0,6-(ABS('29'!$I$31-Tulokset!$G$30)+ABS('29'!$K$31-Tulokset!$I$30))))))</f>
        <v/>
      </c>
      <c r="AG32" t="str">
        <f>IF(OR(Tulokset!$G$31="",Tulokset!$I$31="",'29'!$I$32="",'29'!$K$32=""),"",IF(SIGN('29'!$I$32-'29'!$K$32)&lt;&gt;SIGN(Tulokset!$G$31-Tulokset!$I$31),0,IF(Tulokset!$G$31=Tulokset!$I$31,IF(AND('29'!$I$32=Tulokset!$G$31,'29'!$K$32=Tulokset!$I$31),6,3),MAX(0,6-(ABS('29'!$I$32-Tulokset!$G$31)+ABS('29'!$K$32-Tulokset!$I$31))))))</f>
        <v/>
      </c>
      <c r="AH32" t="str">
        <f>IF(OR(Tulokset!$G$32="",Tulokset!$I$32="",'29'!$I$33="",'29'!$K$33=""),"",IF(SIGN('29'!$I$33-'29'!$K$33)&lt;&gt;SIGN(Tulokset!$G$32-Tulokset!$I$32),0,IF(Tulokset!$G$32=Tulokset!$I$32,IF(AND('29'!$I$33=Tulokset!$G$32,'29'!$K$33=Tulokset!$I$32),6,3),MAX(0,6-(ABS('29'!$I$33-Tulokset!$G$32)+ABS('29'!$K$33-Tulokset!$I$32))))))</f>
        <v/>
      </c>
      <c r="AI32" t="str">
        <f>IF(OR(Tulokset!$G$33="",Tulokset!$I$33="",'29'!$I$34="",'29'!$K$34=""),"",IF(SIGN('29'!$I$34-'29'!$K$34)&lt;&gt;SIGN(Tulokset!$G$33-Tulokset!$I$33),0,IF(Tulokset!$G$33=Tulokset!$I$33,IF(AND('29'!$I$34=Tulokset!$G$33,'29'!$K$34=Tulokset!$I$33),6,3),MAX(0,6-(ABS('29'!$I$34-Tulokset!$G$33)+ABS('29'!$K$34-Tulokset!$I$33))))))</f>
        <v/>
      </c>
      <c r="AJ32" t="str">
        <f>IF(OR(Tulokset!$G$34="",Tulokset!$I$34="",'29'!$I$35="",'29'!$K$35=""),"",IF(SIGN('29'!$I$35-'29'!$K$35)&lt;&gt;SIGN(Tulokset!$G$34-Tulokset!$I$34),0,IF(Tulokset!$G$34=Tulokset!$I$34,IF(AND('29'!$I$35=Tulokset!$G$34,'29'!$K$35=Tulokset!$I$34),6,3),MAX(0,6-(ABS('29'!$I$35-Tulokset!$G$34)+ABS('29'!$K$35-Tulokset!$I$34))))))</f>
        <v/>
      </c>
      <c r="AK32" t="str">
        <f>IF(OR(Tulokset!$G$35="",Tulokset!$I$35="",'29'!$I$36="",'29'!$K$36=""),"",IF(SIGN('29'!$I$36-'29'!$K$36)&lt;&gt;SIGN(Tulokset!$G$35-Tulokset!$I$35),0,IF(Tulokset!$G$35=Tulokset!$I$35,IF(AND('29'!$I$36=Tulokset!$G$35,'29'!$K$36=Tulokset!$I$35),6,3),MAX(0,6-(ABS('29'!$I$36-Tulokset!$G$35)+ABS('29'!$K$36-Tulokset!$I$35))))))</f>
        <v/>
      </c>
      <c r="AL32" t="str">
        <f>IF(OR(Tulokset!$G$36="",Tulokset!$I$36="",'29'!$I$37="",'29'!$K$37=""),"",IF(SIGN('29'!$I$37-'29'!$K$37)&lt;&gt;SIGN(Tulokset!$G$36-Tulokset!$I$36),0,IF(Tulokset!$G$36=Tulokset!$I$36,IF(AND('29'!$I$37=Tulokset!$G$36,'29'!$K$37=Tulokset!$I$36),6,3),MAX(0,6-(ABS('29'!$I$37-Tulokset!$G$36)+ABS('29'!$K$37-Tulokset!$I$36))))))</f>
        <v/>
      </c>
      <c r="AM32" t="str">
        <f>IF(OR(Tulokset!$G$37="",Tulokset!$I$37="",'29'!$I$38="",'29'!$K$38=""),"",IF(SIGN('29'!$I$38-'29'!$K$38)&lt;&gt;SIGN(Tulokset!$G$37-Tulokset!$I$37),0,IF(Tulokset!$G$37=Tulokset!$I$37,IF(AND('29'!$I$38=Tulokset!$G$37,'29'!$K$38=Tulokset!$I$37),6,3),MAX(0,6-(ABS('29'!$I$38-Tulokset!$G$37)+ABS('29'!$K$38-Tulokset!$I$37))))))</f>
        <v/>
      </c>
      <c r="AN32" t="str">
        <f>IF(OR(Tulokset!$G$38="",Tulokset!$I$38="",'29'!$I$39="",'29'!$K$39=""),"",IF(SIGN('29'!$I$39-'29'!$K$39)&lt;&gt;SIGN(Tulokset!$G$38-Tulokset!$I$38),0,IF(Tulokset!$G$38=Tulokset!$I$38,IF(AND('29'!$I$39=Tulokset!$G$38,'29'!$K$39=Tulokset!$I$38),6,3),MAX(0,6-(ABS('29'!$I$39-Tulokset!$G$38)+ABS('29'!$K$39-Tulokset!$I$38))))))</f>
        <v/>
      </c>
      <c r="AO32" t="str">
        <f>IF(OR(Tulokset!$G$39="",Tulokset!$I$39="",'29'!$I$40="",'29'!$K$40=""),"",IF(SIGN('29'!$I$40-'29'!$K$40)&lt;&gt;SIGN(Tulokset!$G$39-Tulokset!$I$39),0,IF(Tulokset!$G$39=Tulokset!$I$39,IF(AND('29'!$I$40=Tulokset!$G$39,'29'!$K$40=Tulokset!$I$39),6,3),MAX(0,6-(ABS('29'!$I$40-Tulokset!$G$39)+ABS('29'!$K$40-Tulokset!$I$39))))))</f>
        <v/>
      </c>
      <c r="AP32" t="str">
        <f>IF(OR(Tulokset!$G$40="",Tulokset!$I$40="",'29'!$I$41="",'29'!$K$41=""),"",IF(SIGN('29'!$I$41-'29'!$K$41)&lt;&gt;SIGN(Tulokset!$G$40-Tulokset!$I$40),0,IF(Tulokset!$G$40=Tulokset!$I$40,IF(AND('29'!$I$41=Tulokset!$G$40,'29'!$K$41=Tulokset!$I$40),6,3),MAX(0,6-(ABS('29'!$I$41-Tulokset!$G$40)+ABS('29'!$K$41-Tulokset!$I$40))))))</f>
        <v/>
      </c>
      <c r="AQ32" t="str">
        <f>IF(OR(Tulokset!$G$41="",Tulokset!$I$41="",'29'!$I$42="",'29'!$K$42=""),"",IF(SIGN('29'!$I$42-'29'!$K$42)&lt;&gt;SIGN(Tulokset!$G$41-Tulokset!$I$41),0,IF(Tulokset!$G$41=Tulokset!$I$41,IF(AND('29'!$I$42=Tulokset!$G$41,'29'!$K$42=Tulokset!$I$41),6,3),MAX(0,6-(ABS('29'!$I$42-Tulokset!$G$41)+ABS('29'!$K$42-Tulokset!$I$41))))))</f>
        <v/>
      </c>
      <c r="AR32" t="str">
        <f>IF(OR(Tulokset!$G$42="",Tulokset!$I$42="",'29'!$I$43="",'29'!$K$43=""),"",IF(SIGN('29'!$I$43-'29'!$K$43)&lt;&gt;SIGN(Tulokset!$G$42-Tulokset!$I$42),0,IF(Tulokset!$G$42=Tulokset!$I$42,IF(AND('29'!$I$43=Tulokset!$G$42,'29'!$K$43=Tulokset!$I$42),6,3),MAX(0,6-(ABS('29'!$I$43-Tulokset!$G$42)+ABS('29'!$K$43-Tulokset!$I$42))))))</f>
        <v/>
      </c>
      <c r="AS32" t="str">
        <f>IF(OR(Tulokset!$G$43="",Tulokset!$I$43="",'29'!$I$44="",'29'!$K$44=""),"",IF(SIGN('29'!$I$44-'29'!$K$44)&lt;&gt;SIGN(Tulokset!$G$43-Tulokset!$I$43),0,IF(Tulokset!$G$43=Tulokset!$I$43,IF(AND('29'!$I$44=Tulokset!$G$43,'29'!$K$44=Tulokset!$I$43),6,3),MAX(0,6-(ABS('29'!$I$44-Tulokset!$G$43)+ABS('29'!$K$44-Tulokset!$I$43))))))</f>
        <v/>
      </c>
      <c r="AT32" t="str">
        <f>IF(OR(Tulokset!$G$44="",Tulokset!$I$44="",'29'!$I$45="",'29'!$K$45=""),"",IF(SIGN('29'!$I$45-'29'!$K$45)&lt;&gt;SIGN(Tulokset!$G$44-Tulokset!$I$44),0,IF(Tulokset!$G$44=Tulokset!$I$44,IF(AND('29'!$I$45=Tulokset!$G$44,'29'!$K$45=Tulokset!$I$44),6,3),MAX(0,6-(ABS('29'!$I$45-Tulokset!$G$44)+ABS('29'!$K$45-Tulokset!$I$44))))))</f>
        <v/>
      </c>
      <c r="AU32" t="str">
        <f>IF(OR(Tulokset!$G$45="",Tulokset!$I$45="",'29'!$I$46="",'29'!$K$46=""),"",IF(SIGN('29'!$I$46-'29'!$K$46)&lt;&gt;SIGN(Tulokset!$G$45-Tulokset!$I$45),0,IF(Tulokset!$G$45=Tulokset!$I$45,IF(AND('29'!$I$46=Tulokset!$G$45,'29'!$K$46=Tulokset!$I$45),6,3),MAX(0,6-(ABS('29'!$I$46-Tulokset!$G$45)+ABS('29'!$K$46-Tulokset!$I$45))))))</f>
        <v/>
      </c>
      <c r="AV32" t="str">
        <f>IF(OR(Tulokset!$G$46="",Tulokset!$I$46="",'29'!$I$47="",'29'!$K$47=""),"",IF(SIGN('29'!$I$47-'29'!$K$47)&lt;&gt;SIGN(Tulokset!$G$46-Tulokset!$I$46),0,IF(Tulokset!$G$46=Tulokset!$I$46,IF(AND('29'!$I$47=Tulokset!$G$46,'29'!$K$47=Tulokset!$I$46),6,3),MAX(0,6-(ABS('29'!$I$47-Tulokset!$G$46)+ABS('29'!$K$47-Tulokset!$I$46))))))</f>
        <v/>
      </c>
      <c r="AW32" t="str">
        <f>IF(OR(Tulokset!$G$47="",Tulokset!$I$47="",'29'!$I$48="",'29'!$K$48=""),"",IF(SIGN('29'!$I$48-'29'!$K$48)&lt;&gt;SIGN(Tulokset!$G$47-Tulokset!$I$47),0,IF(Tulokset!$G$47=Tulokset!$I$47,IF(AND('29'!$I$48=Tulokset!$G$47,'29'!$K$48=Tulokset!$I$47),6,3),MAX(0,6-(ABS('29'!$I$48-Tulokset!$G$47)+ABS('29'!$K$48-Tulokset!$I$47))))))</f>
        <v/>
      </c>
      <c r="AX32" t="str">
        <f>IF(OR(Tulokset!$G$48="",Tulokset!$I$48="",'29'!$I$49="",'29'!$K$49=""),"",IF(SIGN('29'!$I$49-'29'!$K$49)&lt;&gt;SIGN(Tulokset!$G$48-Tulokset!$I$48),0,IF(Tulokset!$G$48=Tulokset!$I$48,IF(AND('29'!$I$49=Tulokset!$G$48,'29'!$K$49=Tulokset!$I$48),6,3),MAX(0,6-(ABS('29'!$I$49-Tulokset!$G$48)+ABS('29'!$K$49-Tulokset!$I$48))))))</f>
        <v/>
      </c>
      <c r="AY32" t="str">
        <f>IF(OR(Tulokset!$G$49="",Tulokset!$I$49="",'29'!$I$50="",'29'!$K$50=""),"",IF(SIGN('29'!$I$50-'29'!$K$50)&lt;&gt;SIGN(Tulokset!$G$49-Tulokset!$I$49),0,IF(Tulokset!$G$49=Tulokset!$I$49,IF(AND('29'!$I$50=Tulokset!$G$49,'29'!$K$50=Tulokset!$I$49),6,3),MAX(0,6-(ABS('29'!$I$50-Tulokset!$G$49)+ABS('29'!$K$50-Tulokset!$I$49))))))</f>
        <v/>
      </c>
      <c r="AZ32" t="str">
        <f>IF(OR(Tulokset!$G$50="",Tulokset!$I$50="",'29'!$I$51="",'29'!$K$51=""),"",IF(SIGN('29'!$I$51-'29'!$K$51)&lt;&gt;SIGN(Tulokset!$G$50-Tulokset!$I$50),0,IF(Tulokset!$G$50=Tulokset!$I$50,IF(AND('29'!$I$51=Tulokset!$G$50,'29'!$K$51=Tulokset!$I$50),6,3),MAX(0,6-(ABS('29'!$I$51-Tulokset!$G$50)+ABS('29'!$K$51-Tulokset!$I$50))))))</f>
        <v/>
      </c>
      <c r="BA32" t="str">
        <f>IF(OR(Tulokset!$G$51="",Tulokset!$I$51="",'29'!$I$52="",'29'!$K$52=""),"",IF(SIGN('29'!$I$52-'29'!$K$52)&lt;&gt;SIGN(Tulokset!$G$51-Tulokset!$I$51),0,IF(Tulokset!$G$51=Tulokset!$I$51,IF(AND('29'!$I$52=Tulokset!$G$51,'29'!$K$52=Tulokset!$I$51),6,3),MAX(0,6-(ABS('29'!$I$52-Tulokset!$G$51)+ABS('29'!$K$52-Tulokset!$I$51))))))</f>
        <v/>
      </c>
      <c r="BB32" t="str">
        <f>IF(OR(Tulokset!$G$52="",Tulokset!$I$52="",'29'!$I$53="",'29'!$K$53=""),"",IF(SIGN('29'!$I$53-'29'!$K$53)&lt;&gt;SIGN(Tulokset!$G$52-Tulokset!$I$52),0,IF(Tulokset!$G$52=Tulokset!$I$52,IF(AND('29'!$I$53=Tulokset!$G$52,'29'!$K$53=Tulokset!$I$52),6,3),MAX(0,6-(ABS('29'!$I$53-Tulokset!$G$52)+ABS('29'!$K$53-Tulokset!$I$52))))))</f>
        <v/>
      </c>
      <c r="BC32" t="str">
        <f>IF(OR(Tulokset!$G$53="",Tulokset!$I$53="",'29'!$I$54="",'29'!$K$54=""),"",IF(SIGN('29'!$I$54-'29'!$K$54)&lt;&gt;SIGN(Tulokset!$G$53-Tulokset!$I$53),0,IF(Tulokset!$G$53=Tulokset!$I$53,IF(AND('29'!$I$54=Tulokset!$G$53,'29'!$K$54=Tulokset!$I$53),6,3),MAX(0,6-(ABS('29'!$I$54-Tulokset!$G$53)+ABS('29'!$K$54-Tulokset!$I$53))))))</f>
        <v/>
      </c>
      <c r="BD32" t="str">
        <f>IF(OR(Tulokset!$G$54="",Tulokset!$I$54="",'29'!$I$55="",'29'!$K$55=""),"",IF(SIGN('29'!$I$55-'29'!$K$55)&lt;&gt;SIGN(Tulokset!$G$54-Tulokset!$I$54),0,IF(Tulokset!$G$54=Tulokset!$I$54,IF(AND('29'!$I$55=Tulokset!$G$54,'29'!$K$55=Tulokset!$I$54),6,3),MAX(0,6-(ABS('29'!$I$55-Tulokset!$G$54)+ABS('29'!$K$55-Tulokset!$I$54))))))</f>
        <v/>
      </c>
      <c r="BE32" t="str">
        <f>IF(OR(Tulokset!$G$55="",Tulokset!$I$55="",'29'!$I$56="",'29'!$K$56=""),"",IF(SIGN('29'!$I$56-'29'!$K$56)&lt;&gt;SIGN(Tulokset!$G$55-Tulokset!$I$55),0,IF(Tulokset!$G$55=Tulokset!$I$55,IF(AND('29'!$I$56=Tulokset!$G$55,'29'!$K$56=Tulokset!$I$55),6,3),MAX(0,6-(ABS('29'!$I$56-Tulokset!$G$55)+ABS('29'!$K$56-Tulokset!$I$55))))))</f>
        <v/>
      </c>
      <c r="BF32" t="str">
        <f>IF(OR(Tulokset!$G$56="",Tulokset!$I$56="",'29'!$I$57="",'29'!$K$57=""),"",IF(SIGN('29'!$I$57-'29'!$K$57)&lt;&gt;SIGN(Tulokset!$G$56-Tulokset!$I$56),0,IF(Tulokset!$G$56=Tulokset!$I$56,IF(AND('29'!$I$57=Tulokset!$G$56,'29'!$K$57=Tulokset!$I$56),6,3),MAX(0,6-(ABS('29'!$I$57-Tulokset!$G$56)+ABS('29'!$K$57-Tulokset!$I$56))))))</f>
        <v/>
      </c>
      <c r="BG32" t="str">
        <f>IF(OR(Tulokset!$G$57="",Tulokset!$I$57="",'29'!$I$58="",'29'!$K$58=""),"",IF(SIGN('29'!$I$58-'29'!$K$58)&lt;&gt;SIGN(Tulokset!$G$57-Tulokset!$I$57),0,IF(Tulokset!$G$57=Tulokset!$I$57,IF(AND('29'!$I$58=Tulokset!$G$57,'29'!$K$58=Tulokset!$I$57),6,3),MAX(0,6-(ABS('29'!$I$58-Tulokset!$G$57)+ABS('29'!$K$58-Tulokset!$I$57))))))</f>
        <v/>
      </c>
      <c r="BH32" t="str">
        <f>IF(OR(Tulokset!$G$58="",Tulokset!$I$58="",'29'!$I$59="",'29'!$K$59=""),"",IF(SIGN('29'!$I$59-'29'!$K$59)&lt;&gt;SIGN(Tulokset!$G$58-Tulokset!$I$58),0,IF(Tulokset!$G$58=Tulokset!$I$58,IF(AND('29'!$I$59=Tulokset!$G$58,'29'!$K$59=Tulokset!$I$58),6,3),MAX(0,6-(ABS('29'!$I$59-Tulokset!$G$58)+ABS('29'!$K$59-Tulokset!$I$58))))))</f>
        <v/>
      </c>
      <c r="BI32" t="str">
        <f>IF(OR(Tulokset!$G$59="",Tulokset!$I$59="",'29'!$I$60="",'29'!$K$60=""),"",IF(SIGN('29'!$I$60-'29'!$K$60)&lt;&gt;SIGN(Tulokset!$G$59-Tulokset!$I$59),0,IF(Tulokset!$G$59=Tulokset!$I$59,IF(AND('29'!$I$60=Tulokset!$G$59,'29'!$K$60=Tulokset!$I$59),6,3),MAX(0,6-(ABS('29'!$I$60-Tulokset!$G$59)+ABS('29'!$K$60-Tulokset!$I$59))))))</f>
        <v/>
      </c>
      <c r="BJ32" t="str">
        <f>IF(OR(Tulokset!$G$60="",Tulokset!$I$60="",'29'!$I$61="",'29'!$K$61=""),"",IF(SIGN('29'!$I$61-'29'!$K$61)&lt;&gt;SIGN(Tulokset!$G$60-Tulokset!$I$60),0,IF(Tulokset!$G$60=Tulokset!$I$60,IF(AND('29'!$I$61=Tulokset!$G$60,'29'!$K$61=Tulokset!$I$60),6,3),MAX(0,6-(ABS('29'!$I$61-Tulokset!$G$60)+ABS('29'!$K$61-Tulokset!$I$60))))))</f>
        <v/>
      </c>
      <c r="BK32" t="str">
        <f>IF(OR(Tulokset!$G$61="",Tulokset!$I$61="",'29'!$I$62="",'29'!$K$62=""),"",IF(SIGN('29'!$I$62-'29'!$K$62)&lt;&gt;SIGN(Tulokset!$G$61-Tulokset!$I$61),0,IF(Tulokset!$G$61=Tulokset!$I$61,IF(AND('29'!$I$62=Tulokset!$G$61,'29'!$K$62=Tulokset!$I$61),6,3),MAX(0,6-(ABS('29'!$I$62-Tulokset!$G$61)+ABS('29'!$K$62-Tulokset!$I$61))))))</f>
        <v/>
      </c>
      <c r="BL32" t="str">
        <f>IF(OR(Tulokset!$G$62="",Tulokset!$I$62="",'29'!$I$63="",'29'!$K$63=""),"",IF(SIGN('29'!$I$63-'29'!$K$63)&lt;&gt;SIGN(Tulokset!$G$62-Tulokset!$I$62),0,IF(Tulokset!$G$62=Tulokset!$I$62,IF(AND('29'!$I$63=Tulokset!$G$62,'29'!$K$63=Tulokset!$I$62),6,3),MAX(0,6-(ABS('29'!$I$63-Tulokset!$G$62)+ABS('29'!$K$63-Tulokset!$I$62))))))</f>
        <v/>
      </c>
      <c r="BM32" t="str">
        <f>IF(OR(Tulokset!$G$63="",Tulokset!$I$63="",'29'!$I$64="",'29'!$K$64=""),"",IF(SIGN('29'!$I$64-'29'!$K$64)&lt;&gt;SIGN(Tulokset!$G$63-Tulokset!$I$63),0,IF(Tulokset!$G$63=Tulokset!$I$63,IF(AND('29'!$I$64=Tulokset!$G$63,'29'!$K$64=Tulokset!$I$63),6,3),MAX(0,6-(ABS('29'!$I$64-Tulokset!$G$63)+ABS('29'!$K$64-Tulokset!$I$63))))))</f>
        <v/>
      </c>
      <c r="BN32" t="str">
        <f>IF(OR(Tulokset!$G$64="",Tulokset!$I$64="",'29'!$I$65="",'29'!$K$65=""),"",IF(SIGN('29'!$I$65-'29'!$K$65)&lt;&gt;SIGN(Tulokset!$G$64-Tulokset!$I$64),0,IF(Tulokset!$G$64=Tulokset!$I$64,IF(AND('29'!$I$65=Tulokset!$G$64,'29'!$K$65=Tulokset!$I$64),6,3),MAX(0,6-(ABS('29'!$I$65-Tulokset!$G$64)+ABS('29'!$K$65-Tulokset!$I$64))))))</f>
        <v/>
      </c>
      <c r="BO32" t="str">
        <f>IF(OR(Tulokset!$G$65="",Tulokset!$I$65="",'29'!$I$66="",'29'!$K$66=""),"",IF(SIGN('29'!$I$66-'29'!$K$66)&lt;&gt;SIGN(Tulokset!$G$65-Tulokset!$I$65),0,IF(Tulokset!$G$65=Tulokset!$I$65,IF(AND('29'!$I$66=Tulokset!$G$65,'29'!$K$66=Tulokset!$I$65),6,3),MAX(0,6-(ABS('29'!$I$66-Tulokset!$G$65)+ABS('29'!$K$66-Tulokset!$I$65))))))</f>
        <v/>
      </c>
      <c r="BP32" t="str">
        <f>IF(OR(Tulokset!$G$66="",Tulokset!$I$66="",'29'!$I$67="",'29'!$K$67=""),"",IF(SIGN('29'!$I$67-'29'!$K$67)&lt;&gt;SIGN(Tulokset!$G$66-Tulokset!$I$66),0,IF(Tulokset!$G$66=Tulokset!$I$66,IF(AND('29'!$I$67=Tulokset!$G$66,'29'!$K$67=Tulokset!$I$66),6,3),MAX(0,6-(ABS('29'!$I$67-Tulokset!$G$66)+ABS('29'!$K$67-Tulokset!$I$66))))))</f>
        <v/>
      </c>
      <c r="BQ32" t="str">
        <f>IF(OR(Tulokset!$G$67="",Tulokset!$I$67="",'29'!$I$68="",'29'!$K$68=""),"",IF(SIGN('29'!$I$68-'29'!$K$68)&lt;&gt;SIGN(Tulokset!$G$67-Tulokset!$I$67),0,IF(Tulokset!$G$67=Tulokset!$I$67,IF(AND('29'!$I$68=Tulokset!$G$67,'29'!$K$68=Tulokset!$I$67),6,3),MAX(0,6-(ABS('29'!$I$68-Tulokset!$G$67)+ABS('29'!$K$68-Tulokset!$I$67))))))</f>
        <v/>
      </c>
      <c r="BR32" t="str">
        <f>IF(OR(Tulokset!$G$68="",Tulokset!$I$68="",'29'!$I$69="",'29'!$K$69=""),"",IF(SIGN('29'!$I$69-'29'!$K$69)&lt;&gt;SIGN(Tulokset!$G$68-Tulokset!$I$68),0,IF(Tulokset!$G$68=Tulokset!$I$68,IF(AND('29'!$I$69=Tulokset!$G$68,'29'!$K$69=Tulokset!$I$68),6,3),MAX(0,6-(ABS('29'!$I$69-Tulokset!$G$68)+ABS('29'!$K$69-Tulokset!$I$68))))))</f>
        <v/>
      </c>
      <c r="BS32" t="str">
        <f>IF(OR(Tulokset!$G$69="",Tulokset!$I$69="",'29'!$I$70="",'29'!$K$70=""),"",IF(SIGN('29'!$I$70-'29'!$K$70)&lt;&gt;SIGN(Tulokset!$G$69-Tulokset!$I$69),0,IF(Tulokset!$G$69=Tulokset!$I$69,IF(AND('29'!$I$70=Tulokset!$G$69,'29'!$K$70=Tulokset!$I$69),6,3),MAX(0,6-(ABS('29'!$I$70-Tulokset!$G$69)+ABS('29'!$K$70-Tulokset!$I$69))))))</f>
        <v/>
      </c>
      <c r="BT32" t="str">
        <f>IF(OR(Tulokset!$G$70="",Tulokset!$I$70="",'29'!$I$71="",'29'!$K$71=""),"",IF(SIGN('29'!$I$71-'29'!$K$71)&lt;&gt;SIGN(Tulokset!$G$70-Tulokset!$I$70),0,IF(Tulokset!$G$70=Tulokset!$I$70,IF(AND('29'!$I$71=Tulokset!$G$70,'29'!$K$71=Tulokset!$I$70),6,3),MAX(0,6-(ABS('29'!$I$71-Tulokset!$G$70)+ABS('29'!$K$71-Tulokset!$I$70))))))</f>
        <v/>
      </c>
      <c r="BU32" t="str">
        <f>IF(OR(Tulokset!$G$71="",Tulokset!$I$71="",'29'!$I$72="",'29'!$K$72=""),"",IF(SIGN('29'!$I$72-'29'!$K$72)&lt;&gt;SIGN(Tulokset!$G$71-Tulokset!$I$71),0,IF(Tulokset!$G$71=Tulokset!$I$71,IF(AND('29'!$I$72=Tulokset!$G$71,'29'!$K$72=Tulokset!$I$71),6,3),MAX(0,6-(ABS('29'!$I$72-Tulokset!$G$71)+ABS('29'!$K$72-Tulokset!$I$71))))))</f>
        <v/>
      </c>
      <c r="BV32" t="str">
        <f>IF(OR(Tulokset!$G$72="",Tulokset!$I$72="",'29'!$I$73="",'29'!$K$73=""),"",IF(SIGN('29'!$I$73-'29'!$K$73)&lt;&gt;SIGN(Tulokset!$G$72-Tulokset!$I$72),0,IF(Tulokset!$G$72=Tulokset!$I$72,IF(AND('29'!$I$73=Tulokset!$G$72,'29'!$K$73=Tulokset!$I$72),6,3),MAX(0,6-(ABS('29'!$I$73-Tulokset!$G$72)+ABS('29'!$K$73-Tulokset!$I$72))))))</f>
        <v/>
      </c>
      <c r="BW32" t="str">
        <f>IF(OR(Tulokset!$G$73="",Tulokset!$I$73="",'29'!$I$74="",'29'!$K$74=""),"",IF(SIGN('29'!$I$74-'29'!$K$74)&lt;&gt;SIGN(Tulokset!$G$73-Tulokset!$I$73),0,IF(Tulokset!$G$73=Tulokset!$I$73,IF(AND('29'!$I$74=Tulokset!$G$73,'29'!$K$74=Tulokset!$I$73),6,3),MAX(0,6-(ABS('29'!$I$74-Tulokset!$G$73)+ABS('29'!$K$74-Tulokset!$I$73))))))</f>
        <v/>
      </c>
      <c r="BX32" t="str">
        <f>IF(OR(Tulokset!$G$74="",Tulokset!$I$74="",'29'!$I$75="",'29'!$K$75=""),"",IF(SIGN('29'!$I$75-'29'!$K$75)&lt;&gt;SIGN(Tulokset!$G$74-Tulokset!$I$74),0,IF(Tulokset!$G$74=Tulokset!$I$74,IF(AND('29'!$I$75=Tulokset!$G$74,'29'!$K$75=Tulokset!$I$74),6,3),MAX(0,6-(ABS('29'!$I$75-Tulokset!$G$74)+ABS('29'!$K$75-Tulokset!$I$74))))))</f>
        <v/>
      </c>
      <c r="BY32" t="str">
        <f>IF(OR(Tulokset!$G$75="",Tulokset!$I$75="",'29'!$I$76="",'29'!$K$76=""),"",IF(SIGN('29'!$I$76-'29'!$K$76)&lt;&gt;SIGN(Tulokset!$G$75-Tulokset!$I$75),0,IF(Tulokset!$G$75=Tulokset!$I$75,IF(AND('29'!$I$76=Tulokset!$G$75,'29'!$K$76=Tulokset!$I$75),6,3),MAX(0,6-(ABS('29'!$I$76-Tulokset!$G$75)+ABS('29'!$K$76-Tulokset!$I$75))))))</f>
        <v/>
      </c>
      <c r="BZ32" t="str">
        <f>IF(OR(Tulokset!$G$76="",Tulokset!$I$76="",'29'!$I$77="",'29'!$K$77=""),"",IF(SIGN('29'!$I$77-'29'!$K$77)&lt;&gt;SIGN(Tulokset!$G$76-Tulokset!$I$76),0,IF(Tulokset!$G$76=Tulokset!$I$76,IF(AND('29'!$I$77=Tulokset!$G$76,'29'!$K$77=Tulokset!$I$76),6,3),MAX(0,6-(ABS('29'!$I$77-Tulokset!$G$76)+ABS('29'!$K$77-Tulokset!$I$76))))))</f>
        <v/>
      </c>
      <c r="CA32" t="str">
        <f>IF(OR(Tulokset!$G$77="",Tulokset!$I$77="",'29'!$I$78="",'29'!$K$78=""),"",IF(SIGN('29'!$I$78-'29'!$K$78)&lt;&gt;SIGN(Tulokset!$G$77-Tulokset!$I$77),0,IF(Tulokset!$G$77=Tulokset!$I$77,IF(AND('29'!$I$78=Tulokset!$G$77,'29'!$K$78=Tulokset!$I$77),6,3),MAX(0,6-(ABS('29'!$I$78-Tulokset!$G$77)+ABS('29'!$K$78-Tulokset!$I$77))))))</f>
        <v/>
      </c>
      <c r="CD32" t="str">
        <f ca="1">IF(OR(Tulokset!$M$6="",INDIRECT("'"&amp;$A32&amp;"'!$P$8")=""),"",IF(TRIM(INDIRECT("'"&amp;$A32&amp;"'!$P$8"))=TRIM(Tulokset!$M$6),2,0))</f>
        <v/>
      </c>
      <c r="CE32" t="str">
        <f ca="1">IF(OR(Tulokset!$M$7="",INDIRECT("'"&amp;$A32&amp;"'!$P$9")=""),"",IF(TRIM(INDIRECT("'"&amp;$A32&amp;"'!$P$9"))=TRIM(Tulokset!$M$7),2,0))</f>
        <v/>
      </c>
      <c r="CF32" t="str">
        <f ca="1">IF(OR(Tulokset!$M$8="",INDIRECT("'"&amp;$A32&amp;"'!$P$10")=""),"",IF(TRIM(INDIRECT("'"&amp;$A32&amp;"'!$P$10"))=TRIM(Tulokset!$M$8),2,0))</f>
        <v/>
      </c>
      <c r="CG32" t="str">
        <f ca="1">IF(OR(Tulokset!$M$9="",INDIRECT("'"&amp;$A32&amp;"'!$P$11")=""),"",IF(TRIM(INDIRECT("'"&amp;$A32&amp;"'!$P$11"))=TRIM(Tulokset!$M$9),2,0))</f>
        <v/>
      </c>
      <c r="CH32" t="str">
        <f ca="1">IF(OR(Tulokset!$N$6="",INDIRECT("'"&amp;$A32&amp;"'!$Q$8")=""),"",IF(TRIM(INDIRECT("'"&amp;$A32&amp;"'!$Q$8"))=TRIM(Tulokset!$N$6),2,0))</f>
        <v/>
      </c>
      <c r="CI32" t="str">
        <f ca="1">IF(OR(Tulokset!$N$7="",INDIRECT("'"&amp;$A32&amp;"'!$Q$9")=""),"",IF(TRIM(INDIRECT("'"&amp;$A32&amp;"'!$Q$9"))=TRIM(Tulokset!$N$7),2,0))</f>
        <v/>
      </c>
      <c r="CJ32" t="str">
        <f ca="1">IF(OR(Tulokset!$N$8="",INDIRECT("'"&amp;$A32&amp;"'!$Q$10")=""),"",IF(TRIM(INDIRECT("'"&amp;$A32&amp;"'!$Q$10"))=TRIM(Tulokset!$N$8),2,0))</f>
        <v/>
      </c>
      <c r="CK32" t="str">
        <f ca="1">IF(OR(Tulokset!$N$9="",INDIRECT("'"&amp;$A32&amp;"'!$Q$11")=""),"",IF(TRIM(INDIRECT("'"&amp;$A32&amp;"'!$Q$11"))=TRIM(Tulokset!$N$9),2,0))</f>
        <v/>
      </c>
      <c r="CL32" t="str">
        <f ca="1">IF(OR(Tulokset!$O$6="",INDIRECT("'"&amp;$A32&amp;"'!$R$8")=""),"",IF(TRIM(INDIRECT("'"&amp;$A32&amp;"'!$R$8"))=TRIM(Tulokset!$O$6),2,0))</f>
        <v/>
      </c>
      <c r="CM32" t="str">
        <f ca="1">IF(OR(Tulokset!$O$7="",INDIRECT("'"&amp;$A32&amp;"'!$R$9")=""),"",IF(TRIM(INDIRECT("'"&amp;$A32&amp;"'!$R$9"))=TRIM(Tulokset!$O$7),2,0))</f>
        <v/>
      </c>
      <c r="CN32" t="str">
        <f ca="1">IF(OR(Tulokset!$O$8="",INDIRECT("'"&amp;$A32&amp;"'!$R$10")=""),"",IF(TRIM(INDIRECT("'"&amp;$A32&amp;"'!$R$10"))=TRIM(Tulokset!$O$8),2,0))</f>
        <v/>
      </c>
      <c r="CO32" t="str">
        <f ca="1">IF(OR(Tulokset!$O$9="",INDIRECT("'"&amp;$A32&amp;"'!$R$11")=""),"",IF(TRIM(INDIRECT("'"&amp;$A32&amp;"'!$R$11"))=TRIM(Tulokset!$O$9),2,0))</f>
        <v/>
      </c>
      <c r="CP32" t="str">
        <f ca="1">IF(OR(Tulokset!$P$6="",INDIRECT("'"&amp;$A32&amp;"'!$S$8")=""),"",IF(TRIM(INDIRECT("'"&amp;$A32&amp;"'!$S$8"))=TRIM(Tulokset!$P$6),2,0))</f>
        <v/>
      </c>
      <c r="CQ32" t="str">
        <f ca="1">IF(OR(Tulokset!$P$7="",INDIRECT("'"&amp;$A32&amp;"'!$S$9")=""),"",IF(TRIM(INDIRECT("'"&amp;$A32&amp;"'!$S$9"))=TRIM(Tulokset!$P$7),2,0))</f>
        <v/>
      </c>
      <c r="CR32" t="str">
        <f ca="1">IF(OR(Tulokset!$P$8="",INDIRECT("'"&amp;$A32&amp;"'!$S$10")=""),"",IF(TRIM(INDIRECT("'"&amp;$A32&amp;"'!$S$10"))=TRIM(Tulokset!$P$8),2,0))</f>
        <v/>
      </c>
      <c r="CS32" t="str">
        <f ca="1">IF(OR(Tulokset!$P$9="",INDIRECT("'"&amp;$A32&amp;"'!$S$11")=""),"",IF(TRIM(INDIRECT("'"&amp;$A32&amp;"'!$S$11"))=TRIM(Tulokset!$P$9),2,0))</f>
        <v/>
      </c>
      <c r="CT32" t="str">
        <f ca="1">IF(OR(Tulokset!$Q$6="",INDIRECT("'"&amp;$A32&amp;"'!$T$8")=""),"",IF(TRIM(INDIRECT("'"&amp;$A32&amp;"'!$T$8"))=TRIM(Tulokset!$Q$6),2,0))</f>
        <v/>
      </c>
      <c r="CU32" t="str">
        <f ca="1">IF(OR(Tulokset!$Q$7="",INDIRECT("'"&amp;$A32&amp;"'!$T$9")=""),"",IF(TRIM(INDIRECT("'"&amp;$A32&amp;"'!$T$9"))=TRIM(Tulokset!$Q$7),2,0))</f>
        <v/>
      </c>
      <c r="CV32" t="str">
        <f ca="1">IF(OR(Tulokset!$Q$8="",INDIRECT("'"&amp;$A32&amp;"'!$T$10")=""),"",IF(TRIM(INDIRECT("'"&amp;$A32&amp;"'!$T$10"))=TRIM(Tulokset!$Q$8),2,0))</f>
        <v/>
      </c>
      <c r="CW32" t="str">
        <f ca="1">IF(OR(Tulokset!$Q$9="",INDIRECT("'"&amp;$A32&amp;"'!$T$11")=""),"",IF(TRIM(INDIRECT("'"&amp;$A32&amp;"'!$T$11"))=TRIM(Tulokset!$Q$9),2,0))</f>
        <v/>
      </c>
      <c r="CX32" t="str">
        <f ca="1">IF(OR(Tulokset!$R$6="",INDIRECT("'"&amp;$A32&amp;"'!$U$8")=""),"",IF(TRIM(INDIRECT("'"&amp;$A32&amp;"'!$U$8"))=TRIM(Tulokset!$R$6),2,0))</f>
        <v/>
      </c>
      <c r="CY32" t="str">
        <f ca="1">IF(OR(Tulokset!$R$7="",INDIRECT("'"&amp;$A32&amp;"'!$U$9")=""),"",IF(TRIM(INDIRECT("'"&amp;$A32&amp;"'!$U$9"))=TRIM(Tulokset!$R$7),2,0))</f>
        <v/>
      </c>
      <c r="CZ32" t="str">
        <f ca="1">IF(OR(Tulokset!$R$8="",INDIRECT("'"&amp;$A32&amp;"'!$U$10")=""),"",IF(TRIM(INDIRECT("'"&amp;$A32&amp;"'!$U$10"))=TRIM(Tulokset!$R$8),2,0))</f>
        <v/>
      </c>
      <c r="DA32" t="str">
        <f ca="1">IF(OR(Tulokset!$R$9="",INDIRECT("'"&amp;$A32&amp;"'!$U$11")=""),"",IF(TRIM(INDIRECT("'"&amp;$A32&amp;"'!$U$11"))=TRIM(Tulokset!$R$9),2,0))</f>
        <v/>
      </c>
      <c r="DB32" t="str">
        <f ca="1">IF(OR(Tulokset!$M$12="",INDIRECT("'"&amp;$A32&amp;"'!$P$14")=""),"",IF(TRIM(INDIRECT("'"&amp;$A32&amp;"'!$P$14"))=TRIM(Tulokset!$M$12),2,0))</f>
        <v/>
      </c>
      <c r="DC32" t="str">
        <f ca="1">IF(OR(Tulokset!$M$13="",INDIRECT("'"&amp;$A32&amp;"'!$P$15")=""),"",IF(TRIM(INDIRECT("'"&amp;$A32&amp;"'!$P$15"))=TRIM(Tulokset!$M$13),2,0))</f>
        <v/>
      </c>
      <c r="DD32" t="str">
        <f ca="1">IF(OR(Tulokset!$M$14="",INDIRECT("'"&amp;$A32&amp;"'!$P$16")=""),"",IF(TRIM(INDIRECT("'"&amp;$A32&amp;"'!$P$16"))=TRIM(Tulokset!$M$14),2,0))</f>
        <v/>
      </c>
      <c r="DE32" t="str">
        <f ca="1">IF(OR(Tulokset!$M$15="",INDIRECT("'"&amp;$A32&amp;"'!$P$17")=""),"",IF(TRIM(INDIRECT("'"&amp;$A32&amp;"'!$P$17"))=TRIM(Tulokset!$M$15),2,0))</f>
        <v/>
      </c>
      <c r="DF32" t="str">
        <f ca="1">IF(OR(Tulokset!$N$12="",INDIRECT("'"&amp;$A32&amp;"'!$Q$14")=""),"",IF(TRIM(INDIRECT("'"&amp;$A32&amp;"'!$Q$14"))=TRIM(Tulokset!$N$12),2,0))</f>
        <v/>
      </c>
      <c r="DG32" t="str">
        <f ca="1">IF(OR(Tulokset!$N$13="",INDIRECT("'"&amp;$A32&amp;"'!$Q$15")=""),"",IF(TRIM(INDIRECT("'"&amp;$A32&amp;"'!$Q$15"))=TRIM(Tulokset!$N$13),2,0))</f>
        <v/>
      </c>
      <c r="DH32" t="str">
        <f ca="1">IF(OR(Tulokset!$N$14="",INDIRECT("'"&amp;$A32&amp;"'!$Q$16")=""),"",IF(TRIM(INDIRECT("'"&amp;$A32&amp;"'!$Q$16"))=TRIM(Tulokset!$N$14),2,0))</f>
        <v/>
      </c>
      <c r="DI32" t="str">
        <f ca="1">IF(OR(Tulokset!$N$15="",INDIRECT("'"&amp;$A32&amp;"'!$Q$17")=""),"",IF(TRIM(INDIRECT("'"&amp;$A32&amp;"'!$Q$17"))=TRIM(Tulokset!$N$15),2,0))</f>
        <v/>
      </c>
      <c r="DJ32" t="str">
        <f ca="1">IF(OR(Tulokset!$O$12="",INDIRECT("'"&amp;$A32&amp;"'!$R$14")=""),"",IF(TRIM(INDIRECT("'"&amp;$A32&amp;"'!$R$14"))=TRIM(Tulokset!$O$12),2,0))</f>
        <v/>
      </c>
      <c r="DK32" t="str">
        <f ca="1">IF(OR(Tulokset!$O$13="",INDIRECT("'"&amp;$A32&amp;"'!$R$15")=""),"",IF(TRIM(INDIRECT("'"&amp;$A32&amp;"'!$R$15"))=TRIM(Tulokset!$O$13),2,0))</f>
        <v/>
      </c>
      <c r="DL32" t="str">
        <f ca="1">IF(OR(Tulokset!$O$14="",INDIRECT("'"&amp;$A32&amp;"'!$R$16")=""),"",IF(TRIM(INDIRECT("'"&amp;$A32&amp;"'!$R$16"))=TRIM(Tulokset!$O$14),2,0))</f>
        <v/>
      </c>
      <c r="DM32" t="str">
        <f ca="1">IF(OR(Tulokset!$O$15="",INDIRECT("'"&amp;$A32&amp;"'!$R$17")=""),"",IF(TRIM(INDIRECT("'"&amp;$A32&amp;"'!$R$17"))=TRIM(Tulokset!$O$15),2,0))</f>
        <v/>
      </c>
      <c r="DN32" t="str">
        <f ca="1">IF(OR(Tulokset!$P$12="",INDIRECT("'"&amp;$A32&amp;"'!$S$14")=""),"",IF(TRIM(INDIRECT("'"&amp;$A32&amp;"'!$S$14"))=TRIM(Tulokset!$P$12),2,0))</f>
        <v/>
      </c>
      <c r="DO32" t="str">
        <f ca="1">IF(OR(Tulokset!$P$13="",INDIRECT("'"&amp;$A32&amp;"'!$S$15")=""),"",IF(TRIM(INDIRECT("'"&amp;$A32&amp;"'!$S$15"))=TRIM(Tulokset!$P$13),2,0))</f>
        <v/>
      </c>
      <c r="DP32" t="str">
        <f ca="1">IF(OR(Tulokset!$P$14="",INDIRECT("'"&amp;$A32&amp;"'!$S$16")=""),"",IF(TRIM(INDIRECT("'"&amp;$A32&amp;"'!$S$16"))=TRIM(Tulokset!$P$14),2,0))</f>
        <v/>
      </c>
      <c r="DQ32" t="str">
        <f ca="1">IF(OR(Tulokset!$P$15="",INDIRECT("'"&amp;$A32&amp;"'!$S$17")=""),"",IF(TRIM(INDIRECT("'"&amp;$A32&amp;"'!$S$17"))=TRIM(Tulokset!$P$15),2,0))</f>
        <v/>
      </c>
      <c r="DR32" t="str">
        <f ca="1">IF(OR(Tulokset!$Q$12="",INDIRECT("'"&amp;$A32&amp;"'!$T$14")=""),"",IF(TRIM(INDIRECT("'"&amp;$A32&amp;"'!$T$14"))=TRIM(Tulokset!$Q$12),2,0))</f>
        <v/>
      </c>
      <c r="DS32" t="str">
        <f ca="1">IF(OR(Tulokset!$Q$13="",INDIRECT("'"&amp;$A32&amp;"'!$T$15")=""),"",IF(TRIM(INDIRECT("'"&amp;$A32&amp;"'!$T$15"))=TRIM(Tulokset!$Q$13),2,0))</f>
        <v/>
      </c>
      <c r="DT32" t="str">
        <f ca="1">IF(OR(Tulokset!$Q$14="",INDIRECT("'"&amp;$A32&amp;"'!$T$16")=""),"",IF(TRIM(INDIRECT("'"&amp;$A32&amp;"'!$T$16"))=TRIM(Tulokset!$Q$14),2,0))</f>
        <v/>
      </c>
      <c r="DU32" t="str">
        <f ca="1">IF(OR(Tulokset!$Q$15="",INDIRECT("'"&amp;$A32&amp;"'!$T$17")=""),"",IF(TRIM(INDIRECT("'"&amp;$A32&amp;"'!$T$17"))=TRIM(Tulokset!$Q$15),2,0))</f>
        <v/>
      </c>
      <c r="DV32" t="str">
        <f ca="1">IF(OR(Tulokset!$R$12="",INDIRECT("'"&amp;$A32&amp;"'!$U$14")=""),"",IF(TRIM(INDIRECT("'"&amp;$A32&amp;"'!$U$14"))=TRIM(Tulokset!$R$12),2,0))</f>
        <v/>
      </c>
      <c r="DW32" t="str">
        <f ca="1">IF(OR(Tulokset!$R$13="",INDIRECT("'"&amp;$A32&amp;"'!$U$15")=""),"",IF(TRIM(INDIRECT("'"&amp;$A32&amp;"'!$U$15"))=TRIM(Tulokset!$R$13),2,0))</f>
        <v/>
      </c>
      <c r="DX32" t="str">
        <f ca="1">IF(OR(Tulokset!$R$14="",INDIRECT("'"&amp;$A32&amp;"'!$U$16")=""),"",IF(TRIM(INDIRECT("'"&amp;$A32&amp;"'!$U$16"))=TRIM(Tulokset!$R$14),2,0))</f>
        <v/>
      </c>
      <c r="DY32" t="str">
        <f ca="1">IF(OR(Tulokset!$R$15="",INDIRECT("'"&amp;$A32&amp;"'!$U$17")=""),"",IF(TRIM(INDIRECT("'"&amp;$A32&amp;"'!$U$17"))=TRIM(Tulokset!$R$15),2,0))</f>
        <v/>
      </c>
      <c r="EA32" t="str">
        <f ca="1">IF(OR(INDIRECT("'"&amp;$A32&amp;"'!$E$79")="",COUNTA(Tulokset!$M$20:$M$21)=0),"",IF(COUNTIF(Tulokset!$M$20:$M$21,INDIRECT("'"&amp;$A32&amp;"'!$E$79"))&gt;0,2,0))</f>
        <v/>
      </c>
      <c r="EB32" t="str">
        <f ca="1">IF(OR(INDIRECT("'"&amp;$A32&amp;"'!$G$79")="",COUNTA(Tulokset!$M$20:$M$21)=0),"",IF(COUNTIF(Tulokset!$M$20:$M$21,INDIRECT("'"&amp;$A32&amp;"'!$G$79"))&gt;0,2,0))</f>
        <v/>
      </c>
      <c r="EC32" t="str">
        <f ca="1">IF(OR(INDIRECT("'"&amp;$A32&amp;"'!$E$80")="",COUNTA(Tulokset!$M$23:$M$24)=0),"",IF(COUNTIF(Tulokset!$M$23:$M$24,INDIRECT("'"&amp;$A32&amp;"'!$E$80"))&gt;0,2,0))</f>
        <v/>
      </c>
      <c r="ED32" t="str">
        <f ca="1">IF(OR(INDIRECT("'"&amp;$A32&amp;"'!$G$80")="",COUNTA(Tulokset!$M$23:$M$24)=0),"",IF(COUNTIF(Tulokset!$M$23:$M$24,INDIRECT("'"&amp;$A32&amp;"'!$G$80"))&gt;0,2,0))</f>
        <v/>
      </c>
    </row>
    <row r="33" spans="1:134">
      <c r="A33" t="s">
        <v>248</v>
      </c>
      <c r="B33" t="str">
        <f t="shared" ca="1" si="0"/>
        <v/>
      </c>
      <c r="C33" s="95">
        <f t="shared" si="1"/>
        <v>0</v>
      </c>
      <c r="D33" s="95">
        <f t="shared" ca="1" si="2"/>
        <v>0</v>
      </c>
      <c r="E33" s="95">
        <f t="shared" ca="1" si="3"/>
        <v>0</v>
      </c>
      <c r="F33" s="95" t="str">
        <f t="shared" ca="1" si="4"/>
        <v/>
      </c>
      <c r="G33" s="95">
        <f t="shared" si="5"/>
        <v>0</v>
      </c>
      <c r="H33" t="str">
        <f>IF(OR(Tulokset!$G$6="",Tulokset!$I$6="",'30'!$I$7="",'30'!$K$7=""),"",IF(SIGN('30'!$I$7-'30'!$K$7)&lt;&gt;SIGN(Tulokset!$G$6-Tulokset!$I$6),0,IF(Tulokset!$G$6=Tulokset!$I$6,IF(AND('30'!$I$7=Tulokset!$G$6,'30'!$K$7=Tulokset!$I$6),6,3),MAX(0,6-(ABS('30'!$I$7-Tulokset!$G$6)+ABS('30'!$K$7-Tulokset!$I$6))))))</f>
        <v/>
      </c>
      <c r="I33" t="str">
        <f>IF(OR(Tulokset!$G$7="",Tulokset!$I$7="",'30'!$I$8="",'30'!$K$8=""),"",IF(SIGN('30'!$I$8-'30'!$K$8)&lt;&gt;SIGN(Tulokset!$G$7-Tulokset!$I$7),0,IF(Tulokset!$G$7=Tulokset!$I$7,IF(AND('30'!$I$8=Tulokset!$G$7,'30'!$K$8=Tulokset!$I$7),6,3),MAX(0,6-(ABS('30'!$I$8-Tulokset!$G$7)+ABS('30'!$K$8-Tulokset!$I$7))))))</f>
        <v/>
      </c>
      <c r="J33" t="str">
        <f>IF(OR(Tulokset!$G$8="",Tulokset!$I$8="",'30'!$I$9="",'30'!$K$9=""),"",IF(SIGN('30'!$I$9-'30'!$K$9)&lt;&gt;SIGN(Tulokset!$G$8-Tulokset!$I$8),0,IF(Tulokset!$G$8=Tulokset!$I$8,IF(AND('30'!$I$9=Tulokset!$G$8,'30'!$K$9=Tulokset!$I$8),6,3),MAX(0,6-(ABS('30'!$I$9-Tulokset!$G$8)+ABS('30'!$K$9-Tulokset!$I$8))))))</f>
        <v/>
      </c>
      <c r="K33" t="str">
        <f>IF(OR(Tulokset!$G$9="",Tulokset!$I$9="",'30'!$I$10="",'30'!$K$10=""),"",IF(SIGN('30'!$I$10-'30'!$K$10)&lt;&gt;SIGN(Tulokset!$G$9-Tulokset!$I$9),0,IF(Tulokset!$G$9=Tulokset!$I$9,IF(AND('30'!$I$10=Tulokset!$G$9,'30'!$K$10=Tulokset!$I$9),6,3),MAX(0,6-(ABS('30'!$I$10-Tulokset!$G$9)+ABS('30'!$K$10-Tulokset!$I$9))))))</f>
        <v/>
      </c>
      <c r="L33" t="str">
        <f>IF(OR(Tulokset!$G$10="",Tulokset!$I$10="",'30'!$I$11="",'30'!$K$11=""),"",IF(SIGN('30'!$I$11-'30'!$K$11)&lt;&gt;SIGN(Tulokset!$G$10-Tulokset!$I$10),0,IF(Tulokset!$G$10=Tulokset!$I$10,IF(AND('30'!$I$11=Tulokset!$G$10,'30'!$K$11=Tulokset!$I$10),6,3),MAX(0,6-(ABS('30'!$I$11-Tulokset!$G$10)+ABS('30'!$K$11-Tulokset!$I$10))))))</f>
        <v/>
      </c>
      <c r="M33" t="str">
        <f>IF(OR(Tulokset!$G$11="",Tulokset!$I$11="",'30'!$I$12="",'30'!$K$12=""),"",IF(SIGN('30'!$I$12-'30'!$K$12)&lt;&gt;SIGN(Tulokset!$G$11-Tulokset!$I$11),0,IF(Tulokset!$G$11=Tulokset!$I$11,IF(AND('30'!$I$12=Tulokset!$G$11,'30'!$K$12=Tulokset!$I$11),6,3),MAX(0,6-(ABS('30'!$I$12-Tulokset!$G$11)+ABS('30'!$K$12-Tulokset!$I$11))))))</f>
        <v/>
      </c>
      <c r="N33" t="str">
        <f>IF(OR(Tulokset!$G$12="",Tulokset!$I$12="",'30'!$I$13="",'30'!$K$13=""),"",IF(SIGN('30'!$I$13-'30'!$K$13)&lt;&gt;SIGN(Tulokset!$G$12-Tulokset!$I$12),0,IF(Tulokset!$G$12=Tulokset!$I$12,IF(AND('30'!$I$13=Tulokset!$G$12,'30'!$K$13=Tulokset!$I$12),6,3),MAX(0,6-(ABS('30'!$I$13-Tulokset!$G$12)+ABS('30'!$K$13-Tulokset!$I$12))))))</f>
        <v/>
      </c>
      <c r="O33" t="str">
        <f>IF(OR(Tulokset!$G$13="",Tulokset!$I$13="",'30'!$I$14="",'30'!$K$14=""),"",IF(SIGN('30'!$I$14-'30'!$K$14)&lt;&gt;SIGN(Tulokset!$G$13-Tulokset!$I$13),0,IF(Tulokset!$G$13=Tulokset!$I$13,IF(AND('30'!$I$14=Tulokset!$G$13,'30'!$K$14=Tulokset!$I$13),6,3),MAX(0,6-(ABS('30'!$I$14-Tulokset!$G$13)+ABS('30'!$K$14-Tulokset!$I$13))))))</f>
        <v/>
      </c>
      <c r="P33" t="str">
        <f>IF(OR(Tulokset!$G$14="",Tulokset!$I$14="",'30'!$I$15="",'30'!$K$15=""),"",IF(SIGN('30'!$I$15-'30'!$K$15)&lt;&gt;SIGN(Tulokset!$G$14-Tulokset!$I$14),0,IF(Tulokset!$G$14=Tulokset!$I$14,IF(AND('30'!$I$15=Tulokset!$G$14,'30'!$K$15=Tulokset!$I$14),6,3),MAX(0,6-(ABS('30'!$I$15-Tulokset!$G$14)+ABS('30'!$K$15-Tulokset!$I$14))))))</f>
        <v/>
      </c>
      <c r="Q33" t="str">
        <f>IF(OR(Tulokset!$G$15="",Tulokset!$I$15="",'30'!$I$16="",'30'!$K$16=""),"",IF(SIGN('30'!$I$16-'30'!$K$16)&lt;&gt;SIGN(Tulokset!$G$15-Tulokset!$I$15),0,IF(Tulokset!$G$15=Tulokset!$I$15,IF(AND('30'!$I$16=Tulokset!$G$15,'30'!$K$16=Tulokset!$I$15),6,3),MAX(0,6-(ABS('30'!$I$16-Tulokset!$G$15)+ABS('30'!$K$16-Tulokset!$I$15))))))</f>
        <v/>
      </c>
      <c r="R33" t="str">
        <f>IF(OR(Tulokset!$G$16="",Tulokset!$I$16="",'30'!$I$17="",'30'!$K$17=""),"",IF(SIGN('30'!$I$17-'30'!$K$17)&lt;&gt;SIGN(Tulokset!$G$16-Tulokset!$I$16),0,IF(Tulokset!$G$16=Tulokset!$I$16,IF(AND('30'!$I$17=Tulokset!$G$16,'30'!$K$17=Tulokset!$I$16),6,3),MAX(0,6-(ABS('30'!$I$17-Tulokset!$G$16)+ABS('30'!$K$17-Tulokset!$I$16))))))</f>
        <v/>
      </c>
      <c r="S33" t="str">
        <f>IF(OR(Tulokset!$G$17="",Tulokset!$I$17="",'30'!$I$18="",'30'!$K$18=""),"",IF(SIGN('30'!$I$18-'30'!$K$18)&lt;&gt;SIGN(Tulokset!$G$17-Tulokset!$I$17),0,IF(Tulokset!$G$17=Tulokset!$I$17,IF(AND('30'!$I$18=Tulokset!$G$17,'30'!$K$18=Tulokset!$I$17),6,3),MAX(0,6-(ABS('30'!$I$18-Tulokset!$G$17)+ABS('30'!$K$18-Tulokset!$I$17))))))</f>
        <v/>
      </c>
      <c r="T33" t="str">
        <f>IF(OR(Tulokset!$G$18="",Tulokset!$I$18="",'30'!$I$19="",'30'!$K$19=""),"",IF(SIGN('30'!$I$19-'30'!$K$19)&lt;&gt;SIGN(Tulokset!$G$18-Tulokset!$I$18),0,IF(Tulokset!$G$18=Tulokset!$I$18,IF(AND('30'!$I$19=Tulokset!$G$18,'30'!$K$19=Tulokset!$I$18),6,3),MAX(0,6-(ABS('30'!$I$19-Tulokset!$G$18)+ABS('30'!$K$19-Tulokset!$I$18))))))</f>
        <v/>
      </c>
      <c r="U33" t="str">
        <f>IF(OR(Tulokset!$G$19="",Tulokset!$I$19="",'30'!$I$20="",'30'!$K$20=""),"",IF(SIGN('30'!$I$20-'30'!$K$20)&lt;&gt;SIGN(Tulokset!$G$19-Tulokset!$I$19),0,IF(Tulokset!$G$19=Tulokset!$I$19,IF(AND('30'!$I$20=Tulokset!$G$19,'30'!$K$20=Tulokset!$I$19),6,3),MAX(0,6-(ABS('30'!$I$20-Tulokset!$G$19)+ABS('30'!$K$20-Tulokset!$I$19))))))</f>
        <v/>
      </c>
      <c r="V33" t="str">
        <f>IF(OR(Tulokset!$G$20="",Tulokset!$I$20="",'30'!$I$21="",'30'!$K$21=""),"",IF(SIGN('30'!$I$21-'30'!$K$21)&lt;&gt;SIGN(Tulokset!$G$20-Tulokset!$I$20),0,IF(Tulokset!$G$20=Tulokset!$I$20,IF(AND('30'!$I$21=Tulokset!$G$20,'30'!$K$21=Tulokset!$I$20),6,3),MAX(0,6-(ABS('30'!$I$21-Tulokset!$G$20)+ABS('30'!$K$21-Tulokset!$I$20))))))</f>
        <v/>
      </c>
      <c r="W33" t="str">
        <f>IF(OR(Tulokset!$G$21="",Tulokset!$I$21="",'30'!$I$22="",'30'!$K$22=""),"",IF(SIGN('30'!$I$22-'30'!$K$22)&lt;&gt;SIGN(Tulokset!$G$21-Tulokset!$I$21),0,IF(Tulokset!$G$21=Tulokset!$I$21,IF(AND('30'!$I$22=Tulokset!$G$21,'30'!$K$22=Tulokset!$I$21),6,3),MAX(0,6-(ABS('30'!$I$22-Tulokset!$G$21)+ABS('30'!$K$22-Tulokset!$I$21))))))</f>
        <v/>
      </c>
      <c r="X33" t="str">
        <f>IF(OR(Tulokset!$G$22="",Tulokset!$I$22="",'30'!$I$23="",'30'!$K$23=""),"",IF(SIGN('30'!$I$23-'30'!$K$23)&lt;&gt;SIGN(Tulokset!$G$22-Tulokset!$I$22),0,IF(Tulokset!$G$22=Tulokset!$I$22,IF(AND('30'!$I$23=Tulokset!$G$22,'30'!$K$23=Tulokset!$I$22),6,3),MAX(0,6-(ABS('30'!$I$23-Tulokset!$G$22)+ABS('30'!$K$23-Tulokset!$I$22))))))</f>
        <v/>
      </c>
      <c r="Y33" t="str">
        <f>IF(OR(Tulokset!$G$23="",Tulokset!$I$23="",'30'!$I$24="",'30'!$K$24=""),"",IF(SIGN('30'!$I$24-'30'!$K$24)&lt;&gt;SIGN(Tulokset!$G$23-Tulokset!$I$23),0,IF(Tulokset!$G$23=Tulokset!$I$23,IF(AND('30'!$I$24=Tulokset!$G$23,'30'!$K$24=Tulokset!$I$23),6,3),MAX(0,6-(ABS('30'!$I$24-Tulokset!$G$23)+ABS('30'!$K$24-Tulokset!$I$23))))))</f>
        <v/>
      </c>
      <c r="Z33" t="str">
        <f>IF(OR(Tulokset!$G$24="",Tulokset!$I$24="",'30'!$I$25="",'30'!$K$25=""),"",IF(SIGN('30'!$I$25-'30'!$K$25)&lt;&gt;SIGN(Tulokset!$G$24-Tulokset!$I$24),0,IF(Tulokset!$G$24=Tulokset!$I$24,IF(AND('30'!$I$25=Tulokset!$G$24,'30'!$K$25=Tulokset!$I$24),6,3),MAX(0,6-(ABS('30'!$I$25-Tulokset!$G$24)+ABS('30'!$K$25-Tulokset!$I$24))))))</f>
        <v/>
      </c>
      <c r="AA33" t="str">
        <f>IF(OR(Tulokset!$G$25="",Tulokset!$I$25="",'30'!$I$26="",'30'!$K$26=""),"",IF(SIGN('30'!$I$26-'30'!$K$26)&lt;&gt;SIGN(Tulokset!$G$25-Tulokset!$I$25),0,IF(Tulokset!$G$25=Tulokset!$I$25,IF(AND('30'!$I$26=Tulokset!$G$25,'30'!$K$26=Tulokset!$I$25),6,3),MAX(0,6-(ABS('30'!$I$26-Tulokset!$G$25)+ABS('30'!$K$26-Tulokset!$I$25))))))</f>
        <v/>
      </c>
      <c r="AB33" t="str">
        <f>IF(OR(Tulokset!$G$26="",Tulokset!$I$26="",'30'!$I$27="",'30'!$K$27=""),"",IF(SIGN('30'!$I$27-'30'!$K$27)&lt;&gt;SIGN(Tulokset!$G$26-Tulokset!$I$26),0,IF(Tulokset!$G$26=Tulokset!$I$26,IF(AND('30'!$I$27=Tulokset!$G$26,'30'!$K$27=Tulokset!$I$26),6,3),MAX(0,6-(ABS('30'!$I$27-Tulokset!$G$26)+ABS('30'!$K$27-Tulokset!$I$26))))))</f>
        <v/>
      </c>
      <c r="AC33" t="str">
        <f>IF(OR(Tulokset!$G$27="",Tulokset!$I$27="",'30'!$I$28="",'30'!$K$28=""),"",IF(SIGN('30'!$I$28-'30'!$K$28)&lt;&gt;SIGN(Tulokset!$G$27-Tulokset!$I$27),0,IF(Tulokset!$G$27=Tulokset!$I$27,IF(AND('30'!$I$28=Tulokset!$G$27,'30'!$K$28=Tulokset!$I$27),6,3),MAX(0,6-(ABS('30'!$I$28-Tulokset!$G$27)+ABS('30'!$K$28-Tulokset!$I$27))))))</f>
        <v/>
      </c>
      <c r="AD33" t="str">
        <f>IF(OR(Tulokset!$G$28="",Tulokset!$I$28="",'30'!$I$29="",'30'!$K$29=""),"",IF(SIGN('30'!$I$29-'30'!$K$29)&lt;&gt;SIGN(Tulokset!$G$28-Tulokset!$I$28),0,IF(Tulokset!$G$28=Tulokset!$I$28,IF(AND('30'!$I$29=Tulokset!$G$28,'30'!$K$29=Tulokset!$I$28),6,3),MAX(0,6-(ABS('30'!$I$29-Tulokset!$G$28)+ABS('30'!$K$29-Tulokset!$I$28))))))</f>
        <v/>
      </c>
      <c r="AE33" t="str">
        <f>IF(OR(Tulokset!$G$29="",Tulokset!$I$29="",'30'!$I$30="",'30'!$K$30=""),"",IF(SIGN('30'!$I$30-'30'!$K$30)&lt;&gt;SIGN(Tulokset!$G$29-Tulokset!$I$29),0,IF(Tulokset!$G$29=Tulokset!$I$29,IF(AND('30'!$I$30=Tulokset!$G$29,'30'!$K$30=Tulokset!$I$29),6,3),MAX(0,6-(ABS('30'!$I$30-Tulokset!$G$29)+ABS('30'!$K$30-Tulokset!$I$29))))))</f>
        <v/>
      </c>
      <c r="AF33" t="str">
        <f>IF(OR(Tulokset!$G$30="",Tulokset!$I$30="",'30'!$I$31="",'30'!$K$31=""),"",IF(SIGN('30'!$I$31-'30'!$K$31)&lt;&gt;SIGN(Tulokset!$G$30-Tulokset!$I$30),0,IF(Tulokset!$G$30=Tulokset!$I$30,IF(AND('30'!$I$31=Tulokset!$G$30,'30'!$K$31=Tulokset!$I$30),6,3),MAX(0,6-(ABS('30'!$I$31-Tulokset!$G$30)+ABS('30'!$K$31-Tulokset!$I$30))))))</f>
        <v/>
      </c>
      <c r="AG33" t="str">
        <f>IF(OR(Tulokset!$G$31="",Tulokset!$I$31="",'30'!$I$32="",'30'!$K$32=""),"",IF(SIGN('30'!$I$32-'30'!$K$32)&lt;&gt;SIGN(Tulokset!$G$31-Tulokset!$I$31),0,IF(Tulokset!$G$31=Tulokset!$I$31,IF(AND('30'!$I$32=Tulokset!$G$31,'30'!$K$32=Tulokset!$I$31),6,3),MAX(0,6-(ABS('30'!$I$32-Tulokset!$G$31)+ABS('30'!$K$32-Tulokset!$I$31))))))</f>
        <v/>
      </c>
      <c r="AH33" t="str">
        <f>IF(OR(Tulokset!$G$32="",Tulokset!$I$32="",'30'!$I$33="",'30'!$K$33=""),"",IF(SIGN('30'!$I$33-'30'!$K$33)&lt;&gt;SIGN(Tulokset!$G$32-Tulokset!$I$32),0,IF(Tulokset!$G$32=Tulokset!$I$32,IF(AND('30'!$I$33=Tulokset!$G$32,'30'!$K$33=Tulokset!$I$32),6,3),MAX(0,6-(ABS('30'!$I$33-Tulokset!$G$32)+ABS('30'!$K$33-Tulokset!$I$32))))))</f>
        <v/>
      </c>
      <c r="AI33" t="str">
        <f>IF(OR(Tulokset!$G$33="",Tulokset!$I$33="",'30'!$I$34="",'30'!$K$34=""),"",IF(SIGN('30'!$I$34-'30'!$K$34)&lt;&gt;SIGN(Tulokset!$G$33-Tulokset!$I$33),0,IF(Tulokset!$G$33=Tulokset!$I$33,IF(AND('30'!$I$34=Tulokset!$G$33,'30'!$K$34=Tulokset!$I$33),6,3),MAX(0,6-(ABS('30'!$I$34-Tulokset!$G$33)+ABS('30'!$K$34-Tulokset!$I$33))))))</f>
        <v/>
      </c>
      <c r="AJ33" t="str">
        <f>IF(OR(Tulokset!$G$34="",Tulokset!$I$34="",'30'!$I$35="",'30'!$K$35=""),"",IF(SIGN('30'!$I$35-'30'!$K$35)&lt;&gt;SIGN(Tulokset!$G$34-Tulokset!$I$34),0,IF(Tulokset!$G$34=Tulokset!$I$34,IF(AND('30'!$I$35=Tulokset!$G$34,'30'!$K$35=Tulokset!$I$34),6,3),MAX(0,6-(ABS('30'!$I$35-Tulokset!$G$34)+ABS('30'!$K$35-Tulokset!$I$34))))))</f>
        <v/>
      </c>
      <c r="AK33" t="str">
        <f>IF(OR(Tulokset!$G$35="",Tulokset!$I$35="",'30'!$I$36="",'30'!$K$36=""),"",IF(SIGN('30'!$I$36-'30'!$K$36)&lt;&gt;SIGN(Tulokset!$G$35-Tulokset!$I$35),0,IF(Tulokset!$G$35=Tulokset!$I$35,IF(AND('30'!$I$36=Tulokset!$G$35,'30'!$K$36=Tulokset!$I$35),6,3),MAX(0,6-(ABS('30'!$I$36-Tulokset!$G$35)+ABS('30'!$K$36-Tulokset!$I$35))))))</f>
        <v/>
      </c>
      <c r="AL33" t="str">
        <f>IF(OR(Tulokset!$G$36="",Tulokset!$I$36="",'30'!$I$37="",'30'!$K$37=""),"",IF(SIGN('30'!$I$37-'30'!$K$37)&lt;&gt;SIGN(Tulokset!$G$36-Tulokset!$I$36),0,IF(Tulokset!$G$36=Tulokset!$I$36,IF(AND('30'!$I$37=Tulokset!$G$36,'30'!$K$37=Tulokset!$I$36),6,3),MAX(0,6-(ABS('30'!$I$37-Tulokset!$G$36)+ABS('30'!$K$37-Tulokset!$I$36))))))</f>
        <v/>
      </c>
      <c r="AM33" t="str">
        <f>IF(OR(Tulokset!$G$37="",Tulokset!$I$37="",'30'!$I$38="",'30'!$K$38=""),"",IF(SIGN('30'!$I$38-'30'!$K$38)&lt;&gt;SIGN(Tulokset!$G$37-Tulokset!$I$37),0,IF(Tulokset!$G$37=Tulokset!$I$37,IF(AND('30'!$I$38=Tulokset!$G$37,'30'!$K$38=Tulokset!$I$37),6,3),MAX(0,6-(ABS('30'!$I$38-Tulokset!$G$37)+ABS('30'!$K$38-Tulokset!$I$37))))))</f>
        <v/>
      </c>
      <c r="AN33" t="str">
        <f>IF(OR(Tulokset!$G$38="",Tulokset!$I$38="",'30'!$I$39="",'30'!$K$39=""),"",IF(SIGN('30'!$I$39-'30'!$K$39)&lt;&gt;SIGN(Tulokset!$G$38-Tulokset!$I$38),0,IF(Tulokset!$G$38=Tulokset!$I$38,IF(AND('30'!$I$39=Tulokset!$G$38,'30'!$K$39=Tulokset!$I$38),6,3),MAX(0,6-(ABS('30'!$I$39-Tulokset!$G$38)+ABS('30'!$K$39-Tulokset!$I$38))))))</f>
        <v/>
      </c>
      <c r="AO33" t="str">
        <f>IF(OR(Tulokset!$G$39="",Tulokset!$I$39="",'30'!$I$40="",'30'!$K$40=""),"",IF(SIGN('30'!$I$40-'30'!$K$40)&lt;&gt;SIGN(Tulokset!$G$39-Tulokset!$I$39),0,IF(Tulokset!$G$39=Tulokset!$I$39,IF(AND('30'!$I$40=Tulokset!$G$39,'30'!$K$40=Tulokset!$I$39),6,3),MAX(0,6-(ABS('30'!$I$40-Tulokset!$G$39)+ABS('30'!$K$40-Tulokset!$I$39))))))</f>
        <v/>
      </c>
      <c r="AP33" t="str">
        <f>IF(OR(Tulokset!$G$40="",Tulokset!$I$40="",'30'!$I$41="",'30'!$K$41=""),"",IF(SIGN('30'!$I$41-'30'!$K$41)&lt;&gt;SIGN(Tulokset!$G$40-Tulokset!$I$40),0,IF(Tulokset!$G$40=Tulokset!$I$40,IF(AND('30'!$I$41=Tulokset!$G$40,'30'!$K$41=Tulokset!$I$40),6,3),MAX(0,6-(ABS('30'!$I$41-Tulokset!$G$40)+ABS('30'!$K$41-Tulokset!$I$40))))))</f>
        <v/>
      </c>
      <c r="AQ33" t="str">
        <f>IF(OR(Tulokset!$G$41="",Tulokset!$I$41="",'30'!$I$42="",'30'!$K$42=""),"",IF(SIGN('30'!$I$42-'30'!$K$42)&lt;&gt;SIGN(Tulokset!$G$41-Tulokset!$I$41),0,IF(Tulokset!$G$41=Tulokset!$I$41,IF(AND('30'!$I$42=Tulokset!$G$41,'30'!$K$42=Tulokset!$I$41),6,3),MAX(0,6-(ABS('30'!$I$42-Tulokset!$G$41)+ABS('30'!$K$42-Tulokset!$I$41))))))</f>
        <v/>
      </c>
      <c r="AR33" t="str">
        <f>IF(OR(Tulokset!$G$42="",Tulokset!$I$42="",'30'!$I$43="",'30'!$K$43=""),"",IF(SIGN('30'!$I$43-'30'!$K$43)&lt;&gt;SIGN(Tulokset!$G$42-Tulokset!$I$42),0,IF(Tulokset!$G$42=Tulokset!$I$42,IF(AND('30'!$I$43=Tulokset!$G$42,'30'!$K$43=Tulokset!$I$42),6,3),MAX(0,6-(ABS('30'!$I$43-Tulokset!$G$42)+ABS('30'!$K$43-Tulokset!$I$42))))))</f>
        <v/>
      </c>
      <c r="AS33" t="str">
        <f>IF(OR(Tulokset!$G$43="",Tulokset!$I$43="",'30'!$I$44="",'30'!$K$44=""),"",IF(SIGN('30'!$I$44-'30'!$K$44)&lt;&gt;SIGN(Tulokset!$G$43-Tulokset!$I$43),0,IF(Tulokset!$G$43=Tulokset!$I$43,IF(AND('30'!$I$44=Tulokset!$G$43,'30'!$K$44=Tulokset!$I$43),6,3),MAX(0,6-(ABS('30'!$I$44-Tulokset!$G$43)+ABS('30'!$K$44-Tulokset!$I$43))))))</f>
        <v/>
      </c>
      <c r="AT33" t="str">
        <f>IF(OR(Tulokset!$G$44="",Tulokset!$I$44="",'30'!$I$45="",'30'!$K$45=""),"",IF(SIGN('30'!$I$45-'30'!$K$45)&lt;&gt;SIGN(Tulokset!$G$44-Tulokset!$I$44),0,IF(Tulokset!$G$44=Tulokset!$I$44,IF(AND('30'!$I$45=Tulokset!$G$44,'30'!$K$45=Tulokset!$I$44),6,3),MAX(0,6-(ABS('30'!$I$45-Tulokset!$G$44)+ABS('30'!$K$45-Tulokset!$I$44))))))</f>
        <v/>
      </c>
      <c r="AU33" t="str">
        <f>IF(OR(Tulokset!$G$45="",Tulokset!$I$45="",'30'!$I$46="",'30'!$K$46=""),"",IF(SIGN('30'!$I$46-'30'!$K$46)&lt;&gt;SIGN(Tulokset!$G$45-Tulokset!$I$45),0,IF(Tulokset!$G$45=Tulokset!$I$45,IF(AND('30'!$I$46=Tulokset!$G$45,'30'!$K$46=Tulokset!$I$45),6,3),MAX(0,6-(ABS('30'!$I$46-Tulokset!$G$45)+ABS('30'!$K$46-Tulokset!$I$45))))))</f>
        <v/>
      </c>
      <c r="AV33" t="str">
        <f>IF(OR(Tulokset!$G$46="",Tulokset!$I$46="",'30'!$I$47="",'30'!$K$47=""),"",IF(SIGN('30'!$I$47-'30'!$K$47)&lt;&gt;SIGN(Tulokset!$G$46-Tulokset!$I$46),0,IF(Tulokset!$G$46=Tulokset!$I$46,IF(AND('30'!$I$47=Tulokset!$G$46,'30'!$K$47=Tulokset!$I$46),6,3),MAX(0,6-(ABS('30'!$I$47-Tulokset!$G$46)+ABS('30'!$K$47-Tulokset!$I$46))))))</f>
        <v/>
      </c>
      <c r="AW33" t="str">
        <f>IF(OR(Tulokset!$G$47="",Tulokset!$I$47="",'30'!$I$48="",'30'!$K$48=""),"",IF(SIGN('30'!$I$48-'30'!$K$48)&lt;&gt;SIGN(Tulokset!$G$47-Tulokset!$I$47),0,IF(Tulokset!$G$47=Tulokset!$I$47,IF(AND('30'!$I$48=Tulokset!$G$47,'30'!$K$48=Tulokset!$I$47),6,3),MAX(0,6-(ABS('30'!$I$48-Tulokset!$G$47)+ABS('30'!$K$48-Tulokset!$I$47))))))</f>
        <v/>
      </c>
      <c r="AX33" t="str">
        <f>IF(OR(Tulokset!$G$48="",Tulokset!$I$48="",'30'!$I$49="",'30'!$K$49=""),"",IF(SIGN('30'!$I$49-'30'!$K$49)&lt;&gt;SIGN(Tulokset!$G$48-Tulokset!$I$48),0,IF(Tulokset!$G$48=Tulokset!$I$48,IF(AND('30'!$I$49=Tulokset!$G$48,'30'!$K$49=Tulokset!$I$48),6,3),MAX(0,6-(ABS('30'!$I$49-Tulokset!$G$48)+ABS('30'!$K$49-Tulokset!$I$48))))))</f>
        <v/>
      </c>
      <c r="AY33" t="str">
        <f>IF(OR(Tulokset!$G$49="",Tulokset!$I$49="",'30'!$I$50="",'30'!$K$50=""),"",IF(SIGN('30'!$I$50-'30'!$K$50)&lt;&gt;SIGN(Tulokset!$G$49-Tulokset!$I$49),0,IF(Tulokset!$G$49=Tulokset!$I$49,IF(AND('30'!$I$50=Tulokset!$G$49,'30'!$K$50=Tulokset!$I$49),6,3),MAX(0,6-(ABS('30'!$I$50-Tulokset!$G$49)+ABS('30'!$K$50-Tulokset!$I$49))))))</f>
        <v/>
      </c>
      <c r="AZ33" t="str">
        <f>IF(OR(Tulokset!$G$50="",Tulokset!$I$50="",'30'!$I$51="",'30'!$K$51=""),"",IF(SIGN('30'!$I$51-'30'!$K$51)&lt;&gt;SIGN(Tulokset!$G$50-Tulokset!$I$50),0,IF(Tulokset!$G$50=Tulokset!$I$50,IF(AND('30'!$I$51=Tulokset!$G$50,'30'!$K$51=Tulokset!$I$50),6,3),MAX(0,6-(ABS('30'!$I$51-Tulokset!$G$50)+ABS('30'!$K$51-Tulokset!$I$50))))))</f>
        <v/>
      </c>
      <c r="BA33" t="str">
        <f>IF(OR(Tulokset!$G$51="",Tulokset!$I$51="",'30'!$I$52="",'30'!$K$52=""),"",IF(SIGN('30'!$I$52-'30'!$K$52)&lt;&gt;SIGN(Tulokset!$G$51-Tulokset!$I$51),0,IF(Tulokset!$G$51=Tulokset!$I$51,IF(AND('30'!$I$52=Tulokset!$G$51,'30'!$K$52=Tulokset!$I$51),6,3),MAX(0,6-(ABS('30'!$I$52-Tulokset!$G$51)+ABS('30'!$K$52-Tulokset!$I$51))))))</f>
        <v/>
      </c>
      <c r="BB33" t="str">
        <f>IF(OR(Tulokset!$G$52="",Tulokset!$I$52="",'30'!$I$53="",'30'!$K$53=""),"",IF(SIGN('30'!$I$53-'30'!$K$53)&lt;&gt;SIGN(Tulokset!$G$52-Tulokset!$I$52),0,IF(Tulokset!$G$52=Tulokset!$I$52,IF(AND('30'!$I$53=Tulokset!$G$52,'30'!$K$53=Tulokset!$I$52),6,3),MAX(0,6-(ABS('30'!$I$53-Tulokset!$G$52)+ABS('30'!$K$53-Tulokset!$I$52))))))</f>
        <v/>
      </c>
      <c r="BC33" t="str">
        <f>IF(OR(Tulokset!$G$53="",Tulokset!$I$53="",'30'!$I$54="",'30'!$K$54=""),"",IF(SIGN('30'!$I$54-'30'!$K$54)&lt;&gt;SIGN(Tulokset!$G$53-Tulokset!$I$53),0,IF(Tulokset!$G$53=Tulokset!$I$53,IF(AND('30'!$I$54=Tulokset!$G$53,'30'!$K$54=Tulokset!$I$53),6,3),MAX(0,6-(ABS('30'!$I$54-Tulokset!$G$53)+ABS('30'!$K$54-Tulokset!$I$53))))))</f>
        <v/>
      </c>
      <c r="BD33" t="str">
        <f>IF(OR(Tulokset!$G$54="",Tulokset!$I$54="",'30'!$I$55="",'30'!$K$55=""),"",IF(SIGN('30'!$I$55-'30'!$K$55)&lt;&gt;SIGN(Tulokset!$G$54-Tulokset!$I$54),0,IF(Tulokset!$G$54=Tulokset!$I$54,IF(AND('30'!$I$55=Tulokset!$G$54,'30'!$K$55=Tulokset!$I$54),6,3),MAX(0,6-(ABS('30'!$I$55-Tulokset!$G$54)+ABS('30'!$K$55-Tulokset!$I$54))))))</f>
        <v/>
      </c>
      <c r="BE33" t="str">
        <f>IF(OR(Tulokset!$G$55="",Tulokset!$I$55="",'30'!$I$56="",'30'!$K$56=""),"",IF(SIGN('30'!$I$56-'30'!$K$56)&lt;&gt;SIGN(Tulokset!$G$55-Tulokset!$I$55),0,IF(Tulokset!$G$55=Tulokset!$I$55,IF(AND('30'!$I$56=Tulokset!$G$55,'30'!$K$56=Tulokset!$I$55),6,3),MAX(0,6-(ABS('30'!$I$56-Tulokset!$G$55)+ABS('30'!$K$56-Tulokset!$I$55))))))</f>
        <v/>
      </c>
      <c r="BF33" t="str">
        <f>IF(OR(Tulokset!$G$56="",Tulokset!$I$56="",'30'!$I$57="",'30'!$K$57=""),"",IF(SIGN('30'!$I$57-'30'!$K$57)&lt;&gt;SIGN(Tulokset!$G$56-Tulokset!$I$56),0,IF(Tulokset!$G$56=Tulokset!$I$56,IF(AND('30'!$I$57=Tulokset!$G$56,'30'!$K$57=Tulokset!$I$56),6,3),MAX(0,6-(ABS('30'!$I$57-Tulokset!$G$56)+ABS('30'!$K$57-Tulokset!$I$56))))))</f>
        <v/>
      </c>
      <c r="BG33" t="str">
        <f>IF(OR(Tulokset!$G$57="",Tulokset!$I$57="",'30'!$I$58="",'30'!$K$58=""),"",IF(SIGN('30'!$I$58-'30'!$K$58)&lt;&gt;SIGN(Tulokset!$G$57-Tulokset!$I$57),0,IF(Tulokset!$G$57=Tulokset!$I$57,IF(AND('30'!$I$58=Tulokset!$G$57,'30'!$K$58=Tulokset!$I$57),6,3),MAX(0,6-(ABS('30'!$I$58-Tulokset!$G$57)+ABS('30'!$K$58-Tulokset!$I$57))))))</f>
        <v/>
      </c>
      <c r="BH33" t="str">
        <f>IF(OR(Tulokset!$G$58="",Tulokset!$I$58="",'30'!$I$59="",'30'!$K$59=""),"",IF(SIGN('30'!$I$59-'30'!$K$59)&lt;&gt;SIGN(Tulokset!$G$58-Tulokset!$I$58),0,IF(Tulokset!$G$58=Tulokset!$I$58,IF(AND('30'!$I$59=Tulokset!$G$58,'30'!$K$59=Tulokset!$I$58),6,3),MAX(0,6-(ABS('30'!$I$59-Tulokset!$G$58)+ABS('30'!$K$59-Tulokset!$I$58))))))</f>
        <v/>
      </c>
      <c r="BI33" t="str">
        <f>IF(OR(Tulokset!$G$59="",Tulokset!$I$59="",'30'!$I$60="",'30'!$K$60=""),"",IF(SIGN('30'!$I$60-'30'!$K$60)&lt;&gt;SIGN(Tulokset!$G$59-Tulokset!$I$59),0,IF(Tulokset!$G$59=Tulokset!$I$59,IF(AND('30'!$I$60=Tulokset!$G$59,'30'!$K$60=Tulokset!$I$59),6,3),MAX(0,6-(ABS('30'!$I$60-Tulokset!$G$59)+ABS('30'!$K$60-Tulokset!$I$59))))))</f>
        <v/>
      </c>
      <c r="BJ33" t="str">
        <f>IF(OR(Tulokset!$G$60="",Tulokset!$I$60="",'30'!$I$61="",'30'!$K$61=""),"",IF(SIGN('30'!$I$61-'30'!$K$61)&lt;&gt;SIGN(Tulokset!$G$60-Tulokset!$I$60),0,IF(Tulokset!$G$60=Tulokset!$I$60,IF(AND('30'!$I$61=Tulokset!$G$60,'30'!$K$61=Tulokset!$I$60),6,3),MAX(0,6-(ABS('30'!$I$61-Tulokset!$G$60)+ABS('30'!$K$61-Tulokset!$I$60))))))</f>
        <v/>
      </c>
      <c r="BK33" t="str">
        <f>IF(OR(Tulokset!$G$61="",Tulokset!$I$61="",'30'!$I$62="",'30'!$K$62=""),"",IF(SIGN('30'!$I$62-'30'!$K$62)&lt;&gt;SIGN(Tulokset!$G$61-Tulokset!$I$61),0,IF(Tulokset!$G$61=Tulokset!$I$61,IF(AND('30'!$I$62=Tulokset!$G$61,'30'!$K$62=Tulokset!$I$61),6,3),MAX(0,6-(ABS('30'!$I$62-Tulokset!$G$61)+ABS('30'!$K$62-Tulokset!$I$61))))))</f>
        <v/>
      </c>
      <c r="BL33" t="str">
        <f>IF(OR(Tulokset!$G$62="",Tulokset!$I$62="",'30'!$I$63="",'30'!$K$63=""),"",IF(SIGN('30'!$I$63-'30'!$K$63)&lt;&gt;SIGN(Tulokset!$G$62-Tulokset!$I$62),0,IF(Tulokset!$G$62=Tulokset!$I$62,IF(AND('30'!$I$63=Tulokset!$G$62,'30'!$K$63=Tulokset!$I$62),6,3),MAX(0,6-(ABS('30'!$I$63-Tulokset!$G$62)+ABS('30'!$K$63-Tulokset!$I$62))))))</f>
        <v/>
      </c>
      <c r="BM33" t="str">
        <f>IF(OR(Tulokset!$G$63="",Tulokset!$I$63="",'30'!$I$64="",'30'!$K$64=""),"",IF(SIGN('30'!$I$64-'30'!$K$64)&lt;&gt;SIGN(Tulokset!$G$63-Tulokset!$I$63),0,IF(Tulokset!$G$63=Tulokset!$I$63,IF(AND('30'!$I$64=Tulokset!$G$63,'30'!$K$64=Tulokset!$I$63),6,3),MAX(0,6-(ABS('30'!$I$64-Tulokset!$G$63)+ABS('30'!$K$64-Tulokset!$I$63))))))</f>
        <v/>
      </c>
      <c r="BN33" t="str">
        <f>IF(OR(Tulokset!$G$64="",Tulokset!$I$64="",'30'!$I$65="",'30'!$K$65=""),"",IF(SIGN('30'!$I$65-'30'!$K$65)&lt;&gt;SIGN(Tulokset!$G$64-Tulokset!$I$64),0,IF(Tulokset!$G$64=Tulokset!$I$64,IF(AND('30'!$I$65=Tulokset!$G$64,'30'!$K$65=Tulokset!$I$64),6,3),MAX(0,6-(ABS('30'!$I$65-Tulokset!$G$64)+ABS('30'!$K$65-Tulokset!$I$64))))))</f>
        <v/>
      </c>
      <c r="BO33" t="str">
        <f>IF(OR(Tulokset!$G$65="",Tulokset!$I$65="",'30'!$I$66="",'30'!$K$66=""),"",IF(SIGN('30'!$I$66-'30'!$K$66)&lt;&gt;SIGN(Tulokset!$G$65-Tulokset!$I$65),0,IF(Tulokset!$G$65=Tulokset!$I$65,IF(AND('30'!$I$66=Tulokset!$G$65,'30'!$K$66=Tulokset!$I$65),6,3),MAX(0,6-(ABS('30'!$I$66-Tulokset!$G$65)+ABS('30'!$K$66-Tulokset!$I$65))))))</f>
        <v/>
      </c>
      <c r="BP33" t="str">
        <f>IF(OR(Tulokset!$G$66="",Tulokset!$I$66="",'30'!$I$67="",'30'!$K$67=""),"",IF(SIGN('30'!$I$67-'30'!$K$67)&lt;&gt;SIGN(Tulokset!$G$66-Tulokset!$I$66),0,IF(Tulokset!$G$66=Tulokset!$I$66,IF(AND('30'!$I$67=Tulokset!$G$66,'30'!$K$67=Tulokset!$I$66),6,3),MAX(0,6-(ABS('30'!$I$67-Tulokset!$G$66)+ABS('30'!$K$67-Tulokset!$I$66))))))</f>
        <v/>
      </c>
      <c r="BQ33" t="str">
        <f>IF(OR(Tulokset!$G$67="",Tulokset!$I$67="",'30'!$I$68="",'30'!$K$68=""),"",IF(SIGN('30'!$I$68-'30'!$K$68)&lt;&gt;SIGN(Tulokset!$G$67-Tulokset!$I$67),0,IF(Tulokset!$G$67=Tulokset!$I$67,IF(AND('30'!$I$68=Tulokset!$G$67,'30'!$K$68=Tulokset!$I$67),6,3),MAX(0,6-(ABS('30'!$I$68-Tulokset!$G$67)+ABS('30'!$K$68-Tulokset!$I$67))))))</f>
        <v/>
      </c>
      <c r="BR33" t="str">
        <f>IF(OR(Tulokset!$G$68="",Tulokset!$I$68="",'30'!$I$69="",'30'!$K$69=""),"",IF(SIGN('30'!$I$69-'30'!$K$69)&lt;&gt;SIGN(Tulokset!$G$68-Tulokset!$I$68),0,IF(Tulokset!$G$68=Tulokset!$I$68,IF(AND('30'!$I$69=Tulokset!$G$68,'30'!$K$69=Tulokset!$I$68),6,3),MAX(0,6-(ABS('30'!$I$69-Tulokset!$G$68)+ABS('30'!$K$69-Tulokset!$I$68))))))</f>
        <v/>
      </c>
      <c r="BS33" t="str">
        <f>IF(OR(Tulokset!$G$69="",Tulokset!$I$69="",'30'!$I$70="",'30'!$K$70=""),"",IF(SIGN('30'!$I$70-'30'!$K$70)&lt;&gt;SIGN(Tulokset!$G$69-Tulokset!$I$69),0,IF(Tulokset!$G$69=Tulokset!$I$69,IF(AND('30'!$I$70=Tulokset!$G$69,'30'!$K$70=Tulokset!$I$69),6,3),MAX(0,6-(ABS('30'!$I$70-Tulokset!$G$69)+ABS('30'!$K$70-Tulokset!$I$69))))))</f>
        <v/>
      </c>
      <c r="BT33" t="str">
        <f>IF(OR(Tulokset!$G$70="",Tulokset!$I$70="",'30'!$I$71="",'30'!$K$71=""),"",IF(SIGN('30'!$I$71-'30'!$K$71)&lt;&gt;SIGN(Tulokset!$G$70-Tulokset!$I$70),0,IF(Tulokset!$G$70=Tulokset!$I$70,IF(AND('30'!$I$71=Tulokset!$G$70,'30'!$K$71=Tulokset!$I$70),6,3),MAX(0,6-(ABS('30'!$I$71-Tulokset!$G$70)+ABS('30'!$K$71-Tulokset!$I$70))))))</f>
        <v/>
      </c>
      <c r="BU33" t="str">
        <f>IF(OR(Tulokset!$G$71="",Tulokset!$I$71="",'30'!$I$72="",'30'!$K$72=""),"",IF(SIGN('30'!$I$72-'30'!$K$72)&lt;&gt;SIGN(Tulokset!$G$71-Tulokset!$I$71),0,IF(Tulokset!$G$71=Tulokset!$I$71,IF(AND('30'!$I$72=Tulokset!$G$71,'30'!$K$72=Tulokset!$I$71),6,3),MAX(0,6-(ABS('30'!$I$72-Tulokset!$G$71)+ABS('30'!$K$72-Tulokset!$I$71))))))</f>
        <v/>
      </c>
      <c r="BV33" t="str">
        <f>IF(OR(Tulokset!$G$72="",Tulokset!$I$72="",'30'!$I$73="",'30'!$K$73=""),"",IF(SIGN('30'!$I$73-'30'!$K$73)&lt;&gt;SIGN(Tulokset!$G$72-Tulokset!$I$72),0,IF(Tulokset!$G$72=Tulokset!$I$72,IF(AND('30'!$I$73=Tulokset!$G$72,'30'!$K$73=Tulokset!$I$72),6,3),MAX(0,6-(ABS('30'!$I$73-Tulokset!$G$72)+ABS('30'!$K$73-Tulokset!$I$72))))))</f>
        <v/>
      </c>
      <c r="BW33" t="str">
        <f>IF(OR(Tulokset!$G$73="",Tulokset!$I$73="",'30'!$I$74="",'30'!$K$74=""),"",IF(SIGN('30'!$I$74-'30'!$K$74)&lt;&gt;SIGN(Tulokset!$G$73-Tulokset!$I$73),0,IF(Tulokset!$G$73=Tulokset!$I$73,IF(AND('30'!$I$74=Tulokset!$G$73,'30'!$K$74=Tulokset!$I$73),6,3),MAX(0,6-(ABS('30'!$I$74-Tulokset!$G$73)+ABS('30'!$K$74-Tulokset!$I$73))))))</f>
        <v/>
      </c>
      <c r="BX33" t="str">
        <f>IF(OR(Tulokset!$G$74="",Tulokset!$I$74="",'30'!$I$75="",'30'!$K$75=""),"",IF(SIGN('30'!$I$75-'30'!$K$75)&lt;&gt;SIGN(Tulokset!$G$74-Tulokset!$I$74),0,IF(Tulokset!$G$74=Tulokset!$I$74,IF(AND('30'!$I$75=Tulokset!$G$74,'30'!$K$75=Tulokset!$I$74),6,3),MAX(0,6-(ABS('30'!$I$75-Tulokset!$G$74)+ABS('30'!$K$75-Tulokset!$I$74))))))</f>
        <v/>
      </c>
      <c r="BY33" t="str">
        <f>IF(OR(Tulokset!$G$75="",Tulokset!$I$75="",'30'!$I$76="",'30'!$K$76=""),"",IF(SIGN('30'!$I$76-'30'!$K$76)&lt;&gt;SIGN(Tulokset!$G$75-Tulokset!$I$75),0,IF(Tulokset!$G$75=Tulokset!$I$75,IF(AND('30'!$I$76=Tulokset!$G$75,'30'!$K$76=Tulokset!$I$75),6,3),MAX(0,6-(ABS('30'!$I$76-Tulokset!$G$75)+ABS('30'!$K$76-Tulokset!$I$75))))))</f>
        <v/>
      </c>
      <c r="BZ33" t="str">
        <f>IF(OR(Tulokset!$G$76="",Tulokset!$I$76="",'30'!$I$77="",'30'!$K$77=""),"",IF(SIGN('30'!$I$77-'30'!$K$77)&lt;&gt;SIGN(Tulokset!$G$76-Tulokset!$I$76),0,IF(Tulokset!$G$76=Tulokset!$I$76,IF(AND('30'!$I$77=Tulokset!$G$76,'30'!$K$77=Tulokset!$I$76),6,3),MAX(0,6-(ABS('30'!$I$77-Tulokset!$G$76)+ABS('30'!$K$77-Tulokset!$I$76))))))</f>
        <v/>
      </c>
      <c r="CA33" t="str">
        <f>IF(OR(Tulokset!$G$77="",Tulokset!$I$77="",'30'!$I$78="",'30'!$K$78=""),"",IF(SIGN('30'!$I$78-'30'!$K$78)&lt;&gt;SIGN(Tulokset!$G$77-Tulokset!$I$77),0,IF(Tulokset!$G$77=Tulokset!$I$77,IF(AND('30'!$I$78=Tulokset!$G$77,'30'!$K$78=Tulokset!$I$77),6,3),MAX(0,6-(ABS('30'!$I$78-Tulokset!$G$77)+ABS('30'!$K$78-Tulokset!$I$77))))))</f>
        <v/>
      </c>
      <c r="CD33" t="str">
        <f ca="1">IF(OR(Tulokset!$M$6="",INDIRECT("'"&amp;$A33&amp;"'!$P$8")=""),"",IF(TRIM(INDIRECT("'"&amp;$A33&amp;"'!$P$8"))=TRIM(Tulokset!$M$6),2,0))</f>
        <v/>
      </c>
      <c r="CE33" t="str">
        <f ca="1">IF(OR(Tulokset!$M$7="",INDIRECT("'"&amp;$A33&amp;"'!$P$9")=""),"",IF(TRIM(INDIRECT("'"&amp;$A33&amp;"'!$P$9"))=TRIM(Tulokset!$M$7),2,0))</f>
        <v/>
      </c>
      <c r="CF33" t="str">
        <f ca="1">IF(OR(Tulokset!$M$8="",INDIRECT("'"&amp;$A33&amp;"'!$P$10")=""),"",IF(TRIM(INDIRECT("'"&amp;$A33&amp;"'!$P$10"))=TRIM(Tulokset!$M$8),2,0))</f>
        <v/>
      </c>
      <c r="CG33" t="str">
        <f ca="1">IF(OR(Tulokset!$M$9="",INDIRECT("'"&amp;$A33&amp;"'!$P$11")=""),"",IF(TRIM(INDIRECT("'"&amp;$A33&amp;"'!$P$11"))=TRIM(Tulokset!$M$9),2,0))</f>
        <v/>
      </c>
      <c r="CH33" t="str">
        <f ca="1">IF(OR(Tulokset!$N$6="",INDIRECT("'"&amp;$A33&amp;"'!$Q$8")=""),"",IF(TRIM(INDIRECT("'"&amp;$A33&amp;"'!$Q$8"))=TRIM(Tulokset!$N$6),2,0))</f>
        <v/>
      </c>
      <c r="CI33" t="str">
        <f ca="1">IF(OR(Tulokset!$N$7="",INDIRECT("'"&amp;$A33&amp;"'!$Q$9")=""),"",IF(TRIM(INDIRECT("'"&amp;$A33&amp;"'!$Q$9"))=TRIM(Tulokset!$N$7),2,0))</f>
        <v/>
      </c>
      <c r="CJ33" t="str">
        <f ca="1">IF(OR(Tulokset!$N$8="",INDIRECT("'"&amp;$A33&amp;"'!$Q$10")=""),"",IF(TRIM(INDIRECT("'"&amp;$A33&amp;"'!$Q$10"))=TRIM(Tulokset!$N$8),2,0))</f>
        <v/>
      </c>
      <c r="CK33" t="str">
        <f ca="1">IF(OR(Tulokset!$N$9="",INDIRECT("'"&amp;$A33&amp;"'!$Q$11")=""),"",IF(TRIM(INDIRECT("'"&amp;$A33&amp;"'!$Q$11"))=TRIM(Tulokset!$N$9),2,0))</f>
        <v/>
      </c>
      <c r="CL33" t="str">
        <f ca="1">IF(OR(Tulokset!$O$6="",INDIRECT("'"&amp;$A33&amp;"'!$R$8")=""),"",IF(TRIM(INDIRECT("'"&amp;$A33&amp;"'!$R$8"))=TRIM(Tulokset!$O$6),2,0))</f>
        <v/>
      </c>
      <c r="CM33" t="str">
        <f ca="1">IF(OR(Tulokset!$O$7="",INDIRECT("'"&amp;$A33&amp;"'!$R$9")=""),"",IF(TRIM(INDIRECT("'"&amp;$A33&amp;"'!$R$9"))=TRIM(Tulokset!$O$7),2,0))</f>
        <v/>
      </c>
      <c r="CN33" t="str">
        <f ca="1">IF(OR(Tulokset!$O$8="",INDIRECT("'"&amp;$A33&amp;"'!$R$10")=""),"",IF(TRIM(INDIRECT("'"&amp;$A33&amp;"'!$R$10"))=TRIM(Tulokset!$O$8),2,0))</f>
        <v/>
      </c>
      <c r="CO33" t="str">
        <f ca="1">IF(OR(Tulokset!$O$9="",INDIRECT("'"&amp;$A33&amp;"'!$R$11")=""),"",IF(TRIM(INDIRECT("'"&amp;$A33&amp;"'!$R$11"))=TRIM(Tulokset!$O$9),2,0))</f>
        <v/>
      </c>
      <c r="CP33" t="str">
        <f ca="1">IF(OR(Tulokset!$P$6="",INDIRECT("'"&amp;$A33&amp;"'!$S$8")=""),"",IF(TRIM(INDIRECT("'"&amp;$A33&amp;"'!$S$8"))=TRIM(Tulokset!$P$6),2,0))</f>
        <v/>
      </c>
      <c r="CQ33" t="str">
        <f ca="1">IF(OR(Tulokset!$P$7="",INDIRECT("'"&amp;$A33&amp;"'!$S$9")=""),"",IF(TRIM(INDIRECT("'"&amp;$A33&amp;"'!$S$9"))=TRIM(Tulokset!$P$7),2,0))</f>
        <v/>
      </c>
      <c r="CR33" t="str">
        <f ca="1">IF(OR(Tulokset!$P$8="",INDIRECT("'"&amp;$A33&amp;"'!$S$10")=""),"",IF(TRIM(INDIRECT("'"&amp;$A33&amp;"'!$S$10"))=TRIM(Tulokset!$P$8),2,0))</f>
        <v/>
      </c>
      <c r="CS33" t="str">
        <f ca="1">IF(OR(Tulokset!$P$9="",INDIRECT("'"&amp;$A33&amp;"'!$S$11")=""),"",IF(TRIM(INDIRECT("'"&amp;$A33&amp;"'!$S$11"))=TRIM(Tulokset!$P$9),2,0))</f>
        <v/>
      </c>
      <c r="CT33" t="str">
        <f ca="1">IF(OR(Tulokset!$Q$6="",INDIRECT("'"&amp;$A33&amp;"'!$T$8")=""),"",IF(TRIM(INDIRECT("'"&amp;$A33&amp;"'!$T$8"))=TRIM(Tulokset!$Q$6),2,0))</f>
        <v/>
      </c>
      <c r="CU33" t="str">
        <f ca="1">IF(OR(Tulokset!$Q$7="",INDIRECT("'"&amp;$A33&amp;"'!$T$9")=""),"",IF(TRIM(INDIRECT("'"&amp;$A33&amp;"'!$T$9"))=TRIM(Tulokset!$Q$7),2,0))</f>
        <v/>
      </c>
      <c r="CV33" t="str">
        <f ca="1">IF(OR(Tulokset!$Q$8="",INDIRECT("'"&amp;$A33&amp;"'!$T$10")=""),"",IF(TRIM(INDIRECT("'"&amp;$A33&amp;"'!$T$10"))=TRIM(Tulokset!$Q$8),2,0))</f>
        <v/>
      </c>
      <c r="CW33" t="str">
        <f ca="1">IF(OR(Tulokset!$Q$9="",INDIRECT("'"&amp;$A33&amp;"'!$T$11")=""),"",IF(TRIM(INDIRECT("'"&amp;$A33&amp;"'!$T$11"))=TRIM(Tulokset!$Q$9),2,0))</f>
        <v/>
      </c>
      <c r="CX33" t="str">
        <f ca="1">IF(OR(Tulokset!$R$6="",INDIRECT("'"&amp;$A33&amp;"'!$U$8")=""),"",IF(TRIM(INDIRECT("'"&amp;$A33&amp;"'!$U$8"))=TRIM(Tulokset!$R$6),2,0))</f>
        <v/>
      </c>
      <c r="CY33" t="str">
        <f ca="1">IF(OR(Tulokset!$R$7="",INDIRECT("'"&amp;$A33&amp;"'!$U$9")=""),"",IF(TRIM(INDIRECT("'"&amp;$A33&amp;"'!$U$9"))=TRIM(Tulokset!$R$7),2,0))</f>
        <v/>
      </c>
      <c r="CZ33" t="str">
        <f ca="1">IF(OR(Tulokset!$R$8="",INDIRECT("'"&amp;$A33&amp;"'!$U$10")=""),"",IF(TRIM(INDIRECT("'"&amp;$A33&amp;"'!$U$10"))=TRIM(Tulokset!$R$8),2,0))</f>
        <v/>
      </c>
      <c r="DA33" t="str">
        <f ca="1">IF(OR(Tulokset!$R$9="",INDIRECT("'"&amp;$A33&amp;"'!$U$11")=""),"",IF(TRIM(INDIRECT("'"&amp;$A33&amp;"'!$U$11"))=TRIM(Tulokset!$R$9),2,0))</f>
        <v/>
      </c>
      <c r="DB33" t="str">
        <f ca="1">IF(OR(Tulokset!$M$12="",INDIRECT("'"&amp;$A33&amp;"'!$P$14")=""),"",IF(TRIM(INDIRECT("'"&amp;$A33&amp;"'!$P$14"))=TRIM(Tulokset!$M$12),2,0))</f>
        <v/>
      </c>
      <c r="DC33" t="str">
        <f ca="1">IF(OR(Tulokset!$M$13="",INDIRECT("'"&amp;$A33&amp;"'!$P$15")=""),"",IF(TRIM(INDIRECT("'"&amp;$A33&amp;"'!$P$15"))=TRIM(Tulokset!$M$13),2,0))</f>
        <v/>
      </c>
      <c r="DD33" t="str">
        <f ca="1">IF(OR(Tulokset!$M$14="",INDIRECT("'"&amp;$A33&amp;"'!$P$16")=""),"",IF(TRIM(INDIRECT("'"&amp;$A33&amp;"'!$P$16"))=TRIM(Tulokset!$M$14),2,0))</f>
        <v/>
      </c>
      <c r="DE33" t="str">
        <f ca="1">IF(OR(Tulokset!$M$15="",INDIRECT("'"&amp;$A33&amp;"'!$P$17")=""),"",IF(TRIM(INDIRECT("'"&amp;$A33&amp;"'!$P$17"))=TRIM(Tulokset!$M$15),2,0))</f>
        <v/>
      </c>
      <c r="DF33" t="str">
        <f ca="1">IF(OR(Tulokset!$N$12="",INDIRECT("'"&amp;$A33&amp;"'!$Q$14")=""),"",IF(TRIM(INDIRECT("'"&amp;$A33&amp;"'!$Q$14"))=TRIM(Tulokset!$N$12),2,0))</f>
        <v/>
      </c>
      <c r="DG33" t="str">
        <f ca="1">IF(OR(Tulokset!$N$13="",INDIRECT("'"&amp;$A33&amp;"'!$Q$15")=""),"",IF(TRIM(INDIRECT("'"&amp;$A33&amp;"'!$Q$15"))=TRIM(Tulokset!$N$13),2,0))</f>
        <v/>
      </c>
      <c r="DH33" t="str">
        <f ca="1">IF(OR(Tulokset!$N$14="",INDIRECT("'"&amp;$A33&amp;"'!$Q$16")=""),"",IF(TRIM(INDIRECT("'"&amp;$A33&amp;"'!$Q$16"))=TRIM(Tulokset!$N$14),2,0))</f>
        <v/>
      </c>
      <c r="DI33" t="str">
        <f ca="1">IF(OR(Tulokset!$N$15="",INDIRECT("'"&amp;$A33&amp;"'!$Q$17")=""),"",IF(TRIM(INDIRECT("'"&amp;$A33&amp;"'!$Q$17"))=TRIM(Tulokset!$N$15),2,0))</f>
        <v/>
      </c>
      <c r="DJ33" t="str">
        <f ca="1">IF(OR(Tulokset!$O$12="",INDIRECT("'"&amp;$A33&amp;"'!$R$14")=""),"",IF(TRIM(INDIRECT("'"&amp;$A33&amp;"'!$R$14"))=TRIM(Tulokset!$O$12),2,0))</f>
        <v/>
      </c>
      <c r="DK33" t="str">
        <f ca="1">IF(OR(Tulokset!$O$13="",INDIRECT("'"&amp;$A33&amp;"'!$R$15")=""),"",IF(TRIM(INDIRECT("'"&amp;$A33&amp;"'!$R$15"))=TRIM(Tulokset!$O$13),2,0))</f>
        <v/>
      </c>
      <c r="DL33" t="str">
        <f ca="1">IF(OR(Tulokset!$O$14="",INDIRECT("'"&amp;$A33&amp;"'!$R$16")=""),"",IF(TRIM(INDIRECT("'"&amp;$A33&amp;"'!$R$16"))=TRIM(Tulokset!$O$14),2,0))</f>
        <v/>
      </c>
      <c r="DM33" t="str">
        <f ca="1">IF(OR(Tulokset!$O$15="",INDIRECT("'"&amp;$A33&amp;"'!$R$17")=""),"",IF(TRIM(INDIRECT("'"&amp;$A33&amp;"'!$R$17"))=TRIM(Tulokset!$O$15),2,0))</f>
        <v/>
      </c>
      <c r="DN33" t="str">
        <f ca="1">IF(OR(Tulokset!$P$12="",INDIRECT("'"&amp;$A33&amp;"'!$S$14")=""),"",IF(TRIM(INDIRECT("'"&amp;$A33&amp;"'!$S$14"))=TRIM(Tulokset!$P$12),2,0))</f>
        <v/>
      </c>
      <c r="DO33" t="str">
        <f ca="1">IF(OR(Tulokset!$P$13="",INDIRECT("'"&amp;$A33&amp;"'!$S$15")=""),"",IF(TRIM(INDIRECT("'"&amp;$A33&amp;"'!$S$15"))=TRIM(Tulokset!$P$13),2,0))</f>
        <v/>
      </c>
      <c r="DP33" t="str">
        <f ca="1">IF(OR(Tulokset!$P$14="",INDIRECT("'"&amp;$A33&amp;"'!$S$16")=""),"",IF(TRIM(INDIRECT("'"&amp;$A33&amp;"'!$S$16"))=TRIM(Tulokset!$P$14),2,0))</f>
        <v/>
      </c>
      <c r="DQ33" t="str">
        <f ca="1">IF(OR(Tulokset!$P$15="",INDIRECT("'"&amp;$A33&amp;"'!$S$17")=""),"",IF(TRIM(INDIRECT("'"&amp;$A33&amp;"'!$S$17"))=TRIM(Tulokset!$P$15),2,0))</f>
        <v/>
      </c>
      <c r="DR33" t="str">
        <f ca="1">IF(OR(Tulokset!$Q$12="",INDIRECT("'"&amp;$A33&amp;"'!$T$14")=""),"",IF(TRIM(INDIRECT("'"&amp;$A33&amp;"'!$T$14"))=TRIM(Tulokset!$Q$12),2,0))</f>
        <v/>
      </c>
      <c r="DS33" t="str">
        <f ca="1">IF(OR(Tulokset!$Q$13="",INDIRECT("'"&amp;$A33&amp;"'!$T$15")=""),"",IF(TRIM(INDIRECT("'"&amp;$A33&amp;"'!$T$15"))=TRIM(Tulokset!$Q$13),2,0))</f>
        <v/>
      </c>
      <c r="DT33" t="str">
        <f ca="1">IF(OR(Tulokset!$Q$14="",INDIRECT("'"&amp;$A33&amp;"'!$T$16")=""),"",IF(TRIM(INDIRECT("'"&amp;$A33&amp;"'!$T$16"))=TRIM(Tulokset!$Q$14),2,0))</f>
        <v/>
      </c>
      <c r="DU33" t="str">
        <f ca="1">IF(OR(Tulokset!$Q$15="",INDIRECT("'"&amp;$A33&amp;"'!$T$17")=""),"",IF(TRIM(INDIRECT("'"&amp;$A33&amp;"'!$T$17"))=TRIM(Tulokset!$Q$15),2,0))</f>
        <v/>
      </c>
      <c r="DV33" t="str">
        <f ca="1">IF(OR(Tulokset!$R$12="",INDIRECT("'"&amp;$A33&amp;"'!$U$14")=""),"",IF(TRIM(INDIRECT("'"&amp;$A33&amp;"'!$U$14"))=TRIM(Tulokset!$R$12),2,0))</f>
        <v/>
      </c>
      <c r="DW33" t="str">
        <f ca="1">IF(OR(Tulokset!$R$13="",INDIRECT("'"&amp;$A33&amp;"'!$U$15")=""),"",IF(TRIM(INDIRECT("'"&amp;$A33&amp;"'!$U$15"))=TRIM(Tulokset!$R$13),2,0))</f>
        <v/>
      </c>
      <c r="DX33" t="str">
        <f ca="1">IF(OR(Tulokset!$R$14="",INDIRECT("'"&amp;$A33&amp;"'!$U$16")=""),"",IF(TRIM(INDIRECT("'"&amp;$A33&amp;"'!$U$16"))=TRIM(Tulokset!$R$14),2,0))</f>
        <v/>
      </c>
      <c r="DY33" t="str">
        <f ca="1">IF(OR(Tulokset!$R$15="",INDIRECT("'"&amp;$A33&amp;"'!$U$17")=""),"",IF(TRIM(INDIRECT("'"&amp;$A33&amp;"'!$U$17"))=TRIM(Tulokset!$R$15),2,0))</f>
        <v/>
      </c>
      <c r="EA33" t="str">
        <f ca="1">IF(OR(INDIRECT("'"&amp;$A33&amp;"'!$E$79")="",COUNTA(Tulokset!$M$20:$M$21)=0),"",IF(COUNTIF(Tulokset!$M$20:$M$21,INDIRECT("'"&amp;$A33&amp;"'!$E$79"))&gt;0,2,0))</f>
        <v/>
      </c>
      <c r="EB33" t="str">
        <f ca="1">IF(OR(INDIRECT("'"&amp;$A33&amp;"'!$G$79")="",COUNTA(Tulokset!$M$20:$M$21)=0),"",IF(COUNTIF(Tulokset!$M$20:$M$21,INDIRECT("'"&amp;$A33&amp;"'!$G$79"))&gt;0,2,0))</f>
        <v/>
      </c>
      <c r="EC33" t="str">
        <f ca="1">IF(OR(INDIRECT("'"&amp;$A33&amp;"'!$E$80")="",COUNTA(Tulokset!$M$23:$M$24)=0),"",IF(COUNTIF(Tulokset!$M$23:$M$24,INDIRECT("'"&amp;$A33&amp;"'!$E$80"))&gt;0,2,0))</f>
        <v/>
      </c>
      <c r="ED33" t="str">
        <f ca="1">IF(OR(INDIRECT("'"&amp;$A33&amp;"'!$G$80")="",COUNTA(Tulokset!$M$23:$M$24)=0),"",IF(COUNTIF(Tulokset!$M$23:$M$24,INDIRECT("'"&amp;$A33&amp;"'!$G$80"))&gt;0,2,0))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87"/>
  <sheetViews>
    <sheetView workbookViewId="0"/>
  </sheetViews>
  <sheetFormatPr defaultRowHeight="15"/>
  <sheetData>
    <row r="2" spans="2:21" ht="15.75" customHeight="1">
      <c r="B2" s="1"/>
      <c r="C2" s="1"/>
      <c r="D2" s="1"/>
      <c r="E2" s="1"/>
      <c r="F2" s="1"/>
      <c r="G2" s="2" t="s">
        <v>0</v>
      </c>
      <c r="H2" s="292" t="s">
        <v>1</v>
      </c>
      <c r="I2" s="293"/>
      <c r="J2" s="293"/>
      <c r="K2" s="293"/>
      <c r="L2" s="293"/>
      <c r="M2" s="293"/>
      <c r="N2" s="4"/>
      <c r="O2" s="1"/>
      <c r="P2" s="1"/>
      <c r="Q2" s="1"/>
      <c r="R2" s="1"/>
      <c r="S2" s="1"/>
      <c r="T2" s="1"/>
      <c r="U2" s="1"/>
    </row>
    <row r="4" spans="2:21" ht="18" customHeight="1">
      <c r="B4" s="33" t="s">
        <v>2</v>
      </c>
      <c r="C4" s="1"/>
      <c r="D4" s="1"/>
      <c r="E4" s="1"/>
      <c r="F4" s="1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ht="15.75" customHeight="1">
      <c r="B5" s="1"/>
      <c r="C5" s="34"/>
      <c r="D5" s="1"/>
      <c r="E5" s="1"/>
      <c r="F5" s="1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 customHeight="1">
      <c r="B6" s="1"/>
      <c r="C6" s="35" t="s">
        <v>3</v>
      </c>
      <c r="D6" s="6" t="s">
        <v>4</v>
      </c>
      <c r="E6" s="7"/>
      <c r="F6" s="6" t="s">
        <v>5</v>
      </c>
      <c r="G6" s="7"/>
      <c r="H6" s="7"/>
      <c r="I6" s="7"/>
      <c r="J6" s="6" t="s">
        <v>6</v>
      </c>
      <c r="K6" s="6"/>
      <c r="L6" s="6" t="s">
        <v>7</v>
      </c>
      <c r="M6" s="6" t="s">
        <v>8</v>
      </c>
      <c r="N6" s="6"/>
      <c r="O6" s="20" t="s">
        <v>9</v>
      </c>
      <c r="P6" s="1"/>
      <c r="Q6" s="1"/>
      <c r="R6" s="1"/>
      <c r="S6" s="1"/>
      <c r="T6" s="1"/>
      <c r="U6" s="1"/>
    </row>
    <row r="7" spans="2:21" ht="16.5" customHeight="1">
      <c r="B7" s="32">
        <v>1</v>
      </c>
      <c r="C7" s="36" t="s">
        <v>10</v>
      </c>
      <c r="D7" s="23" t="s">
        <v>11</v>
      </c>
      <c r="E7" s="24" t="s">
        <v>12</v>
      </c>
      <c r="F7" s="23" t="s">
        <v>13</v>
      </c>
      <c r="G7" s="30" t="s">
        <v>14</v>
      </c>
      <c r="H7" s="31"/>
      <c r="I7" s="25">
        <v>2</v>
      </c>
      <c r="J7" s="23" t="s">
        <v>13</v>
      </c>
      <c r="K7" s="25">
        <v>0</v>
      </c>
      <c r="L7" s="26"/>
      <c r="M7" s="27"/>
      <c r="N7" s="15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 customHeight="1">
      <c r="B8" s="32">
        <v>2</v>
      </c>
      <c r="C8" s="36" t="s">
        <v>22</v>
      </c>
      <c r="D8" s="23" t="s">
        <v>11</v>
      </c>
      <c r="E8" s="24" t="s">
        <v>23</v>
      </c>
      <c r="F8" s="23" t="s">
        <v>13</v>
      </c>
      <c r="G8" s="30" t="s">
        <v>24</v>
      </c>
      <c r="H8" s="31"/>
      <c r="I8" s="25">
        <v>2</v>
      </c>
      <c r="J8" s="23" t="s">
        <v>13</v>
      </c>
      <c r="K8" s="25">
        <v>1</v>
      </c>
      <c r="L8" s="26"/>
      <c r="M8" s="27"/>
      <c r="N8" s="15"/>
      <c r="O8" s="16">
        <v>1</v>
      </c>
      <c r="P8" s="18" t="s">
        <v>12</v>
      </c>
      <c r="Q8" s="18" t="s">
        <v>25</v>
      </c>
      <c r="R8" s="18" t="s">
        <v>26</v>
      </c>
      <c r="S8" s="18" t="s">
        <v>27</v>
      </c>
      <c r="T8" s="18" t="s">
        <v>28</v>
      </c>
      <c r="U8" s="18" t="s">
        <v>29</v>
      </c>
    </row>
    <row r="9" spans="2:21" ht="15.75" customHeight="1">
      <c r="B9" s="32">
        <v>3</v>
      </c>
      <c r="C9" s="36" t="s">
        <v>30</v>
      </c>
      <c r="D9" s="23" t="s">
        <v>31</v>
      </c>
      <c r="E9" s="24" t="s">
        <v>32</v>
      </c>
      <c r="F9" s="23" t="s">
        <v>13</v>
      </c>
      <c r="G9" s="30" t="s">
        <v>33</v>
      </c>
      <c r="H9" s="31"/>
      <c r="I9" s="25">
        <v>1</v>
      </c>
      <c r="J9" s="23" t="s">
        <v>13</v>
      </c>
      <c r="K9" s="25">
        <v>1</v>
      </c>
      <c r="L9" s="26"/>
      <c r="M9" s="27"/>
      <c r="N9" s="15"/>
      <c r="O9" s="17">
        <v>2</v>
      </c>
      <c r="P9" s="19" t="s">
        <v>24</v>
      </c>
      <c r="Q9" s="19" t="s">
        <v>33</v>
      </c>
      <c r="R9" s="19" t="s">
        <v>34</v>
      </c>
      <c r="S9" s="19" t="s">
        <v>35</v>
      </c>
      <c r="T9" s="19" t="s">
        <v>36</v>
      </c>
      <c r="U9" s="19" t="s">
        <v>37</v>
      </c>
    </row>
    <row r="10" spans="2:21" ht="15.75" customHeight="1">
      <c r="B10" s="32">
        <v>4</v>
      </c>
      <c r="C10" s="36" t="s">
        <v>38</v>
      </c>
      <c r="D10" s="23" t="s">
        <v>39</v>
      </c>
      <c r="E10" s="24" t="s">
        <v>35</v>
      </c>
      <c r="F10" s="23" t="s">
        <v>13</v>
      </c>
      <c r="G10" s="30" t="s">
        <v>40</v>
      </c>
      <c r="H10" s="31"/>
      <c r="I10" s="25">
        <v>2</v>
      </c>
      <c r="J10" s="23" t="s">
        <v>13</v>
      </c>
      <c r="K10" s="25">
        <v>1</v>
      </c>
      <c r="L10" s="26"/>
      <c r="M10" s="27"/>
      <c r="N10" s="15"/>
      <c r="O10" s="17">
        <v>3</v>
      </c>
      <c r="P10" s="19" t="s">
        <v>23</v>
      </c>
      <c r="Q10" s="19" t="s">
        <v>32</v>
      </c>
      <c r="R10" s="19" t="s">
        <v>41</v>
      </c>
      <c r="S10" s="19" t="s">
        <v>40</v>
      </c>
      <c r="T10" s="19" t="s">
        <v>42</v>
      </c>
      <c r="U10" s="19" t="s">
        <v>43</v>
      </c>
    </row>
    <row r="11" spans="2:21" ht="15.75" customHeight="1">
      <c r="B11" s="32">
        <v>5</v>
      </c>
      <c r="C11" s="36" t="s">
        <v>44</v>
      </c>
      <c r="D11" s="23" t="s">
        <v>45</v>
      </c>
      <c r="E11" s="24" t="s">
        <v>46</v>
      </c>
      <c r="F11" s="23" t="s">
        <v>13</v>
      </c>
      <c r="G11" s="30" t="s">
        <v>34</v>
      </c>
      <c r="H11" s="31"/>
      <c r="I11" s="25">
        <v>0</v>
      </c>
      <c r="J11" s="23" t="s">
        <v>13</v>
      </c>
      <c r="K11" s="25">
        <v>2</v>
      </c>
      <c r="L11" s="26"/>
      <c r="M11" s="27"/>
      <c r="N11" s="15"/>
      <c r="O11" s="17">
        <v>4</v>
      </c>
      <c r="P11" s="19" t="s">
        <v>14</v>
      </c>
      <c r="Q11" s="19" t="s">
        <v>47</v>
      </c>
      <c r="R11" s="19" t="s">
        <v>46</v>
      </c>
      <c r="S11" s="19" t="s">
        <v>48</v>
      </c>
      <c r="T11" s="19" t="s">
        <v>49</v>
      </c>
      <c r="U11" s="19" t="s">
        <v>50</v>
      </c>
    </row>
    <row r="12" spans="2:21" ht="16.5" customHeight="1">
      <c r="B12" s="32">
        <v>6</v>
      </c>
      <c r="C12" s="36" t="s">
        <v>51</v>
      </c>
      <c r="D12" s="23" t="s">
        <v>39</v>
      </c>
      <c r="E12" s="24" t="s">
        <v>48</v>
      </c>
      <c r="F12" s="23" t="s">
        <v>13</v>
      </c>
      <c r="G12" s="30" t="s">
        <v>27</v>
      </c>
      <c r="H12" s="31"/>
      <c r="I12" s="25">
        <v>1</v>
      </c>
      <c r="J12" s="23" t="s">
        <v>13</v>
      </c>
      <c r="K12" s="25">
        <v>3</v>
      </c>
      <c r="L12" s="26"/>
      <c r="M12" s="27"/>
      <c r="N12" s="15"/>
      <c r="O12" s="1"/>
      <c r="P12" s="1"/>
      <c r="Q12" s="1"/>
      <c r="R12" s="1"/>
      <c r="S12" s="1"/>
      <c r="T12" s="1"/>
      <c r="U12" s="1"/>
    </row>
    <row r="13" spans="2:21" ht="16.5" customHeight="1">
      <c r="B13" s="32">
        <v>7</v>
      </c>
      <c r="C13" s="36" t="s">
        <v>52</v>
      </c>
      <c r="D13" s="23" t="s">
        <v>45</v>
      </c>
      <c r="E13" s="24" t="s">
        <v>26</v>
      </c>
      <c r="F13" s="23" t="s">
        <v>13</v>
      </c>
      <c r="G13" s="30" t="s">
        <v>41</v>
      </c>
      <c r="H13" s="31"/>
      <c r="I13" s="25">
        <v>3</v>
      </c>
      <c r="J13" s="23" t="s">
        <v>13</v>
      </c>
      <c r="K13" s="25">
        <v>1</v>
      </c>
      <c r="L13" s="26"/>
      <c r="M13" s="27"/>
      <c r="N13" s="15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 customHeight="1">
      <c r="B14" s="32">
        <v>8</v>
      </c>
      <c r="C14" s="36" t="s">
        <v>59</v>
      </c>
      <c r="D14" s="23" t="s">
        <v>31</v>
      </c>
      <c r="E14" s="24" t="s">
        <v>47</v>
      </c>
      <c r="F14" s="23" t="s">
        <v>13</v>
      </c>
      <c r="G14" s="30" t="s">
        <v>25</v>
      </c>
      <c r="H14" s="31"/>
      <c r="I14" s="25">
        <v>0</v>
      </c>
      <c r="J14" s="23" t="s">
        <v>13</v>
      </c>
      <c r="K14" s="25">
        <v>3</v>
      </c>
      <c r="L14" s="26"/>
      <c r="M14" s="27"/>
      <c r="N14" s="15"/>
      <c r="O14" s="16">
        <v>1</v>
      </c>
      <c r="P14" s="18" t="s">
        <v>60</v>
      </c>
      <c r="Q14" s="18" t="s">
        <v>61</v>
      </c>
      <c r="R14" s="18" t="s">
        <v>62</v>
      </c>
      <c r="S14" s="18" t="s">
        <v>63</v>
      </c>
      <c r="T14" s="18" t="s">
        <v>64</v>
      </c>
      <c r="U14" s="18" t="s">
        <v>65</v>
      </c>
    </row>
    <row r="15" spans="2:21" ht="15.75" customHeight="1">
      <c r="B15" s="32">
        <v>9</v>
      </c>
      <c r="C15" s="36" t="s">
        <v>66</v>
      </c>
      <c r="D15" s="23" t="s">
        <v>67</v>
      </c>
      <c r="E15" s="24" t="s">
        <v>42</v>
      </c>
      <c r="F15" s="23" t="s">
        <v>13</v>
      </c>
      <c r="G15" s="30" t="s">
        <v>36</v>
      </c>
      <c r="H15" s="31"/>
      <c r="I15" s="25">
        <v>0</v>
      </c>
      <c r="J15" s="23" t="s">
        <v>13</v>
      </c>
      <c r="K15" s="25">
        <v>0</v>
      </c>
      <c r="L15" s="26"/>
      <c r="M15" s="27"/>
      <c r="N15" s="15"/>
      <c r="O15" s="17">
        <v>2</v>
      </c>
      <c r="P15" s="19" t="s">
        <v>68</v>
      </c>
      <c r="Q15" s="19" t="s">
        <v>69</v>
      </c>
      <c r="R15" s="19" t="s">
        <v>70</v>
      </c>
      <c r="S15" s="19" t="s">
        <v>71</v>
      </c>
      <c r="T15" s="19" t="s">
        <v>72</v>
      </c>
      <c r="U15" s="19" t="s">
        <v>73</v>
      </c>
    </row>
    <row r="16" spans="2:21" ht="15.75" customHeight="1">
      <c r="B16" s="32">
        <v>10</v>
      </c>
      <c r="C16" s="36" t="s">
        <v>74</v>
      </c>
      <c r="D16" s="23" t="s">
        <v>67</v>
      </c>
      <c r="E16" s="24" t="s">
        <v>28</v>
      </c>
      <c r="F16" s="23" t="s">
        <v>13</v>
      </c>
      <c r="G16" s="30" t="s">
        <v>49</v>
      </c>
      <c r="H16" s="31"/>
      <c r="I16" s="25">
        <v>4</v>
      </c>
      <c r="J16" s="23" t="s">
        <v>13</v>
      </c>
      <c r="K16" s="25">
        <v>0</v>
      </c>
      <c r="L16" s="26"/>
      <c r="M16" s="27"/>
      <c r="N16" s="15"/>
      <c r="O16" s="17">
        <v>3</v>
      </c>
      <c r="P16" s="19" t="s">
        <v>75</v>
      </c>
      <c r="Q16" s="19" t="s">
        <v>76</v>
      </c>
      <c r="R16" s="19" t="s">
        <v>77</v>
      </c>
      <c r="S16" s="19" t="s">
        <v>78</v>
      </c>
      <c r="T16" s="19" t="s">
        <v>79</v>
      </c>
      <c r="U16" s="19" t="s">
        <v>80</v>
      </c>
    </row>
    <row r="17" spans="2:21" ht="15.75" customHeight="1">
      <c r="B17" s="32">
        <v>11</v>
      </c>
      <c r="C17" s="36" t="s">
        <v>81</v>
      </c>
      <c r="D17" s="23" t="s">
        <v>82</v>
      </c>
      <c r="E17" s="24" t="s">
        <v>29</v>
      </c>
      <c r="F17" s="23" t="s">
        <v>13</v>
      </c>
      <c r="G17" s="30" t="s">
        <v>43</v>
      </c>
      <c r="H17" s="31"/>
      <c r="I17" s="25">
        <v>2</v>
      </c>
      <c r="J17" s="23" t="s">
        <v>13</v>
      </c>
      <c r="K17" s="25">
        <v>1</v>
      </c>
      <c r="L17" s="26"/>
      <c r="M17" s="27"/>
      <c r="N17" s="15"/>
      <c r="O17" s="17">
        <v>4</v>
      </c>
      <c r="P17" s="19" t="s">
        <v>83</v>
      </c>
      <c r="Q17" s="19" t="s">
        <v>84</v>
      </c>
      <c r="R17" s="19" t="s">
        <v>85</v>
      </c>
      <c r="S17" s="19" t="s">
        <v>86</v>
      </c>
      <c r="T17" s="19" t="s">
        <v>87</v>
      </c>
      <c r="U17" s="19" t="s">
        <v>88</v>
      </c>
    </row>
    <row r="18" spans="2:21" ht="15.75" customHeight="1">
      <c r="B18" s="32">
        <v>12</v>
      </c>
      <c r="C18" s="36" t="s">
        <v>89</v>
      </c>
      <c r="D18" s="23" t="s">
        <v>82</v>
      </c>
      <c r="E18" s="24" t="s">
        <v>37</v>
      </c>
      <c r="F18" s="23" t="s">
        <v>13</v>
      </c>
      <c r="G18" s="30" t="s">
        <v>50</v>
      </c>
      <c r="H18" s="31"/>
      <c r="I18" s="25">
        <v>1</v>
      </c>
      <c r="J18" s="23" t="s">
        <v>13</v>
      </c>
      <c r="K18" s="25">
        <v>0</v>
      </c>
      <c r="L18" s="26"/>
      <c r="M18" s="27"/>
      <c r="N18" s="15"/>
      <c r="O18" s="1"/>
      <c r="P18" s="21"/>
      <c r="Q18" s="21"/>
      <c r="R18" s="21"/>
      <c r="S18" s="21"/>
      <c r="T18" s="21"/>
      <c r="U18" s="21"/>
    </row>
    <row r="19" spans="2:21" ht="15.75" customHeight="1">
      <c r="B19" s="32">
        <v>13</v>
      </c>
      <c r="C19" s="36" t="s">
        <v>90</v>
      </c>
      <c r="D19" s="23" t="s">
        <v>91</v>
      </c>
      <c r="E19" s="24" t="s">
        <v>84</v>
      </c>
      <c r="F19" s="23" t="s">
        <v>13</v>
      </c>
      <c r="G19" s="30" t="s">
        <v>69</v>
      </c>
      <c r="H19" s="31"/>
      <c r="I19" s="25">
        <v>1</v>
      </c>
      <c r="J19" s="23" t="s">
        <v>13</v>
      </c>
      <c r="K19" s="25">
        <v>1</v>
      </c>
      <c r="L19" s="26"/>
      <c r="M19" s="27"/>
      <c r="N19" s="15"/>
      <c r="O19" s="1"/>
      <c r="P19" s="1"/>
      <c r="Q19" s="1"/>
      <c r="R19" s="1"/>
      <c r="S19" s="1"/>
      <c r="T19" s="1"/>
      <c r="U19" s="1"/>
    </row>
    <row r="20" spans="2:21" ht="16.5" customHeight="1">
      <c r="B20" s="32">
        <v>14</v>
      </c>
      <c r="C20" s="36" t="s">
        <v>92</v>
      </c>
      <c r="D20" s="23" t="s">
        <v>91</v>
      </c>
      <c r="E20" s="24" t="s">
        <v>61</v>
      </c>
      <c r="F20" s="23" t="s">
        <v>13</v>
      </c>
      <c r="G20" s="30" t="s">
        <v>76</v>
      </c>
      <c r="H20" s="31"/>
      <c r="I20" s="25">
        <v>4</v>
      </c>
      <c r="J20" s="23" t="s">
        <v>13</v>
      </c>
      <c r="K20" s="25">
        <v>0</v>
      </c>
      <c r="L20" s="26"/>
      <c r="M20" s="27"/>
      <c r="N20" s="15"/>
      <c r="O20" s="13" t="s">
        <v>93</v>
      </c>
      <c r="P20" s="1"/>
      <c r="Q20" s="1"/>
      <c r="R20" s="1"/>
      <c r="S20" s="1"/>
      <c r="T20" s="1"/>
      <c r="U20" s="1"/>
    </row>
    <row r="21" spans="2:21" ht="16.5" customHeight="1">
      <c r="B21" s="32">
        <v>15</v>
      </c>
      <c r="C21" s="36" t="s">
        <v>94</v>
      </c>
      <c r="D21" s="23" t="s">
        <v>95</v>
      </c>
      <c r="E21" s="24" t="s">
        <v>83</v>
      </c>
      <c r="F21" s="23" t="s">
        <v>13</v>
      </c>
      <c r="G21" s="30" t="s">
        <v>75</v>
      </c>
      <c r="H21" s="31"/>
      <c r="I21" s="25">
        <v>0</v>
      </c>
      <c r="J21" s="23" t="s">
        <v>13</v>
      </c>
      <c r="K21" s="25">
        <v>1</v>
      </c>
      <c r="L21" s="26"/>
      <c r="M21" s="27"/>
      <c r="N21" s="15"/>
      <c r="O21" s="1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 customHeight="1">
      <c r="B22" s="32">
        <v>16</v>
      </c>
      <c r="C22" s="36" t="s">
        <v>96</v>
      </c>
      <c r="D22" s="23" t="s">
        <v>95</v>
      </c>
      <c r="E22" s="24" t="s">
        <v>60</v>
      </c>
      <c r="F22" s="23" t="s">
        <v>13</v>
      </c>
      <c r="G22" s="30" t="s">
        <v>68</v>
      </c>
      <c r="H22" s="31"/>
      <c r="I22" s="25">
        <v>2</v>
      </c>
      <c r="J22" s="23" t="s">
        <v>13</v>
      </c>
      <c r="K22" s="25">
        <v>1</v>
      </c>
      <c r="L22" s="26"/>
      <c r="M22" s="27"/>
      <c r="N22" s="15"/>
      <c r="O22" s="1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 customHeight="1">
      <c r="B23" s="32">
        <v>17</v>
      </c>
      <c r="C23" s="36" t="s">
        <v>97</v>
      </c>
      <c r="D23" s="23" t="s">
        <v>98</v>
      </c>
      <c r="E23" s="24" t="s">
        <v>62</v>
      </c>
      <c r="F23" s="23" t="s">
        <v>13</v>
      </c>
      <c r="G23" s="30" t="s">
        <v>77</v>
      </c>
      <c r="H23" s="31"/>
      <c r="I23" s="25">
        <v>2</v>
      </c>
      <c r="J23" s="23" t="s">
        <v>13</v>
      </c>
      <c r="K23" s="25">
        <v>0</v>
      </c>
      <c r="L23" s="26"/>
      <c r="M23" s="27"/>
      <c r="N23" s="15"/>
      <c r="O23" s="1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 customHeight="1">
      <c r="B24" s="32">
        <v>18</v>
      </c>
      <c r="C24" s="36" t="s">
        <v>99</v>
      </c>
      <c r="D24" s="23" t="s">
        <v>98</v>
      </c>
      <c r="E24" s="24" t="s">
        <v>85</v>
      </c>
      <c r="F24" s="23" t="s">
        <v>13</v>
      </c>
      <c r="G24" s="30" t="s">
        <v>70</v>
      </c>
      <c r="H24" s="31"/>
      <c r="I24" s="25">
        <v>0</v>
      </c>
      <c r="J24" s="23" t="s">
        <v>13</v>
      </c>
      <c r="K24" s="25">
        <v>2</v>
      </c>
      <c r="L24" s="26"/>
      <c r="M24" s="27"/>
      <c r="N24" s="15"/>
      <c r="O24" s="1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 customHeight="1">
      <c r="B25" s="32">
        <v>19</v>
      </c>
      <c r="C25" s="36" t="s">
        <v>100</v>
      </c>
      <c r="D25" s="23" t="s">
        <v>101</v>
      </c>
      <c r="E25" s="24" t="s">
        <v>63</v>
      </c>
      <c r="F25" s="23" t="s">
        <v>13</v>
      </c>
      <c r="G25" s="30" t="s">
        <v>78</v>
      </c>
      <c r="H25" s="31"/>
      <c r="I25" s="25">
        <v>2</v>
      </c>
      <c r="J25" s="23" t="s">
        <v>13</v>
      </c>
      <c r="K25" s="25">
        <v>1</v>
      </c>
      <c r="L25" s="26"/>
      <c r="M25" s="27"/>
      <c r="N25" s="15"/>
      <c r="O25" s="1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customHeight="1">
      <c r="B26" s="32">
        <v>20</v>
      </c>
      <c r="C26" s="36" t="s">
        <v>102</v>
      </c>
      <c r="D26" s="23" t="s">
        <v>101</v>
      </c>
      <c r="E26" s="24" t="s">
        <v>71</v>
      </c>
      <c r="F26" s="23" t="s">
        <v>13</v>
      </c>
      <c r="G26" s="30" t="s">
        <v>86</v>
      </c>
      <c r="H26" s="31"/>
      <c r="I26" s="25">
        <v>2</v>
      </c>
      <c r="J26" s="23" t="s">
        <v>13</v>
      </c>
      <c r="K26" s="25">
        <v>0</v>
      </c>
      <c r="L26" s="26"/>
      <c r="M26" s="27"/>
      <c r="N26" s="15"/>
      <c r="O26" s="1"/>
      <c r="P26" s="1"/>
      <c r="Q26" s="1"/>
      <c r="R26" s="1"/>
      <c r="S26" s="1"/>
      <c r="T26" s="1"/>
      <c r="U26" s="1"/>
    </row>
    <row r="27" spans="2:21" ht="16.5" customHeight="1">
      <c r="B27" s="32">
        <v>21</v>
      </c>
      <c r="C27" s="36" t="s">
        <v>103</v>
      </c>
      <c r="D27" s="23" t="s">
        <v>104</v>
      </c>
      <c r="E27" s="24" t="s">
        <v>80</v>
      </c>
      <c r="F27" s="23" t="s">
        <v>13</v>
      </c>
      <c r="G27" s="30" t="s">
        <v>88</v>
      </c>
      <c r="H27" s="31"/>
      <c r="I27" s="25">
        <v>1</v>
      </c>
      <c r="J27" s="23" t="s">
        <v>13</v>
      </c>
      <c r="K27" s="25">
        <v>0</v>
      </c>
      <c r="L27" s="26"/>
      <c r="M27" s="27"/>
      <c r="N27" s="15"/>
      <c r="O27" s="1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 customHeight="1">
      <c r="B28" s="32">
        <v>22</v>
      </c>
      <c r="C28" s="36" t="s">
        <v>105</v>
      </c>
      <c r="D28" s="23" t="s">
        <v>104</v>
      </c>
      <c r="E28" s="24" t="s">
        <v>65</v>
      </c>
      <c r="F28" s="23" t="s">
        <v>13</v>
      </c>
      <c r="G28" s="30" t="s">
        <v>73</v>
      </c>
      <c r="H28" s="31"/>
      <c r="I28" s="25">
        <v>2</v>
      </c>
      <c r="J28" s="23" t="s">
        <v>13</v>
      </c>
      <c r="K28" s="25">
        <v>1</v>
      </c>
      <c r="L28" s="26"/>
      <c r="M28" s="27"/>
      <c r="N28" s="15"/>
      <c r="O28" s="1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 customHeight="1">
      <c r="B29" s="32">
        <v>23</v>
      </c>
      <c r="C29" s="36" t="s">
        <v>106</v>
      </c>
      <c r="D29" s="23" t="s">
        <v>107</v>
      </c>
      <c r="E29" s="24" t="s">
        <v>64</v>
      </c>
      <c r="F29" s="23" t="s">
        <v>13</v>
      </c>
      <c r="G29" s="30" t="s">
        <v>87</v>
      </c>
      <c r="H29" s="31"/>
      <c r="I29" s="25">
        <v>3</v>
      </c>
      <c r="J29" s="23" t="s">
        <v>13</v>
      </c>
      <c r="K29" s="25">
        <v>0</v>
      </c>
      <c r="L29" s="26"/>
      <c r="M29" s="27"/>
      <c r="N29" s="15"/>
      <c r="O29" s="1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 customHeight="1">
      <c r="B30" s="32">
        <v>24</v>
      </c>
      <c r="C30" s="36" t="s">
        <v>108</v>
      </c>
      <c r="D30" s="23" t="s">
        <v>107</v>
      </c>
      <c r="E30" s="24" t="s">
        <v>79</v>
      </c>
      <c r="F30" s="23" t="s">
        <v>13</v>
      </c>
      <c r="G30" s="30" t="s">
        <v>72</v>
      </c>
      <c r="H30" s="31"/>
      <c r="I30" s="25">
        <v>0</v>
      </c>
      <c r="J30" s="23" t="s">
        <v>13</v>
      </c>
      <c r="K30" s="25">
        <v>2</v>
      </c>
      <c r="L30" s="26"/>
      <c r="M30" s="27"/>
      <c r="N30" s="15"/>
      <c r="O30" s="1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 customHeight="1">
      <c r="B31" s="32">
        <v>25</v>
      </c>
      <c r="C31" s="36" t="s">
        <v>109</v>
      </c>
      <c r="D31" s="23" t="s">
        <v>11</v>
      </c>
      <c r="E31" s="24" t="s">
        <v>24</v>
      </c>
      <c r="F31" s="23" t="s">
        <v>13</v>
      </c>
      <c r="G31" s="30" t="s">
        <v>14</v>
      </c>
      <c r="H31" s="31"/>
      <c r="I31" s="25">
        <v>1</v>
      </c>
      <c r="J31" s="23" t="s">
        <v>13</v>
      </c>
      <c r="K31" s="25">
        <v>0</v>
      </c>
      <c r="L31" s="26"/>
      <c r="M31" s="27"/>
      <c r="N31" s="15"/>
      <c r="O31" s="1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 customHeight="1">
      <c r="B32" s="32">
        <v>26</v>
      </c>
      <c r="C32" s="36" t="s">
        <v>110</v>
      </c>
      <c r="D32" s="23" t="s">
        <v>31</v>
      </c>
      <c r="E32" s="24" t="s">
        <v>25</v>
      </c>
      <c r="F32" s="23" t="s">
        <v>13</v>
      </c>
      <c r="G32" s="30" t="s">
        <v>33</v>
      </c>
      <c r="H32" s="31"/>
      <c r="I32" s="25">
        <v>2</v>
      </c>
      <c r="J32" s="23" t="s">
        <v>13</v>
      </c>
      <c r="K32" s="25">
        <v>1</v>
      </c>
      <c r="L32" s="26"/>
      <c r="M32" s="27"/>
      <c r="N32" s="15"/>
      <c r="O32" s="1"/>
      <c r="P32" s="1"/>
      <c r="Q32" s="1"/>
      <c r="R32" s="1"/>
      <c r="S32" s="1"/>
      <c r="T32" s="1"/>
      <c r="U32" s="1"/>
    </row>
    <row r="33" spans="2:14" ht="15.75" customHeight="1">
      <c r="B33" s="32">
        <v>27</v>
      </c>
      <c r="C33" s="36" t="s">
        <v>111</v>
      </c>
      <c r="D33" s="23" t="s">
        <v>31</v>
      </c>
      <c r="E33" s="24" t="s">
        <v>32</v>
      </c>
      <c r="F33" s="23" t="s">
        <v>13</v>
      </c>
      <c r="G33" s="30" t="s">
        <v>47</v>
      </c>
      <c r="H33" s="31"/>
      <c r="I33" s="25">
        <v>2</v>
      </c>
      <c r="J33" s="23" t="s">
        <v>13</v>
      </c>
      <c r="K33" s="25">
        <v>0</v>
      </c>
      <c r="L33" s="26"/>
      <c r="M33" s="27"/>
      <c r="N33" s="15"/>
    </row>
    <row r="34" spans="2:14" ht="15.75" customHeight="1">
      <c r="B34" s="32">
        <v>28</v>
      </c>
      <c r="C34" s="36" t="s">
        <v>112</v>
      </c>
      <c r="D34" s="23" t="s">
        <v>11</v>
      </c>
      <c r="E34" s="24" t="s">
        <v>12</v>
      </c>
      <c r="F34" s="23" t="s">
        <v>13</v>
      </c>
      <c r="G34" s="30" t="s">
        <v>23</v>
      </c>
      <c r="H34" s="31"/>
      <c r="I34" s="25">
        <v>1</v>
      </c>
      <c r="J34" s="23" t="s">
        <v>13</v>
      </c>
      <c r="K34" s="25">
        <v>0</v>
      </c>
      <c r="L34" s="26"/>
      <c r="M34" s="27"/>
      <c r="N34" s="15"/>
    </row>
    <row r="35" spans="2:14" ht="15.75" customHeight="1">
      <c r="B35" s="32">
        <v>29</v>
      </c>
      <c r="C35" s="36" t="s">
        <v>113</v>
      </c>
      <c r="D35" s="23" t="s">
        <v>45</v>
      </c>
      <c r="E35" s="24" t="s">
        <v>26</v>
      </c>
      <c r="F35" s="23" t="s">
        <v>13</v>
      </c>
      <c r="G35" s="30" t="s">
        <v>46</v>
      </c>
      <c r="H35" s="31"/>
      <c r="I35" s="25">
        <v>4</v>
      </c>
      <c r="J35" s="23" t="s">
        <v>13</v>
      </c>
      <c r="K35" s="25">
        <v>0</v>
      </c>
      <c r="L35" s="26"/>
      <c r="M35" s="27"/>
      <c r="N35" s="15"/>
    </row>
    <row r="36" spans="2:14" ht="15.75" customHeight="1">
      <c r="B36" s="32">
        <v>30</v>
      </c>
      <c r="C36" s="36" t="s">
        <v>114</v>
      </c>
      <c r="D36" s="23" t="s">
        <v>45</v>
      </c>
      <c r="E36" s="24" t="s">
        <v>34</v>
      </c>
      <c r="F36" s="23" t="s">
        <v>13</v>
      </c>
      <c r="G36" s="30" t="s">
        <v>41</v>
      </c>
      <c r="H36" s="31"/>
      <c r="I36" s="25">
        <v>1</v>
      </c>
      <c r="J36" s="23" t="s">
        <v>13</v>
      </c>
      <c r="K36" s="25">
        <v>1</v>
      </c>
      <c r="L36" s="26"/>
      <c r="M36" s="27"/>
      <c r="N36" s="15"/>
    </row>
    <row r="37" spans="2:14" ht="15.75" customHeight="1">
      <c r="B37" s="32">
        <v>31</v>
      </c>
      <c r="C37" s="36" t="s">
        <v>115</v>
      </c>
      <c r="D37" s="23" t="s">
        <v>39</v>
      </c>
      <c r="E37" s="24" t="s">
        <v>27</v>
      </c>
      <c r="F37" s="23" t="s">
        <v>13</v>
      </c>
      <c r="G37" s="30" t="s">
        <v>40</v>
      </c>
      <c r="H37" s="31"/>
      <c r="I37" s="25">
        <v>2</v>
      </c>
      <c r="J37" s="23" t="s">
        <v>13</v>
      </c>
      <c r="K37" s="25">
        <v>1</v>
      </c>
      <c r="L37" s="26"/>
      <c r="M37" s="27"/>
      <c r="N37" s="15"/>
    </row>
    <row r="38" spans="2:14" ht="15.75" customHeight="1">
      <c r="B38" s="32">
        <v>32</v>
      </c>
      <c r="C38" s="36" t="s">
        <v>116</v>
      </c>
      <c r="D38" s="23" t="s">
        <v>39</v>
      </c>
      <c r="E38" s="24" t="s">
        <v>35</v>
      </c>
      <c r="F38" s="23" t="s">
        <v>13</v>
      </c>
      <c r="G38" s="30" t="s">
        <v>48</v>
      </c>
      <c r="H38" s="31"/>
      <c r="I38" s="25">
        <v>1</v>
      </c>
      <c r="J38" s="23" t="s">
        <v>13</v>
      </c>
      <c r="K38" s="25">
        <v>0</v>
      </c>
      <c r="L38" s="26"/>
      <c r="M38" s="27"/>
      <c r="N38" s="15"/>
    </row>
    <row r="39" spans="2:14" ht="15.75" customHeight="1">
      <c r="B39" s="32">
        <v>33</v>
      </c>
      <c r="C39" s="36" t="s">
        <v>117</v>
      </c>
      <c r="D39" s="23" t="s">
        <v>67</v>
      </c>
      <c r="E39" s="24" t="s">
        <v>28</v>
      </c>
      <c r="F39" s="23" t="s">
        <v>13</v>
      </c>
      <c r="G39" s="30" t="s">
        <v>42</v>
      </c>
      <c r="H39" s="31"/>
      <c r="I39" s="25">
        <v>2</v>
      </c>
      <c r="J39" s="23" t="s">
        <v>13</v>
      </c>
      <c r="K39" s="25">
        <v>0</v>
      </c>
      <c r="L39" s="26"/>
      <c r="M39" s="27"/>
      <c r="N39" s="15"/>
    </row>
    <row r="40" spans="2:14" ht="15.75" customHeight="1">
      <c r="B40" s="32">
        <v>34</v>
      </c>
      <c r="C40" s="36" t="s">
        <v>118</v>
      </c>
      <c r="D40" s="23" t="s">
        <v>67</v>
      </c>
      <c r="E40" s="24" t="s">
        <v>36</v>
      </c>
      <c r="F40" s="23" t="s">
        <v>13</v>
      </c>
      <c r="G40" s="30" t="s">
        <v>49</v>
      </c>
      <c r="H40" s="31"/>
      <c r="I40" s="25">
        <v>2</v>
      </c>
      <c r="J40" s="23" t="s">
        <v>13</v>
      </c>
      <c r="K40" s="25">
        <v>0</v>
      </c>
      <c r="L40" s="26"/>
      <c r="M40" s="27"/>
      <c r="N40" s="15"/>
    </row>
    <row r="41" spans="2:14" ht="15.75" customHeight="1">
      <c r="B41" s="32">
        <v>35</v>
      </c>
      <c r="C41" s="36" t="s">
        <v>119</v>
      </c>
      <c r="D41" s="23" t="s">
        <v>82</v>
      </c>
      <c r="E41" s="24" t="s">
        <v>29</v>
      </c>
      <c r="F41" s="23" t="s">
        <v>13</v>
      </c>
      <c r="G41" s="30" t="s">
        <v>37</v>
      </c>
      <c r="H41" s="31"/>
      <c r="I41" s="25">
        <v>2</v>
      </c>
      <c r="J41" s="23" t="s">
        <v>13</v>
      </c>
      <c r="K41" s="25">
        <v>1</v>
      </c>
      <c r="L41" s="26"/>
      <c r="M41" s="27"/>
      <c r="N41" s="15"/>
    </row>
    <row r="42" spans="2:14" ht="15.75" customHeight="1">
      <c r="B42" s="32">
        <v>36</v>
      </c>
      <c r="C42" s="36" t="s">
        <v>120</v>
      </c>
      <c r="D42" s="23" t="s">
        <v>82</v>
      </c>
      <c r="E42" s="24" t="s">
        <v>50</v>
      </c>
      <c r="F42" s="23" t="s">
        <v>13</v>
      </c>
      <c r="G42" s="30" t="s">
        <v>43</v>
      </c>
      <c r="H42" s="31"/>
      <c r="I42" s="25">
        <v>0</v>
      </c>
      <c r="J42" s="23" t="s">
        <v>13</v>
      </c>
      <c r="K42" s="25">
        <v>1</v>
      </c>
      <c r="L42" s="26"/>
      <c r="M42" s="27"/>
      <c r="N42" s="15"/>
    </row>
    <row r="43" spans="2:14" ht="15.75" customHeight="1">
      <c r="B43" s="32">
        <v>37</v>
      </c>
      <c r="C43" s="36" t="s">
        <v>121</v>
      </c>
      <c r="D43" s="23" t="s">
        <v>91</v>
      </c>
      <c r="E43" s="24" t="s">
        <v>69</v>
      </c>
      <c r="F43" s="23" t="s">
        <v>13</v>
      </c>
      <c r="G43" s="30" t="s">
        <v>76</v>
      </c>
      <c r="H43" s="31"/>
      <c r="I43" s="25">
        <v>2</v>
      </c>
      <c r="J43" s="23" t="s">
        <v>13</v>
      </c>
      <c r="K43" s="25">
        <v>0</v>
      </c>
      <c r="L43" s="26"/>
      <c r="M43" s="27"/>
      <c r="N43" s="1"/>
    </row>
    <row r="44" spans="2:14" ht="15.75" customHeight="1">
      <c r="B44" s="32">
        <v>38</v>
      </c>
      <c r="C44" s="36" t="s">
        <v>122</v>
      </c>
      <c r="D44" s="23" t="s">
        <v>91</v>
      </c>
      <c r="E44" s="24" t="s">
        <v>61</v>
      </c>
      <c r="F44" s="23" t="s">
        <v>13</v>
      </c>
      <c r="G44" s="30" t="s">
        <v>84</v>
      </c>
      <c r="H44" s="31"/>
      <c r="I44" s="25">
        <v>3</v>
      </c>
      <c r="J44" s="23" t="s">
        <v>13</v>
      </c>
      <c r="K44" s="25">
        <v>0</v>
      </c>
      <c r="L44" s="26"/>
      <c r="M44" s="27"/>
      <c r="N44" s="1"/>
    </row>
    <row r="45" spans="2:14" ht="15.75" customHeight="1">
      <c r="B45" s="32">
        <v>39</v>
      </c>
      <c r="C45" s="36" t="s">
        <v>123</v>
      </c>
      <c r="D45" s="23" t="s">
        <v>95</v>
      </c>
      <c r="E45" s="24" t="s">
        <v>60</v>
      </c>
      <c r="F45" s="23" t="s">
        <v>13</v>
      </c>
      <c r="G45" s="30" t="s">
        <v>83</v>
      </c>
      <c r="H45" s="31"/>
      <c r="I45" s="25">
        <v>2</v>
      </c>
      <c r="J45" s="23" t="s">
        <v>13</v>
      </c>
      <c r="K45" s="25">
        <v>0</v>
      </c>
      <c r="L45" s="26"/>
      <c r="M45" s="27"/>
      <c r="N45" s="1"/>
    </row>
    <row r="46" spans="2:14" ht="15.75" customHeight="1">
      <c r="B46" s="32">
        <v>40</v>
      </c>
      <c r="C46" s="36" t="s">
        <v>124</v>
      </c>
      <c r="D46" s="23" t="s">
        <v>95</v>
      </c>
      <c r="E46" s="24" t="s">
        <v>75</v>
      </c>
      <c r="F46" s="23" t="s">
        <v>13</v>
      </c>
      <c r="G46" s="30" t="s">
        <v>68</v>
      </c>
      <c r="H46" s="31"/>
      <c r="I46" s="25">
        <v>0</v>
      </c>
      <c r="J46" s="23" t="s">
        <v>13</v>
      </c>
      <c r="K46" s="25">
        <v>1</v>
      </c>
      <c r="L46" s="26"/>
      <c r="M46" s="27"/>
      <c r="N46" s="1"/>
    </row>
    <row r="47" spans="2:14" ht="15.75" customHeight="1">
      <c r="B47" s="32">
        <v>41</v>
      </c>
      <c r="C47" s="36" t="s">
        <v>125</v>
      </c>
      <c r="D47" s="23" t="s">
        <v>98</v>
      </c>
      <c r="E47" s="24" t="s">
        <v>70</v>
      </c>
      <c r="F47" s="23" t="s">
        <v>13</v>
      </c>
      <c r="G47" s="30" t="s">
        <v>77</v>
      </c>
      <c r="H47" s="31"/>
      <c r="I47" s="25">
        <v>1</v>
      </c>
      <c r="J47" s="23" t="s">
        <v>13</v>
      </c>
      <c r="K47" s="25">
        <v>0</v>
      </c>
      <c r="L47" s="26"/>
      <c r="M47" s="27"/>
      <c r="N47" s="1"/>
    </row>
    <row r="48" spans="2:14" ht="15.75" customHeight="1">
      <c r="B48" s="32">
        <v>42</v>
      </c>
      <c r="C48" s="36" t="s">
        <v>126</v>
      </c>
      <c r="D48" s="23" t="s">
        <v>98</v>
      </c>
      <c r="E48" s="24" t="s">
        <v>62</v>
      </c>
      <c r="F48" s="23" t="s">
        <v>13</v>
      </c>
      <c r="G48" s="30" t="s">
        <v>85</v>
      </c>
      <c r="H48" s="31"/>
      <c r="I48" s="25">
        <v>2</v>
      </c>
      <c r="J48" s="23" t="s">
        <v>13</v>
      </c>
      <c r="K48" s="25">
        <v>0</v>
      </c>
      <c r="L48" s="26"/>
      <c r="M48" s="27"/>
      <c r="N48" s="1"/>
    </row>
    <row r="49" spans="2:13" ht="15.75" customHeight="1">
      <c r="B49" s="32">
        <v>43</v>
      </c>
      <c r="C49" s="36" t="s">
        <v>127</v>
      </c>
      <c r="D49" s="23" t="s">
        <v>101</v>
      </c>
      <c r="E49" s="24" t="s">
        <v>63</v>
      </c>
      <c r="F49" s="23" t="s">
        <v>13</v>
      </c>
      <c r="G49" s="30" t="s">
        <v>71</v>
      </c>
      <c r="H49" s="31"/>
      <c r="I49" s="25">
        <v>2</v>
      </c>
      <c r="J49" s="23" t="s">
        <v>13</v>
      </c>
      <c r="K49" s="25">
        <v>1</v>
      </c>
      <c r="L49" s="26"/>
      <c r="M49" s="27"/>
    </row>
    <row r="50" spans="2:13" ht="15.75" customHeight="1">
      <c r="B50" s="32">
        <v>44</v>
      </c>
      <c r="C50" s="36" t="s">
        <v>128</v>
      </c>
      <c r="D50" s="23" t="s">
        <v>101</v>
      </c>
      <c r="E50" s="24" t="s">
        <v>86</v>
      </c>
      <c r="F50" s="23" t="s">
        <v>13</v>
      </c>
      <c r="G50" s="30" t="s">
        <v>78</v>
      </c>
      <c r="H50" s="31"/>
      <c r="I50" s="25">
        <v>0</v>
      </c>
      <c r="J50" s="23" t="s">
        <v>13</v>
      </c>
      <c r="K50" s="25">
        <v>1</v>
      </c>
      <c r="L50" s="26"/>
      <c r="M50" s="27"/>
    </row>
    <row r="51" spans="2:13" ht="15.75" customHeight="1">
      <c r="B51" s="32">
        <v>45</v>
      </c>
      <c r="C51" s="36" t="s">
        <v>129</v>
      </c>
      <c r="D51" s="23" t="s">
        <v>104</v>
      </c>
      <c r="E51" s="24" t="s">
        <v>65</v>
      </c>
      <c r="F51" s="23" t="s">
        <v>13</v>
      </c>
      <c r="G51" s="30" t="s">
        <v>80</v>
      </c>
      <c r="H51" s="31"/>
      <c r="I51" s="25">
        <v>2</v>
      </c>
      <c r="J51" s="23" t="s">
        <v>13</v>
      </c>
      <c r="K51" s="25">
        <v>0</v>
      </c>
      <c r="L51" s="26"/>
      <c r="M51" s="27"/>
    </row>
    <row r="52" spans="2:13" ht="15.75" customHeight="1">
      <c r="B52" s="32">
        <v>46</v>
      </c>
      <c r="C52" s="36" t="s">
        <v>130</v>
      </c>
      <c r="D52" s="23" t="s">
        <v>104</v>
      </c>
      <c r="E52" s="24" t="s">
        <v>88</v>
      </c>
      <c r="F52" s="23" t="s">
        <v>13</v>
      </c>
      <c r="G52" s="30" t="s">
        <v>73</v>
      </c>
      <c r="H52" s="31"/>
      <c r="I52" s="25">
        <v>0</v>
      </c>
      <c r="J52" s="23" t="s">
        <v>13</v>
      </c>
      <c r="K52" s="25">
        <v>2</v>
      </c>
      <c r="L52" s="26"/>
      <c r="M52" s="27"/>
    </row>
    <row r="53" spans="2:13" ht="15.75" customHeight="1">
      <c r="B53" s="32">
        <v>47</v>
      </c>
      <c r="C53" s="36" t="s">
        <v>131</v>
      </c>
      <c r="D53" s="23" t="s">
        <v>107</v>
      </c>
      <c r="E53" s="24" t="s">
        <v>64</v>
      </c>
      <c r="F53" s="23" t="s">
        <v>13</v>
      </c>
      <c r="G53" s="30" t="s">
        <v>79</v>
      </c>
      <c r="H53" s="31"/>
      <c r="I53" s="25">
        <v>3</v>
      </c>
      <c r="J53" s="23" t="s">
        <v>13</v>
      </c>
      <c r="K53" s="25">
        <v>0</v>
      </c>
      <c r="L53" s="26"/>
      <c r="M53" s="27"/>
    </row>
    <row r="54" spans="2:13" ht="15.75" customHeight="1">
      <c r="B54" s="32">
        <v>48</v>
      </c>
      <c r="C54" s="36" t="s">
        <v>132</v>
      </c>
      <c r="D54" s="23" t="s">
        <v>107</v>
      </c>
      <c r="E54" s="24" t="s">
        <v>72</v>
      </c>
      <c r="F54" s="23" t="s">
        <v>13</v>
      </c>
      <c r="G54" s="30" t="s">
        <v>87</v>
      </c>
      <c r="H54" s="31"/>
      <c r="I54" s="25">
        <v>2</v>
      </c>
      <c r="J54" s="23" t="s">
        <v>13</v>
      </c>
      <c r="K54" s="25">
        <v>0</v>
      </c>
      <c r="L54" s="26"/>
      <c r="M54" s="27"/>
    </row>
    <row r="55" spans="2:13" ht="15.75" customHeight="1">
      <c r="B55" s="32">
        <v>49</v>
      </c>
      <c r="C55" s="36" t="s">
        <v>133</v>
      </c>
      <c r="D55" s="23" t="s">
        <v>45</v>
      </c>
      <c r="E55" s="24" t="s">
        <v>34</v>
      </c>
      <c r="F55" s="23" t="s">
        <v>13</v>
      </c>
      <c r="G55" s="30" t="s">
        <v>26</v>
      </c>
      <c r="H55" s="31"/>
      <c r="I55" s="25">
        <v>0</v>
      </c>
      <c r="J55" s="23" t="s">
        <v>13</v>
      </c>
      <c r="K55" s="25">
        <v>2</v>
      </c>
      <c r="L55" s="26"/>
      <c r="M55" s="27"/>
    </row>
    <row r="56" spans="2:13" ht="15.75" customHeight="1">
      <c r="B56" s="32">
        <v>50</v>
      </c>
      <c r="C56" s="36" t="s">
        <v>133</v>
      </c>
      <c r="D56" s="23" t="s">
        <v>45</v>
      </c>
      <c r="E56" s="24" t="s">
        <v>41</v>
      </c>
      <c r="F56" s="23" t="s">
        <v>13</v>
      </c>
      <c r="G56" s="30" t="s">
        <v>46</v>
      </c>
      <c r="H56" s="31"/>
      <c r="I56" s="25">
        <v>2</v>
      </c>
      <c r="J56" s="23" t="s">
        <v>13</v>
      </c>
      <c r="K56" s="25">
        <v>0</v>
      </c>
      <c r="L56" s="26"/>
      <c r="M56" s="27"/>
    </row>
    <row r="57" spans="2:13" ht="15.75" customHeight="1">
      <c r="B57" s="32">
        <v>51</v>
      </c>
      <c r="C57" s="36" t="s">
        <v>134</v>
      </c>
      <c r="D57" s="23" t="s">
        <v>31</v>
      </c>
      <c r="E57" s="24" t="s">
        <v>25</v>
      </c>
      <c r="F57" s="23" t="s">
        <v>13</v>
      </c>
      <c r="G57" s="30" t="s">
        <v>32</v>
      </c>
      <c r="H57" s="31"/>
      <c r="I57" s="25">
        <v>1</v>
      </c>
      <c r="J57" s="23" t="s">
        <v>13</v>
      </c>
      <c r="K57" s="25">
        <v>1</v>
      </c>
      <c r="L57" s="26"/>
      <c r="M57" s="27"/>
    </row>
    <row r="58" spans="2:13" ht="15.75" customHeight="1">
      <c r="B58" s="32">
        <v>52</v>
      </c>
      <c r="C58" s="36" t="s">
        <v>134</v>
      </c>
      <c r="D58" s="23" t="s">
        <v>31</v>
      </c>
      <c r="E58" s="24" t="s">
        <v>33</v>
      </c>
      <c r="F58" s="23" t="s">
        <v>13</v>
      </c>
      <c r="G58" s="30" t="s">
        <v>47</v>
      </c>
      <c r="H58" s="31"/>
      <c r="I58" s="25">
        <v>1</v>
      </c>
      <c r="J58" s="23" t="s">
        <v>13</v>
      </c>
      <c r="K58" s="25">
        <v>0</v>
      </c>
      <c r="L58" s="26"/>
      <c r="M58" s="27"/>
    </row>
    <row r="59" spans="2:13" ht="15.75" customHeight="1">
      <c r="B59" s="32">
        <v>53</v>
      </c>
      <c r="C59" s="36" t="s">
        <v>135</v>
      </c>
      <c r="D59" s="23" t="s">
        <v>11</v>
      </c>
      <c r="E59" s="24" t="s">
        <v>24</v>
      </c>
      <c r="F59" s="23" t="s">
        <v>13</v>
      </c>
      <c r="G59" s="30" t="s">
        <v>12</v>
      </c>
      <c r="H59" s="31"/>
      <c r="I59" s="25">
        <v>0</v>
      </c>
      <c r="J59" s="23" t="s">
        <v>13</v>
      </c>
      <c r="K59" s="25">
        <v>1</v>
      </c>
      <c r="L59" s="26"/>
      <c r="M59" s="27"/>
    </row>
    <row r="60" spans="2:13" ht="15.75" customHeight="1">
      <c r="B60" s="32">
        <v>54</v>
      </c>
      <c r="C60" s="36" t="s">
        <v>135</v>
      </c>
      <c r="D60" s="23" t="s">
        <v>11</v>
      </c>
      <c r="E60" s="24" t="s">
        <v>14</v>
      </c>
      <c r="F60" s="23" t="s">
        <v>13</v>
      </c>
      <c r="G60" s="30" t="s">
        <v>23</v>
      </c>
      <c r="H60" s="31"/>
      <c r="I60" s="25">
        <v>1</v>
      </c>
      <c r="J60" s="23" t="s">
        <v>13</v>
      </c>
      <c r="K60" s="25">
        <v>2</v>
      </c>
      <c r="L60" s="26"/>
      <c r="M60" s="27"/>
    </row>
    <row r="61" spans="2:13" ht="15.75" customHeight="1">
      <c r="B61" s="32">
        <v>55</v>
      </c>
      <c r="C61" s="36" t="s">
        <v>136</v>
      </c>
      <c r="D61" s="23" t="s">
        <v>67</v>
      </c>
      <c r="E61" s="24" t="s">
        <v>49</v>
      </c>
      <c r="F61" s="23" t="s">
        <v>13</v>
      </c>
      <c r="G61" s="30" t="s">
        <v>42</v>
      </c>
      <c r="H61" s="31"/>
      <c r="I61" s="25">
        <v>0</v>
      </c>
      <c r="J61" s="23" t="s">
        <v>13</v>
      </c>
      <c r="K61" s="25">
        <v>2</v>
      </c>
      <c r="L61" s="26"/>
      <c r="M61" s="27"/>
    </row>
    <row r="62" spans="2:13" ht="15.75" customHeight="1">
      <c r="B62" s="32">
        <v>56</v>
      </c>
      <c r="C62" s="36" t="s">
        <v>136</v>
      </c>
      <c r="D62" s="23" t="s">
        <v>67</v>
      </c>
      <c r="E62" s="24" t="s">
        <v>36</v>
      </c>
      <c r="F62" s="23" t="s">
        <v>13</v>
      </c>
      <c r="G62" s="30" t="s">
        <v>28</v>
      </c>
      <c r="H62" s="31"/>
      <c r="I62" s="25">
        <v>1</v>
      </c>
      <c r="J62" s="23" t="s">
        <v>13</v>
      </c>
      <c r="K62" s="25">
        <v>2</v>
      </c>
      <c r="L62" s="26"/>
      <c r="M62" s="27"/>
    </row>
    <row r="63" spans="2:13" ht="15.75" customHeight="1">
      <c r="B63" s="32">
        <v>57</v>
      </c>
      <c r="C63" s="36" t="s">
        <v>137</v>
      </c>
      <c r="D63" s="23" t="s">
        <v>82</v>
      </c>
      <c r="E63" s="24" t="s">
        <v>43</v>
      </c>
      <c r="F63" s="23" t="s">
        <v>13</v>
      </c>
      <c r="G63" s="30" t="s">
        <v>37</v>
      </c>
      <c r="H63" s="31"/>
      <c r="I63" s="25">
        <v>1</v>
      </c>
      <c r="J63" s="23" t="s">
        <v>13</v>
      </c>
      <c r="K63" s="25">
        <v>1</v>
      </c>
      <c r="L63" s="26"/>
      <c r="M63" s="27"/>
    </row>
    <row r="64" spans="2:13" ht="15.75" customHeight="1">
      <c r="B64" s="32">
        <v>58</v>
      </c>
      <c r="C64" s="36" t="s">
        <v>137</v>
      </c>
      <c r="D64" s="23" t="s">
        <v>82</v>
      </c>
      <c r="E64" s="24" t="s">
        <v>50</v>
      </c>
      <c r="F64" s="23" t="s">
        <v>13</v>
      </c>
      <c r="G64" s="30" t="s">
        <v>29</v>
      </c>
      <c r="H64" s="31"/>
      <c r="I64" s="25">
        <v>0</v>
      </c>
      <c r="J64" s="23" t="s">
        <v>13</v>
      </c>
      <c r="K64" s="25">
        <v>2</v>
      </c>
      <c r="L64" s="26"/>
      <c r="M64" s="27"/>
    </row>
    <row r="65" spans="2:14" ht="15.75" customHeight="1">
      <c r="B65" s="32">
        <v>59</v>
      </c>
      <c r="C65" s="36" t="s">
        <v>138</v>
      </c>
      <c r="D65" s="23" t="s">
        <v>39</v>
      </c>
      <c r="E65" s="24" t="s">
        <v>27</v>
      </c>
      <c r="F65" s="23" t="s">
        <v>13</v>
      </c>
      <c r="G65" s="30" t="s">
        <v>35</v>
      </c>
      <c r="H65" s="31"/>
      <c r="I65" s="25">
        <v>2</v>
      </c>
      <c r="J65" s="23" t="s">
        <v>13</v>
      </c>
      <c r="K65" s="25">
        <v>1</v>
      </c>
      <c r="L65" s="26"/>
      <c r="M65" s="27"/>
      <c r="N65" s="1"/>
    </row>
    <row r="66" spans="2:14" ht="15.75" customHeight="1">
      <c r="B66" s="32">
        <v>60</v>
      </c>
      <c r="C66" s="36" t="s">
        <v>138</v>
      </c>
      <c r="D66" s="23" t="s">
        <v>39</v>
      </c>
      <c r="E66" s="24" t="s">
        <v>40</v>
      </c>
      <c r="F66" s="23" t="s">
        <v>13</v>
      </c>
      <c r="G66" s="30" t="s">
        <v>48</v>
      </c>
      <c r="H66" s="31"/>
      <c r="I66" s="25">
        <v>1</v>
      </c>
      <c r="J66" s="23" t="s">
        <v>13</v>
      </c>
      <c r="K66" s="25">
        <v>0</v>
      </c>
      <c r="L66" s="26"/>
      <c r="M66" s="27"/>
      <c r="N66" s="1"/>
    </row>
    <row r="67" spans="2:14" ht="15.75" customHeight="1">
      <c r="B67" s="32">
        <v>61</v>
      </c>
      <c r="C67" s="36" t="s">
        <v>139</v>
      </c>
      <c r="D67" s="23" t="s">
        <v>98</v>
      </c>
      <c r="E67" s="24" t="s">
        <v>70</v>
      </c>
      <c r="F67" s="23" t="s">
        <v>13</v>
      </c>
      <c r="G67" s="30" t="s">
        <v>62</v>
      </c>
      <c r="H67" s="31"/>
      <c r="I67" s="25">
        <v>1</v>
      </c>
      <c r="J67" s="23" t="s">
        <v>13</v>
      </c>
      <c r="K67" s="25">
        <v>2</v>
      </c>
      <c r="L67" s="26"/>
      <c r="M67" s="27"/>
      <c r="N67" s="1"/>
    </row>
    <row r="68" spans="2:14" ht="15.75" customHeight="1">
      <c r="B68" s="32">
        <v>62</v>
      </c>
      <c r="C68" s="36" t="s">
        <v>139</v>
      </c>
      <c r="D68" s="23" t="s">
        <v>98</v>
      </c>
      <c r="E68" s="24" t="s">
        <v>77</v>
      </c>
      <c r="F68" s="23" t="s">
        <v>13</v>
      </c>
      <c r="G68" s="30" t="s">
        <v>85</v>
      </c>
      <c r="H68" s="31"/>
      <c r="I68" s="25">
        <v>1</v>
      </c>
      <c r="J68" s="23" t="s">
        <v>13</v>
      </c>
      <c r="K68" s="25">
        <v>0</v>
      </c>
      <c r="L68" s="26"/>
      <c r="M68" s="27"/>
      <c r="N68" s="1"/>
    </row>
    <row r="69" spans="2:14" ht="15.75" customHeight="1">
      <c r="B69" s="32">
        <v>63</v>
      </c>
      <c r="C69" s="36" t="s">
        <v>140</v>
      </c>
      <c r="D69" s="23" t="s">
        <v>95</v>
      </c>
      <c r="E69" s="24" t="s">
        <v>68</v>
      </c>
      <c r="F69" s="23" t="s">
        <v>13</v>
      </c>
      <c r="G69" s="30" t="s">
        <v>83</v>
      </c>
      <c r="H69" s="31"/>
      <c r="I69" s="25">
        <v>1</v>
      </c>
      <c r="J69" s="23" t="s">
        <v>13</v>
      </c>
      <c r="K69" s="25">
        <v>0</v>
      </c>
      <c r="L69" s="26"/>
      <c r="M69" s="27"/>
      <c r="N69" s="1"/>
    </row>
    <row r="70" spans="2:14" ht="15.75" customHeight="1">
      <c r="B70" s="32">
        <v>64</v>
      </c>
      <c r="C70" s="36" t="s">
        <v>140</v>
      </c>
      <c r="D70" s="23" t="s">
        <v>95</v>
      </c>
      <c r="E70" s="24" t="s">
        <v>75</v>
      </c>
      <c r="F70" s="23" t="s">
        <v>13</v>
      </c>
      <c r="G70" s="30" t="s">
        <v>60</v>
      </c>
      <c r="H70" s="31"/>
      <c r="I70" s="25">
        <v>0</v>
      </c>
      <c r="J70" s="23" t="s">
        <v>13</v>
      </c>
      <c r="K70" s="25">
        <v>2</v>
      </c>
      <c r="L70" s="26"/>
      <c r="M70" s="27"/>
      <c r="N70" s="1"/>
    </row>
    <row r="71" spans="2:14" ht="15.75" customHeight="1">
      <c r="B71" s="32">
        <v>65</v>
      </c>
      <c r="C71" s="36" t="s">
        <v>141</v>
      </c>
      <c r="D71" s="23" t="s">
        <v>91</v>
      </c>
      <c r="E71" s="24" t="s">
        <v>76</v>
      </c>
      <c r="F71" s="23" t="s">
        <v>13</v>
      </c>
      <c r="G71" s="30" t="s">
        <v>84</v>
      </c>
      <c r="H71" s="31"/>
      <c r="I71" s="25">
        <v>1</v>
      </c>
      <c r="J71" s="23" t="s">
        <v>13</v>
      </c>
      <c r="K71" s="25">
        <v>0</v>
      </c>
      <c r="L71" s="26"/>
      <c r="M71" s="27"/>
      <c r="N71" s="1"/>
    </row>
    <row r="72" spans="2:14" ht="15.75" customHeight="1">
      <c r="B72" s="32">
        <v>66</v>
      </c>
      <c r="C72" s="36" t="s">
        <v>141</v>
      </c>
      <c r="D72" s="23" t="s">
        <v>91</v>
      </c>
      <c r="E72" s="24" t="s">
        <v>69</v>
      </c>
      <c r="F72" s="23" t="s">
        <v>13</v>
      </c>
      <c r="G72" s="30" t="s">
        <v>61</v>
      </c>
      <c r="H72" s="31"/>
      <c r="I72" s="25">
        <v>0</v>
      </c>
      <c r="J72" s="23" t="s">
        <v>13</v>
      </c>
      <c r="K72" s="25">
        <v>2</v>
      </c>
      <c r="L72" s="26"/>
      <c r="M72" s="27"/>
      <c r="N72" s="1"/>
    </row>
    <row r="73" spans="2:14" ht="15.75" customHeight="1">
      <c r="B73" s="32">
        <v>67</v>
      </c>
      <c r="C73" s="36" t="s">
        <v>142</v>
      </c>
      <c r="D73" s="23" t="s">
        <v>104</v>
      </c>
      <c r="E73" s="24" t="s">
        <v>88</v>
      </c>
      <c r="F73" s="23" t="s">
        <v>13</v>
      </c>
      <c r="G73" s="30" t="s">
        <v>65</v>
      </c>
      <c r="H73" s="31"/>
      <c r="I73" s="25">
        <v>0</v>
      </c>
      <c r="J73" s="23" t="s">
        <v>13</v>
      </c>
      <c r="K73" s="25">
        <v>2</v>
      </c>
      <c r="L73" s="26"/>
      <c r="M73" s="27"/>
      <c r="N73" s="1"/>
    </row>
    <row r="74" spans="2:14" ht="15.75" customHeight="1">
      <c r="B74" s="32">
        <v>68</v>
      </c>
      <c r="C74" s="36" t="s">
        <v>142</v>
      </c>
      <c r="D74" s="23" t="s">
        <v>104</v>
      </c>
      <c r="E74" s="24" t="s">
        <v>73</v>
      </c>
      <c r="F74" s="23" t="s">
        <v>13</v>
      </c>
      <c r="G74" s="30" t="s">
        <v>80</v>
      </c>
      <c r="H74" s="31"/>
      <c r="I74" s="25">
        <v>1</v>
      </c>
      <c r="J74" s="23" t="s">
        <v>13</v>
      </c>
      <c r="K74" s="25">
        <v>0</v>
      </c>
      <c r="L74" s="26"/>
      <c r="M74" s="27"/>
      <c r="N74" s="1"/>
    </row>
    <row r="75" spans="2:14" ht="15.75" customHeight="1">
      <c r="B75" s="32">
        <v>69</v>
      </c>
      <c r="C75" s="36" t="s">
        <v>143</v>
      </c>
      <c r="D75" s="23" t="s">
        <v>101</v>
      </c>
      <c r="E75" s="24" t="s">
        <v>78</v>
      </c>
      <c r="F75" s="23" t="s">
        <v>13</v>
      </c>
      <c r="G75" s="30" t="s">
        <v>71</v>
      </c>
      <c r="H75" s="31"/>
      <c r="I75" s="25">
        <v>0</v>
      </c>
      <c r="J75" s="23" t="s">
        <v>13</v>
      </c>
      <c r="K75" s="25">
        <v>1</v>
      </c>
      <c r="L75" s="26"/>
      <c r="M75" s="27"/>
      <c r="N75" s="1"/>
    </row>
    <row r="76" spans="2:14" ht="15.75" customHeight="1">
      <c r="B76" s="32">
        <v>70</v>
      </c>
      <c r="C76" s="36" t="s">
        <v>143</v>
      </c>
      <c r="D76" s="23" t="s">
        <v>101</v>
      </c>
      <c r="E76" s="24" t="s">
        <v>86</v>
      </c>
      <c r="F76" s="23" t="s">
        <v>13</v>
      </c>
      <c r="G76" s="30" t="s">
        <v>63</v>
      </c>
      <c r="H76" s="31"/>
      <c r="I76" s="25">
        <v>0</v>
      </c>
      <c r="J76" s="23" t="s">
        <v>13</v>
      </c>
      <c r="K76" s="25">
        <v>2</v>
      </c>
      <c r="L76" s="26"/>
      <c r="M76" s="27"/>
      <c r="N76" s="1"/>
    </row>
    <row r="77" spans="2:14" ht="15.75" customHeight="1">
      <c r="B77" s="32">
        <v>71</v>
      </c>
      <c r="C77" s="36" t="s">
        <v>144</v>
      </c>
      <c r="D77" s="23" t="s">
        <v>107</v>
      </c>
      <c r="E77" s="24" t="s">
        <v>72</v>
      </c>
      <c r="F77" s="23" t="s">
        <v>13</v>
      </c>
      <c r="G77" s="30" t="s">
        <v>64</v>
      </c>
      <c r="H77" s="31"/>
      <c r="I77" s="25">
        <v>0</v>
      </c>
      <c r="J77" s="23" t="s">
        <v>13</v>
      </c>
      <c r="K77" s="25">
        <v>1</v>
      </c>
      <c r="L77" s="26"/>
      <c r="M77" s="27"/>
      <c r="N77" s="1"/>
    </row>
    <row r="78" spans="2:14" ht="15.75" customHeight="1">
      <c r="B78" s="32">
        <v>72</v>
      </c>
      <c r="C78" s="36" t="s">
        <v>144</v>
      </c>
      <c r="D78" s="23" t="s">
        <v>107</v>
      </c>
      <c r="E78" s="24" t="s">
        <v>87</v>
      </c>
      <c r="F78" s="23" t="s">
        <v>13</v>
      </c>
      <c r="G78" s="30" t="s">
        <v>79</v>
      </c>
      <c r="H78" s="31"/>
      <c r="I78" s="25">
        <v>1</v>
      </c>
      <c r="J78" s="23" t="s">
        <v>13</v>
      </c>
      <c r="K78" s="25">
        <v>1</v>
      </c>
      <c r="L78" s="26"/>
      <c r="M78" s="27"/>
      <c r="N78" s="1"/>
    </row>
    <row r="79" spans="2:14" ht="15.75" customHeight="1">
      <c r="B79" s="1"/>
      <c r="C79" s="1"/>
      <c r="D79" s="2" t="s">
        <v>145</v>
      </c>
      <c r="E79" s="10" t="s">
        <v>28</v>
      </c>
      <c r="F79" s="5" t="s">
        <v>13</v>
      </c>
      <c r="G79" s="10" t="s">
        <v>65</v>
      </c>
      <c r="H79" s="1"/>
      <c r="I79" s="1"/>
      <c r="J79" s="1"/>
      <c r="K79" s="1"/>
      <c r="L79" s="14"/>
      <c r="M79" s="14"/>
      <c r="N79" s="15"/>
    </row>
    <row r="80" spans="2:14" ht="15.75" customHeight="1">
      <c r="B80" s="1"/>
      <c r="C80" s="37"/>
      <c r="D80" s="2" t="s">
        <v>146</v>
      </c>
      <c r="E80" s="11" t="s">
        <v>61</v>
      </c>
      <c r="F80" s="5" t="s">
        <v>13</v>
      </c>
      <c r="G80" s="11" t="s">
        <v>64</v>
      </c>
      <c r="H80" s="1"/>
      <c r="I80" s="1"/>
      <c r="J80" s="1"/>
      <c r="K80" s="1"/>
      <c r="L80" s="9"/>
      <c r="M80" s="9"/>
      <c r="N80" s="15"/>
    </row>
    <row r="81" spans="1:14" ht="15.75" customHeight="1">
      <c r="A81" s="1"/>
      <c r="B81" s="1"/>
      <c r="C81" s="37"/>
      <c r="D81" s="1"/>
      <c r="E81" s="1"/>
      <c r="F81" s="4"/>
      <c r="G81" s="1"/>
      <c r="H81" s="1"/>
      <c r="I81" s="1"/>
      <c r="J81" s="1"/>
      <c r="K81" s="4"/>
      <c r="L81" s="4"/>
      <c r="M81" s="4"/>
      <c r="N81" s="15"/>
    </row>
    <row r="82" spans="1:14" ht="15.75" customHeight="1">
      <c r="A82" s="1"/>
      <c r="B82" s="1"/>
      <c r="C82" s="37"/>
      <c r="D82" s="1"/>
      <c r="E82" s="1"/>
      <c r="F82" s="4"/>
      <c r="G82" s="1"/>
      <c r="H82" s="1"/>
      <c r="I82" s="1"/>
      <c r="J82" s="1"/>
      <c r="K82" s="4"/>
      <c r="L82" s="12" t="s">
        <v>147</v>
      </c>
      <c r="M82" s="8"/>
      <c r="N82" s="15"/>
    </row>
    <row r="83" spans="1:14" ht="15.75" customHeight="1">
      <c r="A83" s="1"/>
      <c r="B83" s="1"/>
      <c r="C83" s="37"/>
      <c r="D83" s="1"/>
      <c r="E83" s="1"/>
      <c r="F83" s="4"/>
      <c r="G83" s="1"/>
      <c r="H83" s="1"/>
      <c r="I83" s="1"/>
      <c r="J83" s="1"/>
      <c r="K83" s="4"/>
      <c r="L83" s="4"/>
      <c r="M83" s="4"/>
      <c r="N83" s="15"/>
    </row>
    <row r="84" spans="1:14" ht="15.75" customHeight="1">
      <c r="A84" s="2"/>
      <c r="B84" s="1"/>
      <c r="C84" s="37"/>
      <c r="D84" s="1"/>
      <c r="E84" s="1"/>
      <c r="F84" s="4"/>
      <c r="G84" s="5"/>
      <c r="H84" s="1"/>
      <c r="I84" s="1"/>
      <c r="J84" s="1"/>
      <c r="K84" s="4"/>
      <c r="L84" s="1"/>
      <c r="M84" s="1"/>
      <c r="N84" s="1"/>
    </row>
    <row r="85" spans="1:14" ht="15.75" customHeight="1">
      <c r="A85" s="2"/>
      <c r="B85" s="1"/>
      <c r="C85" s="37"/>
      <c r="D85" s="1"/>
      <c r="E85" s="1"/>
      <c r="F85" s="4"/>
      <c r="G85" s="5"/>
      <c r="H85" s="1"/>
      <c r="I85" s="1"/>
      <c r="J85" s="1"/>
      <c r="K85" s="4"/>
      <c r="L85" s="1"/>
      <c r="M85" s="1"/>
      <c r="N85" s="1"/>
    </row>
    <row r="86" spans="1:14" ht="15.75" customHeight="1">
      <c r="A86" s="2"/>
      <c r="B86" s="3"/>
      <c r="C86" s="38"/>
      <c r="D86" s="1"/>
      <c r="E86" s="1"/>
      <c r="F86" s="4"/>
      <c r="G86" s="5"/>
      <c r="H86" s="1"/>
      <c r="I86" s="1"/>
      <c r="J86" s="1"/>
      <c r="K86" s="4"/>
      <c r="L86" s="1"/>
      <c r="M86" s="1"/>
      <c r="N86" s="1"/>
    </row>
    <row r="87" spans="1:14" ht="15.75" customHeight="1">
      <c r="A87" s="2"/>
      <c r="B87" s="3"/>
      <c r="C87" s="38"/>
      <c r="D87" s="1"/>
      <c r="E87" s="1"/>
      <c r="F87" s="4"/>
      <c r="G87" s="5"/>
      <c r="H87" s="1"/>
      <c r="I87" s="1"/>
      <c r="J87" s="1"/>
      <c r="K87" s="4"/>
      <c r="L87" s="1"/>
      <c r="M87" s="1"/>
      <c r="N87" s="1"/>
    </row>
  </sheetData>
  <mergeCells count="1">
    <mergeCell ref="H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87"/>
  <sheetViews>
    <sheetView workbookViewId="0"/>
  </sheetViews>
  <sheetFormatPr defaultRowHeight="15"/>
  <sheetData>
    <row r="2" spans="2:21" ht="15.75" customHeight="1">
      <c r="B2" s="1"/>
      <c r="C2" s="1"/>
      <c r="D2" s="1"/>
      <c r="E2" s="1"/>
      <c r="F2" s="1"/>
      <c r="G2" s="2" t="s">
        <v>0</v>
      </c>
      <c r="H2" s="292" t="s">
        <v>148</v>
      </c>
      <c r="I2" s="293"/>
      <c r="J2" s="293"/>
      <c r="K2" s="293"/>
      <c r="L2" s="293"/>
      <c r="M2" s="293"/>
      <c r="N2" s="4"/>
      <c r="O2" s="1"/>
      <c r="P2" s="1"/>
      <c r="Q2" s="1"/>
      <c r="R2" s="1"/>
      <c r="S2" s="1"/>
      <c r="T2" s="1"/>
      <c r="U2" s="1"/>
    </row>
    <row r="4" spans="2:21" ht="18" customHeight="1">
      <c r="B4" s="33" t="s">
        <v>2</v>
      </c>
      <c r="C4" s="1"/>
      <c r="D4" s="1"/>
      <c r="E4" s="1"/>
      <c r="F4" s="1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ht="15.75" customHeight="1">
      <c r="B5" s="1"/>
      <c r="C5" s="34"/>
      <c r="D5" s="1"/>
      <c r="E5" s="1"/>
      <c r="F5" s="1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 customHeight="1">
      <c r="B6" s="1"/>
      <c r="C6" s="35" t="s">
        <v>3</v>
      </c>
      <c r="D6" s="6" t="s">
        <v>4</v>
      </c>
      <c r="E6" s="7"/>
      <c r="F6" s="6" t="s">
        <v>5</v>
      </c>
      <c r="G6" s="7"/>
      <c r="H6" s="7"/>
      <c r="I6" s="7"/>
      <c r="J6" s="6" t="s">
        <v>6</v>
      </c>
      <c r="K6" s="6"/>
      <c r="L6" s="6" t="s">
        <v>7</v>
      </c>
      <c r="M6" s="6" t="s">
        <v>8</v>
      </c>
      <c r="N6" s="6"/>
      <c r="O6" s="20" t="s">
        <v>9</v>
      </c>
      <c r="P6" s="1"/>
      <c r="Q6" s="1"/>
      <c r="R6" s="1"/>
      <c r="S6" s="1"/>
      <c r="T6" s="1"/>
      <c r="U6" s="1"/>
    </row>
    <row r="7" spans="2:21" ht="16.5" customHeight="1">
      <c r="B7" s="32">
        <v>1</v>
      </c>
      <c r="C7" s="36" t="s">
        <v>10</v>
      </c>
      <c r="D7" s="23" t="s">
        <v>11</v>
      </c>
      <c r="E7" s="24" t="s">
        <v>12</v>
      </c>
      <c r="F7" s="23" t="s">
        <v>13</v>
      </c>
      <c r="G7" s="30" t="s">
        <v>14</v>
      </c>
      <c r="H7" s="31"/>
      <c r="I7" s="25">
        <v>2</v>
      </c>
      <c r="J7" s="23" t="s">
        <v>13</v>
      </c>
      <c r="K7" s="25">
        <v>0</v>
      </c>
      <c r="L7" s="26"/>
      <c r="M7" s="27"/>
      <c r="N7" s="15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 customHeight="1">
      <c r="B8" s="32">
        <v>2</v>
      </c>
      <c r="C8" s="36" t="s">
        <v>22</v>
      </c>
      <c r="D8" s="23" t="s">
        <v>11</v>
      </c>
      <c r="E8" s="24" t="s">
        <v>23</v>
      </c>
      <c r="F8" s="23" t="s">
        <v>13</v>
      </c>
      <c r="G8" s="30" t="s">
        <v>24</v>
      </c>
      <c r="H8" s="31"/>
      <c r="I8" s="25">
        <v>2</v>
      </c>
      <c r="J8" s="23" t="s">
        <v>13</v>
      </c>
      <c r="K8" s="25">
        <v>1</v>
      </c>
      <c r="L8" s="26"/>
      <c r="M8" s="27"/>
      <c r="N8" s="15"/>
      <c r="O8" s="16">
        <v>1</v>
      </c>
      <c r="P8" s="18" t="s">
        <v>12</v>
      </c>
      <c r="Q8" s="18" t="s">
        <v>25</v>
      </c>
      <c r="R8" s="18" t="s">
        <v>26</v>
      </c>
      <c r="S8" s="18" t="s">
        <v>40</v>
      </c>
      <c r="T8" s="18" t="s">
        <v>28</v>
      </c>
      <c r="U8" s="18" t="s">
        <v>29</v>
      </c>
    </row>
    <row r="9" spans="2:21" ht="15.75" customHeight="1">
      <c r="B9" s="32">
        <v>3</v>
      </c>
      <c r="C9" s="36" t="s">
        <v>30</v>
      </c>
      <c r="D9" s="23" t="s">
        <v>31</v>
      </c>
      <c r="E9" s="24" t="s">
        <v>32</v>
      </c>
      <c r="F9" s="23" t="s">
        <v>13</v>
      </c>
      <c r="G9" s="30" t="s">
        <v>33</v>
      </c>
      <c r="H9" s="31"/>
      <c r="I9" s="25">
        <v>1</v>
      </c>
      <c r="J9" s="23" t="s">
        <v>13</v>
      </c>
      <c r="K9" s="25">
        <v>3</v>
      </c>
      <c r="L9" s="26"/>
      <c r="M9" s="27"/>
      <c r="N9" s="15"/>
      <c r="O9" s="17">
        <v>2</v>
      </c>
      <c r="P9" s="19" t="s">
        <v>24</v>
      </c>
      <c r="Q9" s="19" t="s">
        <v>32</v>
      </c>
      <c r="R9" s="19" t="s">
        <v>41</v>
      </c>
      <c r="S9" s="19" t="s">
        <v>35</v>
      </c>
      <c r="T9" s="19" t="s">
        <v>36</v>
      </c>
      <c r="U9" s="19" t="s">
        <v>37</v>
      </c>
    </row>
    <row r="10" spans="2:21" ht="15.75" customHeight="1">
      <c r="B10" s="32">
        <v>4</v>
      </c>
      <c r="C10" s="36" t="s">
        <v>38</v>
      </c>
      <c r="D10" s="23" t="s">
        <v>39</v>
      </c>
      <c r="E10" s="24" t="s">
        <v>35</v>
      </c>
      <c r="F10" s="23" t="s">
        <v>13</v>
      </c>
      <c r="G10" s="30" t="s">
        <v>40</v>
      </c>
      <c r="H10" s="31"/>
      <c r="I10" s="25">
        <v>1</v>
      </c>
      <c r="J10" s="23" t="s">
        <v>13</v>
      </c>
      <c r="K10" s="25">
        <v>3</v>
      </c>
      <c r="L10" s="26"/>
      <c r="M10" s="27"/>
      <c r="N10" s="15"/>
      <c r="O10" s="17">
        <v>3</v>
      </c>
      <c r="P10" s="19" t="s">
        <v>23</v>
      </c>
      <c r="Q10" s="19" t="s">
        <v>33</v>
      </c>
      <c r="R10" s="19" t="s">
        <v>34</v>
      </c>
      <c r="S10" s="19" t="s">
        <v>27</v>
      </c>
      <c r="T10" s="19" t="s">
        <v>42</v>
      </c>
      <c r="U10" s="19" t="s">
        <v>43</v>
      </c>
    </row>
    <row r="11" spans="2:21" ht="15.75" customHeight="1">
      <c r="B11" s="32">
        <v>5</v>
      </c>
      <c r="C11" s="36" t="s">
        <v>44</v>
      </c>
      <c r="D11" s="23" t="s">
        <v>45</v>
      </c>
      <c r="E11" s="24" t="s">
        <v>46</v>
      </c>
      <c r="F11" s="23" t="s">
        <v>13</v>
      </c>
      <c r="G11" s="30" t="s">
        <v>34</v>
      </c>
      <c r="H11" s="31"/>
      <c r="I11" s="25">
        <v>0</v>
      </c>
      <c r="J11" s="23" t="s">
        <v>13</v>
      </c>
      <c r="K11" s="25">
        <v>2</v>
      </c>
      <c r="L11" s="26"/>
      <c r="M11" s="27"/>
      <c r="N11" s="15"/>
      <c r="O11" s="17">
        <v>4</v>
      </c>
      <c r="P11" s="19" t="s">
        <v>14</v>
      </c>
      <c r="Q11" s="19" t="s">
        <v>47</v>
      </c>
      <c r="R11" s="19" t="s">
        <v>46</v>
      </c>
      <c r="S11" s="19" t="s">
        <v>48</v>
      </c>
      <c r="T11" s="19" t="s">
        <v>49</v>
      </c>
      <c r="U11" s="19" t="s">
        <v>50</v>
      </c>
    </row>
    <row r="12" spans="2:21" ht="16.5" customHeight="1">
      <c r="B12" s="32">
        <v>6</v>
      </c>
      <c r="C12" s="36" t="s">
        <v>51</v>
      </c>
      <c r="D12" s="23" t="s">
        <v>39</v>
      </c>
      <c r="E12" s="24" t="s">
        <v>48</v>
      </c>
      <c r="F12" s="23" t="s">
        <v>13</v>
      </c>
      <c r="G12" s="30" t="s">
        <v>27</v>
      </c>
      <c r="H12" s="31"/>
      <c r="I12" s="25">
        <v>1</v>
      </c>
      <c r="J12" s="23" t="s">
        <v>13</v>
      </c>
      <c r="K12" s="25">
        <v>1</v>
      </c>
      <c r="L12" s="26"/>
      <c r="M12" s="27"/>
      <c r="N12" s="15"/>
      <c r="O12" s="1"/>
      <c r="P12" s="1"/>
      <c r="Q12" s="1"/>
      <c r="R12" s="1"/>
      <c r="S12" s="1"/>
      <c r="T12" s="1"/>
      <c r="U12" s="1"/>
    </row>
    <row r="13" spans="2:21" ht="16.5" customHeight="1">
      <c r="B13" s="32">
        <v>7</v>
      </c>
      <c r="C13" s="36" t="s">
        <v>52</v>
      </c>
      <c r="D13" s="23" t="s">
        <v>45</v>
      </c>
      <c r="E13" s="24" t="s">
        <v>26</v>
      </c>
      <c r="F13" s="23" t="s">
        <v>13</v>
      </c>
      <c r="G13" s="30" t="s">
        <v>41</v>
      </c>
      <c r="H13" s="31"/>
      <c r="I13" s="25">
        <v>3</v>
      </c>
      <c r="J13" s="23" t="s">
        <v>13</v>
      </c>
      <c r="K13" s="25">
        <v>0</v>
      </c>
      <c r="L13" s="26"/>
      <c r="M13" s="27"/>
      <c r="N13" s="15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 customHeight="1">
      <c r="B14" s="32">
        <v>8</v>
      </c>
      <c r="C14" s="36" t="s">
        <v>59</v>
      </c>
      <c r="D14" s="23" t="s">
        <v>31</v>
      </c>
      <c r="E14" s="24" t="s">
        <v>47</v>
      </c>
      <c r="F14" s="23" t="s">
        <v>13</v>
      </c>
      <c r="G14" s="30" t="s">
        <v>25</v>
      </c>
      <c r="H14" s="31"/>
      <c r="I14" s="25">
        <v>0</v>
      </c>
      <c r="J14" s="23" t="s">
        <v>13</v>
      </c>
      <c r="K14" s="25">
        <v>1</v>
      </c>
      <c r="L14" s="26"/>
      <c r="M14" s="27"/>
      <c r="N14" s="15"/>
      <c r="O14" s="16">
        <v>1</v>
      </c>
      <c r="P14" s="18" t="s">
        <v>60</v>
      </c>
      <c r="Q14" s="18" t="s">
        <v>69</v>
      </c>
      <c r="R14" s="18" t="s">
        <v>62</v>
      </c>
      <c r="S14" s="18" t="s">
        <v>63</v>
      </c>
      <c r="T14" s="18" t="s">
        <v>64</v>
      </c>
      <c r="U14" s="18" t="s">
        <v>73</v>
      </c>
    </row>
    <row r="15" spans="2:21" ht="15.75" customHeight="1">
      <c r="B15" s="32">
        <v>9</v>
      </c>
      <c r="C15" s="36" t="s">
        <v>66</v>
      </c>
      <c r="D15" s="23" t="s">
        <v>67</v>
      </c>
      <c r="E15" s="24" t="s">
        <v>42</v>
      </c>
      <c r="F15" s="23" t="s">
        <v>13</v>
      </c>
      <c r="G15" s="30" t="s">
        <v>36</v>
      </c>
      <c r="H15" s="31"/>
      <c r="I15" s="25">
        <v>1</v>
      </c>
      <c r="J15" s="23" t="s">
        <v>13</v>
      </c>
      <c r="K15" s="25">
        <v>1</v>
      </c>
      <c r="L15" s="26"/>
      <c r="M15" s="27"/>
      <c r="N15" s="15"/>
      <c r="O15" s="17">
        <v>2</v>
      </c>
      <c r="P15" s="19" t="s">
        <v>68</v>
      </c>
      <c r="Q15" s="19" t="s">
        <v>61</v>
      </c>
      <c r="R15" s="19" t="s">
        <v>70</v>
      </c>
      <c r="S15" s="19" t="s">
        <v>71</v>
      </c>
      <c r="T15" s="19" t="s">
        <v>72</v>
      </c>
      <c r="U15" s="19" t="s">
        <v>65</v>
      </c>
    </row>
    <row r="16" spans="2:21" ht="15.75" customHeight="1">
      <c r="B16" s="32">
        <v>10</v>
      </c>
      <c r="C16" s="36" t="s">
        <v>74</v>
      </c>
      <c r="D16" s="23" t="s">
        <v>67</v>
      </c>
      <c r="E16" s="24" t="s">
        <v>28</v>
      </c>
      <c r="F16" s="23" t="s">
        <v>13</v>
      </c>
      <c r="G16" s="30" t="s">
        <v>49</v>
      </c>
      <c r="H16" s="31"/>
      <c r="I16" s="25">
        <v>3</v>
      </c>
      <c r="J16" s="23" t="s">
        <v>13</v>
      </c>
      <c r="K16" s="25">
        <v>0</v>
      </c>
      <c r="L16" s="26"/>
      <c r="M16" s="27"/>
      <c r="N16" s="15"/>
      <c r="O16" s="17">
        <v>3</v>
      </c>
      <c r="P16" s="19" t="s">
        <v>75</v>
      </c>
      <c r="Q16" s="19" t="s">
        <v>84</v>
      </c>
      <c r="R16" s="19" t="s">
        <v>77</v>
      </c>
      <c r="S16" s="19" t="s">
        <v>78</v>
      </c>
      <c r="T16" s="19" t="s">
        <v>79</v>
      </c>
      <c r="U16" s="19" t="s">
        <v>80</v>
      </c>
    </row>
    <row r="17" spans="2:21" ht="15.75" customHeight="1">
      <c r="B17" s="32">
        <v>11</v>
      </c>
      <c r="C17" s="36" t="s">
        <v>81</v>
      </c>
      <c r="D17" s="23" t="s">
        <v>82</v>
      </c>
      <c r="E17" s="24" t="s">
        <v>29</v>
      </c>
      <c r="F17" s="23" t="s">
        <v>13</v>
      </c>
      <c r="G17" s="30" t="s">
        <v>43</v>
      </c>
      <c r="H17" s="31"/>
      <c r="I17" s="25">
        <v>2</v>
      </c>
      <c r="J17" s="23" t="s">
        <v>13</v>
      </c>
      <c r="K17" s="25">
        <v>0</v>
      </c>
      <c r="L17" s="26"/>
      <c r="M17" s="27"/>
      <c r="N17" s="15"/>
      <c r="O17" s="17">
        <v>4</v>
      </c>
      <c r="P17" s="19" t="s">
        <v>83</v>
      </c>
      <c r="Q17" s="19" t="s">
        <v>76</v>
      </c>
      <c r="R17" s="19" t="s">
        <v>85</v>
      </c>
      <c r="S17" s="19" t="s">
        <v>86</v>
      </c>
      <c r="T17" s="19" t="s">
        <v>87</v>
      </c>
      <c r="U17" s="19" t="s">
        <v>88</v>
      </c>
    </row>
    <row r="18" spans="2:21" ht="15.75" customHeight="1">
      <c r="B18" s="32">
        <v>12</v>
      </c>
      <c r="C18" s="36" t="s">
        <v>89</v>
      </c>
      <c r="D18" s="23" t="s">
        <v>82</v>
      </c>
      <c r="E18" s="24" t="s">
        <v>37</v>
      </c>
      <c r="F18" s="23" t="s">
        <v>13</v>
      </c>
      <c r="G18" s="30" t="s">
        <v>50</v>
      </c>
      <c r="H18" s="31"/>
      <c r="I18" s="25">
        <v>1</v>
      </c>
      <c r="J18" s="23" t="s">
        <v>13</v>
      </c>
      <c r="K18" s="25">
        <v>0</v>
      </c>
      <c r="L18" s="26"/>
      <c r="M18" s="27"/>
      <c r="N18" s="15"/>
      <c r="O18" s="1"/>
      <c r="P18" s="21"/>
      <c r="Q18" s="21"/>
      <c r="R18" s="21"/>
      <c r="S18" s="21"/>
      <c r="T18" s="21"/>
      <c r="U18" s="21"/>
    </row>
    <row r="19" spans="2:21" ht="15.75" customHeight="1">
      <c r="B19" s="32">
        <v>13</v>
      </c>
      <c r="C19" s="36" t="s">
        <v>90</v>
      </c>
      <c r="D19" s="23" t="s">
        <v>91</v>
      </c>
      <c r="E19" s="24" t="s">
        <v>84</v>
      </c>
      <c r="F19" s="23" t="s">
        <v>13</v>
      </c>
      <c r="G19" s="30" t="s">
        <v>69</v>
      </c>
      <c r="H19" s="31"/>
      <c r="I19" s="25">
        <v>0</v>
      </c>
      <c r="J19" s="23" t="s">
        <v>13</v>
      </c>
      <c r="K19" s="25">
        <v>2</v>
      </c>
      <c r="L19" s="26"/>
      <c r="M19" s="27"/>
      <c r="N19" s="15"/>
      <c r="O19" s="1"/>
      <c r="P19" s="1"/>
      <c r="Q19" s="1"/>
      <c r="R19" s="1"/>
      <c r="S19" s="1"/>
      <c r="T19" s="1"/>
      <c r="U19" s="1"/>
    </row>
    <row r="20" spans="2:21" ht="16.5" customHeight="1">
      <c r="B20" s="32">
        <v>14</v>
      </c>
      <c r="C20" s="36" t="s">
        <v>92</v>
      </c>
      <c r="D20" s="23" t="s">
        <v>91</v>
      </c>
      <c r="E20" s="24" t="s">
        <v>61</v>
      </c>
      <c r="F20" s="23" t="s">
        <v>13</v>
      </c>
      <c r="G20" s="30" t="s">
        <v>76</v>
      </c>
      <c r="H20" s="31"/>
      <c r="I20" s="25">
        <v>4</v>
      </c>
      <c r="J20" s="23" t="s">
        <v>13</v>
      </c>
      <c r="K20" s="25">
        <v>0</v>
      </c>
      <c r="L20" s="26"/>
      <c r="M20" s="27"/>
      <c r="N20" s="15"/>
      <c r="O20" s="13" t="s">
        <v>93</v>
      </c>
      <c r="P20" s="1"/>
      <c r="Q20" s="1"/>
      <c r="R20" s="1"/>
      <c r="S20" s="1"/>
      <c r="T20" s="1"/>
      <c r="U20" s="1"/>
    </row>
    <row r="21" spans="2:21" ht="16.5" customHeight="1">
      <c r="B21" s="32">
        <v>15</v>
      </c>
      <c r="C21" s="36" t="s">
        <v>94</v>
      </c>
      <c r="D21" s="23" t="s">
        <v>95</v>
      </c>
      <c r="E21" s="24" t="s">
        <v>83</v>
      </c>
      <c r="F21" s="23" t="s">
        <v>13</v>
      </c>
      <c r="G21" s="30" t="s">
        <v>75</v>
      </c>
      <c r="H21" s="31"/>
      <c r="I21" s="25">
        <v>1</v>
      </c>
      <c r="J21" s="23" t="s">
        <v>13</v>
      </c>
      <c r="K21" s="25">
        <v>1</v>
      </c>
      <c r="L21" s="26"/>
      <c r="M21" s="27"/>
      <c r="N21" s="15"/>
      <c r="O21" s="1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 customHeight="1">
      <c r="B22" s="32">
        <v>16</v>
      </c>
      <c r="C22" s="36" t="s">
        <v>96</v>
      </c>
      <c r="D22" s="23" t="s">
        <v>95</v>
      </c>
      <c r="E22" s="24" t="s">
        <v>60</v>
      </c>
      <c r="F22" s="23" t="s">
        <v>13</v>
      </c>
      <c r="G22" s="30" t="s">
        <v>68</v>
      </c>
      <c r="H22" s="31"/>
      <c r="I22" s="25">
        <v>2</v>
      </c>
      <c r="J22" s="23" t="s">
        <v>13</v>
      </c>
      <c r="K22" s="25">
        <v>1</v>
      </c>
      <c r="L22" s="26"/>
      <c r="M22" s="27"/>
      <c r="N22" s="15"/>
      <c r="O22" s="1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 customHeight="1">
      <c r="B23" s="32">
        <v>17</v>
      </c>
      <c r="C23" s="36" t="s">
        <v>97</v>
      </c>
      <c r="D23" s="23" t="s">
        <v>98</v>
      </c>
      <c r="E23" s="24" t="s">
        <v>62</v>
      </c>
      <c r="F23" s="23" t="s">
        <v>13</v>
      </c>
      <c r="G23" s="30" t="s">
        <v>77</v>
      </c>
      <c r="H23" s="31"/>
      <c r="I23" s="25">
        <v>2</v>
      </c>
      <c r="J23" s="23" t="s">
        <v>13</v>
      </c>
      <c r="K23" s="25">
        <v>0</v>
      </c>
      <c r="L23" s="26"/>
      <c r="M23" s="27"/>
      <c r="N23" s="15"/>
      <c r="O23" s="1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 customHeight="1">
      <c r="B24" s="32">
        <v>18</v>
      </c>
      <c r="C24" s="36" t="s">
        <v>99</v>
      </c>
      <c r="D24" s="23" t="s">
        <v>98</v>
      </c>
      <c r="E24" s="24" t="s">
        <v>85</v>
      </c>
      <c r="F24" s="23" t="s">
        <v>13</v>
      </c>
      <c r="G24" s="30" t="s">
        <v>70</v>
      </c>
      <c r="H24" s="31"/>
      <c r="I24" s="25">
        <v>0</v>
      </c>
      <c r="J24" s="23" t="s">
        <v>13</v>
      </c>
      <c r="K24" s="25">
        <v>2</v>
      </c>
      <c r="L24" s="26"/>
      <c r="M24" s="27"/>
      <c r="N24" s="15"/>
      <c r="O24" s="1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 customHeight="1">
      <c r="B25" s="32">
        <v>19</v>
      </c>
      <c r="C25" s="36" t="s">
        <v>100</v>
      </c>
      <c r="D25" s="23" t="s">
        <v>101</v>
      </c>
      <c r="E25" s="24" t="s">
        <v>63</v>
      </c>
      <c r="F25" s="23" t="s">
        <v>13</v>
      </c>
      <c r="G25" s="30" t="s">
        <v>78</v>
      </c>
      <c r="H25" s="31"/>
      <c r="I25" s="25">
        <v>3</v>
      </c>
      <c r="J25" s="23" t="s">
        <v>13</v>
      </c>
      <c r="K25" s="25">
        <v>0</v>
      </c>
      <c r="L25" s="26"/>
      <c r="M25" s="27"/>
      <c r="N25" s="15"/>
      <c r="O25" s="1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customHeight="1">
      <c r="B26" s="32">
        <v>20</v>
      </c>
      <c r="C26" s="36" t="s">
        <v>102</v>
      </c>
      <c r="D26" s="23" t="s">
        <v>101</v>
      </c>
      <c r="E26" s="24" t="s">
        <v>71</v>
      </c>
      <c r="F26" s="23" t="s">
        <v>13</v>
      </c>
      <c r="G26" s="30" t="s">
        <v>86</v>
      </c>
      <c r="H26" s="31"/>
      <c r="I26" s="25">
        <v>0</v>
      </c>
      <c r="J26" s="23" t="s">
        <v>13</v>
      </c>
      <c r="K26" s="25">
        <v>0</v>
      </c>
      <c r="L26" s="26"/>
      <c r="M26" s="27"/>
      <c r="N26" s="15"/>
      <c r="O26" s="1"/>
      <c r="P26" s="1"/>
      <c r="Q26" s="1"/>
      <c r="R26" s="1"/>
      <c r="S26" s="1"/>
      <c r="T26" s="1"/>
      <c r="U26" s="1"/>
    </row>
    <row r="27" spans="2:21" ht="16.5" customHeight="1">
      <c r="B27" s="32">
        <v>21</v>
      </c>
      <c r="C27" s="36" t="s">
        <v>103</v>
      </c>
      <c r="D27" s="23" t="s">
        <v>104</v>
      </c>
      <c r="E27" s="24" t="s">
        <v>80</v>
      </c>
      <c r="F27" s="23" t="s">
        <v>13</v>
      </c>
      <c r="G27" s="30" t="s">
        <v>88</v>
      </c>
      <c r="H27" s="31"/>
      <c r="I27" s="25">
        <v>1</v>
      </c>
      <c r="J27" s="23" t="s">
        <v>13</v>
      </c>
      <c r="K27" s="25">
        <v>1</v>
      </c>
      <c r="L27" s="26"/>
      <c r="M27" s="27"/>
      <c r="N27" s="15"/>
      <c r="O27" s="1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 customHeight="1">
      <c r="B28" s="32">
        <v>22</v>
      </c>
      <c r="C28" s="36" t="s">
        <v>105</v>
      </c>
      <c r="D28" s="23" t="s">
        <v>104</v>
      </c>
      <c r="E28" s="24" t="s">
        <v>65</v>
      </c>
      <c r="F28" s="23" t="s">
        <v>13</v>
      </c>
      <c r="G28" s="30" t="s">
        <v>73</v>
      </c>
      <c r="H28" s="31"/>
      <c r="I28" s="25">
        <v>1</v>
      </c>
      <c r="J28" s="23" t="s">
        <v>13</v>
      </c>
      <c r="K28" s="25">
        <v>1</v>
      </c>
      <c r="L28" s="26"/>
      <c r="M28" s="27"/>
      <c r="N28" s="15"/>
      <c r="O28" s="1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 customHeight="1">
      <c r="B29" s="32">
        <v>23</v>
      </c>
      <c r="C29" s="36" t="s">
        <v>106</v>
      </c>
      <c r="D29" s="23" t="s">
        <v>107</v>
      </c>
      <c r="E29" s="24" t="s">
        <v>64</v>
      </c>
      <c r="F29" s="23" t="s">
        <v>13</v>
      </c>
      <c r="G29" s="30" t="s">
        <v>87</v>
      </c>
      <c r="H29" s="31"/>
      <c r="I29" s="25">
        <v>2</v>
      </c>
      <c r="J29" s="23" t="s">
        <v>13</v>
      </c>
      <c r="K29" s="25">
        <v>0</v>
      </c>
      <c r="L29" s="26"/>
      <c r="M29" s="27"/>
      <c r="N29" s="15"/>
      <c r="O29" s="1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 customHeight="1">
      <c r="B30" s="32">
        <v>24</v>
      </c>
      <c r="C30" s="36" t="s">
        <v>108</v>
      </c>
      <c r="D30" s="23" t="s">
        <v>107</v>
      </c>
      <c r="E30" s="24" t="s">
        <v>79</v>
      </c>
      <c r="F30" s="23" t="s">
        <v>13</v>
      </c>
      <c r="G30" s="30" t="s">
        <v>72</v>
      </c>
      <c r="H30" s="31"/>
      <c r="I30" s="25">
        <v>0</v>
      </c>
      <c r="J30" s="23" t="s">
        <v>13</v>
      </c>
      <c r="K30" s="25">
        <v>2</v>
      </c>
      <c r="L30" s="26"/>
      <c r="M30" s="27"/>
      <c r="N30" s="15"/>
      <c r="O30" s="1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 customHeight="1">
      <c r="B31" s="32">
        <v>25</v>
      </c>
      <c r="C31" s="36" t="s">
        <v>109</v>
      </c>
      <c r="D31" s="23" t="s">
        <v>11</v>
      </c>
      <c r="E31" s="24" t="s">
        <v>24</v>
      </c>
      <c r="F31" s="23" t="s">
        <v>13</v>
      </c>
      <c r="G31" s="30" t="s">
        <v>14</v>
      </c>
      <c r="H31" s="31"/>
      <c r="I31" s="25">
        <v>2</v>
      </c>
      <c r="J31" s="23" t="s">
        <v>13</v>
      </c>
      <c r="K31" s="25">
        <v>0</v>
      </c>
      <c r="L31" s="26"/>
      <c r="M31" s="27"/>
      <c r="N31" s="15"/>
      <c r="O31" s="1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 customHeight="1">
      <c r="B32" s="32">
        <v>26</v>
      </c>
      <c r="C32" s="36" t="s">
        <v>110</v>
      </c>
      <c r="D32" s="23" t="s">
        <v>31</v>
      </c>
      <c r="E32" s="24" t="s">
        <v>25</v>
      </c>
      <c r="F32" s="23" t="s">
        <v>13</v>
      </c>
      <c r="G32" s="30" t="s">
        <v>33</v>
      </c>
      <c r="H32" s="31"/>
      <c r="I32" s="25">
        <v>0</v>
      </c>
      <c r="J32" s="23" t="s">
        <v>13</v>
      </c>
      <c r="K32" s="25">
        <v>0</v>
      </c>
      <c r="L32" s="26"/>
      <c r="M32" s="27"/>
      <c r="N32" s="15"/>
      <c r="O32" s="1"/>
      <c r="P32" s="1"/>
      <c r="Q32" s="1"/>
      <c r="R32" s="1"/>
      <c r="S32" s="1"/>
      <c r="T32" s="1"/>
      <c r="U32" s="1"/>
    </row>
    <row r="33" spans="2:14" ht="15.75" customHeight="1">
      <c r="B33" s="32">
        <v>27</v>
      </c>
      <c r="C33" s="36" t="s">
        <v>111</v>
      </c>
      <c r="D33" s="23" t="s">
        <v>31</v>
      </c>
      <c r="E33" s="24" t="s">
        <v>32</v>
      </c>
      <c r="F33" s="23" t="s">
        <v>13</v>
      </c>
      <c r="G33" s="30" t="s">
        <v>47</v>
      </c>
      <c r="H33" s="31"/>
      <c r="I33" s="25">
        <v>2</v>
      </c>
      <c r="J33" s="23" t="s">
        <v>13</v>
      </c>
      <c r="K33" s="25">
        <v>0</v>
      </c>
      <c r="L33" s="26"/>
      <c r="M33" s="27"/>
      <c r="N33" s="15"/>
    </row>
    <row r="34" spans="2:14" ht="15.75" customHeight="1">
      <c r="B34" s="32">
        <v>28</v>
      </c>
      <c r="C34" s="36" t="s">
        <v>112</v>
      </c>
      <c r="D34" s="23" t="s">
        <v>11</v>
      </c>
      <c r="E34" s="24" t="s">
        <v>12</v>
      </c>
      <c r="F34" s="23" t="s">
        <v>13</v>
      </c>
      <c r="G34" s="30" t="s">
        <v>23</v>
      </c>
      <c r="H34" s="31"/>
      <c r="I34" s="25">
        <v>2</v>
      </c>
      <c r="J34" s="23" t="s">
        <v>13</v>
      </c>
      <c r="K34" s="25">
        <v>1</v>
      </c>
      <c r="L34" s="26"/>
      <c r="M34" s="27"/>
      <c r="N34" s="15"/>
    </row>
    <row r="35" spans="2:14" ht="15.75" customHeight="1">
      <c r="B35" s="32">
        <v>29</v>
      </c>
      <c r="C35" s="36" t="s">
        <v>113</v>
      </c>
      <c r="D35" s="23" t="s">
        <v>45</v>
      </c>
      <c r="E35" s="24" t="s">
        <v>26</v>
      </c>
      <c r="F35" s="23" t="s">
        <v>13</v>
      </c>
      <c r="G35" s="30" t="s">
        <v>46</v>
      </c>
      <c r="H35" s="31"/>
      <c r="I35" s="25">
        <v>3</v>
      </c>
      <c r="J35" s="23" t="s">
        <v>13</v>
      </c>
      <c r="K35" s="25">
        <v>0</v>
      </c>
      <c r="L35" s="26"/>
      <c r="M35" s="27"/>
      <c r="N35" s="15"/>
    </row>
    <row r="36" spans="2:14" ht="15.75" customHeight="1">
      <c r="B36" s="32">
        <v>30</v>
      </c>
      <c r="C36" s="36" t="s">
        <v>114</v>
      </c>
      <c r="D36" s="23" t="s">
        <v>45</v>
      </c>
      <c r="E36" s="24" t="s">
        <v>34</v>
      </c>
      <c r="F36" s="23" t="s">
        <v>13</v>
      </c>
      <c r="G36" s="30" t="s">
        <v>41</v>
      </c>
      <c r="H36" s="31"/>
      <c r="I36" s="25">
        <v>2</v>
      </c>
      <c r="J36" s="23" t="s">
        <v>13</v>
      </c>
      <c r="K36" s="25">
        <v>0</v>
      </c>
      <c r="L36" s="26"/>
      <c r="M36" s="27"/>
      <c r="N36" s="15"/>
    </row>
    <row r="37" spans="2:14" ht="15.75" customHeight="1">
      <c r="B37" s="32">
        <v>31</v>
      </c>
      <c r="C37" s="36" t="s">
        <v>115</v>
      </c>
      <c r="D37" s="23" t="s">
        <v>39</v>
      </c>
      <c r="E37" s="24" t="s">
        <v>27</v>
      </c>
      <c r="F37" s="23" t="s">
        <v>13</v>
      </c>
      <c r="G37" s="30" t="s">
        <v>40</v>
      </c>
      <c r="H37" s="31"/>
      <c r="I37" s="25">
        <v>0</v>
      </c>
      <c r="J37" s="23" t="s">
        <v>13</v>
      </c>
      <c r="K37" s="25">
        <v>2</v>
      </c>
      <c r="L37" s="26"/>
      <c r="M37" s="27"/>
      <c r="N37" s="15"/>
    </row>
    <row r="38" spans="2:14" ht="15.75" customHeight="1">
      <c r="B38" s="32">
        <v>32</v>
      </c>
      <c r="C38" s="36" t="s">
        <v>116</v>
      </c>
      <c r="D38" s="23" t="s">
        <v>39</v>
      </c>
      <c r="E38" s="24" t="s">
        <v>35</v>
      </c>
      <c r="F38" s="23" t="s">
        <v>13</v>
      </c>
      <c r="G38" s="30" t="s">
        <v>48</v>
      </c>
      <c r="H38" s="31"/>
      <c r="I38" s="25">
        <v>1</v>
      </c>
      <c r="J38" s="23" t="s">
        <v>13</v>
      </c>
      <c r="K38" s="25">
        <v>1</v>
      </c>
      <c r="L38" s="26"/>
      <c r="M38" s="27"/>
      <c r="N38" s="15"/>
    </row>
    <row r="39" spans="2:14" ht="15.75" customHeight="1">
      <c r="B39" s="32">
        <v>33</v>
      </c>
      <c r="C39" s="36" t="s">
        <v>117</v>
      </c>
      <c r="D39" s="23" t="s">
        <v>67</v>
      </c>
      <c r="E39" s="24" t="s">
        <v>28</v>
      </c>
      <c r="F39" s="23" t="s">
        <v>13</v>
      </c>
      <c r="G39" s="30" t="s">
        <v>42</v>
      </c>
      <c r="H39" s="31"/>
      <c r="I39" s="25">
        <v>2</v>
      </c>
      <c r="J39" s="23" t="s">
        <v>13</v>
      </c>
      <c r="K39" s="25">
        <v>1</v>
      </c>
      <c r="L39" s="26"/>
      <c r="M39" s="27"/>
      <c r="N39" s="15"/>
    </row>
    <row r="40" spans="2:14" ht="15.75" customHeight="1">
      <c r="B40" s="32">
        <v>34</v>
      </c>
      <c r="C40" s="36" t="s">
        <v>118</v>
      </c>
      <c r="D40" s="23" t="s">
        <v>67</v>
      </c>
      <c r="E40" s="24" t="s">
        <v>36</v>
      </c>
      <c r="F40" s="23" t="s">
        <v>13</v>
      </c>
      <c r="G40" s="30" t="s">
        <v>49</v>
      </c>
      <c r="H40" s="31"/>
      <c r="I40" s="25">
        <v>1</v>
      </c>
      <c r="J40" s="23" t="s">
        <v>13</v>
      </c>
      <c r="K40" s="25">
        <v>0</v>
      </c>
      <c r="L40" s="26"/>
      <c r="M40" s="27"/>
      <c r="N40" s="15"/>
    </row>
    <row r="41" spans="2:14" ht="15.75" customHeight="1">
      <c r="B41" s="32">
        <v>35</v>
      </c>
      <c r="C41" s="36" t="s">
        <v>119</v>
      </c>
      <c r="D41" s="23" t="s">
        <v>82</v>
      </c>
      <c r="E41" s="24" t="s">
        <v>29</v>
      </c>
      <c r="F41" s="23" t="s">
        <v>13</v>
      </c>
      <c r="G41" s="30" t="s">
        <v>37</v>
      </c>
      <c r="H41" s="31"/>
      <c r="I41" s="25">
        <v>2</v>
      </c>
      <c r="J41" s="23" t="s">
        <v>13</v>
      </c>
      <c r="K41" s="25">
        <v>1</v>
      </c>
      <c r="L41" s="26"/>
      <c r="M41" s="27"/>
      <c r="N41" s="15"/>
    </row>
    <row r="42" spans="2:14" ht="15.75" customHeight="1">
      <c r="B42" s="32">
        <v>36</v>
      </c>
      <c r="C42" s="36" t="s">
        <v>120</v>
      </c>
      <c r="D42" s="23" t="s">
        <v>82</v>
      </c>
      <c r="E42" s="24" t="s">
        <v>50</v>
      </c>
      <c r="F42" s="23" t="s">
        <v>13</v>
      </c>
      <c r="G42" s="30" t="s">
        <v>43</v>
      </c>
      <c r="H42" s="31"/>
      <c r="I42" s="25">
        <v>1</v>
      </c>
      <c r="J42" s="23" t="s">
        <v>13</v>
      </c>
      <c r="K42" s="25">
        <v>2</v>
      </c>
      <c r="L42" s="26"/>
      <c r="M42" s="27"/>
      <c r="N42" s="15"/>
    </row>
    <row r="43" spans="2:14" ht="15.75" customHeight="1">
      <c r="B43" s="32">
        <v>37</v>
      </c>
      <c r="C43" s="36" t="s">
        <v>121</v>
      </c>
      <c r="D43" s="23" t="s">
        <v>91</v>
      </c>
      <c r="E43" s="24" t="s">
        <v>69</v>
      </c>
      <c r="F43" s="23" t="s">
        <v>13</v>
      </c>
      <c r="G43" s="30" t="s">
        <v>76</v>
      </c>
      <c r="H43" s="31"/>
      <c r="I43" s="25">
        <v>2</v>
      </c>
      <c r="J43" s="23" t="s">
        <v>13</v>
      </c>
      <c r="K43" s="25">
        <v>0</v>
      </c>
      <c r="L43" s="26"/>
      <c r="M43" s="27"/>
      <c r="N43" s="1"/>
    </row>
    <row r="44" spans="2:14" ht="15.75" customHeight="1">
      <c r="B44" s="32">
        <v>38</v>
      </c>
      <c r="C44" s="36" t="s">
        <v>122</v>
      </c>
      <c r="D44" s="23" t="s">
        <v>91</v>
      </c>
      <c r="E44" s="24" t="s">
        <v>61</v>
      </c>
      <c r="F44" s="23" t="s">
        <v>13</v>
      </c>
      <c r="G44" s="30" t="s">
        <v>84</v>
      </c>
      <c r="H44" s="31"/>
      <c r="I44" s="25">
        <v>3</v>
      </c>
      <c r="J44" s="23" t="s">
        <v>13</v>
      </c>
      <c r="K44" s="25">
        <v>0</v>
      </c>
      <c r="L44" s="26"/>
      <c r="M44" s="27"/>
      <c r="N44" s="1"/>
    </row>
    <row r="45" spans="2:14" ht="15.75" customHeight="1">
      <c r="B45" s="32">
        <v>39</v>
      </c>
      <c r="C45" s="36" t="s">
        <v>123</v>
      </c>
      <c r="D45" s="23" t="s">
        <v>95</v>
      </c>
      <c r="E45" s="24" t="s">
        <v>60</v>
      </c>
      <c r="F45" s="23" t="s">
        <v>13</v>
      </c>
      <c r="G45" s="30" t="s">
        <v>83</v>
      </c>
      <c r="H45" s="31"/>
      <c r="I45" s="25">
        <v>2</v>
      </c>
      <c r="J45" s="23" t="s">
        <v>13</v>
      </c>
      <c r="K45" s="25">
        <v>1</v>
      </c>
      <c r="L45" s="26"/>
      <c r="M45" s="27"/>
      <c r="N45" s="1"/>
    </row>
    <row r="46" spans="2:14" ht="15.75" customHeight="1">
      <c r="B46" s="32">
        <v>40</v>
      </c>
      <c r="C46" s="36" t="s">
        <v>124</v>
      </c>
      <c r="D46" s="23" t="s">
        <v>95</v>
      </c>
      <c r="E46" s="24" t="s">
        <v>75</v>
      </c>
      <c r="F46" s="23" t="s">
        <v>13</v>
      </c>
      <c r="G46" s="30" t="s">
        <v>68</v>
      </c>
      <c r="H46" s="31"/>
      <c r="I46" s="25">
        <v>1</v>
      </c>
      <c r="J46" s="23" t="s">
        <v>13</v>
      </c>
      <c r="K46" s="25">
        <v>2</v>
      </c>
      <c r="L46" s="26"/>
      <c r="M46" s="27"/>
      <c r="N46" s="1"/>
    </row>
    <row r="47" spans="2:14" ht="15.75" customHeight="1">
      <c r="B47" s="32">
        <v>41</v>
      </c>
      <c r="C47" s="36" t="s">
        <v>125</v>
      </c>
      <c r="D47" s="23" t="s">
        <v>98</v>
      </c>
      <c r="E47" s="24" t="s">
        <v>70</v>
      </c>
      <c r="F47" s="23" t="s">
        <v>13</v>
      </c>
      <c r="G47" s="30" t="s">
        <v>77</v>
      </c>
      <c r="H47" s="31"/>
      <c r="I47" s="25">
        <v>2</v>
      </c>
      <c r="J47" s="23" t="s">
        <v>13</v>
      </c>
      <c r="K47" s="25">
        <v>0</v>
      </c>
      <c r="L47" s="26"/>
      <c r="M47" s="27"/>
      <c r="N47" s="1"/>
    </row>
    <row r="48" spans="2:14" ht="15.75" customHeight="1">
      <c r="B48" s="32">
        <v>42</v>
      </c>
      <c r="C48" s="36" t="s">
        <v>126</v>
      </c>
      <c r="D48" s="23" t="s">
        <v>98</v>
      </c>
      <c r="E48" s="24" t="s">
        <v>62</v>
      </c>
      <c r="F48" s="23" t="s">
        <v>13</v>
      </c>
      <c r="G48" s="30" t="s">
        <v>85</v>
      </c>
      <c r="H48" s="31"/>
      <c r="I48" s="25">
        <v>3</v>
      </c>
      <c r="J48" s="23" t="s">
        <v>13</v>
      </c>
      <c r="K48" s="25">
        <v>0</v>
      </c>
      <c r="L48" s="26"/>
      <c r="M48" s="27"/>
      <c r="N48" s="1"/>
    </row>
    <row r="49" spans="2:13" ht="15.75" customHeight="1">
      <c r="B49" s="32">
        <v>43</v>
      </c>
      <c r="C49" s="36" t="s">
        <v>127</v>
      </c>
      <c r="D49" s="23" t="s">
        <v>101</v>
      </c>
      <c r="E49" s="24" t="s">
        <v>63</v>
      </c>
      <c r="F49" s="23" t="s">
        <v>13</v>
      </c>
      <c r="G49" s="30" t="s">
        <v>71</v>
      </c>
      <c r="H49" s="31"/>
      <c r="I49" s="25">
        <v>3</v>
      </c>
      <c r="J49" s="23" t="s">
        <v>13</v>
      </c>
      <c r="K49" s="25">
        <v>1</v>
      </c>
      <c r="L49" s="26"/>
      <c r="M49" s="27"/>
    </row>
    <row r="50" spans="2:13" ht="15.75" customHeight="1">
      <c r="B50" s="32">
        <v>44</v>
      </c>
      <c r="C50" s="36" t="s">
        <v>128</v>
      </c>
      <c r="D50" s="23" t="s">
        <v>101</v>
      </c>
      <c r="E50" s="24" t="s">
        <v>86</v>
      </c>
      <c r="F50" s="23" t="s">
        <v>13</v>
      </c>
      <c r="G50" s="30" t="s">
        <v>78</v>
      </c>
      <c r="H50" s="31"/>
      <c r="I50" s="25">
        <v>1</v>
      </c>
      <c r="J50" s="23" t="s">
        <v>13</v>
      </c>
      <c r="K50" s="25">
        <v>2</v>
      </c>
      <c r="L50" s="26"/>
      <c r="M50" s="27"/>
    </row>
    <row r="51" spans="2:13" ht="15.75" customHeight="1">
      <c r="B51" s="32">
        <v>45</v>
      </c>
      <c r="C51" s="36" t="s">
        <v>129</v>
      </c>
      <c r="D51" s="23" t="s">
        <v>104</v>
      </c>
      <c r="E51" s="24" t="s">
        <v>65</v>
      </c>
      <c r="F51" s="23" t="s">
        <v>13</v>
      </c>
      <c r="G51" s="30" t="s">
        <v>80</v>
      </c>
      <c r="H51" s="31"/>
      <c r="I51" s="25">
        <v>2</v>
      </c>
      <c r="J51" s="23" t="s">
        <v>13</v>
      </c>
      <c r="K51" s="25">
        <v>2</v>
      </c>
      <c r="L51" s="26"/>
      <c r="M51" s="27"/>
    </row>
    <row r="52" spans="2:13" ht="15.75" customHeight="1">
      <c r="B52" s="32">
        <v>46</v>
      </c>
      <c r="C52" s="36" t="s">
        <v>130</v>
      </c>
      <c r="D52" s="23" t="s">
        <v>104</v>
      </c>
      <c r="E52" s="24" t="s">
        <v>88</v>
      </c>
      <c r="F52" s="23" t="s">
        <v>13</v>
      </c>
      <c r="G52" s="30" t="s">
        <v>73</v>
      </c>
      <c r="H52" s="31"/>
      <c r="I52" s="25">
        <v>2</v>
      </c>
      <c r="J52" s="23" t="s">
        <v>13</v>
      </c>
      <c r="K52" s="25">
        <v>2</v>
      </c>
      <c r="L52" s="26"/>
      <c r="M52" s="27"/>
    </row>
    <row r="53" spans="2:13" ht="15.75" customHeight="1">
      <c r="B53" s="32">
        <v>47</v>
      </c>
      <c r="C53" s="36" t="s">
        <v>131</v>
      </c>
      <c r="D53" s="23" t="s">
        <v>107</v>
      </c>
      <c r="E53" s="24" t="s">
        <v>64</v>
      </c>
      <c r="F53" s="23" t="s">
        <v>13</v>
      </c>
      <c r="G53" s="30" t="s">
        <v>79</v>
      </c>
      <c r="H53" s="31"/>
      <c r="I53" s="25">
        <v>2</v>
      </c>
      <c r="J53" s="23" t="s">
        <v>13</v>
      </c>
      <c r="K53" s="25">
        <v>1</v>
      </c>
      <c r="L53" s="26"/>
      <c r="M53" s="27"/>
    </row>
    <row r="54" spans="2:13" ht="15.75" customHeight="1">
      <c r="B54" s="32">
        <v>48</v>
      </c>
      <c r="C54" s="36" t="s">
        <v>132</v>
      </c>
      <c r="D54" s="23" t="s">
        <v>107</v>
      </c>
      <c r="E54" s="24" t="s">
        <v>72</v>
      </c>
      <c r="F54" s="23" t="s">
        <v>13</v>
      </c>
      <c r="G54" s="30" t="s">
        <v>87</v>
      </c>
      <c r="H54" s="31"/>
      <c r="I54" s="25">
        <v>2</v>
      </c>
      <c r="J54" s="23" t="s">
        <v>13</v>
      </c>
      <c r="K54" s="25">
        <v>0</v>
      </c>
      <c r="L54" s="26"/>
      <c r="M54" s="27"/>
    </row>
    <row r="55" spans="2:13" ht="15.75" customHeight="1">
      <c r="B55" s="32">
        <v>49</v>
      </c>
      <c r="C55" s="36" t="s">
        <v>133</v>
      </c>
      <c r="D55" s="23" t="s">
        <v>45</v>
      </c>
      <c r="E55" s="24" t="s">
        <v>34</v>
      </c>
      <c r="F55" s="23" t="s">
        <v>13</v>
      </c>
      <c r="G55" s="30" t="s">
        <v>26</v>
      </c>
      <c r="H55" s="31"/>
      <c r="I55" s="25">
        <v>0</v>
      </c>
      <c r="J55" s="23" t="s">
        <v>13</v>
      </c>
      <c r="K55" s="25">
        <v>2</v>
      </c>
      <c r="L55" s="26"/>
      <c r="M55" s="27"/>
    </row>
    <row r="56" spans="2:13" ht="15.75" customHeight="1">
      <c r="B56" s="32">
        <v>50</v>
      </c>
      <c r="C56" s="36" t="s">
        <v>133</v>
      </c>
      <c r="D56" s="23" t="s">
        <v>45</v>
      </c>
      <c r="E56" s="24" t="s">
        <v>41</v>
      </c>
      <c r="F56" s="23" t="s">
        <v>13</v>
      </c>
      <c r="G56" s="30" t="s">
        <v>46</v>
      </c>
      <c r="H56" s="31"/>
      <c r="I56" s="25">
        <v>2</v>
      </c>
      <c r="J56" s="23" t="s">
        <v>13</v>
      </c>
      <c r="K56" s="25">
        <v>0</v>
      </c>
      <c r="L56" s="26"/>
      <c r="M56" s="27"/>
    </row>
    <row r="57" spans="2:13" ht="15.75" customHeight="1">
      <c r="B57" s="32">
        <v>51</v>
      </c>
      <c r="C57" s="36" t="s">
        <v>134</v>
      </c>
      <c r="D57" s="23" t="s">
        <v>31</v>
      </c>
      <c r="E57" s="24" t="s">
        <v>25</v>
      </c>
      <c r="F57" s="23" t="s">
        <v>13</v>
      </c>
      <c r="G57" s="30" t="s">
        <v>32</v>
      </c>
      <c r="H57" s="31"/>
      <c r="I57" s="25">
        <v>1</v>
      </c>
      <c r="J57" s="23" t="s">
        <v>13</v>
      </c>
      <c r="K57" s="25">
        <v>1</v>
      </c>
      <c r="L57" s="26"/>
      <c r="M57" s="27"/>
    </row>
    <row r="58" spans="2:13" ht="15.75" customHeight="1">
      <c r="B58" s="32">
        <v>52</v>
      </c>
      <c r="C58" s="36" t="s">
        <v>134</v>
      </c>
      <c r="D58" s="23" t="s">
        <v>31</v>
      </c>
      <c r="E58" s="24" t="s">
        <v>33</v>
      </c>
      <c r="F58" s="23" t="s">
        <v>13</v>
      </c>
      <c r="G58" s="30" t="s">
        <v>47</v>
      </c>
      <c r="H58" s="31"/>
      <c r="I58" s="25">
        <v>2</v>
      </c>
      <c r="J58" s="23" t="s">
        <v>13</v>
      </c>
      <c r="K58" s="25">
        <v>1</v>
      </c>
      <c r="L58" s="26"/>
      <c r="M58" s="27"/>
    </row>
    <row r="59" spans="2:13" ht="15.75" customHeight="1">
      <c r="B59" s="32">
        <v>53</v>
      </c>
      <c r="C59" s="36" t="s">
        <v>135</v>
      </c>
      <c r="D59" s="23" t="s">
        <v>11</v>
      </c>
      <c r="E59" s="24" t="s">
        <v>24</v>
      </c>
      <c r="F59" s="23" t="s">
        <v>13</v>
      </c>
      <c r="G59" s="30" t="s">
        <v>12</v>
      </c>
      <c r="H59" s="31"/>
      <c r="I59" s="25">
        <v>2</v>
      </c>
      <c r="J59" s="23" t="s">
        <v>13</v>
      </c>
      <c r="K59" s="25">
        <v>2</v>
      </c>
      <c r="L59" s="26"/>
      <c r="M59" s="27"/>
    </row>
    <row r="60" spans="2:13" ht="15.75" customHeight="1">
      <c r="B60" s="32">
        <v>54</v>
      </c>
      <c r="C60" s="36" t="s">
        <v>135</v>
      </c>
      <c r="D60" s="23" t="s">
        <v>11</v>
      </c>
      <c r="E60" s="24" t="s">
        <v>14</v>
      </c>
      <c r="F60" s="23" t="s">
        <v>13</v>
      </c>
      <c r="G60" s="30" t="s">
        <v>23</v>
      </c>
      <c r="H60" s="31"/>
      <c r="I60" s="25">
        <v>1</v>
      </c>
      <c r="J60" s="23" t="s">
        <v>13</v>
      </c>
      <c r="K60" s="25">
        <v>2</v>
      </c>
      <c r="L60" s="26"/>
      <c r="M60" s="27"/>
    </row>
    <row r="61" spans="2:13" ht="15.75" customHeight="1">
      <c r="B61" s="32">
        <v>55</v>
      </c>
      <c r="C61" s="36" t="s">
        <v>136</v>
      </c>
      <c r="D61" s="23" t="s">
        <v>67</v>
      </c>
      <c r="E61" s="24" t="s">
        <v>49</v>
      </c>
      <c r="F61" s="23" t="s">
        <v>13</v>
      </c>
      <c r="G61" s="30" t="s">
        <v>42</v>
      </c>
      <c r="H61" s="31"/>
      <c r="I61" s="25">
        <v>0</v>
      </c>
      <c r="J61" s="23" t="s">
        <v>13</v>
      </c>
      <c r="K61" s="25">
        <v>1</v>
      </c>
      <c r="L61" s="26"/>
      <c r="M61" s="27"/>
    </row>
    <row r="62" spans="2:13" ht="15.75" customHeight="1">
      <c r="B62" s="32">
        <v>56</v>
      </c>
      <c r="C62" s="36" t="s">
        <v>136</v>
      </c>
      <c r="D62" s="23" t="s">
        <v>67</v>
      </c>
      <c r="E62" s="24" t="s">
        <v>36</v>
      </c>
      <c r="F62" s="23" t="s">
        <v>13</v>
      </c>
      <c r="G62" s="30" t="s">
        <v>28</v>
      </c>
      <c r="H62" s="31"/>
      <c r="I62" s="25">
        <v>1</v>
      </c>
      <c r="J62" s="23" t="s">
        <v>13</v>
      </c>
      <c r="K62" s="25">
        <v>3</v>
      </c>
      <c r="L62" s="26"/>
      <c r="M62" s="27"/>
    </row>
    <row r="63" spans="2:13" ht="15.75" customHeight="1">
      <c r="B63" s="32">
        <v>57</v>
      </c>
      <c r="C63" s="36" t="s">
        <v>137</v>
      </c>
      <c r="D63" s="23" t="s">
        <v>82</v>
      </c>
      <c r="E63" s="24" t="s">
        <v>43</v>
      </c>
      <c r="F63" s="23" t="s">
        <v>13</v>
      </c>
      <c r="G63" s="30" t="s">
        <v>37</v>
      </c>
      <c r="H63" s="31"/>
      <c r="I63" s="25">
        <v>0</v>
      </c>
      <c r="J63" s="23" t="s">
        <v>13</v>
      </c>
      <c r="K63" s="25">
        <v>1</v>
      </c>
      <c r="L63" s="26"/>
      <c r="M63" s="27"/>
    </row>
    <row r="64" spans="2:13" ht="15.75" customHeight="1">
      <c r="B64" s="32">
        <v>58</v>
      </c>
      <c r="C64" s="36" t="s">
        <v>137</v>
      </c>
      <c r="D64" s="23" t="s">
        <v>82</v>
      </c>
      <c r="E64" s="24" t="s">
        <v>50</v>
      </c>
      <c r="F64" s="23" t="s">
        <v>13</v>
      </c>
      <c r="G64" s="30" t="s">
        <v>29</v>
      </c>
      <c r="H64" s="31"/>
      <c r="I64" s="25">
        <v>1</v>
      </c>
      <c r="J64" s="23" t="s">
        <v>13</v>
      </c>
      <c r="K64" s="25">
        <v>3</v>
      </c>
      <c r="L64" s="26"/>
      <c r="M64" s="27"/>
    </row>
    <row r="65" spans="2:14" ht="15.75" customHeight="1">
      <c r="B65" s="32">
        <v>59</v>
      </c>
      <c r="C65" s="36" t="s">
        <v>138</v>
      </c>
      <c r="D65" s="23" t="s">
        <v>39</v>
      </c>
      <c r="E65" s="24" t="s">
        <v>27</v>
      </c>
      <c r="F65" s="23" t="s">
        <v>13</v>
      </c>
      <c r="G65" s="30" t="s">
        <v>35</v>
      </c>
      <c r="H65" s="31"/>
      <c r="I65" s="25">
        <v>0</v>
      </c>
      <c r="J65" s="23" t="s">
        <v>13</v>
      </c>
      <c r="K65" s="25">
        <v>0</v>
      </c>
      <c r="L65" s="26"/>
      <c r="M65" s="27"/>
      <c r="N65" s="1"/>
    </row>
    <row r="66" spans="2:14" ht="15.75" customHeight="1">
      <c r="B66" s="32">
        <v>60</v>
      </c>
      <c r="C66" s="36" t="s">
        <v>138</v>
      </c>
      <c r="D66" s="23" t="s">
        <v>39</v>
      </c>
      <c r="E66" s="24" t="s">
        <v>40</v>
      </c>
      <c r="F66" s="23" t="s">
        <v>13</v>
      </c>
      <c r="G66" s="30" t="s">
        <v>48</v>
      </c>
      <c r="H66" s="31"/>
      <c r="I66" s="25">
        <v>2</v>
      </c>
      <c r="J66" s="23" t="s">
        <v>13</v>
      </c>
      <c r="K66" s="25">
        <v>0</v>
      </c>
      <c r="L66" s="26"/>
      <c r="M66" s="27"/>
      <c r="N66" s="1"/>
    </row>
    <row r="67" spans="2:14" ht="15.75" customHeight="1">
      <c r="B67" s="32">
        <v>61</v>
      </c>
      <c r="C67" s="36" t="s">
        <v>139</v>
      </c>
      <c r="D67" s="23" t="s">
        <v>98</v>
      </c>
      <c r="E67" s="24" t="s">
        <v>70</v>
      </c>
      <c r="F67" s="23" t="s">
        <v>13</v>
      </c>
      <c r="G67" s="30" t="s">
        <v>62</v>
      </c>
      <c r="H67" s="31"/>
      <c r="I67" s="25">
        <v>1</v>
      </c>
      <c r="J67" s="23" t="s">
        <v>13</v>
      </c>
      <c r="K67" s="25">
        <v>1</v>
      </c>
      <c r="L67" s="26"/>
      <c r="M67" s="27"/>
      <c r="N67" s="1"/>
    </row>
    <row r="68" spans="2:14" ht="15.75" customHeight="1">
      <c r="B68" s="32">
        <v>62</v>
      </c>
      <c r="C68" s="36" t="s">
        <v>139</v>
      </c>
      <c r="D68" s="23" t="s">
        <v>98</v>
      </c>
      <c r="E68" s="24" t="s">
        <v>77</v>
      </c>
      <c r="F68" s="23" t="s">
        <v>13</v>
      </c>
      <c r="G68" s="30" t="s">
        <v>85</v>
      </c>
      <c r="H68" s="31"/>
      <c r="I68" s="25">
        <v>2</v>
      </c>
      <c r="J68" s="23" t="s">
        <v>13</v>
      </c>
      <c r="K68" s="25">
        <v>2</v>
      </c>
      <c r="L68" s="26"/>
      <c r="M68" s="27"/>
      <c r="N68" s="1"/>
    </row>
    <row r="69" spans="2:14" ht="15.75" customHeight="1">
      <c r="B69" s="32">
        <v>63</v>
      </c>
      <c r="C69" s="36" t="s">
        <v>140</v>
      </c>
      <c r="D69" s="23" t="s">
        <v>95</v>
      </c>
      <c r="E69" s="24" t="s">
        <v>68</v>
      </c>
      <c r="F69" s="23" t="s">
        <v>13</v>
      </c>
      <c r="G69" s="30" t="s">
        <v>83</v>
      </c>
      <c r="H69" s="31"/>
      <c r="I69" s="25">
        <v>2</v>
      </c>
      <c r="J69" s="23" t="s">
        <v>13</v>
      </c>
      <c r="K69" s="25">
        <v>1</v>
      </c>
      <c r="L69" s="26"/>
      <c r="M69" s="27"/>
      <c r="N69" s="1"/>
    </row>
    <row r="70" spans="2:14" ht="15.75" customHeight="1">
      <c r="B70" s="32">
        <v>64</v>
      </c>
      <c r="C70" s="36" t="s">
        <v>140</v>
      </c>
      <c r="D70" s="23" t="s">
        <v>95</v>
      </c>
      <c r="E70" s="24" t="s">
        <v>75</v>
      </c>
      <c r="F70" s="23" t="s">
        <v>13</v>
      </c>
      <c r="G70" s="30" t="s">
        <v>60</v>
      </c>
      <c r="H70" s="31"/>
      <c r="I70" s="25">
        <v>0</v>
      </c>
      <c r="J70" s="23" t="s">
        <v>13</v>
      </c>
      <c r="K70" s="25">
        <v>2</v>
      </c>
      <c r="L70" s="26"/>
      <c r="M70" s="27"/>
      <c r="N70" s="1"/>
    </row>
    <row r="71" spans="2:14" ht="15.75" customHeight="1">
      <c r="B71" s="32">
        <v>65</v>
      </c>
      <c r="C71" s="36" t="s">
        <v>141</v>
      </c>
      <c r="D71" s="23" t="s">
        <v>91</v>
      </c>
      <c r="E71" s="24" t="s">
        <v>76</v>
      </c>
      <c r="F71" s="23" t="s">
        <v>13</v>
      </c>
      <c r="G71" s="30" t="s">
        <v>84</v>
      </c>
      <c r="H71" s="31"/>
      <c r="I71" s="25">
        <v>0</v>
      </c>
      <c r="J71" s="23" t="s">
        <v>13</v>
      </c>
      <c r="K71" s="25">
        <v>1</v>
      </c>
      <c r="L71" s="26"/>
      <c r="M71" s="27"/>
      <c r="N71" s="1"/>
    </row>
    <row r="72" spans="2:14" ht="15.75" customHeight="1">
      <c r="B72" s="32">
        <v>66</v>
      </c>
      <c r="C72" s="36" t="s">
        <v>141</v>
      </c>
      <c r="D72" s="23" t="s">
        <v>91</v>
      </c>
      <c r="E72" s="24" t="s">
        <v>69</v>
      </c>
      <c r="F72" s="23" t="s">
        <v>13</v>
      </c>
      <c r="G72" s="30" t="s">
        <v>61</v>
      </c>
      <c r="H72" s="31"/>
      <c r="I72" s="25">
        <v>1</v>
      </c>
      <c r="J72" s="23" t="s">
        <v>13</v>
      </c>
      <c r="K72" s="25">
        <v>2</v>
      </c>
      <c r="L72" s="26"/>
      <c r="M72" s="27"/>
      <c r="N72" s="1"/>
    </row>
    <row r="73" spans="2:14" ht="15.75" customHeight="1">
      <c r="B73" s="32">
        <v>67</v>
      </c>
      <c r="C73" s="36" t="s">
        <v>142</v>
      </c>
      <c r="D73" s="23" t="s">
        <v>104</v>
      </c>
      <c r="E73" s="24" t="s">
        <v>88</v>
      </c>
      <c r="F73" s="23" t="s">
        <v>13</v>
      </c>
      <c r="G73" s="30" t="s">
        <v>65</v>
      </c>
      <c r="H73" s="31"/>
      <c r="I73" s="25">
        <v>1</v>
      </c>
      <c r="J73" s="23" t="s">
        <v>13</v>
      </c>
      <c r="K73" s="25">
        <v>2</v>
      </c>
      <c r="L73" s="26"/>
      <c r="M73" s="27"/>
      <c r="N73" s="1"/>
    </row>
    <row r="74" spans="2:14" ht="15.75" customHeight="1">
      <c r="B74" s="32">
        <v>68</v>
      </c>
      <c r="C74" s="36" t="s">
        <v>142</v>
      </c>
      <c r="D74" s="23" t="s">
        <v>104</v>
      </c>
      <c r="E74" s="24" t="s">
        <v>73</v>
      </c>
      <c r="F74" s="23" t="s">
        <v>13</v>
      </c>
      <c r="G74" s="30" t="s">
        <v>80</v>
      </c>
      <c r="H74" s="31"/>
      <c r="I74" s="25">
        <v>2</v>
      </c>
      <c r="J74" s="23" t="s">
        <v>13</v>
      </c>
      <c r="K74" s="25">
        <v>1</v>
      </c>
      <c r="L74" s="26"/>
      <c r="M74" s="27"/>
      <c r="N74" s="1"/>
    </row>
    <row r="75" spans="2:14" ht="15.75" customHeight="1">
      <c r="B75" s="32">
        <v>69</v>
      </c>
      <c r="C75" s="36" t="s">
        <v>143</v>
      </c>
      <c r="D75" s="23" t="s">
        <v>101</v>
      </c>
      <c r="E75" s="24" t="s">
        <v>78</v>
      </c>
      <c r="F75" s="23" t="s">
        <v>13</v>
      </c>
      <c r="G75" s="30" t="s">
        <v>71</v>
      </c>
      <c r="H75" s="31"/>
      <c r="I75" s="25">
        <v>1</v>
      </c>
      <c r="J75" s="23" t="s">
        <v>13</v>
      </c>
      <c r="K75" s="25">
        <v>1</v>
      </c>
      <c r="L75" s="26"/>
      <c r="M75" s="27"/>
      <c r="N75" s="1"/>
    </row>
    <row r="76" spans="2:14" ht="15.75" customHeight="1">
      <c r="B76" s="32">
        <v>70</v>
      </c>
      <c r="C76" s="36" t="s">
        <v>143</v>
      </c>
      <c r="D76" s="23" t="s">
        <v>101</v>
      </c>
      <c r="E76" s="24" t="s">
        <v>86</v>
      </c>
      <c r="F76" s="23" t="s">
        <v>13</v>
      </c>
      <c r="G76" s="30" t="s">
        <v>63</v>
      </c>
      <c r="H76" s="31"/>
      <c r="I76" s="25">
        <v>0</v>
      </c>
      <c r="J76" s="23" t="s">
        <v>13</v>
      </c>
      <c r="K76" s="25">
        <v>3</v>
      </c>
      <c r="L76" s="26"/>
      <c r="M76" s="27"/>
      <c r="N76" s="1"/>
    </row>
    <row r="77" spans="2:14" ht="15.75" customHeight="1">
      <c r="B77" s="32">
        <v>71</v>
      </c>
      <c r="C77" s="36" t="s">
        <v>144</v>
      </c>
      <c r="D77" s="23" t="s">
        <v>107</v>
      </c>
      <c r="E77" s="24" t="s">
        <v>72</v>
      </c>
      <c r="F77" s="23" t="s">
        <v>13</v>
      </c>
      <c r="G77" s="30" t="s">
        <v>64</v>
      </c>
      <c r="H77" s="31"/>
      <c r="I77" s="25">
        <v>2</v>
      </c>
      <c r="J77" s="23" t="s">
        <v>13</v>
      </c>
      <c r="K77" s="25">
        <v>2</v>
      </c>
      <c r="L77" s="26"/>
      <c r="M77" s="27"/>
      <c r="N77" s="1"/>
    </row>
    <row r="78" spans="2:14" ht="15.75" customHeight="1">
      <c r="B78" s="32">
        <v>72</v>
      </c>
      <c r="C78" s="36" t="s">
        <v>144</v>
      </c>
      <c r="D78" s="23" t="s">
        <v>107</v>
      </c>
      <c r="E78" s="24" t="s">
        <v>87</v>
      </c>
      <c r="F78" s="23" t="s">
        <v>13</v>
      </c>
      <c r="G78" s="30" t="s">
        <v>79</v>
      </c>
      <c r="H78" s="31"/>
      <c r="I78" s="25">
        <v>0</v>
      </c>
      <c r="J78" s="23" t="s">
        <v>13</v>
      </c>
      <c r="K78" s="25">
        <v>1</v>
      </c>
      <c r="L78" s="26"/>
      <c r="M78" s="27"/>
      <c r="N78" s="1"/>
    </row>
    <row r="79" spans="2:14" ht="15.75" customHeight="1">
      <c r="B79" s="1"/>
      <c r="C79" s="1"/>
      <c r="D79" s="2" t="s">
        <v>145</v>
      </c>
      <c r="E79" s="10" t="s">
        <v>63</v>
      </c>
      <c r="F79" s="5" t="s">
        <v>13</v>
      </c>
      <c r="G79" s="10" t="s">
        <v>26</v>
      </c>
      <c r="H79" s="1"/>
      <c r="I79" s="1"/>
      <c r="J79" s="1"/>
      <c r="K79" s="1"/>
      <c r="L79" s="14"/>
      <c r="M79" s="14"/>
      <c r="N79" s="15"/>
    </row>
    <row r="80" spans="2:14" ht="15.75" customHeight="1">
      <c r="B80" s="1"/>
      <c r="C80" s="37"/>
      <c r="D80" s="2" t="s">
        <v>146</v>
      </c>
      <c r="E80" s="11" t="s">
        <v>149</v>
      </c>
      <c r="F80" s="5" t="s">
        <v>13</v>
      </c>
      <c r="G80" s="11" t="s">
        <v>28</v>
      </c>
      <c r="H80" s="1"/>
      <c r="I80" s="1"/>
      <c r="J80" s="1"/>
      <c r="K80" s="1"/>
      <c r="L80" s="9"/>
      <c r="M80" s="9"/>
      <c r="N80" s="15"/>
    </row>
    <row r="81" spans="1:14" ht="15.75" customHeight="1">
      <c r="A81" s="1"/>
      <c r="B81" s="1"/>
      <c r="C81" s="37"/>
      <c r="D81" s="1"/>
      <c r="E81" s="1"/>
      <c r="F81" s="4"/>
      <c r="G81" s="1"/>
      <c r="H81" s="1"/>
      <c r="I81" s="1"/>
      <c r="J81" s="1"/>
      <c r="K81" s="4"/>
      <c r="L81" s="4"/>
      <c r="M81" s="4"/>
      <c r="N81" s="15"/>
    </row>
    <row r="82" spans="1:14" ht="15.75" customHeight="1">
      <c r="A82" s="1"/>
      <c r="B82" s="1"/>
      <c r="C82" s="37"/>
      <c r="D82" s="1"/>
      <c r="E82" s="1"/>
      <c r="F82" s="4"/>
      <c r="G82" s="1"/>
      <c r="H82" s="1"/>
      <c r="I82" s="1"/>
      <c r="J82" s="1"/>
      <c r="K82" s="4"/>
      <c r="L82" s="12" t="s">
        <v>147</v>
      </c>
      <c r="M82" s="8"/>
      <c r="N82" s="15"/>
    </row>
    <row r="83" spans="1:14" ht="15.75" customHeight="1">
      <c r="A83" s="1"/>
      <c r="B83" s="1"/>
      <c r="C83" s="37"/>
      <c r="D83" s="1"/>
      <c r="E83" s="1"/>
      <c r="F83" s="4"/>
      <c r="G83" s="1"/>
      <c r="H83" s="1"/>
      <c r="I83" s="1"/>
      <c r="J83" s="1"/>
      <c r="K83" s="4"/>
      <c r="L83" s="4"/>
      <c r="M83" s="4"/>
      <c r="N83" s="15"/>
    </row>
    <row r="84" spans="1:14" ht="15.75" customHeight="1">
      <c r="A84" s="2"/>
      <c r="B84" s="1"/>
      <c r="C84" s="37"/>
      <c r="D84" s="1"/>
      <c r="E84" s="1"/>
      <c r="F84" s="4"/>
      <c r="G84" s="5"/>
      <c r="H84" s="1"/>
      <c r="I84" s="1"/>
      <c r="J84" s="1"/>
      <c r="K84" s="4"/>
      <c r="L84" s="1"/>
      <c r="M84" s="1"/>
      <c r="N84" s="1"/>
    </row>
    <row r="85" spans="1:14" ht="15.75" customHeight="1">
      <c r="A85" s="2"/>
      <c r="B85" s="1"/>
      <c r="C85" s="37"/>
      <c r="D85" s="1"/>
      <c r="E85" s="1"/>
      <c r="F85" s="4"/>
      <c r="G85" s="5"/>
      <c r="H85" s="1"/>
      <c r="I85" s="1"/>
      <c r="J85" s="1"/>
      <c r="K85" s="4"/>
      <c r="L85" s="1"/>
      <c r="M85" s="1"/>
      <c r="N85" s="1"/>
    </row>
    <row r="86" spans="1:14" ht="15.75" customHeight="1">
      <c r="A86" s="2"/>
      <c r="B86" s="3"/>
      <c r="C86" s="38"/>
      <c r="D86" s="1"/>
      <c r="E86" s="1"/>
      <c r="F86" s="4"/>
      <c r="G86" s="5"/>
      <c r="H86" s="1"/>
      <c r="I86" s="1"/>
      <c r="J86" s="1"/>
      <c r="K86" s="4"/>
      <c r="L86" s="1"/>
      <c r="M86" s="1"/>
      <c r="N86" s="1"/>
    </row>
    <row r="87" spans="1:14" ht="15.75" customHeight="1">
      <c r="A87" s="2"/>
      <c r="B87" s="3"/>
      <c r="C87" s="38"/>
      <c r="D87" s="1"/>
      <c r="E87" s="1"/>
      <c r="F87" s="4"/>
      <c r="G87" s="5"/>
      <c r="H87" s="1"/>
      <c r="I87" s="1"/>
      <c r="J87" s="1"/>
      <c r="K87" s="4"/>
      <c r="L87" s="1"/>
      <c r="M87" s="1"/>
      <c r="N87" s="1"/>
    </row>
  </sheetData>
  <mergeCells count="1">
    <mergeCell ref="H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RowHeight="15"/>
  <sheetData>
    <row r="1" spans="1:26" ht="15.75" customHeight="1">
      <c r="A1" s="39"/>
      <c r="B1" s="45"/>
      <c r="C1" s="46"/>
      <c r="D1" s="39"/>
      <c r="E1" s="39"/>
      <c r="F1" s="44"/>
      <c r="G1" s="39"/>
      <c r="H1" s="39"/>
      <c r="I1" s="39"/>
      <c r="J1" s="39"/>
      <c r="K1" s="44"/>
      <c r="L1" s="44"/>
      <c r="M1" s="44"/>
      <c r="N1" s="44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5.75" customHeight="1">
      <c r="A2" s="39"/>
      <c r="B2" s="45"/>
      <c r="C2" s="46"/>
      <c r="D2" s="39"/>
      <c r="E2" s="39"/>
      <c r="F2" s="44"/>
      <c r="G2" s="45" t="s">
        <v>0</v>
      </c>
      <c r="H2" s="294" t="s">
        <v>150</v>
      </c>
      <c r="I2" s="295"/>
      <c r="J2" s="295"/>
      <c r="K2" s="295"/>
      <c r="L2" s="295"/>
      <c r="M2" s="295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5.75" customHeight="1">
      <c r="A3" s="39"/>
      <c r="B3" s="45"/>
      <c r="C3" s="46"/>
      <c r="D3" s="39"/>
      <c r="E3" s="39"/>
      <c r="F3" s="44"/>
      <c r="G3" s="39"/>
      <c r="H3" s="39"/>
      <c r="I3" s="39"/>
      <c r="J3" s="39"/>
      <c r="K3" s="44"/>
      <c r="L3" s="44"/>
      <c r="M3" s="44"/>
      <c r="N3" s="44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8" customHeight="1">
      <c r="A4" s="39"/>
      <c r="B4" s="47" t="s">
        <v>2</v>
      </c>
      <c r="C4" s="46"/>
      <c r="D4" s="39"/>
      <c r="E4" s="39"/>
      <c r="F4" s="44"/>
      <c r="G4" s="45"/>
      <c r="H4" s="45"/>
      <c r="I4" s="45"/>
      <c r="J4" s="45"/>
      <c r="K4" s="44"/>
      <c r="L4" s="44"/>
      <c r="M4" s="44"/>
      <c r="N4" s="44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.75" customHeight="1">
      <c r="A5" s="39"/>
      <c r="B5" s="45"/>
      <c r="C5" s="48"/>
      <c r="D5" s="39"/>
      <c r="E5" s="39"/>
      <c r="F5" s="44"/>
      <c r="G5" s="45"/>
      <c r="H5" s="45"/>
      <c r="I5" s="45"/>
      <c r="J5" s="45"/>
      <c r="K5" s="44"/>
      <c r="L5" s="44"/>
      <c r="M5" s="44"/>
      <c r="N5" s="44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8.75" customHeight="1">
      <c r="A6" s="39"/>
      <c r="B6" s="45"/>
      <c r="C6" s="49" t="s">
        <v>3</v>
      </c>
      <c r="D6" s="50" t="s">
        <v>4</v>
      </c>
      <c r="E6" s="43"/>
      <c r="F6" s="50" t="s">
        <v>5</v>
      </c>
      <c r="G6" s="43"/>
      <c r="H6" s="43"/>
      <c r="I6" s="43"/>
      <c r="J6" s="50" t="s">
        <v>6</v>
      </c>
      <c r="K6" s="50"/>
      <c r="L6" s="50" t="s">
        <v>7</v>
      </c>
      <c r="M6" s="50" t="s">
        <v>8</v>
      </c>
      <c r="N6" s="50"/>
      <c r="O6" s="51" t="s">
        <v>9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6.5" customHeight="1">
      <c r="A7" s="39"/>
      <c r="B7" s="52">
        <v>1</v>
      </c>
      <c r="C7" s="53" t="s">
        <v>10</v>
      </c>
      <c r="D7" s="54" t="s">
        <v>11</v>
      </c>
      <c r="E7" s="55" t="s">
        <v>12</v>
      </c>
      <c r="F7" s="54" t="s">
        <v>13</v>
      </c>
      <c r="G7" s="56" t="s">
        <v>14</v>
      </c>
      <c r="H7" s="57"/>
      <c r="I7" s="58">
        <v>2</v>
      </c>
      <c r="J7" s="54" t="s">
        <v>13</v>
      </c>
      <c r="K7" s="58">
        <v>0</v>
      </c>
      <c r="L7" s="58"/>
      <c r="M7" s="59"/>
      <c r="N7" s="60"/>
      <c r="O7" s="61" t="s">
        <v>15</v>
      </c>
      <c r="P7" s="62" t="s">
        <v>16</v>
      </c>
      <c r="Q7" s="62" t="s">
        <v>17</v>
      </c>
      <c r="R7" s="62" t="s">
        <v>18</v>
      </c>
      <c r="S7" s="62" t="s">
        <v>19</v>
      </c>
      <c r="T7" s="62" t="s">
        <v>20</v>
      </c>
      <c r="U7" s="62" t="s">
        <v>21</v>
      </c>
      <c r="V7" s="39"/>
      <c r="W7" s="39"/>
      <c r="X7" s="39"/>
      <c r="Y7" s="39"/>
      <c r="Z7" s="39"/>
    </row>
    <row r="8" spans="1:26" ht="15.75" customHeight="1">
      <c r="A8" s="39"/>
      <c r="B8" s="52">
        <v>2</v>
      </c>
      <c r="C8" s="53" t="s">
        <v>22</v>
      </c>
      <c r="D8" s="54" t="s">
        <v>11</v>
      </c>
      <c r="E8" s="55" t="s">
        <v>23</v>
      </c>
      <c r="F8" s="54" t="s">
        <v>13</v>
      </c>
      <c r="G8" s="56" t="s">
        <v>24</v>
      </c>
      <c r="H8" s="57"/>
      <c r="I8" s="58">
        <v>0</v>
      </c>
      <c r="J8" s="54" t="s">
        <v>13</v>
      </c>
      <c r="K8" s="58">
        <v>1</v>
      </c>
      <c r="L8" s="58"/>
      <c r="M8" s="59"/>
      <c r="N8" s="60"/>
      <c r="O8" s="63">
        <v>1</v>
      </c>
      <c r="P8" s="64" t="s">
        <v>12</v>
      </c>
      <c r="Q8" s="64" t="s">
        <v>25</v>
      </c>
      <c r="R8" s="64" t="s">
        <v>26</v>
      </c>
      <c r="S8" s="64" t="s">
        <v>151</v>
      </c>
      <c r="T8" s="64" t="s">
        <v>28</v>
      </c>
      <c r="U8" s="64" t="s">
        <v>29</v>
      </c>
      <c r="V8" s="39"/>
      <c r="W8" s="39"/>
      <c r="X8" s="39"/>
      <c r="Y8" s="39"/>
      <c r="Z8" s="39"/>
    </row>
    <row r="9" spans="1:26" ht="15.75" customHeight="1">
      <c r="A9" s="39"/>
      <c r="B9" s="52">
        <v>3</v>
      </c>
      <c r="C9" s="53" t="s">
        <v>30</v>
      </c>
      <c r="D9" s="54" t="s">
        <v>31</v>
      </c>
      <c r="E9" s="55" t="s">
        <v>32</v>
      </c>
      <c r="F9" s="54" t="s">
        <v>13</v>
      </c>
      <c r="G9" s="56" t="s">
        <v>33</v>
      </c>
      <c r="H9" s="57"/>
      <c r="I9" s="58">
        <v>2</v>
      </c>
      <c r="J9" s="54" t="s">
        <v>13</v>
      </c>
      <c r="K9" s="58">
        <v>0</v>
      </c>
      <c r="L9" s="58"/>
      <c r="M9" s="59"/>
      <c r="N9" s="60"/>
      <c r="O9" s="65">
        <v>2</v>
      </c>
      <c r="P9" s="66" t="s">
        <v>152</v>
      </c>
      <c r="Q9" s="66" t="s">
        <v>32</v>
      </c>
      <c r="R9" s="66" t="s">
        <v>41</v>
      </c>
      <c r="S9" s="66" t="s">
        <v>27</v>
      </c>
      <c r="T9" s="66" t="s">
        <v>36</v>
      </c>
      <c r="U9" s="66" t="s">
        <v>43</v>
      </c>
      <c r="V9" s="39"/>
      <c r="W9" s="39"/>
      <c r="X9" s="39"/>
      <c r="Y9" s="39"/>
      <c r="Z9" s="39"/>
    </row>
    <row r="10" spans="1:26" ht="15.75" customHeight="1">
      <c r="A10" s="39"/>
      <c r="B10" s="52">
        <v>4</v>
      </c>
      <c r="C10" s="53" t="s">
        <v>38</v>
      </c>
      <c r="D10" s="54" t="s">
        <v>39</v>
      </c>
      <c r="E10" s="55" t="s">
        <v>35</v>
      </c>
      <c r="F10" s="54" t="s">
        <v>13</v>
      </c>
      <c r="G10" s="56" t="s">
        <v>40</v>
      </c>
      <c r="H10" s="57"/>
      <c r="I10" s="58">
        <v>2</v>
      </c>
      <c r="J10" s="54" t="s">
        <v>13</v>
      </c>
      <c r="K10" s="58">
        <v>1</v>
      </c>
      <c r="L10" s="58"/>
      <c r="M10" s="59"/>
      <c r="N10" s="60"/>
      <c r="O10" s="65">
        <v>3</v>
      </c>
      <c r="P10" s="66" t="s">
        <v>153</v>
      </c>
      <c r="Q10" s="66" t="s">
        <v>154</v>
      </c>
      <c r="R10" s="66" t="s">
        <v>34</v>
      </c>
      <c r="S10" s="66" t="s">
        <v>155</v>
      </c>
      <c r="T10" s="66" t="s">
        <v>156</v>
      </c>
      <c r="U10" s="66" t="s">
        <v>37</v>
      </c>
      <c r="V10" s="39"/>
      <c r="W10" s="39"/>
      <c r="X10" s="39"/>
      <c r="Y10" s="39"/>
      <c r="Z10" s="39"/>
    </row>
    <row r="11" spans="1:26" ht="15.75" customHeight="1">
      <c r="A11" s="39"/>
      <c r="B11" s="52">
        <v>5</v>
      </c>
      <c r="C11" s="53" t="s">
        <v>44</v>
      </c>
      <c r="D11" s="54" t="s">
        <v>45</v>
      </c>
      <c r="E11" s="55" t="s">
        <v>46</v>
      </c>
      <c r="F11" s="54" t="s">
        <v>13</v>
      </c>
      <c r="G11" s="56" t="s">
        <v>34</v>
      </c>
      <c r="H11" s="57"/>
      <c r="I11" s="58">
        <v>0</v>
      </c>
      <c r="J11" s="54" t="s">
        <v>13</v>
      </c>
      <c r="K11" s="58">
        <v>3</v>
      </c>
      <c r="L11" s="58"/>
      <c r="M11" s="59"/>
      <c r="N11" s="60"/>
      <c r="O11" s="65">
        <v>4</v>
      </c>
      <c r="P11" s="66" t="s">
        <v>157</v>
      </c>
      <c r="Q11" s="66" t="s">
        <v>47</v>
      </c>
      <c r="R11" s="66" t="s">
        <v>158</v>
      </c>
      <c r="S11" s="66" t="s">
        <v>48</v>
      </c>
      <c r="T11" s="66" t="s">
        <v>159</v>
      </c>
      <c r="U11" s="66" t="s">
        <v>50</v>
      </c>
      <c r="V11" s="39"/>
      <c r="W11" s="39"/>
      <c r="X11" s="39"/>
      <c r="Y11" s="39"/>
      <c r="Z11" s="39"/>
    </row>
    <row r="12" spans="1:26" ht="16.5" customHeight="1">
      <c r="A12" s="39"/>
      <c r="B12" s="52">
        <v>6</v>
      </c>
      <c r="C12" s="53" t="s">
        <v>51</v>
      </c>
      <c r="D12" s="54" t="s">
        <v>39</v>
      </c>
      <c r="E12" s="55" t="s">
        <v>48</v>
      </c>
      <c r="F12" s="54" t="s">
        <v>13</v>
      </c>
      <c r="G12" s="56" t="s">
        <v>27</v>
      </c>
      <c r="H12" s="57"/>
      <c r="I12" s="58">
        <v>1</v>
      </c>
      <c r="J12" s="54" t="s">
        <v>13</v>
      </c>
      <c r="K12" s="58">
        <v>2</v>
      </c>
      <c r="L12" s="58"/>
      <c r="M12" s="59"/>
      <c r="N12" s="60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6.5" customHeight="1">
      <c r="A13" s="39"/>
      <c r="B13" s="52">
        <v>7</v>
      </c>
      <c r="C13" s="53" t="s">
        <v>52</v>
      </c>
      <c r="D13" s="54" t="s">
        <v>45</v>
      </c>
      <c r="E13" s="55" t="s">
        <v>26</v>
      </c>
      <c r="F13" s="54" t="s">
        <v>13</v>
      </c>
      <c r="G13" s="56" t="s">
        <v>41</v>
      </c>
      <c r="H13" s="57"/>
      <c r="I13" s="58">
        <v>3</v>
      </c>
      <c r="J13" s="54" t="s">
        <v>13</v>
      </c>
      <c r="K13" s="58">
        <v>0</v>
      </c>
      <c r="L13" s="58"/>
      <c r="M13" s="59"/>
      <c r="N13" s="60"/>
      <c r="O13" s="61" t="s">
        <v>15</v>
      </c>
      <c r="P13" s="62" t="s">
        <v>53</v>
      </c>
      <c r="Q13" s="62" t="s">
        <v>54</v>
      </c>
      <c r="R13" s="62" t="s">
        <v>55</v>
      </c>
      <c r="S13" s="62" t="s">
        <v>56</v>
      </c>
      <c r="T13" s="62" t="s">
        <v>57</v>
      </c>
      <c r="U13" s="62" t="s">
        <v>58</v>
      </c>
      <c r="V13" s="39"/>
      <c r="W13" s="39"/>
      <c r="X13" s="39"/>
      <c r="Y13" s="39"/>
      <c r="Z13" s="39"/>
    </row>
    <row r="14" spans="1:26" ht="15.75" customHeight="1">
      <c r="A14" s="39"/>
      <c r="B14" s="52">
        <v>8</v>
      </c>
      <c r="C14" s="53" t="s">
        <v>59</v>
      </c>
      <c r="D14" s="54" t="s">
        <v>31</v>
      </c>
      <c r="E14" s="55" t="s">
        <v>47</v>
      </c>
      <c r="F14" s="54" t="s">
        <v>13</v>
      </c>
      <c r="G14" s="56" t="s">
        <v>25</v>
      </c>
      <c r="H14" s="57"/>
      <c r="I14" s="58">
        <v>0</v>
      </c>
      <c r="J14" s="54" t="s">
        <v>13</v>
      </c>
      <c r="K14" s="58">
        <v>2</v>
      </c>
      <c r="L14" s="58"/>
      <c r="M14" s="59"/>
      <c r="N14" s="60"/>
      <c r="O14" s="63">
        <v>1</v>
      </c>
      <c r="P14" s="64" t="s">
        <v>60</v>
      </c>
      <c r="Q14" s="64" t="s">
        <v>61</v>
      </c>
      <c r="R14" s="64" t="s">
        <v>62</v>
      </c>
      <c r="S14" s="64" t="s">
        <v>160</v>
      </c>
      <c r="T14" s="64" t="s">
        <v>64</v>
      </c>
      <c r="U14" s="64" t="s">
        <v>65</v>
      </c>
      <c r="V14" s="39"/>
      <c r="W14" s="39"/>
      <c r="X14" s="39"/>
      <c r="Y14" s="39"/>
      <c r="Z14" s="39"/>
    </row>
    <row r="15" spans="1:26" ht="15.75" customHeight="1">
      <c r="A15" s="39"/>
      <c r="B15" s="52">
        <v>9</v>
      </c>
      <c r="C15" s="53" t="s">
        <v>66</v>
      </c>
      <c r="D15" s="54" t="s">
        <v>67</v>
      </c>
      <c r="E15" s="55" t="s">
        <v>42</v>
      </c>
      <c r="F15" s="54" t="s">
        <v>13</v>
      </c>
      <c r="G15" s="56" t="s">
        <v>36</v>
      </c>
      <c r="H15" s="57"/>
      <c r="I15" s="58">
        <v>1</v>
      </c>
      <c r="J15" s="54" t="s">
        <v>13</v>
      </c>
      <c r="K15" s="58">
        <v>0</v>
      </c>
      <c r="L15" s="58"/>
      <c r="M15" s="59"/>
      <c r="N15" s="60"/>
      <c r="O15" s="65">
        <v>2</v>
      </c>
      <c r="P15" s="66" t="s">
        <v>68</v>
      </c>
      <c r="Q15" s="66" t="s">
        <v>69</v>
      </c>
      <c r="R15" s="66" t="s">
        <v>70</v>
      </c>
      <c r="S15" s="66" t="s">
        <v>71</v>
      </c>
      <c r="T15" s="66" t="s">
        <v>72</v>
      </c>
      <c r="U15" s="66" t="s">
        <v>73</v>
      </c>
      <c r="V15" s="39"/>
      <c r="W15" s="39"/>
      <c r="X15" s="39"/>
      <c r="Y15" s="39"/>
      <c r="Z15" s="39"/>
    </row>
    <row r="16" spans="1:26" ht="15.75" customHeight="1">
      <c r="A16" s="39"/>
      <c r="B16" s="52">
        <v>10</v>
      </c>
      <c r="C16" s="53" t="s">
        <v>74</v>
      </c>
      <c r="D16" s="54" t="s">
        <v>67</v>
      </c>
      <c r="E16" s="55" t="s">
        <v>28</v>
      </c>
      <c r="F16" s="54" t="s">
        <v>13</v>
      </c>
      <c r="G16" s="56" t="s">
        <v>49</v>
      </c>
      <c r="H16" s="57"/>
      <c r="I16" s="58">
        <v>3</v>
      </c>
      <c r="J16" s="54" t="s">
        <v>13</v>
      </c>
      <c r="K16" s="58">
        <v>0</v>
      </c>
      <c r="L16" s="58"/>
      <c r="M16" s="59"/>
      <c r="N16" s="60"/>
      <c r="O16" s="65">
        <v>3</v>
      </c>
      <c r="P16" s="66" t="s">
        <v>161</v>
      </c>
      <c r="Q16" s="66" t="s">
        <v>162</v>
      </c>
      <c r="R16" s="66" t="s">
        <v>77</v>
      </c>
      <c r="S16" s="66" t="s">
        <v>78</v>
      </c>
      <c r="T16" s="66" t="s">
        <v>163</v>
      </c>
      <c r="U16" s="66" t="s">
        <v>80</v>
      </c>
      <c r="V16" s="39"/>
      <c r="W16" s="39"/>
      <c r="X16" s="39"/>
      <c r="Y16" s="39"/>
      <c r="Z16" s="39"/>
    </row>
    <row r="17" spans="1:26" ht="15.75" customHeight="1">
      <c r="A17" s="39"/>
      <c r="B17" s="52">
        <v>11</v>
      </c>
      <c r="C17" s="53" t="s">
        <v>81</v>
      </c>
      <c r="D17" s="54" t="s">
        <v>82</v>
      </c>
      <c r="E17" s="55" t="s">
        <v>29</v>
      </c>
      <c r="F17" s="54" t="s">
        <v>13</v>
      </c>
      <c r="G17" s="56" t="s">
        <v>43</v>
      </c>
      <c r="H17" s="57"/>
      <c r="I17" s="58">
        <v>2</v>
      </c>
      <c r="J17" s="54" t="s">
        <v>13</v>
      </c>
      <c r="K17" s="58">
        <v>1</v>
      </c>
      <c r="L17" s="58"/>
      <c r="M17" s="59"/>
      <c r="N17" s="60"/>
      <c r="O17" s="65">
        <v>4</v>
      </c>
      <c r="P17" s="66" t="s">
        <v>83</v>
      </c>
      <c r="Q17" s="66" t="s">
        <v>164</v>
      </c>
      <c r="R17" s="66" t="s">
        <v>85</v>
      </c>
      <c r="S17" s="66" t="s">
        <v>86</v>
      </c>
      <c r="T17" s="66" t="s">
        <v>79</v>
      </c>
      <c r="U17" s="66" t="s">
        <v>88</v>
      </c>
      <c r="V17" s="39"/>
      <c r="W17" s="39"/>
      <c r="X17" s="39"/>
      <c r="Y17" s="39"/>
      <c r="Z17" s="39"/>
    </row>
    <row r="18" spans="1:26" ht="15.75" customHeight="1">
      <c r="A18" s="39"/>
      <c r="B18" s="52">
        <v>12</v>
      </c>
      <c r="C18" s="53" t="s">
        <v>89</v>
      </c>
      <c r="D18" s="54" t="s">
        <v>82</v>
      </c>
      <c r="E18" s="55" t="s">
        <v>37</v>
      </c>
      <c r="F18" s="54" t="s">
        <v>13</v>
      </c>
      <c r="G18" s="56" t="s">
        <v>50</v>
      </c>
      <c r="H18" s="57"/>
      <c r="I18" s="58">
        <v>1</v>
      </c>
      <c r="J18" s="54" t="s">
        <v>13</v>
      </c>
      <c r="K18" s="58">
        <v>0</v>
      </c>
      <c r="L18" s="58"/>
      <c r="M18" s="59"/>
      <c r="N18" s="60"/>
      <c r="O18" s="39"/>
      <c r="P18" s="67"/>
      <c r="Q18" s="67"/>
      <c r="R18" s="67"/>
      <c r="S18" s="67"/>
      <c r="T18" s="67"/>
      <c r="U18" s="67"/>
      <c r="V18" s="39"/>
      <c r="W18" s="39"/>
      <c r="X18" s="39"/>
      <c r="Y18" s="39"/>
      <c r="Z18" s="39"/>
    </row>
    <row r="19" spans="1:26" ht="15.75" customHeight="1">
      <c r="A19" s="39"/>
      <c r="B19" s="52">
        <v>13</v>
      </c>
      <c r="C19" s="53" t="s">
        <v>90</v>
      </c>
      <c r="D19" s="54" t="s">
        <v>91</v>
      </c>
      <c r="E19" s="55" t="s">
        <v>84</v>
      </c>
      <c r="F19" s="54" t="s">
        <v>13</v>
      </c>
      <c r="G19" s="56" t="s">
        <v>69</v>
      </c>
      <c r="H19" s="57"/>
      <c r="I19" s="58">
        <v>1</v>
      </c>
      <c r="J19" s="54" t="s">
        <v>13</v>
      </c>
      <c r="K19" s="58">
        <v>2</v>
      </c>
      <c r="L19" s="58"/>
      <c r="M19" s="59"/>
      <c r="N19" s="60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6.5" customHeight="1">
      <c r="A20" s="39"/>
      <c r="B20" s="52">
        <v>14</v>
      </c>
      <c r="C20" s="53" t="s">
        <v>92</v>
      </c>
      <c r="D20" s="54" t="s">
        <v>91</v>
      </c>
      <c r="E20" s="55" t="s">
        <v>61</v>
      </c>
      <c r="F20" s="54" t="s">
        <v>13</v>
      </c>
      <c r="G20" s="56" t="s">
        <v>76</v>
      </c>
      <c r="H20" s="57"/>
      <c r="I20" s="58">
        <v>3</v>
      </c>
      <c r="J20" s="54" t="s">
        <v>13</v>
      </c>
      <c r="K20" s="58">
        <v>0</v>
      </c>
      <c r="L20" s="58"/>
      <c r="M20" s="59"/>
      <c r="N20" s="60"/>
      <c r="O20" s="68" t="s">
        <v>93</v>
      </c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6.5" customHeight="1">
      <c r="A21" s="39"/>
      <c r="B21" s="52">
        <v>15</v>
      </c>
      <c r="C21" s="53" t="s">
        <v>94</v>
      </c>
      <c r="D21" s="54" t="s">
        <v>95</v>
      </c>
      <c r="E21" s="55" t="s">
        <v>83</v>
      </c>
      <c r="F21" s="54" t="s">
        <v>13</v>
      </c>
      <c r="G21" s="56" t="s">
        <v>75</v>
      </c>
      <c r="H21" s="57"/>
      <c r="I21" s="58">
        <v>1</v>
      </c>
      <c r="J21" s="54" t="s">
        <v>13</v>
      </c>
      <c r="K21" s="58">
        <v>0</v>
      </c>
      <c r="L21" s="58"/>
      <c r="M21" s="59"/>
      <c r="N21" s="60"/>
      <c r="O21" s="39"/>
      <c r="P21" s="61" t="s">
        <v>16</v>
      </c>
      <c r="Q21" s="62" t="s">
        <v>17</v>
      </c>
      <c r="R21" s="62" t="s">
        <v>18</v>
      </c>
      <c r="S21" s="62" t="s">
        <v>19</v>
      </c>
      <c r="T21" s="62" t="s">
        <v>20</v>
      </c>
      <c r="U21" s="62" t="s">
        <v>21</v>
      </c>
      <c r="V21" s="39"/>
      <c r="W21" s="39"/>
      <c r="X21" s="39"/>
      <c r="Y21" s="39"/>
      <c r="Z21" s="39"/>
    </row>
    <row r="22" spans="1:26" ht="15.75" customHeight="1">
      <c r="A22" s="39"/>
      <c r="B22" s="52">
        <v>16</v>
      </c>
      <c r="C22" s="53" t="s">
        <v>96</v>
      </c>
      <c r="D22" s="54" t="s">
        <v>95</v>
      </c>
      <c r="E22" s="55" t="s">
        <v>60</v>
      </c>
      <c r="F22" s="54" t="s">
        <v>13</v>
      </c>
      <c r="G22" s="56" t="s">
        <v>68</v>
      </c>
      <c r="H22" s="57"/>
      <c r="I22" s="58">
        <v>2</v>
      </c>
      <c r="J22" s="54" t="s">
        <v>13</v>
      </c>
      <c r="K22" s="58">
        <v>1</v>
      </c>
      <c r="L22" s="58"/>
      <c r="M22" s="59"/>
      <c r="N22" s="60"/>
      <c r="O22" s="39"/>
      <c r="P22" s="69" t="s">
        <v>12</v>
      </c>
      <c r="Q22" s="69" t="s">
        <v>32</v>
      </c>
      <c r="R22" s="69" t="s">
        <v>46</v>
      </c>
      <c r="S22" s="69" t="s">
        <v>35</v>
      </c>
      <c r="T22" s="69" t="s">
        <v>42</v>
      </c>
      <c r="U22" s="69" t="s">
        <v>29</v>
      </c>
      <c r="V22" s="39"/>
      <c r="W22" s="39"/>
      <c r="X22" s="39"/>
      <c r="Y22" s="39"/>
      <c r="Z22" s="39"/>
    </row>
    <row r="23" spans="1:26" ht="15.75" customHeight="1">
      <c r="A23" s="39"/>
      <c r="B23" s="52">
        <v>17</v>
      </c>
      <c r="C23" s="53" t="s">
        <v>97</v>
      </c>
      <c r="D23" s="54" t="s">
        <v>98</v>
      </c>
      <c r="E23" s="55" t="s">
        <v>62</v>
      </c>
      <c r="F23" s="54" t="s">
        <v>13</v>
      </c>
      <c r="G23" s="56" t="s">
        <v>77</v>
      </c>
      <c r="H23" s="57"/>
      <c r="I23" s="58">
        <v>2</v>
      </c>
      <c r="J23" s="54" t="s">
        <v>13</v>
      </c>
      <c r="K23" s="58">
        <v>0</v>
      </c>
      <c r="L23" s="58"/>
      <c r="M23" s="59"/>
      <c r="N23" s="60"/>
      <c r="O23" s="39"/>
      <c r="P23" s="67" t="s">
        <v>14</v>
      </c>
      <c r="Q23" s="67" t="s">
        <v>33</v>
      </c>
      <c r="R23" s="67" t="s">
        <v>34</v>
      </c>
      <c r="S23" s="67" t="s">
        <v>40</v>
      </c>
      <c r="T23" s="67" t="s">
        <v>36</v>
      </c>
      <c r="U23" s="67" t="s">
        <v>43</v>
      </c>
      <c r="V23" s="39"/>
      <c r="W23" s="39"/>
      <c r="X23" s="39"/>
      <c r="Y23" s="39"/>
      <c r="Z23" s="39"/>
    </row>
    <row r="24" spans="1:26" ht="15.75" customHeight="1">
      <c r="A24" s="39"/>
      <c r="B24" s="52">
        <v>18</v>
      </c>
      <c r="C24" s="53" t="s">
        <v>99</v>
      </c>
      <c r="D24" s="54" t="s">
        <v>98</v>
      </c>
      <c r="E24" s="55" t="s">
        <v>85</v>
      </c>
      <c r="F24" s="54" t="s">
        <v>13</v>
      </c>
      <c r="G24" s="56" t="s">
        <v>70</v>
      </c>
      <c r="H24" s="57"/>
      <c r="I24" s="58">
        <v>0</v>
      </c>
      <c r="J24" s="54" t="s">
        <v>13</v>
      </c>
      <c r="K24" s="58">
        <v>3</v>
      </c>
      <c r="L24" s="58"/>
      <c r="M24" s="59"/>
      <c r="N24" s="60"/>
      <c r="O24" s="39"/>
      <c r="P24" s="67" t="s">
        <v>23</v>
      </c>
      <c r="Q24" s="67" t="s">
        <v>47</v>
      </c>
      <c r="R24" s="67" t="s">
        <v>26</v>
      </c>
      <c r="S24" s="67" t="s">
        <v>48</v>
      </c>
      <c r="T24" s="67" t="s">
        <v>28</v>
      </c>
      <c r="U24" s="67" t="s">
        <v>37</v>
      </c>
      <c r="V24" s="39"/>
      <c r="W24" s="39"/>
      <c r="X24" s="39"/>
      <c r="Y24" s="39"/>
      <c r="Z24" s="39"/>
    </row>
    <row r="25" spans="1:26" ht="15.75" customHeight="1">
      <c r="A25" s="39"/>
      <c r="B25" s="52">
        <v>19</v>
      </c>
      <c r="C25" s="53" t="s">
        <v>100</v>
      </c>
      <c r="D25" s="54" t="s">
        <v>101</v>
      </c>
      <c r="E25" s="55" t="s">
        <v>63</v>
      </c>
      <c r="F25" s="54" t="s">
        <v>13</v>
      </c>
      <c r="G25" s="56" t="s">
        <v>78</v>
      </c>
      <c r="H25" s="57"/>
      <c r="I25" s="58">
        <v>3</v>
      </c>
      <c r="J25" s="54" t="s">
        <v>13</v>
      </c>
      <c r="K25" s="58">
        <v>1</v>
      </c>
      <c r="L25" s="58"/>
      <c r="M25" s="59"/>
      <c r="N25" s="60"/>
      <c r="O25" s="39"/>
      <c r="P25" s="67" t="s">
        <v>24</v>
      </c>
      <c r="Q25" s="67" t="s">
        <v>25</v>
      </c>
      <c r="R25" s="67" t="s">
        <v>41</v>
      </c>
      <c r="S25" s="67" t="s">
        <v>27</v>
      </c>
      <c r="T25" s="67" t="s">
        <v>49</v>
      </c>
      <c r="U25" s="67" t="s">
        <v>50</v>
      </c>
      <c r="V25" s="39"/>
      <c r="W25" s="39"/>
      <c r="X25" s="39"/>
      <c r="Y25" s="39"/>
      <c r="Z25" s="39"/>
    </row>
    <row r="26" spans="1:26" ht="16.5" customHeight="1">
      <c r="A26" s="39"/>
      <c r="B26" s="52">
        <v>20</v>
      </c>
      <c r="C26" s="53" t="s">
        <v>102</v>
      </c>
      <c r="D26" s="54" t="s">
        <v>101</v>
      </c>
      <c r="E26" s="55" t="s">
        <v>71</v>
      </c>
      <c r="F26" s="54" t="s">
        <v>13</v>
      </c>
      <c r="G26" s="56" t="s">
        <v>86</v>
      </c>
      <c r="H26" s="57"/>
      <c r="I26" s="58">
        <v>2</v>
      </c>
      <c r="J26" s="54" t="s">
        <v>13</v>
      </c>
      <c r="K26" s="58">
        <v>0</v>
      </c>
      <c r="L26" s="58"/>
      <c r="M26" s="59"/>
      <c r="N26" s="60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6.5" customHeight="1">
      <c r="A27" s="39"/>
      <c r="B27" s="52">
        <v>21</v>
      </c>
      <c r="C27" s="53" t="s">
        <v>103</v>
      </c>
      <c r="D27" s="54" t="s">
        <v>104</v>
      </c>
      <c r="E27" s="55" t="s">
        <v>80</v>
      </c>
      <c r="F27" s="54" t="s">
        <v>13</v>
      </c>
      <c r="G27" s="56" t="s">
        <v>88</v>
      </c>
      <c r="H27" s="57"/>
      <c r="I27" s="58">
        <v>2</v>
      </c>
      <c r="J27" s="54" t="s">
        <v>13</v>
      </c>
      <c r="K27" s="58">
        <v>0</v>
      </c>
      <c r="L27" s="58"/>
      <c r="M27" s="59"/>
      <c r="N27" s="60"/>
      <c r="O27" s="39"/>
      <c r="P27" s="61" t="s">
        <v>53</v>
      </c>
      <c r="Q27" s="62" t="s">
        <v>54</v>
      </c>
      <c r="R27" s="62" t="s">
        <v>55</v>
      </c>
      <c r="S27" s="62" t="s">
        <v>56</v>
      </c>
      <c r="T27" s="62" t="s">
        <v>57</v>
      </c>
      <c r="U27" s="62" t="s">
        <v>58</v>
      </c>
      <c r="V27" s="39"/>
      <c r="W27" s="39"/>
      <c r="X27" s="39"/>
      <c r="Y27" s="39"/>
      <c r="Z27" s="39"/>
    </row>
    <row r="28" spans="1:26" ht="15.75" customHeight="1">
      <c r="A28" s="39"/>
      <c r="B28" s="52">
        <v>22</v>
      </c>
      <c r="C28" s="53" t="s">
        <v>105</v>
      </c>
      <c r="D28" s="54" t="s">
        <v>104</v>
      </c>
      <c r="E28" s="55" t="s">
        <v>65</v>
      </c>
      <c r="F28" s="54" t="s">
        <v>13</v>
      </c>
      <c r="G28" s="56" t="s">
        <v>73</v>
      </c>
      <c r="H28" s="57"/>
      <c r="I28" s="58">
        <v>2</v>
      </c>
      <c r="J28" s="54" t="s">
        <v>13</v>
      </c>
      <c r="K28" s="58">
        <v>0</v>
      </c>
      <c r="L28" s="58"/>
      <c r="M28" s="59"/>
      <c r="N28" s="60"/>
      <c r="O28" s="39"/>
      <c r="P28" s="69" t="s">
        <v>83</v>
      </c>
      <c r="Q28" s="69" t="s">
        <v>84</v>
      </c>
      <c r="R28" s="69" t="s">
        <v>62</v>
      </c>
      <c r="S28" s="69" t="s">
        <v>63</v>
      </c>
      <c r="T28" s="69" t="s">
        <v>64</v>
      </c>
      <c r="U28" s="69" t="s">
        <v>80</v>
      </c>
      <c r="V28" s="39"/>
      <c r="W28" s="39"/>
      <c r="X28" s="39"/>
      <c r="Y28" s="39"/>
      <c r="Z28" s="39"/>
    </row>
    <row r="29" spans="1:26" ht="15.75" customHeight="1">
      <c r="A29" s="39"/>
      <c r="B29" s="52">
        <v>23</v>
      </c>
      <c r="C29" s="53" t="s">
        <v>106</v>
      </c>
      <c r="D29" s="54" t="s">
        <v>107</v>
      </c>
      <c r="E29" s="55" t="s">
        <v>64</v>
      </c>
      <c r="F29" s="54" t="s">
        <v>13</v>
      </c>
      <c r="G29" s="56" t="s">
        <v>87</v>
      </c>
      <c r="H29" s="57"/>
      <c r="I29" s="58">
        <v>3</v>
      </c>
      <c r="J29" s="54" t="s">
        <v>13</v>
      </c>
      <c r="K29" s="58">
        <v>1</v>
      </c>
      <c r="L29" s="58"/>
      <c r="M29" s="59"/>
      <c r="N29" s="60"/>
      <c r="O29" s="39"/>
      <c r="P29" s="67" t="s">
        <v>75</v>
      </c>
      <c r="Q29" s="67" t="s">
        <v>69</v>
      </c>
      <c r="R29" s="67" t="s">
        <v>77</v>
      </c>
      <c r="S29" s="67" t="s">
        <v>78</v>
      </c>
      <c r="T29" s="67" t="s">
        <v>87</v>
      </c>
      <c r="U29" s="67" t="s">
        <v>88</v>
      </c>
      <c r="V29" s="39"/>
      <c r="W29" s="39"/>
      <c r="X29" s="39"/>
      <c r="Y29" s="39"/>
      <c r="Z29" s="39"/>
    </row>
    <row r="30" spans="1:26" ht="15.75" customHeight="1">
      <c r="A30" s="39"/>
      <c r="B30" s="52">
        <v>24</v>
      </c>
      <c r="C30" s="53" t="s">
        <v>108</v>
      </c>
      <c r="D30" s="54" t="s">
        <v>107</v>
      </c>
      <c r="E30" s="55" t="s">
        <v>79</v>
      </c>
      <c r="F30" s="54" t="s">
        <v>13</v>
      </c>
      <c r="G30" s="56" t="s">
        <v>72</v>
      </c>
      <c r="H30" s="57"/>
      <c r="I30" s="58">
        <v>1</v>
      </c>
      <c r="J30" s="54" t="s">
        <v>13</v>
      </c>
      <c r="K30" s="58">
        <v>2</v>
      </c>
      <c r="L30" s="58"/>
      <c r="M30" s="59"/>
      <c r="N30" s="60"/>
      <c r="O30" s="39"/>
      <c r="P30" s="67" t="s">
        <v>60</v>
      </c>
      <c r="Q30" s="67" t="s">
        <v>61</v>
      </c>
      <c r="R30" s="67" t="s">
        <v>85</v>
      </c>
      <c r="S30" s="67" t="s">
        <v>71</v>
      </c>
      <c r="T30" s="67" t="s">
        <v>79</v>
      </c>
      <c r="U30" s="67" t="s">
        <v>65</v>
      </c>
      <c r="V30" s="39"/>
      <c r="W30" s="39"/>
      <c r="X30" s="39"/>
      <c r="Y30" s="39"/>
      <c r="Z30" s="39"/>
    </row>
    <row r="31" spans="1:26" ht="15.75" customHeight="1">
      <c r="A31" s="39"/>
      <c r="B31" s="52">
        <v>25</v>
      </c>
      <c r="C31" s="53" t="s">
        <v>109</v>
      </c>
      <c r="D31" s="54" t="s">
        <v>11</v>
      </c>
      <c r="E31" s="55" t="s">
        <v>24</v>
      </c>
      <c r="F31" s="54" t="s">
        <v>13</v>
      </c>
      <c r="G31" s="56" t="s">
        <v>14</v>
      </c>
      <c r="H31" s="57"/>
      <c r="I31" s="58">
        <v>1</v>
      </c>
      <c r="J31" s="54" t="s">
        <v>13</v>
      </c>
      <c r="K31" s="58">
        <v>1</v>
      </c>
      <c r="L31" s="58"/>
      <c r="M31" s="59"/>
      <c r="N31" s="60"/>
      <c r="O31" s="39"/>
      <c r="P31" s="67" t="s">
        <v>68</v>
      </c>
      <c r="Q31" s="67" t="s">
        <v>76</v>
      </c>
      <c r="R31" s="67" t="s">
        <v>70</v>
      </c>
      <c r="S31" s="67" t="s">
        <v>86</v>
      </c>
      <c r="T31" s="67" t="s">
        <v>72</v>
      </c>
      <c r="U31" s="67" t="s">
        <v>73</v>
      </c>
      <c r="V31" s="39"/>
      <c r="W31" s="39"/>
      <c r="X31" s="39"/>
      <c r="Y31" s="39"/>
      <c r="Z31" s="39"/>
    </row>
    <row r="32" spans="1:26" ht="15.75" customHeight="1">
      <c r="A32" s="39"/>
      <c r="B32" s="52">
        <v>26</v>
      </c>
      <c r="C32" s="53" t="s">
        <v>110</v>
      </c>
      <c r="D32" s="54" t="s">
        <v>31</v>
      </c>
      <c r="E32" s="55" t="s">
        <v>25</v>
      </c>
      <c r="F32" s="54" t="s">
        <v>13</v>
      </c>
      <c r="G32" s="56" t="s">
        <v>33</v>
      </c>
      <c r="H32" s="57"/>
      <c r="I32" s="58">
        <v>1</v>
      </c>
      <c r="J32" s="54" t="s">
        <v>13</v>
      </c>
      <c r="K32" s="58">
        <v>0</v>
      </c>
      <c r="L32" s="58"/>
      <c r="M32" s="59"/>
      <c r="N32" s="60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5.75" customHeight="1">
      <c r="A33" s="39"/>
      <c r="B33" s="52">
        <v>27</v>
      </c>
      <c r="C33" s="53" t="s">
        <v>111</v>
      </c>
      <c r="D33" s="54" t="s">
        <v>31</v>
      </c>
      <c r="E33" s="55" t="s">
        <v>32</v>
      </c>
      <c r="F33" s="54" t="s">
        <v>13</v>
      </c>
      <c r="G33" s="56" t="s">
        <v>47</v>
      </c>
      <c r="H33" s="57"/>
      <c r="I33" s="58">
        <v>2</v>
      </c>
      <c r="J33" s="54" t="s">
        <v>13</v>
      </c>
      <c r="K33" s="58">
        <v>0</v>
      </c>
      <c r="L33" s="58"/>
      <c r="M33" s="59"/>
      <c r="N33" s="60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5.75" customHeight="1">
      <c r="A34" s="39"/>
      <c r="B34" s="52">
        <v>28</v>
      </c>
      <c r="C34" s="53" t="s">
        <v>112</v>
      </c>
      <c r="D34" s="54" t="s">
        <v>11</v>
      </c>
      <c r="E34" s="55" t="s">
        <v>12</v>
      </c>
      <c r="F34" s="54" t="s">
        <v>13</v>
      </c>
      <c r="G34" s="56" t="s">
        <v>23</v>
      </c>
      <c r="H34" s="57"/>
      <c r="I34" s="58">
        <v>2</v>
      </c>
      <c r="J34" s="54" t="s">
        <v>13</v>
      </c>
      <c r="K34" s="58">
        <v>1</v>
      </c>
      <c r="L34" s="58"/>
      <c r="M34" s="59"/>
      <c r="N34" s="60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5.75" customHeight="1">
      <c r="A35" s="39"/>
      <c r="B35" s="52">
        <v>29</v>
      </c>
      <c r="C35" s="53" t="s">
        <v>113</v>
      </c>
      <c r="D35" s="54" t="s">
        <v>45</v>
      </c>
      <c r="E35" s="55" t="s">
        <v>26</v>
      </c>
      <c r="F35" s="54" t="s">
        <v>13</v>
      </c>
      <c r="G35" s="56" t="s">
        <v>46</v>
      </c>
      <c r="H35" s="57"/>
      <c r="I35" s="58">
        <v>3</v>
      </c>
      <c r="J35" s="54" t="s">
        <v>13</v>
      </c>
      <c r="K35" s="58">
        <v>0</v>
      </c>
      <c r="L35" s="58"/>
      <c r="M35" s="59"/>
      <c r="N35" s="60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5.75" customHeight="1">
      <c r="A36" s="39"/>
      <c r="B36" s="52">
        <v>30</v>
      </c>
      <c r="C36" s="53" t="s">
        <v>114</v>
      </c>
      <c r="D36" s="54" t="s">
        <v>45</v>
      </c>
      <c r="E36" s="55" t="s">
        <v>34</v>
      </c>
      <c r="F36" s="54" t="s">
        <v>13</v>
      </c>
      <c r="G36" s="56" t="s">
        <v>41</v>
      </c>
      <c r="H36" s="57"/>
      <c r="I36" s="58">
        <v>1</v>
      </c>
      <c r="J36" s="54" t="s">
        <v>13</v>
      </c>
      <c r="K36" s="58">
        <v>2</v>
      </c>
      <c r="L36" s="58"/>
      <c r="M36" s="59"/>
      <c r="N36" s="60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5.75" customHeight="1">
      <c r="A37" s="39"/>
      <c r="B37" s="52">
        <v>31</v>
      </c>
      <c r="C37" s="53" t="s">
        <v>115</v>
      </c>
      <c r="D37" s="54" t="s">
        <v>39</v>
      </c>
      <c r="E37" s="55" t="s">
        <v>27</v>
      </c>
      <c r="F37" s="54" t="s">
        <v>13</v>
      </c>
      <c r="G37" s="56" t="s">
        <v>40</v>
      </c>
      <c r="H37" s="57"/>
      <c r="I37" s="58">
        <v>2</v>
      </c>
      <c r="J37" s="54" t="s">
        <v>13</v>
      </c>
      <c r="K37" s="58">
        <v>0</v>
      </c>
      <c r="L37" s="58"/>
      <c r="M37" s="59"/>
      <c r="N37" s="60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5.75" customHeight="1">
      <c r="A38" s="39"/>
      <c r="B38" s="52">
        <v>32</v>
      </c>
      <c r="C38" s="53" t="s">
        <v>116</v>
      </c>
      <c r="D38" s="54" t="s">
        <v>39</v>
      </c>
      <c r="E38" s="55" t="s">
        <v>35</v>
      </c>
      <c r="F38" s="54" t="s">
        <v>13</v>
      </c>
      <c r="G38" s="56" t="s">
        <v>48</v>
      </c>
      <c r="H38" s="57"/>
      <c r="I38" s="58">
        <v>2</v>
      </c>
      <c r="J38" s="54" t="s">
        <v>13</v>
      </c>
      <c r="K38" s="58">
        <v>0</v>
      </c>
      <c r="L38" s="58"/>
      <c r="M38" s="59"/>
      <c r="N38" s="60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5.75" customHeight="1">
      <c r="A39" s="39"/>
      <c r="B39" s="52">
        <v>33</v>
      </c>
      <c r="C39" s="53" t="s">
        <v>117</v>
      </c>
      <c r="D39" s="54" t="s">
        <v>67</v>
      </c>
      <c r="E39" s="55" t="s">
        <v>28</v>
      </c>
      <c r="F39" s="54" t="s">
        <v>13</v>
      </c>
      <c r="G39" s="56" t="s">
        <v>42</v>
      </c>
      <c r="H39" s="57"/>
      <c r="I39" s="58">
        <v>2</v>
      </c>
      <c r="J39" s="54" t="s">
        <v>13</v>
      </c>
      <c r="K39" s="58">
        <v>0</v>
      </c>
      <c r="L39" s="58"/>
      <c r="M39" s="59"/>
      <c r="N39" s="60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5.75" customHeight="1">
      <c r="A40" s="39"/>
      <c r="B40" s="52">
        <v>34</v>
      </c>
      <c r="C40" s="53" t="s">
        <v>118</v>
      </c>
      <c r="D40" s="54" t="s">
        <v>67</v>
      </c>
      <c r="E40" s="55" t="s">
        <v>36</v>
      </c>
      <c r="F40" s="54" t="s">
        <v>13</v>
      </c>
      <c r="G40" s="56" t="s">
        <v>49</v>
      </c>
      <c r="H40" s="57"/>
      <c r="I40" s="58">
        <v>1</v>
      </c>
      <c r="J40" s="54" t="s">
        <v>13</v>
      </c>
      <c r="K40" s="58">
        <v>0</v>
      </c>
      <c r="L40" s="58"/>
      <c r="M40" s="59"/>
      <c r="N40" s="60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5.75" customHeight="1">
      <c r="A41" s="39"/>
      <c r="B41" s="52">
        <v>35</v>
      </c>
      <c r="C41" s="53" t="s">
        <v>119</v>
      </c>
      <c r="D41" s="54" t="s">
        <v>82</v>
      </c>
      <c r="E41" s="55" t="s">
        <v>29</v>
      </c>
      <c r="F41" s="54" t="s">
        <v>13</v>
      </c>
      <c r="G41" s="56" t="s">
        <v>37</v>
      </c>
      <c r="H41" s="57"/>
      <c r="I41" s="58">
        <v>2</v>
      </c>
      <c r="J41" s="54" t="s">
        <v>13</v>
      </c>
      <c r="K41" s="58">
        <v>1</v>
      </c>
      <c r="L41" s="58"/>
      <c r="M41" s="59"/>
      <c r="N41" s="60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5.75" customHeight="1">
      <c r="A42" s="39"/>
      <c r="B42" s="52">
        <v>36</v>
      </c>
      <c r="C42" s="53" t="s">
        <v>120</v>
      </c>
      <c r="D42" s="54" t="s">
        <v>82</v>
      </c>
      <c r="E42" s="55" t="s">
        <v>50</v>
      </c>
      <c r="F42" s="54" t="s">
        <v>13</v>
      </c>
      <c r="G42" s="56" t="s">
        <v>43</v>
      </c>
      <c r="H42" s="57"/>
      <c r="I42" s="58">
        <v>0</v>
      </c>
      <c r="J42" s="54" t="s">
        <v>13</v>
      </c>
      <c r="K42" s="58">
        <v>2</v>
      </c>
      <c r="L42" s="58"/>
      <c r="M42" s="59"/>
      <c r="N42" s="60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5.75" customHeight="1">
      <c r="A43" s="39"/>
      <c r="B43" s="52">
        <v>37</v>
      </c>
      <c r="C43" s="53" t="s">
        <v>121</v>
      </c>
      <c r="D43" s="54" t="s">
        <v>91</v>
      </c>
      <c r="E43" s="55" t="s">
        <v>69</v>
      </c>
      <c r="F43" s="54" t="s">
        <v>13</v>
      </c>
      <c r="G43" s="56" t="s">
        <v>76</v>
      </c>
      <c r="H43" s="57"/>
      <c r="I43" s="58">
        <v>2</v>
      </c>
      <c r="J43" s="54" t="s">
        <v>13</v>
      </c>
      <c r="K43" s="58">
        <v>0</v>
      </c>
      <c r="L43" s="58"/>
      <c r="M43" s="59"/>
      <c r="N43" s="44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5.75" customHeight="1">
      <c r="A44" s="39"/>
      <c r="B44" s="52">
        <v>38</v>
      </c>
      <c r="C44" s="53" t="s">
        <v>122</v>
      </c>
      <c r="D44" s="54" t="s">
        <v>91</v>
      </c>
      <c r="E44" s="55" t="s">
        <v>61</v>
      </c>
      <c r="F44" s="54" t="s">
        <v>13</v>
      </c>
      <c r="G44" s="56" t="s">
        <v>84</v>
      </c>
      <c r="H44" s="57"/>
      <c r="I44" s="58">
        <v>3</v>
      </c>
      <c r="J44" s="54" t="s">
        <v>13</v>
      </c>
      <c r="K44" s="58">
        <v>1</v>
      </c>
      <c r="L44" s="58"/>
      <c r="M44" s="59"/>
      <c r="N44" s="44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5.75" customHeight="1">
      <c r="A45" s="39"/>
      <c r="B45" s="52">
        <v>39</v>
      </c>
      <c r="C45" s="53" t="s">
        <v>123</v>
      </c>
      <c r="D45" s="54" t="s">
        <v>95</v>
      </c>
      <c r="E45" s="55" t="s">
        <v>60</v>
      </c>
      <c r="F45" s="54" t="s">
        <v>13</v>
      </c>
      <c r="G45" s="56" t="s">
        <v>83</v>
      </c>
      <c r="H45" s="57"/>
      <c r="I45" s="58">
        <v>2</v>
      </c>
      <c r="J45" s="54" t="s">
        <v>13</v>
      </c>
      <c r="K45" s="58">
        <v>1</v>
      </c>
      <c r="L45" s="58"/>
      <c r="M45" s="59"/>
      <c r="N45" s="44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5.75" customHeight="1">
      <c r="A46" s="39"/>
      <c r="B46" s="52">
        <v>40</v>
      </c>
      <c r="C46" s="53" t="s">
        <v>124</v>
      </c>
      <c r="D46" s="54" t="s">
        <v>95</v>
      </c>
      <c r="E46" s="55" t="s">
        <v>75</v>
      </c>
      <c r="F46" s="54" t="s">
        <v>13</v>
      </c>
      <c r="G46" s="56" t="s">
        <v>68</v>
      </c>
      <c r="H46" s="57"/>
      <c r="I46" s="58">
        <v>1</v>
      </c>
      <c r="J46" s="54" t="s">
        <v>13</v>
      </c>
      <c r="K46" s="58">
        <v>2</v>
      </c>
      <c r="L46" s="58"/>
      <c r="M46" s="59"/>
      <c r="N46" s="44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5.75" customHeight="1">
      <c r="A47" s="39"/>
      <c r="B47" s="52">
        <v>41</v>
      </c>
      <c r="C47" s="53" t="s">
        <v>125</v>
      </c>
      <c r="D47" s="54" t="s">
        <v>98</v>
      </c>
      <c r="E47" s="55" t="s">
        <v>70</v>
      </c>
      <c r="F47" s="54" t="s">
        <v>13</v>
      </c>
      <c r="G47" s="56" t="s">
        <v>77</v>
      </c>
      <c r="H47" s="57"/>
      <c r="I47" s="58">
        <v>2</v>
      </c>
      <c r="J47" s="54" t="s">
        <v>13</v>
      </c>
      <c r="K47" s="58">
        <v>1</v>
      </c>
      <c r="L47" s="58"/>
      <c r="M47" s="59"/>
      <c r="N47" s="44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5.75" customHeight="1">
      <c r="A48" s="39"/>
      <c r="B48" s="52">
        <v>42</v>
      </c>
      <c r="C48" s="53" t="s">
        <v>126</v>
      </c>
      <c r="D48" s="54" t="s">
        <v>98</v>
      </c>
      <c r="E48" s="55" t="s">
        <v>62</v>
      </c>
      <c r="F48" s="54" t="s">
        <v>13</v>
      </c>
      <c r="G48" s="56" t="s">
        <v>85</v>
      </c>
      <c r="H48" s="57"/>
      <c r="I48" s="58">
        <v>2</v>
      </c>
      <c r="J48" s="54" t="s">
        <v>13</v>
      </c>
      <c r="K48" s="58">
        <v>0</v>
      </c>
      <c r="L48" s="58"/>
      <c r="M48" s="59"/>
      <c r="N48" s="44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5.75" customHeight="1">
      <c r="A49" s="39"/>
      <c r="B49" s="52">
        <v>43</v>
      </c>
      <c r="C49" s="53" t="s">
        <v>127</v>
      </c>
      <c r="D49" s="54" t="s">
        <v>101</v>
      </c>
      <c r="E49" s="55" t="s">
        <v>63</v>
      </c>
      <c r="F49" s="54" t="s">
        <v>13</v>
      </c>
      <c r="G49" s="56" t="s">
        <v>71</v>
      </c>
      <c r="H49" s="57"/>
      <c r="I49" s="58">
        <v>3</v>
      </c>
      <c r="J49" s="54" t="s">
        <v>13</v>
      </c>
      <c r="K49" s="58">
        <v>0</v>
      </c>
      <c r="L49" s="58"/>
      <c r="M49" s="59"/>
      <c r="N49" s="44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5.75" customHeight="1">
      <c r="A50" s="39"/>
      <c r="B50" s="52">
        <v>44</v>
      </c>
      <c r="C50" s="53" t="s">
        <v>128</v>
      </c>
      <c r="D50" s="54" t="s">
        <v>101</v>
      </c>
      <c r="E50" s="55" t="s">
        <v>86</v>
      </c>
      <c r="F50" s="54" t="s">
        <v>13</v>
      </c>
      <c r="G50" s="56" t="s">
        <v>78</v>
      </c>
      <c r="H50" s="57"/>
      <c r="I50" s="58">
        <v>0</v>
      </c>
      <c r="J50" s="54" t="s">
        <v>13</v>
      </c>
      <c r="K50" s="58">
        <v>2</v>
      </c>
      <c r="L50" s="58"/>
      <c r="M50" s="59"/>
      <c r="N50" s="44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5.75" customHeight="1">
      <c r="A51" s="39"/>
      <c r="B51" s="52">
        <v>45</v>
      </c>
      <c r="C51" s="53" t="s">
        <v>129</v>
      </c>
      <c r="D51" s="54" t="s">
        <v>104</v>
      </c>
      <c r="E51" s="55" t="s">
        <v>65</v>
      </c>
      <c r="F51" s="54" t="s">
        <v>13</v>
      </c>
      <c r="G51" s="56" t="s">
        <v>80</v>
      </c>
      <c r="H51" s="57"/>
      <c r="I51" s="58">
        <v>1</v>
      </c>
      <c r="J51" s="54" t="s">
        <v>13</v>
      </c>
      <c r="K51" s="58">
        <v>0</v>
      </c>
      <c r="L51" s="58"/>
      <c r="M51" s="59"/>
      <c r="N51" s="44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5.75" customHeight="1">
      <c r="A52" s="39"/>
      <c r="B52" s="52">
        <v>46</v>
      </c>
      <c r="C52" s="53" t="s">
        <v>130</v>
      </c>
      <c r="D52" s="54" t="s">
        <v>104</v>
      </c>
      <c r="E52" s="55" t="s">
        <v>88</v>
      </c>
      <c r="F52" s="54" t="s">
        <v>13</v>
      </c>
      <c r="G52" s="56" t="s">
        <v>73</v>
      </c>
      <c r="H52" s="57"/>
      <c r="I52" s="58">
        <v>1</v>
      </c>
      <c r="J52" s="54" t="s">
        <v>13</v>
      </c>
      <c r="K52" s="58">
        <v>2</v>
      </c>
      <c r="L52" s="58"/>
      <c r="M52" s="59"/>
      <c r="N52" s="44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5.75" customHeight="1">
      <c r="A53" s="39"/>
      <c r="B53" s="52">
        <v>47</v>
      </c>
      <c r="C53" s="53" t="s">
        <v>131</v>
      </c>
      <c r="D53" s="54" t="s">
        <v>107</v>
      </c>
      <c r="E53" s="55" t="s">
        <v>64</v>
      </c>
      <c r="F53" s="54" t="s">
        <v>13</v>
      </c>
      <c r="G53" s="56" t="s">
        <v>79</v>
      </c>
      <c r="H53" s="57"/>
      <c r="I53" s="58">
        <v>3</v>
      </c>
      <c r="J53" s="54" t="s">
        <v>13</v>
      </c>
      <c r="K53" s="58">
        <v>0</v>
      </c>
      <c r="L53" s="58"/>
      <c r="M53" s="59"/>
      <c r="N53" s="44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5.75" customHeight="1">
      <c r="A54" s="39"/>
      <c r="B54" s="52">
        <v>48</v>
      </c>
      <c r="C54" s="53" t="s">
        <v>132</v>
      </c>
      <c r="D54" s="54" t="s">
        <v>107</v>
      </c>
      <c r="E54" s="55" t="s">
        <v>72</v>
      </c>
      <c r="F54" s="54" t="s">
        <v>13</v>
      </c>
      <c r="G54" s="56" t="s">
        <v>87</v>
      </c>
      <c r="H54" s="57"/>
      <c r="I54" s="58">
        <v>2</v>
      </c>
      <c r="J54" s="54" t="s">
        <v>13</v>
      </c>
      <c r="K54" s="58">
        <v>0</v>
      </c>
      <c r="L54" s="58"/>
      <c r="M54" s="59"/>
      <c r="N54" s="44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5.75" customHeight="1">
      <c r="A55" s="39"/>
      <c r="B55" s="52">
        <v>49</v>
      </c>
      <c r="C55" s="53" t="s">
        <v>133</v>
      </c>
      <c r="D55" s="54" t="s">
        <v>45</v>
      </c>
      <c r="E55" s="55" t="s">
        <v>34</v>
      </c>
      <c r="F55" s="54" t="s">
        <v>13</v>
      </c>
      <c r="G55" s="56" t="s">
        <v>26</v>
      </c>
      <c r="H55" s="57"/>
      <c r="I55" s="58">
        <v>0</v>
      </c>
      <c r="J55" s="54" t="s">
        <v>13</v>
      </c>
      <c r="K55" s="58">
        <v>2</v>
      </c>
      <c r="L55" s="58"/>
      <c r="M55" s="59"/>
      <c r="N55" s="44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5.75" customHeight="1">
      <c r="A56" s="39"/>
      <c r="B56" s="52">
        <v>50</v>
      </c>
      <c r="C56" s="53" t="s">
        <v>133</v>
      </c>
      <c r="D56" s="54" t="s">
        <v>45</v>
      </c>
      <c r="E56" s="55" t="s">
        <v>41</v>
      </c>
      <c r="F56" s="54" t="s">
        <v>13</v>
      </c>
      <c r="G56" s="56" t="s">
        <v>46</v>
      </c>
      <c r="H56" s="57"/>
      <c r="I56" s="58">
        <v>2</v>
      </c>
      <c r="J56" s="54" t="s">
        <v>13</v>
      </c>
      <c r="K56" s="58">
        <v>0</v>
      </c>
      <c r="L56" s="58"/>
      <c r="M56" s="59"/>
      <c r="N56" s="44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5.75" customHeight="1">
      <c r="A57" s="39"/>
      <c r="B57" s="52">
        <v>51</v>
      </c>
      <c r="C57" s="53" t="s">
        <v>134</v>
      </c>
      <c r="D57" s="54" t="s">
        <v>31</v>
      </c>
      <c r="E57" s="55" t="s">
        <v>25</v>
      </c>
      <c r="F57" s="54" t="s">
        <v>13</v>
      </c>
      <c r="G57" s="56" t="s">
        <v>32</v>
      </c>
      <c r="H57" s="57"/>
      <c r="I57" s="58">
        <v>1</v>
      </c>
      <c r="J57" s="54" t="s">
        <v>13</v>
      </c>
      <c r="K57" s="58">
        <v>0</v>
      </c>
      <c r="L57" s="58"/>
      <c r="M57" s="59"/>
      <c r="N57" s="44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5.75" customHeight="1">
      <c r="A58" s="39"/>
      <c r="B58" s="52">
        <v>52</v>
      </c>
      <c r="C58" s="53" t="s">
        <v>134</v>
      </c>
      <c r="D58" s="54" t="s">
        <v>31</v>
      </c>
      <c r="E58" s="55" t="s">
        <v>33</v>
      </c>
      <c r="F58" s="54" t="s">
        <v>13</v>
      </c>
      <c r="G58" s="56" t="s">
        <v>47</v>
      </c>
      <c r="H58" s="57"/>
      <c r="I58" s="58">
        <v>2</v>
      </c>
      <c r="J58" s="54" t="s">
        <v>13</v>
      </c>
      <c r="K58" s="58">
        <v>0</v>
      </c>
      <c r="L58" s="58"/>
      <c r="M58" s="59"/>
      <c r="N58" s="44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5.75" customHeight="1">
      <c r="A59" s="39"/>
      <c r="B59" s="52">
        <v>53</v>
      </c>
      <c r="C59" s="53" t="s">
        <v>135</v>
      </c>
      <c r="D59" s="54" t="s">
        <v>11</v>
      </c>
      <c r="E59" s="55" t="s">
        <v>24</v>
      </c>
      <c r="F59" s="54" t="s">
        <v>13</v>
      </c>
      <c r="G59" s="56" t="s">
        <v>12</v>
      </c>
      <c r="H59" s="57"/>
      <c r="I59" s="58">
        <v>1</v>
      </c>
      <c r="J59" s="54" t="s">
        <v>13</v>
      </c>
      <c r="K59" s="58">
        <v>2</v>
      </c>
      <c r="L59" s="58"/>
      <c r="M59" s="59"/>
      <c r="N59" s="44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5.75" customHeight="1">
      <c r="A60" s="39"/>
      <c r="B60" s="52">
        <v>54</v>
      </c>
      <c r="C60" s="53" t="s">
        <v>135</v>
      </c>
      <c r="D60" s="54" t="s">
        <v>11</v>
      </c>
      <c r="E60" s="55" t="s">
        <v>14</v>
      </c>
      <c r="F60" s="54" t="s">
        <v>13</v>
      </c>
      <c r="G60" s="56" t="s">
        <v>23</v>
      </c>
      <c r="H60" s="57"/>
      <c r="I60" s="58">
        <v>1</v>
      </c>
      <c r="J60" s="54" t="s">
        <v>13</v>
      </c>
      <c r="K60" s="58">
        <v>2</v>
      </c>
      <c r="L60" s="58"/>
      <c r="M60" s="59"/>
      <c r="N60" s="44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5.75" customHeight="1">
      <c r="A61" s="39"/>
      <c r="B61" s="52">
        <v>55</v>
      </c>
      <c r="C61" s="53" t="s">
        <v>136</v>
      </c>
      <c r="D61" s="54" t="s">
        <v>67</v>
      </c>
      <c r="E61" s="55" t="s">
        <v>49</v>
      </c>
      <c r="F61" s="54" t="s">
        <v>13</v>
      </c>
      <c r="G61" s="56" t="s">
        <v>42</v>
      </c>
      <c r="H61" s="57"/>
      <c r="I61" s="58">
        <v>0</v>
      </c>
      <c r="J61" s="54" t="s">
        <v>13</v>
      </c>
      <c r="K61" s="58">
        <v>2</v>
      </c>
      <c r="L61" s="58"/>
      <c r="M61" s="59"/>
      <c r="N61" s="44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5.75" customHeight="1">
      <c r="A62" s="39"/>
      <c r="B62" s="52">
        <v>56</v>
      </c>
      <c r="C62" s="53" t="s">
        <v>136</v>
      </c>
      <c r="D62" s="54" t="s">
        <v>67</v>
      </c>
      <c r="E62" s="55" t="s">
        <v>36</v>
      </c>
      <c r="F62" s="54" t="s">
        <v>13</v>
      </c>
      <c r="G62" s="56" t="s">
        <v>28</v>
      </c>
      <c r="H62" s="57"/>
      <c r="I62" s="58">
        <v>0</v>
      </c>
      <c r="J62" s="54" t="s">
        <v>13</v>
      </c>
      <c r="K62" s="58">
        <v>2</v>
      </c>
      <c r="L62" s="58"/>
      <c r="M62" s="59"/>
      <c r="N62" s="44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5.75" customHeight="1">
      <c r="A63" s="39"/>
      <c r="B63" s="52">
        <v>57</v>
      </c>
      <c r="C63" s="53" t="s">
        <v>137</v>
      </c>
      <c r="D63" s="54" t="s">
        <v>82</v>
      </c>
      <c r="E63" s="55" t="s">
        <v>43</v>
      </c>
      <c r="F63" s="54" t="s">
        <v>13</v>
      </c>
      <c r="G63" s="56" t="s">
        <v>37</v>
      </c>
      <c r="H63" s="57"/>
      <c r="I63" s="58">
        <v>2</v>
      </c>
      <c r="J63" s="54" t="s">
        <v>13</v>
      </c>
      <c r="K63" s="58">
        <v>1</v>
      </c>
      <c r="L63" s="58"/>
      <c r="M63" s="59"/>
      <c r="N63" s="44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5.75" customHeight="1">
      <c r="A64" s="39"/>
      <c r="B64" s="52">
        <v>58</v>
      </c>
      <c r="C64" s="53" t="s">
        <v>137</v>
      </c>
      <c r="D64" s="54" t="s">
        <v>82</v>
      </c>
      <c r="E64" s="55" t="s">
        <v>50</v>
      </c>
      <c r="F64" s="54" t="s">
        <v>13</v>
      </c>
      <c r="G64" s="56" t="s">
        <v>29</v>
      </c>
      <c r="H64" s="57"/>
      <c r="I64" s="58">
        <v>1</v>
      </c>
      <c r="J64" s="54" t="s">
        <v>13</v>
      </c>
      <c r="K64" s="58">
        <v>2</v>
      </c>
      <c r="L64" s="58"/>
      <c r="M64" s="59"/>
      <c r="N64" s="44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5.75" customHeight="1">
      <c r="A65" s="39"/>
      <c r="B65" s="52">
        <v>59</v>
      </c>
      <c r="C65" s="53" t="s">
        <v>138</v>
      </c>
      <c r="D65" s="54" t="s">
        <v>39</v>
      </c>
      <c r="E65" s="55" t="s">
        <v>27</v>
      </c>
      <c r="F65" s="54" t="s">
        <v>13</v>
      </c>
      <c r="G65" s="56" t="s">
        <v>35</v>
      </c>
      <c r="H65" s="57"/>
      <c r="I65" s="58">
        <v>2</v>
      </c>
      <c r="J65" s="54" t="s">
        <v>13</v>
      </c>
      <c r="K65" s="58">
        <v>1</v>
      </c>
      <c r="L65" s="58"/>
      <c r="M65" s="59"/>
      <c r="N65" s="44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5.75" customHeight="1">
      <c r="A66" s="39"/>
      <c r="B66" s="52">
        <v>60</v>
      </c>
      <c r="C66" s="53" t="s">
        <v>138</v>
      </c>
      <c r="D66" s="54" t="s">
        <v>39</v>
      </c>
      <c r="E66" s="55" t="s">
        <v>40</v>
      </c>
      <c r="F66" s="54" t="s">
        <v>13</v>
      </c>
      <c r="G66" s="56" t="s">
        <v>48</v>
      </c>
      <c r="H66" s="57"/>
      <c r="I66" s="58">
        <v>1</v>
      </c>
      <c r="J66" s="54" t="s">
        <v>13</v>
      </c>
      <c r="K66" s="58">
        <v>0</v>
      </c>
      <c r="L66" s="58"/>
      <c r="M66" s="59"/>
      <c r="N66" s="44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5.75" customHeight="1">
      <c r="A67" s="39"/>
      <c r="B67" s="52">
        <v>61</v>
      </c>
      <c r="C67" s="53" t="s">
        <v>139</v>
      </c>
      <c r="D67" s="54" t="s">
        <v>98</v>
      </c>
      <c r="E67" s="55" t="s">
        <v>70</v>
      </c>
      <c r="F67" s="54" t="s">
        <v>13</v>
      </c>
      <c r="G67" s="56" t="s">
        <v>62</v>
      </c>
      <c r="H67" s="57"/>
      <c r="I67" s="58">
        <v>0</v>
      </c>
      <c r="J67" s="54" t="s">
        <v>13</v>
      </c>
      <c r="K67" s="58">
        <v>2</v>
      </c>
      <c r="L67" s="58"/>
      <c r="M67" s="59"/>
      <c r="N67" s="44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5.75" customHeight="1">
      <c r="A68" s="39"/>
      <c r="B68" s="52">
        <v>62</v>
      </c>
      <c r="C68" s="53" t="s">
        <v>139</v>
      </c>
      <c r="D68" s="54" t="s">
        <v>98</v>
      </c>
      <c r="E68" s="55" t="s">
        <v>77</v>
      </c>
      <c r="F68" s="54" t="s">
        <v>13</v>
      </c>
      <c r="G68" s="56" t="s">
        <v>85</v>
      </c>
      <c r="H68" s="57"/>
      <c r="I68" s="58">
        <v>2</v>
      </c>
      <c r="J68" s="54" t="s">
        <v>13</v>
      </c>
      <c r="K68" s="58">
        <v>0</v>
      </c>
      <c r="L68" s="58"/>
      <c r="M68" s="59"/>
      <c r="N68" s="44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5.75" customHeight="1">
      <c r="A69" s="39"/>
      <c r="B69" s="52">
        <v>63</v>
      </c>
      <c r="C69" s="53" t="s">
        <v>140</v>
      </c>
      <c r="D69" s="54" t="s">
        <v>95</v>
      </c>
      <c r="E69" s="55" t="s">
        <v>68</v>
      </c>
      <c r="F69" s="54" t="s">
        <v>13</v>
      </c>
      <c r="G69" s="56" t="s">
        <v>83</v>
      </c>
      <c r="H69" s="57"/>
      <c r="I69" s="58">
        <v>2</v>
      </c>
      <c r="J69" s="54" t="s">
        <v>13</v>
      </c>
      <c r="K69" s="58">
        <v>1</v>
      </c>
      <c r="L69" s="58"/>
      <c r="M69" s="59"/>
      <c r="N69" s="44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5.75" customHeight="1">
      <c r="A70" s="39"/>
      <c r="B70" s="52">
        <v>64</v>
      </c>
      <c r="C70" s="53" t="s">
        <v>140</v>
      </c>
      <c r="D70" s="54" t="s">
        <v>95</v>
      </c>
      <c r="E70" s="55" t="s">
        <v>75</v>
      </c>
      <c r="F70" s="54" t="s">
        <v>13</v>
      </c>
      <c r="G70" s="56" t="s">
        <v>60</v>
      </c>
      <c r="H70" s="57"/>
      <c r="I70" s="58">
        <v>1</v>
      </c>
      <c r="J70" s="54" t="s">
        <v>13</v>
      </c>
      <c r="K70" s="58">
        <v>3</v>
      </c>
      <c r="L70" s="58"/>
      <c r="M70" s="59"/>
      <c r="N70" s="44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5.75" customHeight="1">
      <c r="A71" s="39"/>
      <c r="B71" s="52">
        <v>65</v>
      </c>
      <c r="C71" s="53" t="s">
        <v>141</v>
      </c>
      <c r="D71" s="54" t="s">
        <v>91</v>
      </c>
      <c r="E71" s="55" t="s">
        <v>76</v>
      </c>
      <c r="F71" s="54" t="s">
        <v>13</v>
      </c>
      <c r="G71" s="56" t="s">
        <v>84</v>
      </c>
      <c r="H71" s="57"/>
      <c r="I71" s="58">
        <v>0</v>
      </c>
      <c r="J71" s="54" t="s">
        <v>13</v>
      </c>
      <c r="K71" s="58">
        <v>2</v>
      </c>
      <c r="L71" s="58"/>
      <c r="M71" s="59"/>
      <c r="N71" s="44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5.75" customHeight="1">
      <c r="A72" s="39"/>
      <c r="B72" s="52">
        <v>66</v>
      </c>
      <c r="C72" s="53" t="s">
        <v>141</v>
      </c>
      <c r="D72" s="54" t="s">
        <v>91</v>
      </c>
      <c r="E72" s="55" t="s">
        <v>69</v>
      </c>
      <c r="F72" s="54" t="s">
        <v>13</v>
      </c>
      <c r="G72" s="56" t="s">
        <v>61</v>
      </c>
      <c r="H72" s="57"/>
      <c r="I72" s="58">
        <v>1</v>
      </c>
      <c r="J72" s="54" t="s">
        <v>13</v>
      </c>
      <c r="K72" s="58">
        <v>2</v>
      </c>
      <c r="L72" s="58"/>
      <c r="M72" s="59"/>
      <c r="N72" s="44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5.75" customHeight="1">
      <c r="A73" s="39"/>
      <c r="B73" s="52">
        <v>67</v>
      </c>
      <c r="C73" s="53" t="s">
        <v>142</v>
      </c>
      <c r="D73" s="54" t="s">
        <v>104</v>
      </c>
      <c r="E73" s="55" t="s">
        <v>88</v>
      </c>
      <c r="F73" s="54" t="s">
        <v>13</v>
      </c>
      <c r="G73" s="56" t="s">
        <v>65</v>
      </c>
      <c r="H73" s="57"/>
      <c r="I73" s="58">
        <v>0</v>
      </c>
      <c r="J73" s="54" t="s">
        <v>13</v>
      </c>
      <c r="K73" s="58">
        <v>3</v>
      </c>
      <c r="L73" s="58"/>
      <c r="M73" s="59"/>
      <c r="N73" s="44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5.75" customHeight="1">
      <c r="A74" s="39"/>
      <c r="B74" s="52">
        <v>68</v>
      </c>
      <c r="C74" s="53" t="s">
        <v>142</v>
      </c>
      <c r="D74" s="54" t="s">
        <v>104</v>
      </c>
      <c r="E74" s="55" t="s">
        <v>73</v>
      </c>
      <c r="F74" s="54" t="s">
        <v>13</v>
      </c>
      <c r="G74" s="56" t="s">
        <v>80</v>
      </c>
      <c r="H74" s="57"/>
      <c r="I74" s="58">
        <v>1</v>
      </c>
      <c r="J74" s="54" t="s">
        <v>13</v>
      </c>
      <c r="K74" s="58">
        <v>2</v>
      </c>
      <c r="L74" s="58"/>
      <c r="M74" s="59"/>
      <c r="N74" s="44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5.75" customHeight="1">
      <c r="A75" s="39"/>
      <c r="B75" s="52">
        <v>69</v>
      </c>
      <c r="C75" s="53" t="s">
        <v>143</v>
      </c>
      <c r="D75" s="54" t="s">
        <v>101</v>
      </c>
      <c r="E75" s="55" t="s">
        <v>78</v>
      </c>
      <c r="F75" s="54" t="s">
        <v>13</v>
      </c>
      <c r="G75" s="56" t="s">
        <v>71</v>
      </c>
      <c r="H75" s="57"/>
      <c r="I75" s="58">
        <v>0</v>
      </c>
      <c r="J75" s="54" t="s">
        <v>13</v>
      </c>
      <c r="K75" s="58">
        <v>2</v>
      </c>
      <c r="L75" s="58"/>
      <c r="M75" s="59"/>
      <c r="N75" s="44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5.75" customHeight="1">
      <c r="A76" s="39"/>
      <c r="B76" s="52">
        <v>70</v>
      </c>
      <c r="C76" s="53" t="s">
        <v>143</v>
      </c>
      <c r="D76" s="54" t="s">
        <v>101</v>
      </c>
      <c r="E76" s="55" t="s">
        <v>86</v>
      </c>
      <c r="F76" s="54" t="s">
        <v>13</v>
      </c>
      <c r="G76" s="56" t="s">
        <v>63</v>
      </c>
      <c r="H76" s="57"/>
      <c r="I76" s="58">
        <v>0</v>
      </c>
      <c r="J76" s="54" t="s">
        <v>13</v>
      </c>
      <c r="K76" s="58">
        <v>2</v>
      </c>
      <c r="L76" s="58"/>
      <c r="M76" s="59"/>
      <c r="N76" s="44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5.75" customHeight="1">
      <c r="A77" s="39"/>
      <c r="B77" s="52">
        <v>71</v>
      </c>
      <c r="C77" s="53" t="s">
        <v>144</v>
      </c>
      <c r="D77" s="54" t="s">
        <v>107</v>
      </c>
      <c r="E77" s="55" t="s">
        <v>72</v>
      </c>
      <c r="F77" s="54" t="s">
        <v>13</v>
      </c>
      <c r="G77" s="56" t="s">
        <v>64</v>
      </c>
      <c r="H77" s="57"/>
      <c r="I77" s="58">
        <v>0</v>
      </c>
      <c r="J77" s="54" t="s">
        <v>13</v>
      </c>
      <c r="K77" s="58">
        <v>2</v>
      </c>
      <c r="L77" s="58"/>
      <c r="M77" s="59"/>
      <c r="N77" s="44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5.75" customHeight="1">
      <c r="A78" s="39"/>
      <c r="B78" s="52">
        <v>72</v>
      </c>
      <c r="C78" s="53" t="s">
        <v>144</v>
      </c>
      <c r="D78" s="54" t="s">
        <v>107</v>
      </c>
      <c r="E78" s="55" t="s">
        <v>87</v>
      </c>
      <c r="F78" s="54" t="s">
        <v>13</v>
      </c>
      <c r="G78" s="56" t="s">
        <v>79</v>
      </c>
      <c r="H78" s="57"/>
      <c r="I78" s="58">
        <v>1</v>
      </c>
      <c r="J78" s="54" t="s">
        <v>13</v>
      </c>
      <c r="K78" s="58">
        <v>0</v>
      </c>
      <c r="L78" s="58"/>
      <c r="M78" s="59"/>
      <c r="N78" s="44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5.75" customHeight="1">
      <c r="A79" s="39"/>
      <c r="B79" s="45"/>
      <c r="C79" s="46"/>
      <c r="D79" s="45" t="s">
        <v>145</v>
      </c>
      <c r="E79" s="70" t="s">
        <v>62</v>
      </c>
      <c r="F79" s="44" t="s">
        <v>13</v>
      </c>
      <c r="G79" s="70" t="s">
        <v>61</v>
      </c>
      <c r="H79" s="39"/>
      <c r="I79" s="39"/>
      <c r="J79" s="39"/>
      <c r="K79" s="44"/>
      <c r="L79" s="71"/>
      <c r="M79" s="71"/>
      <c r="N79" s="60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5.75" customHeight="1">
      <c r="A80" s="39"/>
      <c r="B80" s="45"/>
      <c r="C80" s="46"/>
      <c r="D80" s="45" t="s">
        <v>146</v>
      </c>
      <c r="E80" s="72" t="s">
        <v>64</v>
      </c>
      <c r="F80" s="44" t="s">
        <v>13</v>
      </c>
      <c r="G80" s="72" t="s">
        <v>65</v>
      </c>
      <c r="H80" s="39"/>
      <c r="I80" s="39"/>
      <c r="J80" s="39"/>
      <c r="K80" s="44"/>
      <c r="L80" s="73"/>
      <c r="M80" s="73"/>
      <c r="N80" s="60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5.75" customHeight="1">
      <c r="A81" s="39"/>
      <c r="B81" s="45"/>
      <c r="C81" s="46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60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5.75" customHeight="1">
      <c r="A82" s="39"/>
      <c r="B82" s="45"/>
      <c r="C82" s="46"/>
      <c r="D82" s="39"/>
      <c r="E82" s="39"/>
      <c r="F82" s="39"/>
      <c r="G82" s="39"/>
      <c r="H82" s="39"/>
      <c r="I82" s="39"/>
      <c r="J82" s="39"/>
      <c r="K82" s="39"/>
      <c r="L82" s="74" t="s">
        <v>147</v>
      </c>
      <c r="M82" s="75"/>
      <c r="N82" s="60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5.75" customHeight="1">
      <c r="A83" s="39"/>
      <c r="B83" s="45"/>
      <c r="C83" s="46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60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5.75" customHeight="1">
      <c r="A84" s="45"/>
      <c r="B84" s="45"/>
      <c r="C84" s="46"/>
      <c r="D84" s="39"/>
      <c r="E84" s="39"/>
      <c r="F84" s="39"/>
      <c r="G84" s="44"/>
      <c r="H84" s="39"/>
      <c r="I84" s="39"/>
      <c r="J84" s="39"/>
      <c r="K84" s="39"/>
      <c r="L84" s="44"/>
      <c r="M84" s="44"/>
      <c r="N84" s="44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5.75" customHeight="1">
      <c r="A85" s="45"/>
      <c r="B85" s="45"/>
      <c r="C85" s="46"/>
      <c r="D85" s="39"/>
      <c r="E85" s="39"/>
      <c r="F85" s="39"/>
      <c r="G85" s="44"/>
      <c r="H85" s="39"/>
      <c r="I85" s="39"/>
      <c r="J85" s="39"/>
      <c r="K85" s="39"/>
      <c r="L85" s="44"/>
      <c r="M85" s="44"/>
      <c r="N85" s="44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5.75" customHeight="1">
      <c r="A86" s="45"/>
      <c r="B86" s="76"/>
      <c r="C86" s="77"/>
      <c r="D86" s="39"/>
      <c r="E86" s="39"/>
      <c r="F86" s="39"/>
      <c r="G86" s="44"/>
      <c r="H86" s="39"/>
      <c r="I86" s="39"/>
      <c r="J86" s="39"/>
      <c r="K86" s="39"/>
      <c r="L86" s="44"/>
      <c r="M86" s="44"/>
      <c r="N86" s="44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5.75" customHeight="1">
      <c r="A87" s="45"/>
      <c r="B87" s="76"/>
      <c r="C87" s="77"/>
      <c r="D87" s="39"/>
      <c r="E87" s="39"/>
      <c r="F87" s="39"/>
      <c r="G87" s="44"/>
      <c r="H87" s="39"/>
      <c r="I87" s="39"/>
      <c r="J87" s="39"/>
      <c r="K87" s="39"/>
      <c r="L87" s="44"/>
      <c r="M87" s="44"/>
      <c r="N87" s="44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5.75" customHeight="1">
      <c r="A88" s="39"/>
      <c r="B88" s="45"/>
      <c r="C88" s="46"/>
      <c r="D88" s="39"/>
      <c r="E88" s="39"/>
      <c r="F88" s="44"/>
      <c r="G88" s="39"/>
      <c r="H88" s="39"/>
      <c r="I88" s="39"/>
      <c r="J88" s="39"/>
      <c r="K88" s="44"/>
      <c r="L88" s="44"/>
      <c r="M88" s="44"/>
      <c r="N88" s="44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5.75" customHeight="1">
      <c r="A89" s="39"/>
      <c r="B89" s="45"/>
      <c r="C89" s="46"/>
      <c r="D89" s="39"/>
      <c r="E89" s="39"/>
      <c r="F89" s="44"/>
      <c r="G89" s="39"/>
      <c r="H89" s="39"/>
      <c r="I89" s="39"/>
      <c r="J89" s="39"/>
      <c r="K89" s="44"/>
      <c r="L89" s="44"/>
      <c r="M89" s="44"/>
      <c r="N89" s="44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5.75" customHeight="1">
      <c r="A90" s="39"/>
      <c r="B90" s="45"/>
      <c r="C90" s="46"/>
      <c r="D90" s="39"/>
      <c r="E90" s="39"/>
      <c r="F90" s="44"/>
      <c r="G90" s="39"/>
      <c r="H90" s="39"/>
      <c r="I90" s="39"/>
      <c r="J90" s="39"/>
      <c r="K90" s="44"/>
      <c r="L90" s="44"/>
      <c r="M90" s="44"/>
      <c r="N90" s="44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5.75" customHeight="1">
      <c r="A91" s="39"/>
      <c r="B91" s="45"/>
      <c r="C91" s="46"/>
      <c r="D91" s="39"/>
      <c r="E91" s="39"/>
      <c r="F91" s="44"/>
      <c r="G91" s="39"/>
      <c r="H91" s="39"/>
      <c r="I91" s="39"/>
      <c r="J91" s="39"/>
      <c r="K91" s="44"/>
      <c r="L91" s="44"/>
      <c r="M91" s="44"/>
      <c r="N91" s="44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5.75" customHeight="1">
      <c r="A92" s="39"/>
      <c r="B92" s="45"/>
      <c r="C92" s="46"/>
      <c r="D92" s="39"/>
      <c r="E92" s="39"/>
      <c r="F92" s="44"/>
      <c r="G92" s="39"/>
      <c r="H92" s="39"/>
      <c r="I92" s="39"/>
      <c r="J92" s="39"/>
      <c r="K92" s="44"/>
      <c r="L92" s="44"/>
      <c r="M92" s="44"/>
      <c r="N92" s="44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5.75" customHeight="1">
      <c r="A93" s="39"/>
      <c r="B93" s="45"/>
      <c r="C93" s="46"/>
      <c r="D93" s="39"/>
      <c r="E93" s="39"/>
      <c r="F93" s="44"/>
      <c r="G93" s="39"/>
      <c r="H93" s="39"/>
      <c r="I93" s="39"/>
      <c r="J93" s="39"/>
      <c r="K93" s="44"/>
      <c r="L93" s="44"/>
      <c r="M93" s="44"/>
      <c r="N93" s="44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5.75" customHeight="1">
      <c r="A94" s="39"/>
      <c r="B94" s="45"/>
      <c r="C94" s="46"/>
      <c r="D94" s="39"/>
      <c r="E94" s="39"/>
      <c r="F94" s="44"/>
      <c r="G94" s="39"/>
      <c r="H94" s="39"/>
      <c r="I94" s="39"/>
      <c r="J94" s="39"/>
      <c r="K94" s="44"/>
      <c r="L94" s="44"/>
      <c r="M94" s="44"/>
      <c r="N94" s="44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5.75" customHeight="1">
      <c r="A95" s="39"/>
      <c r="B95" s="45"/>
      <c r="C95" s="46"/>
      <c r="D95" s="39"/>
      <c r="E95" s="39"/>
      <c r="F95" s="44"/>
      <c r="G95" s="39"/>
      <c r="H95" s="39"/>
      <c r="I95" s="39"/>
      <c r="J95" s="39"/>
      <c r="K95" s="44"/>
      <c r="L95" s="44"/>
      <c r="M95" s="44"/>
      <c r="N95" s="44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5.75" customHeight="1">
      <c r="A96" s="39"/>
      <c r="B96" s="45"/>
      <c r="C96" s="46"/>
      <c r="D96" s="39"/>
      <c r="E96" s="39"/>
      <c r="F96" s="44"/>
      <c r="G96" s="39"/>
      <c r="H96" s="39"/>
      <c r="I96" s="39"/>
      <c r="J96" s="39"/>
      <c r="K96" s="44"/>
      <c r="L96" s="44"/>
      <c r="M96" s="44"/>
      <c r="N96" s="44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5.75" customHeight="1">
      <c r="A97" s="39"/>
      <c r="B97" s="45"/>
      <c r="C97" s="46"/>
      <c r="D97" s="39"/>
      <c r="E97" s="39"/>
      <c r="F97" s="44"/>
      <c r="G97" s="39"/>
      <c r="H97" s="39"/>
      <c r="I97" s="39"/>
      <c r="J97" s="39"/>
      <c r="K97" s="44"/>
      <c r="L97" s="44"/>
      <c r="M97" s="44"/>
      <c r="N97" s="44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5.75" customHeight="1">
      <c r="A98" s="39"/>
      <c r="B98" s="45"/>
      <c r="C98" s="46"/>
      <c r="D98" s="39"/>
      <c r="E98" s="39"/>
      <c r="F98" s="44"/>
      <c r="G98" s="39"/>
      <c r="H98" s="39"/>
      <c r="I98" s="39"/>
      <c r="J98" s="39"/>
      <c r="K98" s="44"/>
      <c r="L98" s="44"/>
      <c r="M98" s="44"/>
      <c r="N98" s="44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5.75" customHeight="1">
      <c r="A99" s="39"/>
      <c r="B99" s="45"/>
      <c r="C99" s="46"/>
      <c r="D99" s="39"/>
      <c r="E99" s="39"/>
      <c r="F99" s="44"/>
      <c r="G99" s="39"/>
      <c r="H99" s="39"/>
      <c r="I99" s="39"/>
      <c r="J99" s="39"/>
      <c r="K99" s="44"/>
      <c r="L99" s="44"/>
      <c r="M99" s="44"/>
      <c r="N99" s="44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5.75" customHeight="1">
      <c r="A100" s="39"/>
      <c r="B100" s="45"/>
      <c r="C100" s="46"/>
      <c r="D100" s="39"/>
      <c r="E100" s="39"/>
      <c r="F100" s="44"/>
      <c r="G100" s="39"/>
      <c r="H100" s="39"/>
      <c r="I100" s="39"/>
      <c r="J100" s="39"/>
      <c r="K100" s="44"/>
      <c r="L100" s="44"/>
      <c r="M100" s="44"/>
      <c r="N100" s="44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5.75" customHeight="1">
      <c r="A101" s="39"/>
      <c r="B101" s="45"/>
      <c r="C101" s="46"/>
      <c r="D101" s="39"/>
      <c r="E101" s="39"/>
      <c r="F101" s="44"/>
      <c r="G101" s="39"/>
      <c r="H101" s="39"/>
      <c r="I101" s="39"/>
      <c r="J101" s="39"/>
      <c r="K101" s="44"/>
      <c r="L101" s="44"/>
      <c r="M101" s="44"/>
      <c r="N101" s="44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5.75" customHeight="1">
      <c r="A102" s="39"/>
      <c r="B102" s="45"/>
      <c r="C102" s="46"/>
      <c r="D102" s="39"/>
      <c r="E102" s="39"/>
      <c r="F102" s="44"/>
      <c r="G102" s="39"/>
      <c r="H102" s="39"/>
      <c r="I102" s="39"/>
      <c r="J102" s="39"/>
      <c r="K102" s="44"/>
      <c r="L102" s="44"/>
      <c r="M102" s="44"/>
      <c r="N102" s="44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5.75" customHeight="1">
      <c r="A103" s="39"/>
      <c r="B103" s="45"/>
      <c r="C103" s="46"/>
      <c r="D103" s="39"/>
      <c r="E103" s="39"/>
      <c r="F103" s="44"/>
      <c r="G103" s="39"/>
      <c r="H103" s="39"/>
      <c r="I103" s="39"/>
      <c r="J103" s="39"/>
      <c r="K103" s="44"/>
      <c r="L103" s="44"/>
      <c r="M103" s="44"/>
      <c r="N103" s="44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5.75" customHeight="1">
      <c r="A104" s="39"/>
      <c r="B104" s="45"/>
      <c r="C104" s="46"/>
      <c r="D104" s="39"/>
      <c r="E104" s="39"/>
      <c r="F104" s="44"/>
      <c r="G104" s="39"/>
      <c r="H104" s="39"/>
      <c r="I104" s="39"/>
      <c r="J104" s="39"/>
      <c r="K104" s="44"/>
      <c r="L104" s="44"/>
      <c r="M104" s="44"/>
      <c r="N104" s="44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5.75" customHeight="1">
      <c r="A105" s="39"/>
      <c r="B105" s="45"/>
      <c r="C105" s="46"/>
      <c r="D105" s="39"/>
      <c r="E105" s="39"/>
      <c r="F105" s="44"/>
      <c r="G105" s="39"/>
      <c r="H105" s="39"/>
      <c r="I105" s="39"/>
      <c r="J105" s="39"/>
      <c r="K105" s="44"/>
      <c r="L105" s="44"/>
      <c r="M105" s="44"/>
      <c r="N105" s="44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5.75" customHeight="1">
      <c r="A106" s="39"/>
      <c r="B106" s="45"/>
      <c r="C106" s="46"/>
      <c r="D106" s="39"/>
      <c r="E106" s="39"/>
      <c r="F106" s="44"/>
      <c r="G106" s="39"/>
      <c r="H106" s="39"/>
      <c r="I106" s="39"/>
      <c r="J106" s="39"/>
      <c r="K106" s="44"/>
      <c r="L106" s="44"/>
      <c r="M106" s="44"/>
      <c r="N106" s="44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5.75" customHeight="1">
      <c r="A107" s="39"/>
      <c r="B107" s="45"/>
      <c r="C107" s="46"/>
      <c r="D107" s="39"/>
      <c r="E107" s="39"/>
      <c r="F107" s="44"/>
      <c r="G107" s="39"/>
      <c r="H107" s="39"/>
      <c r="I107" s="39"/>
      <c r="J107" s="39"/>
      <c r="K107" s="44"/>
      <c r="L107" s="44"/>
      <c r="M107" s="44"/>
      <c r="N107" s="44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5.75" customHeight="1">
      <c r="A108" s="39"/>
      <c r="B108" s="45"/>
      <c r="C108" s="46"/>
      <c r="D108" s="39"/>
      <c r="E108" s="39"/>
      <c r="F108" s="44"/>
      <c r="G108" s="39"/>
      <c r="H108" s="39"/>
      <c r="I108" s="39"/>
      <c r="J108" s="39"/>
      <c r="K108" s="44"/>
      <c r="L108" s="44"/>
      <c r="M108" s="44"/>
      <c r="N108" s="44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5.75" customHeight="1">
      <c r="A109" s="39"/>
      <c r="B109" s="45"/>
      <c r="C109" s="46"/>
      <c r="D109" s="39"/>
      <c r="E109" s="39"/>
      <c r="F109" s="44"/>
      <c r="G109" s="39"/>
      <c r="H109" s="39"/>
      <c r="I109" s="39"/>
      <c r="J109" s="39"/>
      <c r="K109" s="44"/>
      <c r="L109" s="44"/>
      <c r="M109" s="44"/>
      <c r="N109" s="44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5.75" customHeight="1">
      <c r="A110" s="39"/>
      <c r="B110" s="45"/>
      <c r="C110" s="46"/>
      <c r="D110" s="39"/>
      <c r="E110" s="39"/>
      <c r="F110" s="44"/>
      <c r="G110" s="39"/>
      <c r="H110" s="39"/>
      <c r="I110" s="39"/>
      <c r="J110" s="39"/>
      <c r="K110" s="44"/>
      <c r="L110" s="44"/>
      <c r="M110" s="44"/>
      <c r="N110" s="44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5.75" customHeight="1">
      <c r="A111" s="39"/>
      <c r="B111" s="45"/>
      <c r="C111" s="46"/>
      <c r="D111" s="39"/>
      <c r="E111" s="39"/>
      <c r="F111" s="44"/>
      <c r="G111" s="39"/>
      <c r="H111" s="39"/>
      <c r="I111" s="39"/>
      <c r="J111" s="39"/>
      <c r="K111" s="44"/>
      <c r="L111" s="44"/>
      <c r="M111" s="44"/>
      <c r="N111" s="44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5.75" customHeight="1">
      <c r="A112" s="39"/>
      <c r="B112" s="45"/>
      <c r="C112" s="46"/>
      <c r="D112" s="39"/>
      <c r="E112" s="39"/>
      <c r="F112" s="44"/>
      <c r="G112" s="39"/>
      <c r="H112" s="39"/>
      <c r="I112" s="39"/>
      <c r="J112" s="39"/>
      <c r="K112" s="44"/>
      <c r="L112" s="44"/>
      <c r="M112" s="44"/>
      <c r="N112" s="44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5.75" customHeight="1">
      <c r="A113" s="39"/>
      <c r="B113" s="45"/>
      <c r="C113" s="46"/>
      <c r="D113" s="39"/>
      <c r="E113" s="39"/>
      <c r="F113" s="44"/>
      <c r="G113" s="39"/>
      <c r="H113" s="39"/>
      <c r="I113" s="39"/>
      <c r="J113" s="39"/>
      <c r="K113" s="44"/>
      <c r="L113" s="44"/>
      <c r="M113" s="44"/>
      <c r="N113" s="44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5.75" customHeight="1">
      <c r="A114" s="39"/>
      <c r="B114" s="45"/>
      <c r="C114" s="46"/>
      <c r="D114" s="39"/>
      <c r="E114" s="39"/>
      <c r="F114" s="44"/>
      <c r="G114" s="39"/>
      <c r="H114" s="39"/>
      <c r="I114" s="39"/>
      <c r="J114" s="39"/>
      <c r="K114" s="44"/>
      <c r="L114" s="44"/>
      <c r="M114" s="44"/>
      <c r="N114" s="44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5.75" customHeight="1">
      <c r="A115" s="39"/>
      <c r="B115" s="45"/>
      <c r="C115" s="46"/>
      <c r="D115" s="39"/>
      <c r="E115" s="39"/>
      <c r="F115" s="44"/>
      <c r="G115" s="39"/>
      <c r="H115" s="39"/>
      <c r="I115" s="39"/>
      <c r="J115" s="39"/>
      <c r="K115" s="44"/>
      <c r="L115" s="44"/>
      <c r="M115" s="44"/>
      <c r="N115" s="44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5.75" customHeight="1">
      <c r="A116" s="39"/>
      <c r="B116" s="45"/>
      <c r="C116" s="46"/>
      <c r="D116" s="39"/>
      <c r="E116" s="39"/>
      <c r="F116" s="44"/>
      <c r="G116" s="39"/>
      <c r="H116" s="39"/>
      <c r="I116" s="39"/>
      <c r="J116" s="39"/>
      <c r="K116" s="44"/>
      <c r="L116" s="44"/>
      <c r="M116" s="44"/>
      <c r="N116" s="44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5.75" customHeight="1">
      <c r="A117" s="39"/>
      <c r="B117" s="45"/>
      <c r="C117" s="46"/>
      <c r="D117" s="39"/>
      <c r="E117" s="39"/>
      <c r="F117" s="44"/>
      <c r="G117" s="39"/>
      <c r="H117" s="39"/>
      <c r="I117" s="39"/>
      <c r="J117" s="39"/>
      <c r="K117" s="44"/>
      <c r="L117" s="44"/>
      <c r="M117" s="44"/>
      <c r="N117" s="44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5.75" customHeight="1">
      <c r="A118" s="39"/>
      <c r="B118" s="45"/>
      <c r="C118" s="46"/>
      <c r="D118" s="39"/>
      <c r="E118" s="39"/>
      <c r="F118" s="44"/>
      <c r="G118" s="39"/>
      <c r="H118" s="39"/>
      <c r="I118" s="39"/>
      <c r="J118" s="39"/>
      <c r="K118" s="44"/>
      <c r="L118" s="44"/>
      <c r="M118" s="44"/>
      <c r="N118" s="44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5.75" customHeight="1">
      <c r="A119" s="39"/>
      <c r="B119" s="45"/>
      <c r="C119" s="46"/>
      <c r="D119" s="39"/>
      <c r="E119" s="39"/>
      <c r="F119" s="44"/>
      <c r="G119" s="39"/>
      <c r="H119" s="39"/>
      <c r="I119" s="39"/>
      <c r="J119" s="39"/>
      <c r="K119" s="44"/>
      <c r="L119" s="44"/>
      <c r="M119" s="44"/>
      <c r="N119" s="44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5.75" customHeight="1">
      <c r="A120" s="39"/>
      <c r="B120" s="45"/>
      <c r="C120" s="46"/>
      <c r="D120" s="39"/>
      <c r="E120" s="39"/>
      <c r="F120" s="44"/>
      <c r="G120" s="39"/>
      <c r="H120" s="39"/>
      <c r="I120" s="39"/>
      <c r="J120" s="39"/>
      <c r="K120" s="44"/>
      <c r="L120" s="44"/>
      <c r="M120" s="44"/>
      <c r="N120" s="44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5.75" customHeight="1">
      <c r="A121" s="39"/>
      <c r="B121" s="45"/>
      <c r="C121" s="46"/>
      <c r="D121" s="39"/>
      <c r="E121" s="39"/>
      <c r="F121" s="44"/>
      <c r="G121" s="39"/>
      <c r="H121" s="39"/>
      <c r="I121" s="39"/>
      <c r="J121" s="39"/>
      <c r="K121" s="44"/>
      <c r="L121" s="44"/>
      <c r="M121" s="44"/>
      <c r="N121" s="44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5.75" customHeight="1">
      <c r="A122" s="39"/>
      <c r="B122" s="45"/>
      <c r="C122" s="46"/>
      <c r="D122" s="39"/>
      <c r="E122" s="39"/>
      <c r="F122" s="44"/>
      <c r="G122" s="39"/>
      <c r="H122" s="39"/>
      <c r="I122" s="39"/>
      <c r="J122" s="39"/>
      <c r="K122" s="44"/>
      <c r="L122" s="44"/>
      <c r="M122" s="44"/>
      <c r="N122" s="44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5.75" customHeight="1">
      <c r="A123" s="39"/>
      <c r="B123" s="45"/>
      <c r="C123" s="46"/>
      <c r="D123" s="39"/>
      <c r="E123" s="39"/>
      <c r="F123" s="44"/>
      <c r="G123" s="39"/>
      <c r="H123" s="39"/>
      <c r="I123" s="39"/>
      <c r="J123" s="39"/>
      <c r="K123" s="44"/>
      <c r="L123" s="44"/>
      <c r="M123" s="44"/>
      <c r="N123" s="44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5.75" customHeight="1">
      <c r="A124" s="39"/>
      <c r="B124" s="45"/>
      <c r="C124" s="46"/>
      <c r="D124" s="39"/>
      <c r="E124" s="39"/>
      <c r="F124" s="44"/>
      <c r="G124" s="39"/>
      <c r="H124" s="39"/>
      <c r="I124" s="39"/>
      <c r="J124" s="39"/>
      <c r="K124" s="44"/>
      <c r="L124" s="44"/>
      <c r="M124" s="44"/>
      <c r="N124" s="44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5.75" customHeight="1">
      <c r="A125" s="39"/>
      <c r="B125" s="45"/>
      <c r="C125" s="46"/>
      <c r="D125" s="39"/>
      <c r="E125" s="39"/>
      <c r="F125" s="44"/>
      <c r="G125" s="39"/>
      <c r="H125" s="39"/>
      <c r="I125" s="39"/>
      <c r="J125" s="39"/>
      <c r="K125" s="44"/>
      <c r="L125" s="44"/>
      <c r="M125" s="44"/>
      <c r="N125" s="44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5.75" customHeight="1">
      <c r="A126" s="39"/>
      <c r="B126" s="45"/>
      <c r="C126" s="46"/>
      <c r="D126" s="39"/>
      <c r="E126" s="39"/>
      <c r="F126" s="44"/>
      <c r="G126" s="39"/>
      <c r="H126" s="39"/>
      <c r="I126" s="39"/>
      <c r="J126" s="39"/>
      <c r="K126" s="44"/>
      <c r="L126" s="44"/>
      <c r="M126" s="44"/>
      <c r="N126" s="44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5.75" customHeight="1">
      <c r="A127" s="39"/>
      <c r="B127" s="45"/>
      <c r="C127" s="46"/>
      <c r="D127" s="39"/>
      <c r="E127" s="39"/>
      <c r="F127" s="44"/>
      <c r="G127" s="39"/>
      <c r="H127" s="39"/>
      <c r="I127" s="39"/>
      <c r="J127" s="39"/>
      <c r="K127" s="44"/>
      <c r="L127" s="44"/>
      <c r="M127" s="44"/>
      <c r="N127" s="44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5.75" customHeight="1">
      <c r="A128" s="39"/>
      <c r="B128" s="45"/>
      <c r="C128" s="46"/>
      <c r="D128" s="39"/>
      <c r="E128" s="39"/>
      <c r="F128" s="44"/>
      <c r="G128" s="39"/>
      <c r="H128" s="39"/>
      <c r="I128" s="39"/>
      <c r="J128" s="39"/>
      <c r="K128" s="44"/>
      <c r="L128" s="44"/>
      <c r="M128" s="44"/>
      <c r="N128" s="44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5.75" customHeight="1">
      <c r="A129" s="39"/>
      <c r="B129" s="45"/>
      <c r="C129" s="46"/>
      <c r="D129" s="39"/>
      <c r="E129" s="39"/>
      <c r="F129" s="44"/>
      <c r="G129" s="39"/>
      <c r="H129" s="39"/>
      <c r="I129" s="39"/>
      <c r="J129" s="39"/>
      <c r="K129" s="44"/>
      <c r="L129" s="44"/>
      <c r="M129" s="44"/>
      <c r="N129" s="44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5.75" customHeight="1">
      <c r="A130" s="39"/>
      <c r="B130" s="45"/>
      <c r="C130" s="46"/>
      <c r="D130" s="39"/>
      <c r="E130" s="39"/>
      <c r="F130" s="44"/>
      <c r="G130" s="39"/>
      <c r="H130" s="39"/>
      <c r="I130" s="39"/>
      <c r="J130" s="39"/>
      <c r="K130" s="44"/>
      <c r="L130" s="44"/>
      <c r="M130" s="44"/>
      <c r="N130" s="44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5.75" customHeight="1">
      <c r="A131" s="39"/>
      <c r="B131" s="45"/>
      <c r="C131" s="46"/>
      <c r="D131" s="39"/>
      <c r="E131" s="39"/>
      <c r="F131" s="44"/>
      <c r="G131" s="39"/>
      <c r="H131" s="39"/>
      <c r="I131" s="39"/>
      <c r="J131" s="39"/>
      <c r="K131" s="44"/>
      <c r="L131" s="44"/>
      <c r="M131" s="44"/>
      <c r="N131" s="44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5.75" customHeight="1">
      <c r="A132" s="39"/>
      <c r="B132" s="45"/>
      <c r="C132" s="46"/>
      <c r="D132" s="39"/>
      <c r="E132" s="39"/>
      <c r="F132" s="44"/>
      <c r="G132" s="39"/>
      <c r="H132" s="39"/>
      <c r="I132" s="39"/>
      <c r="J132" s="39"/>
      <c r="K132" s="44"/>
      <c r="L132" s="44"/>
      <c r="M132" s="44"/>
      <c r="N132" s="44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5.75" customHeight="1">
      <c r="A133" s="39"/>
      <c r="B133" s="45"/>
      <c r="C133" s="46"/>
      <c r="D133" s="39"/>
      <c r="E133" s="39"/>
      <c r="F133" s="44"/>
      <c r="G133" s="39"/>
      <c r="H133" s="39"/>
      <c r="I133" s="39"/>
      <c r="J133" s="39"/>
      <c r="K133" s="44"/>
      <c r="L133" s="44"/>
      <c r="M133" s="44"/>
      <c r="N133" s="44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5.75" customHeight="1">
      <c r="A134" s="39"/>
      <c r="B134" s="45"/>
      <c r="C134" s="46"/>
      <c r="D134" s="39"/>
      <c r="E134" s="39"/>
      <c r="F134" s="44"/>
      <c r="G134" s="39"/>
      <c r="H134" s="39"/>
      <c r="I134" s="39"/>
      <c r="J134" s="39"/>
      <c r="K134" s="44"/>
      <c r="L134" s="44"/>
      <c r="M134" s="44"/>
      <c r="N134" s="44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5.75" customHeight="1">
      <c r="A135" s="39"/>
      <c r="B135" s="45"/>
      <c r="C135" s="46"/>
      <c r="D135" s="39"/>
      <c r="E135" s="39"/>
      <c r="F135" s="44"/>
      <c r="G135" s="39"/>
      <c r="H135" s="39"/>
      <c r="I135" s="39"/>
      <c r="J135" s="39"/>
      <c r="K135" s="44"/>
      <c r="L135" s="44"/>
      <c r="M135" s="44"/>
      <c r="N135" s="44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5.75" customHeight="1">
      <c r="A136" s="39"/>
      <c r="B136" s="45"/>
      <c r="C136" s="46"/>
      <c r="D136" s="39"/>
      <c r="E136" s="39"/>
      <c r="F136" s="44"/>
      <c r="G136" s="39"/>
      <c r="H136" s="39"/>
      <c r="I136" s="39"/>
      <c r="J136" s="39"/>
      <c r="K136" s="44"/>
      <c r="L136" s="44"/>
      <c r="M136" s="44"/>
      <c r="N136" s="44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5.75" customHeight="1">
      <c r="A137" s="39"/>
      <c r="B137" s="45"/>
      <c r="C137" s="46"/>
      <c r="D137" s="39"/>
      <c r="E137" s="39"/>
      <c r="F137" s="44"/>
      <c r="G137" s="39"/>
      <c r="H137" s="39"/>
      <c r="I137" s="39"/>
      <c r="J137" s="39"/>
      <c r="K137" s="44"/>
      <c r="L137" s="44"/>
      <c r="M137" s="44"/>
      <c r="N137" s="44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5.75" customHeight="1">
      <c r="A138" s="39"/>
      <c r="B138" s="45"/>
      <c r="C138" s="46"/>
      <c r="D138" s="39"/>
      <c r="E138" s="39"/>
      <c r="F138" s="44"/>
      <c r="G138" s="39"/>
      <c r="H138" s="39"/>
      <c r="I138" s="39"/>
      <c r="J138" s="39"/>
      <c r="K138" s="44"/>
      <c r="L138" s="44"/>
      <c r="M138" s="44"/>
      <c r="N138" s="44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5.75" customHeight="1">
      <c r="A139" s="39"/>
      <c r="B139" s="45"/>
      <c r="C139" s="46"/>
      <c r="D139" s="39"/>
      <c r="E139" s="39"/>
      <c r="F139" s="44"/>
      <c r="G139" s="39"/>
      <c r="H139" s="39"/>
      <c r="I139" s="39"/>
      <c r="J139" s="39"/>
      <c r="K139" s="44"/>
      <c r="L139" s="44"/>
      <c r="M139" s="44"/>
      <c r="N139" s="44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5.75" customHeight="1">
      <c r="A140" s="39"/>
      <c r="B140" s="45"/>
      <c r="C140" s="46"/>
      <c r="D140" s="39"/>
      <c r="E140" s="39"/>
      <c r="F140" s="44"/>
      <c r="G140" s="39"/>
      <c r="H140" s="39"/>
      <c r="I140" s="39"/>
      <c r="J140" s="39"/>
      <c r="K140" s="44"/>
      <c r="L140" s="44"/>
      <c r="M140" s="44"/>
      <c r="N140" s="44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5.75" customHeight="1">
      <c r="A141" s="39"/>
      <c r="B141" s="45"/>
      <c r="C141" s="46"/>
      <c r="D141" s="39"/>
      <c r="E141" s="39"/>
      <c r="F141" s="44"/>
      <c r="G141" s="39"/>
      <c r="H141" s="39"/>
      <c r="I141" s="39"/>
      <c r="J141" s="39"/>
      <c r="K141" s="44"/>
      <c r="L141" s="44"/>
      <c r="M141" s="44"/>
      <c r="N141" s="44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5.75" customHeight="1">
      <c r="A142" s="39"/>
      <c r="B142" s="45"/>
      <c r="C142" s="46"/>
      <c r="D142" s="39"/>
      <c r="E142" s="39"/>
      <c r="F142" s="44"/>
      <c r="G142" s="39"/>
      <c r="H142" s="39"/>
      <c r="I142" s="39"/>
      <c r="J142" s="39"/>
      <c r="K142" s="44"/>
      <c r="L142" s="44"/>
      <c r="M142" s="44"/>
      <c r="N142" s="44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5.75" customHeight="1">
      <c r="A143" s="39"/>
      <c r="B143" s="45"/>
      <c r="C143" s="46"/>
      <c r="D143" s="39"/>
      <c r="E143" s="39"/>
      <c r="F143" s="44"/>
      <c r="G143" s="39"/>
      <c r="H143" s="39"/>
      <c r="I143" s="39"/>
      <c r="J143" s="39"/>
      <c r="K143" s="44"/>
      <c r="L143" s="44"/>
      <c r="M143" s="44"/>
      <c r="N143" s="44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5.75" customHeight="1">
      <c r="A144" s="39"/>
      <c r="B144" s="45"/>
      <c r="C144" s="46"/>
      <c r="D144" s="39"/>
      <c r="E144" s="39"/>
      <c r="F144" s="44"/>
      <c r="G144" s="39"/>
      <c r="H144" s="39"/>
      <c r="I144" s="39"/>
      <c r="J144" s="39"/>
      <c r="K144" s="44"/>
      <c r="L144" s="44"/>
      <c r="M144" s="44"/>
      <c r="N144" s="44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5.75" customHeight="1">
      <c r="A145" s="39"/>
      <c r="B145" s="45"/>
      <c r="C145" s="46"/>
      <c r="D145" s="39"/>
      <c r="E145" s="39"/>
      <c r="F145" s="44"/>
      <c r="G145" s="39"/>
      <c r="H145" s="39"/>
      <c r="I145" s="39"/>
      <c r="J145" s="39"/>
      <c r="K145" s="44"/>
      <c r="L145" s="44"/>
      <c r="M145" s="44"/>
      <c r="N145" s="44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5.75" customHeight="1">
      <c r="A146" s="39"/>
      <c r="B146" s="45"/>
      <c r="C146" s="46"/>
      <c r="D146" s="39"/>
      <c r="E146" s="39"/>
      <c r="F146" s="44"/>
      <c r="G146" s="39"/>
      <c r="H146" s="39"/>
      <c r="I146" s="39"/>
      <c r="J146" s="39"/>
      <c r="K146" s="44"/>
      <c r="L146" s="44"/>
      <c r="M146" s="44"/>
      <c r="N146" s="44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5.75" customHeight="1">
      <c r="A147" s="39"/>
      <c r="B147" s="45"/>
      <c r="C147" s="46"/>
      <c r="D147" s="39"/>
      <c r="E147" s="39"/>
      <c r="F147" s="44"/>
      <c r="G147" s="39"/>
      <c r="H147" s="39"/>
      <c r="I147" s="39"/>
      <c r="J147" s="39"/>
      <c r="K147" s="44"/>
      <c r="L147" s="44"/>
      <c r="M147" s="44"/>
      <c r="N147" s="44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5.75" customHeight="1">
      <c r="A148" s="39"/>
      <c r="B148" s="45"/>
      <c r="C148" s="46"/>
      <c r="D148" s="39"/>
      <c r="E148" s="39"/>
      <c r="F148" s="44"/>
      <c r="G148" s="39"/>
      <c r="H148" s="39"/>
      <c r="I148" s="39"/>
      <c r="J148" s="39"/>
      <c r="K148" s="44"/>
      <c r="L148" s="44"/>
      <c r="M148" s="44"/>
      <c r="N148" s="44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5.75" customHeight="1">
      <c r="A149" s="39"/>
      <c r="B149" s="45"/>
      <c r="C149" s="46"/>
      <c r="D149" s="39"/>
      <c r="E149" s="39"/>
      <c r="F149" s="44"/>
      <c r="G149" s="39"/>
      <c r="H149" s="39"/>
      <c r="I149" s="39"/>
      <c r="J149" s="39"/>
      <c r="K149" s="44"/>
      <c r="L149" s="44"/>
      <c r="M149" s="44"/>
      <c r="N149" s="44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5.75" customHeight="1">
      <c r="A150" s="39"/>
      <c r="B150" s="45"/>
      <c r="C150" s="46"/>
      <c r="D150" s="39"/>
      <c r="E150" s="39"/>
      <c r="F150" s="44"/>
      <c r="G150" s="39"/>
      <c r="H150" s="39"/>
      <c r="I150" s="39"/>
      <c r="J150" s="39"/>
      <c r="K150" s="44"/>
      <c r="L150" s="44"/>
      <c r="M150" s="44"/>
      <c r="N150" s="44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5.75" customHeight="1">
      <c r="A151" s="39"/>
      <c r="B151" s="45"/>
      <c r="C151" s="46"/>
      <c r="D151" s="39"/>
      <c r="E151" s="39"/>
      <c r="F151" s="44"/>
      <c r="G151" s="39"/>
      <c r="H151" s="39"/>
      <c r="I151" s="39"/>
      <c r="J151" s="39"/>
      <c r="K151" s="44"/>
      <c r="L151" s="44"/>
      <c r="M151" s="44"/>
      <c r="N151" s="44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5.75" customHeight="1">
      <c r="A152" s="39"/>
      <c r="B152" s="45"/>
      <c r="C152" s="46"/>
      <c r="D152" s="39"/>
      <c r="E152" s="39"/>
      <c r="F152" s="44"/>
      <c r="G152" s="39"/>
      <c r="H152" s="39"/>
      <c r="I152" s="39"/>
      <c r="J152" s="39"/>
      <c r="K152" s="44"/>
      <c r="L152" s="44"/>
      <c r="M152" s="44"/>
      <c r="N152" s="44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5.75" customHeight="1">
      <c r="A153" s="39"/>
      <c r="B153" s="45"/>
      <c r="C153" s="46"/>
      <c r="D153" s="39"/>
      <c r="E153" s="39"/>
      <c r="F153" s="44"/>
      <c r="G153" s="39"/>
      <c r="H153" s="39"/>
      <c r="I153" s="39"/>
      <c r="J153" s="39"/>
      <c r="K153" s="44"/>
      <c r="L153" s="44"/>
      <c r="M153" s="44"/>
      <c r="N153" s="44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5.75" customHeight="1">
      <c r="A154" s="39"/>
      <c r="B154" s="45"/>
      <c r="C154" s="46"/>
      <c r="D154" s="39"/>
      <c r="E154" s="39"/>
      <c r="F154" s="44"/>
      <c r="G154" s="39"/>
      <c r="H154" s="39"/>
      <c r="I154" s="39"/>
      <c r="J154" s="39"/>
      <c r="K154" s="44"/>
      <c r="L154" s="44"/>
      <c r="M154" s="44"/>
      <c r="N154" s="44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5.75" customHeight="1">
      <c r="A155" s="39"/>
      <c r="B155" s="45"/>
      <c r="C155" s="46"/>
      <c r="D155" s="39"/>
      <c r="E155" s="39"/>
      <c r="F155" s="44"/>
      <c r="G155" s="39"/>
      <c r="H155" s="39"/>
      <c r="I155" s="39"/>
      <c r="J155" s="39"/>
      <c r="K155" s="44"/>
      <c r="L155" s="44"/>
      <c r="M155" s="44"/>
      <c r="N155" s="44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5.75" customHeight="1">
      <c r="A156" s="39"/>
      <c r="B156" s="45"/>
      <c r="C156" s="46"/>
      <c r="D156" s="39"/>
      <c r="E156" s="39"/>
      <c r="F156" s="44"/>
      <c r="G156" s="39"/>
      <c r="H156" s="39"/>
      <c r="I156" s="39"/>
      <c r="J156" s="39"/>
      <c r="K156" s="44"/>
      <c r="L156" s="44"/>
      <c r="M156" s="44"/>
      <c r="N156" s="44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5.75" customHeight="1">
      <c r="A157" s="39"/>
      <c r="B157" s="45"/>
      <c r="C157" s="46"/>
      <c r="D157" s="39"/>
      <c r="E157" s="39"/>
      <c r="F157" s="44"/>
      <c r="G157" s="39"/>
      <c r="H157" s="39"/>
      <c r="I157" s="39"/>
      <c r="J157" s="39"/>
      <c r="K157" s="44"/>
      <c r="L157" s="44"/>
      <c r="M157" s="44"/>
      <c r="N157" s="44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5.75" customHeight="1">
      <c r="A158" s="39"/>
      <c r="B158" s="45"/>
      <c r="C158" s="46"/>
      <c r="D158" s="39"/>
      <c r="E158" s="39"/>
      <c r="F158" s="44"/>
      <c r="G158" s="39"/>
      <c r="H158" s="39"/>
      <c r="I158" s="39"/>
      <c r="J158" s="39"/>
      <c r="K158" s="44"/>
      <c r="L158" s="44"/>
      <c r="M158" s="44"/>
      <c r="N158" s="44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5.75" customHeight="1">
      <c r="A159" s="39"/>
      <c r="B159" s="45"/>
      <c r="C159" s="46"/>
      <c r="D159" s="39"/>
      <c r="E159" s="39"/>
      <c r="F159" s="44"/>
      <c r="G159" s="39"/>
      <c r="H159" s="39"/>
      <c r="I159" s="39"/>
      <c r="J159" s="39"/>
      <c r="K159" s="44"/>
      <c r="L159" s="44"/>
      <c r="M159" s="44"/>
      <c r="N159" s="44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5.75" customHeight="1">
      <c r="A160" s="39"/>
      <c r="B160" s="45"/>
      <c r="C160" s="46"/>
      <c r="D160" s="39"/>
      <c r="E160" s="39"/>
      <c r="F160" s="44"/>
      <c r="G160" s="39"/>
      <c r="H160" s="39"/>
      <c r="I160" s="39"/>
      <c r="J160" s="39"/>
      <c r="K160" s="44"/>
      <c r="L160" s="44"/>
      <c r="M160" s="44"/>
      <c r="N160" s="44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5.75" customHeight="1">
      <c r="A161" s="39"/>
      <c r="B161" s="45"/>
      <c r="C161" s="46"/>
      <c r="D161" s="39"/>
      <c r="E161" s="39"/>
      <c r="F161" s="44"/>
      <c r="G161" s="39"/>
      <c r="H161" s="39"/>
      <c r="I161" s="39"/>
      <c r="J161" s="39"/>
      <c r="K161" s="44"/>
      <c r="L161" s="44"/>
      <c r="M161" s="44"/>
      <c r="N161" s="44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5.75" customHeight="1">
      <c r="A162" s="39"/>
      <c r="B162" s="45"/>
      <c r="C162" s="46"/>
      <c r="D162" s="39"/>
      <c r="E162" s="39"/>
      <c r="F162" s="44"/>
      <c r="G162" s="39"/>
      <c r="H162" s="39"/>
      <c r="I162" s="39"/>
      <c r="J162" s="39"/>
      <c r="K162" s="44"/>
      <c r="L162" s="44"/>
      <c r="M162" s="44"/>
      <c r="N162" s="44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5.75" customHeight="1">
      <c r="A163" s="39"/>
      <c r="B163" s="45"/>
      <c r="C163" s="46"/>
      <c r="D163" s="39"/>
      <c r="E163" s="39"/>
      <c r="F163" s="44"/>
      <c r="G163" s="39"/>
      <c r="H163" s="39"/>
      <c r="I163" s="39"/>
      <c r="J163" s="39"/>
      <c r="K163" s="44"/>
      <c r="L163" s="44"/>
      <c r="M163" s="44"/>
      <c r="N163" s="44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5.75" customHeight="1">
      <c r="A164" s="39"/>
      <c r="B164" s="45"/>
      <c r="C164" s="46"/>
      <c r="D164" s="39"/>
      <c r="E164" s="39"/>
      <c r="F164" s="44"/>
      <c r="G164" s="39"/>
      <c r="H164" s="39"/>
      <c r="I164" s="39"/>
      <c r="J164" s="39"/>
      <c r="K164" s="44"/>
      <c r="L164" s="44"/>
      <c r="M164" s="44"/>
      <c r="N164" s="44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5.75" customHeight="1">
      <c r="A165" s="39"/>
      <c r="B165" s="45"/>
      <c r="C165" s="46"/>
      <c r="D165" s="39"/>
      <c r="E165" s="39"/>
      <c r="F165" s="44"/>
      <c r="G165" s="39"/>
      <c r="H165" s="39"/>
      <c r="I165" s="39"/>
      <c r="J165" s="39"/>
      <c r="K165" s="44"/>
      <c r="L165" s="44"/>
      <c r="M165" s="44"/>
      <c r="N165" s="44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5.75" customHeight="1">
      <c r="A166" s="39"/>
      <c r="B166" s="45"/>
      <c r="C166" s="46"/>
      <c r="D166" s="39"/>
      <c r="E166" s="39"/>
      <c r="F166" s="44"/>
      <c r="G166" s="39"/>
      <c r="H166" s="39"/>
      <c r="I166" s="39"/>
      <c r="J166" s="39"/>
      <c r="K166" s="44"/>
      <c r="L166" s="44"/>
      <c r="M166" s="44"/>
      <c r="N166" s="44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5.75" customHeight="1">
      <c r="A167" s="39"/>
      <c r="B167" s="45"/>
      <c r="C167" s="46"/>
      <c r="D167" s="39"/>
      <c r="E167" s="39"/>
      <c r="F167" s="44"/>
      <c r="G167" s="39"/>
      <c r="H167" s="39"/>
      <c r="I167" s="39"/>
      <c r="J167" s="39"/>
      <c r="K167" s="44"/>
      <c r="L167" s="44"/>
      <c r="M167" s="44"/>
      <c r="N167" s="44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5.75" customHeight="1">
      <c r="A168" s="39"/>
      <c r="B168" s="45"/>
      <c r="C168" s="46"/>
      <c r="D168" s="39"/>
      <c r="E168" s="39"/>
      <c r="F168" s="44"/>
      <c r="G168" s="39"/>
      <c r="H168" s="39"/>
      <c r="I168" s="39"/>
      <c r="J168" s="39"/>
      <c r="K168" s="44"/>
      <c r="L168" s="44"/>
      <c r="M168" s="44"/>
      <c r="N168" s="44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5.75" customHeight="1">
      <c r="A169" s="39"/>
      <c r="B169" s="45"/>
      <c r="C169" s="46"/>
      <c r="D169" s="39"/>
      <c r="E169" s="39"/>
      <c r="F169" s="44"/>
      <c r="G169" s="39"/>
      <c r="H169" s="39"/>
      <c r="I169" s="39"/>
      <c r="J169" s="39"/>
      <c r="K169" s="44"/>
      <c r="L169" s="44"/>
      <c r="M169" s="44"/>
      <c r="N169" s="44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5.75" customHeight="1">
      <c r="A170" s="39"/>
      <c r="B170" s="45"/>
      <c r="C170" s="46"/>
      <c r="D170" s="39"/>
      <c r="E170" s="39"/>
      <c r="F170" s="44"/>
      <c r="G170" s="39"/>
      <c r="H170" s="39"/>
      <c r="I170" s="39"/>
      <c r="J170" s="39"/>
      <c r="K170" s="44"/>
      <c r="L170" s="44"/>
      <c r="M170" s="44"/>
      <c r="N170" s="44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5.75" customHeight="1">
      <c r="A171" s="39"/>
      <c r="B171" s="45"/>
      <c r="C171" s="46"/>
      <c r="D171" s="39"/>
      <c r="E171" s="39"/>
      <c r="F171" s="44"/>
      <c r="G171" s="39"/>
      <c r="H171" s="39"/>
      <c r="I171" s="39"/>
      <c r="J171" s="39"/>
      <c r="K171" s="44"/>
      <c r="L171" s="44"/>
      <c r="M171" s="44"/>
      <c r="N171" s="44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5.75" customHeight="1">
      <c r="A172" s="39"/>
      <c r="B172" s="45"/>
      <c r="C172" s="46"/>
      <c r="D172" s="39"/>
      <c r="E172" s="39"/>
      <c r="F172" s="44"/>
      <c r="G172" s="39"/>
      <c r="H172" s="39"/>
      <c r="I172" s="39"/>
      <c r="J172" s="39"/>
      <c r="K172" s="44"/>
      <c r="L172" s="44"/>
      <c r="M172" s="44"/>
      <c r="N172" s="44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5.75" customHeight="1">
      <c r="A173" s="39"/>
      <c r="B173" s="45"/>
      <c r="C173" s="46"/>
      <c r="D173" s="39"/>
      <c r="E173" s="39"/>
      <c r="F173" s="44"/>
      <c r="G173" s="39"/>
      <c r="H173" s="39"/>
      <c r="I173" s="39"/>
      <c r="J173" s="39"/>
      <c r="K173" s="44"/>
      <c r="L173" s="44"/>
      <c r="M173" s="44"/>
      <c r="N173" s="44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5.75" customHeight="1">
      <c r="A174" s="39"/>
      <c r="B174" s="45"/>
      <c r="C174" s="46"/>
      <c r="D174" s="39"/>
      <c r="E174" s="39"/>
      <c r="F174" s="44"/>
      <c r="G174" s="39"/>
      <c r="H174" s="39"/>
      <c r="I174" s="39"/>
      <c r="J174" s="39"/>
      <c r="K174" s="44"/>
      <c r="L174" s="44"/>
      <c r="M174" s="44"/>
      <c r="N174" s="44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5.75" customHeight="1">
      <c r="A175" s="39"/>
      <c r="B175" s="45"/>
      <c r="C175" s="46"/>
      <c r="D175" s="39"/>
      <c r="E175" s="39"/>
      <c r="F175" s="44"/>
      <c r="G175" s="39"/>
      <c r="H175" s="39"/>
      <c r="I175" s="39"/>
      <c r="J175" s="39"/>
      <c r="K175" s="44"/>
      <c r="L175" s="44"/>
      <c r="M175" s="44"/>
      <c r="N175" s="44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5.75" customHeight="1">
      <c r="A176" s="39"/>
      <c r="B176" s="45"/>
      <c r="C176" s="46"/>
      <c r="D176" s="39"/>
      <c r="E176" s="39"/>
      <c r="F176" s="44"/>
      <c r="G176" s="39"/>
      <c r="H176" s="39"/>
      <c r="I176" s="39"/>
      <c r="J176" s="39"/>
      <c r="K176" s="44"/>
      <c r="L176" s="44"/>
      <c r="M176" s="44"/>
      <c r="N176" s="44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5.75" customHeight="1">
      <c r="A177" s="39"/>
      <c r="B177" s="45"/>
      <c r="C177" s="46"/>
      <c r="D177" s="39"/>
      <c r="E177" s="39"/>
      <c r="F177" s="44"/>
      <c r="G177" s="39"/>
      <c r="H177" s="39"/>
      <c r="I177" s="39"/>
      <c r="J177" s="39"/>
      <c r="K177" s="44"/>
      <c r="L177" s="44"/>
      <c r="M177" s="44"/>
      <c r="N177" s="44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5.75" customHeight="1">
      <c r="A178" s="39"/>
      <c r="B178" s="45"/>
      <c r="C178" s="46"/>
      <c r="D178" s="39"/>
      <c r="E178" s="39"/>
      <c r="F178" s="44"/>
      <c r="G178" s="39"/>
      <c r="H178" s="39"/>
      <c r="I178" s="39"/>
      <c r="J178" s="39"/>
      <c r="K178" s="44"/>
      <c r="L178" s="44"/>
      <c r="M178" s="44"/>
      <c r="N178" s="44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5.75" customHeight="1">
      <c r="A179" s="39"/>
      <c r="B179" s="45"/>
      <c r="C179" s="46"/>
      <c r="D179" s="39"/>
      <c r="E179" s="39"/>
      <c r="F179" s="44"/>
      <c r="G179" s="39"/>
      <c r="H179" s="39"/>
      <c r="I179" s="39"/>
      <c r="J179" s="39"/>
      <c r="K179" s="44"/>
      <c r="L179" s="44"/>
      <c r="M179" s="44"/>
      <c r="N179" s="44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5.75" customHeight="1">
      <c r="A180" s="39"/>
      <c r="B180" s="45"/>
      <c r="C180" s="46"/>
      <c r="D180" s="39"/>
      <c r="E180" s="39"/>
      <c r="F180" s="44"/>
      <c r="G180" s="39"/>
      <c r="H180" s="39"/>
      <c r="I180" s="39"/>
      <c r="J180" s="39"/>
      <c r="K180" s="44"/>
      <c r="L180" s="44"/>
      <c r="M180" s="44"/>
      <c r="N180" s="44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5.75" customHeight="1">
      <c r="A181" s="39"/>
      <c r="B181" s="45"/>
      <c r="C181" s="46"/>
      <c r="D181" s="39"/>
      <c r="E181" s="39"/>
      <c r="F181" s="44"/>
      <c r="G181" s="39"/>
      <c r="H181" s="39"/>
      <c r="I181" s="39"/>
      <c r="J181" s="39"/>
      <c r="K181" s="44"/>
      <c r="L181" s="44"/>
      <c r="M181" s="44"/>
      <c r="N181" s="44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5.75" customHeight="1">
      <c r="A182" s="39"/>
      <c r="B182" s="45"/>
      <c r="C182" s="46"/>
      <c r="D182" s="39"/>
      <c r="E182" s="39"/>
      <c r="F182" s="44"/>
      <c r="G182" s="39"/>
      <c r="H182" s="39"/>
      <c r="I182" s="39"/>
      <c r="J182" s="39"/>
      <c r="K182" s="44"/>
      <c r="L182" s="44"/>
      <c r="M182" s="44"/>
      <c r="N182" s="44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5.75" customHeight="1">
      <c r="A183" s="39"/>
      <c r="B183" s="45"/>
      <c r="C183" s="46"/>
      <c r="D183" s="39"/>
      <c r="E183" s="39"/>
      <c r="F183" s="44"/>
      <c r="G183" s="39"/>
      <c r="H183" s="39"/>
      <c r="I183" s="39"/>
      <c r="J183" s="39"/>
      <c r="K183" s="44"/>
      <c r="L183" s="44"/>
      <c r="M183" s="44"/>
      <c r="N183" s="44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5.75" customHeight="1">
      <c r="A184" s="39"/>
      <c r="B184" s="45"/>
      <c r="C184" s="46"/>
      <c r="D184" s="39"/>
      <c r="E184" s="39"/>
      <c r="F184" s="44"/>
      <c r="G184" s="39"/>
      <c r="H184" s="39"/>
      <c r="I184" s="39"/>
      <c r="J184" s="39"/>
      <c r="K184" s="44"/>
      <c r="L184" s="44"/>
      <c r="M184" s="44"/>
      <c r="N184" s="44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5.75" customHeight="1">
      <c r="A185" s="39"/>
      <c r="B185" s="45"/>
      <c r="C185" s="46"/>
      <c r="D185" s="39"/>
      <c r="E185" s="39"/>
      <c r="F185" s="44"/>
      <c r="G185" s="39"/>
      <c r="H185" s="39"/>
      <c r="I185" s="39"/>
      <c r="J185" s="39"/>
      <c r="K185" s="44"/>
      <c r="L185" s="44"/>
      <c r="M185" s="44"/>
      <c r="N185" s="44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5.75" customHeight="1">
      <c r="A186" s="39"/>
      <c r="B186" s="45"/>
      <c r="C186" s="46"/>
      <c r="D186" s="39"/>
      <c r="E186" s="39"/>
      <c r="F186" s="44"/>
      <c r="G186" s="39"/>
      <c r="H186" s="39"/>
      <c r="I186" s="39"/>
      <c r="J186" s="39"/>
      <c r="K186" s="44"/>
      <c r="L186" s="44"/>
      <c r="M186" s="44"/>
      <c r="N186" s="44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5.75" customHeight="1">
      <c r="A187" s="39"/>
      <c r="B187" s="45"/>
      <c r="C187" s="46"/>
      <c r="D187" s="39"/>
      <c r="E187" s="39"/>
      <c r="F187" s="44"/>
      <c r="G187" s="39"/>
      <c r="H187" s="39"/>
      <c r="I187" s="39"/>
      <c r="J187" s="39"/>
      <c r="K187" s="44"/>
      <c r="L187" s="44"/>
      <c r="M187" s="44"/>
      <c r="N187" s="44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5.75" customHeight="1">
      <c r="A188" s="39"/>
      <c r="B188" s="45"/>
      <c r="C188" s="46"/>
      <c r="D188" s="39"/>
      <c r="E188" s="39"/>
      <c r="F188" s="44"/>
      <c r="G188" s="39"/>
      <c r="H188" s="39"/>
      <c r="I188" s="39"/>
      <c r="J188" s="39"/>
      <c r="K188" s="44"/>
      <c r="L188" s="44"/>
      <c r="M188" s="44"/>
      <c r="N188" s="44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5.75" customHeight="1">
      <c r="A189" s="39"/>
      <c r="B189" s="45"/>
      <c r="C189" s="46"/>
      <c r="D189" s="39"/>
      <c r="E189" s="39"/>
      <c r="F189" s="44"/>
      <c r="G189" s="39"/>
      <c r="H189" s="39"/>
      <c r="I189" s="39"/>
      <c r="J189" s="39"/>
      <c r="K189" s="44"/>
      <c r="L189" s="44"/>
      <c r="M189" s="44"/>
      <c r="N189" s="44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5.75" customHeight="1">
      <c r="A190" s="39"/>
      <c r="B190" s="45"/>
      <c r="C190" s="46"/>
      <c r="D190" s="39"/>
      <c r="E190" s="39"/>
      <c r="F190" s="44"/>
      <c r="G190" s="39"/>
      <c r="H190" s="39"/>
      <c r="I190" s="39"/>
      <c r="J190" s="39"/>
      <c r="K190" s="44"/>
      <c r="L190" s="44"/>
      <c r="M190" s="44"/>
      <c r="N190" s="44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5.75" customHeight="1">
      <c r="A191" s="39"/>
      <c r="B191" s="45"/>
      <c r="C191" s="46"/>
      <c r="D191" s="39"/>
      <c r="E191" s="39"/>
      <c r="F191" s="44"/>
      <c r="G191" s="39"/>
      <c r="H191" s="39"/>
      <c r="I191" s="39"/>
      <c r="J191" s="39"/>
      <c r="K191" s="44"/>
      <c r="L191" s="44"/>
      <c r="M191" s="44"/>
      <c r="N191" s="44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5.75" customHeight="1">
      <c r="A192" s="39"/>
      <c r="B192" s="45"/>
      <c r="C192" s="46"/>
      <c r="D192" s="39"/>
      <c r="E192" s="39"/>
      <c r="F192" s="44"/>
      <c r="G192" s="39"/>
      <c r="H192" s="39"/>
      <c r="I192" s="39"/>
      <c r="J192" s="39"/>
      <c r="K192" s="44"/>
      <c r="L192" s="44"/>
      <c r="M192" s="44"/>
      <c r="N192" s="44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5.75" customHeight="1">
      <c r="A193" s="39"/>
      <c r="B193" s="45"/>
      <c r="C193" s="46"/>
      <c r="D193" s="39"/>
      <c r="E193" s="39"/>
      <c r="F193" s="44"/>
      <c r="G193" s="39"/>
      <c r="H193" s="39"/>
      <c r="I193" s="39"/>
      <c r="J193" s="39"/>
      <c r="K193" s="44"/>
      <c r="L193" s="44"/>
      <c r="M193" s="44"/>
      <c r="N193" s="44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5.75" customHeight="1">
      <c r="A194" s="39"/>
      <c r="B194" s="45"/>
      <c r="C194" s="46"/>
      <c r="D194" s="39"/>
      <c r="E194" s="39"/>
      <c r="F194" s="44"/>
      <c r="G194" s="39"/>
      <c r="H194" s="39"/>
      <c r="I194" s="39"/>
      <c r="J194" s="39"/>
      <c r="K194" s="44"/>
      <c r="L194" s="44"/>
      <c r="M194" s="44"/>
      <c r="N194" s="44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5.75" customHeight="1">
      <c r="A195" s="39"/>
      <c r="B195" s="45"/>
      <c r="C195" s="46"/>
      <c r="D195" s="39"/>
      <c r="E195" s="39"/>
      <c r="F195" s="44"/>
      <c r="G195" s="39"/>
      <c r="H195" s="39"/>
      <c r="I195" s="39"/>
      <c r="J195" s="39"/>
      <c r="K195" s="44"/>
      <c r="L195" s="44"/>
      <c r="M195" s="44"/>
      <c r="N195" s="44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5.75" customHeight="1">
      <c r="A196" s="39"/>
      <c r="B196" s="45"/>
      <c r="C196" s="46"/>
      <c r="D196" s="39"/>
      <c r="E196" s="39"/>
      <c r="F196" s="44"/>
      <c r="G196" s="39"/>
      <c r="H196" s="39"/>
      <c r="I196" s="39"/>
      <c r="J196" s="39"/>
      <c r="K196" s="44"/>
      <c r="L196" s="44"/>
      <c r="M196" s="44"/>
      <c r="N196" s="44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5.75" customHeight="1">
      <c r="A197" s="39"/>
      <c r="B197" s="45"/>
      <c r="C197" s="46"/>
      <c r="D197" s="39"/>
      <c r="E197" s="39"/>
      <c r="F197" s="44"/>
      <c r="G197" s="39"/>
      <c r="H197" s="39"/>
      <c r="I197" s="39"/>
      <c r="J197" s="39"/>
      <c r="K197" s="44"/>
      <c r="L197" s="44"/>
      <c r="M197" s="44"/>
      <c r="N197" s="44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5.75" customHeight="1">
      <c r="A198" s="39"/>
      <c r="B198" s="45"/>
      <c r="C198" s="46"/>
      <c r="D198" s="39"/>
      <c r="E198" s="39"/>
      <c r="F198" s="44"/>
      <c r="G198" s="39"/>
      <c r="H198" s="39"/>
      <c r="I198" s="39"/>
      <c r="J198" s="39"/>
      <c r="K198" s="44"/>
      <c r="L198" s="44"/>
      <c r="M198" s="44"/>
      <c r="N198" s="44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5.75" customHeight="1">
      <c r="A199" s="39"/>
      <c r="B199" s="45"/>
      <c r="C199" s="46"/>
      <c r="D199" s="39"/>
      <c r="E199" s="39"/>
      <c r="F199" s="44"/>
      <c r="G199" s="39"/>
      <c r="H199" s="39"/>
      <c r="I199" s="39"/>
      <c r="J199" s="39"/>
      <c r="K199" s="44"/>
      <c r="L199" s="44"/>
      <c r="M199" s="44"/>
      <c r="N199" s="44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5.75" customHeight="1">
      <c r="A200" s="39"/>
      <c r="B200" s="45"/>
      <c r="C200" s="46"/>
      <c r="D200" s="39"/>
      <c r="E200" s="39"/>
      <c r="F200" s="44"/>
      <c r="G200" s="39"/>
      <c r="H200" s="39"/>
      <c r="I200" s="39"/>
      <c r="J200" s="39"/>
      <c r="K200" s="44"/>
      <c r="L200" s="44"/>
      <c r="M200" s="44"/>
      <c r="N200" s="44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5.75" customHeight="1">
      <c r="A201" s="39"/>
      <c r="B201" s="45"/>
      <c r="C201" s="46"/>
      <c r="D201" s="39"/>
      <c r="E201" s="39"/>
      <c r="F201" s="44"/>
      <c r="G201" s="39"/>
      <c r="H201" s="39"/>
      <c r="I201" s="39"/>
      <c r="J201" s="39"/>
      <c r="K201" s="44"/>
      <c r="L201" s="44"/>
      <c r="M201" s="44"/>
      <c r="N201" s="44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5.75" customHeight="1">
      <c r="A202" s="39"/>
      <c r="B202" s="45"/>
      <c r="C202" s="46"/>
      <c r="D202" s="39"/>
      <c r="E202" s="39"/>
      <c r="F202" s="44"/>
      <c r="G202" s="39"/>
      <c r="H202" s="39"/>
      <c r="I202" s="39"/>
      <c r="J202" s="39"/>
      <c r="K202" s="44"/>
      <c r="L202" s="44"/>
      <c r="M202" s="44"/>
      <c r="N202" s="44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5.75" customHeight="1">
      <c r="A203" s="39"/>
      <c r="B203" s="45"/>
      <c r="C203" s="46"/>
      <c r="D203" s="39"/>
      <c r="E203" s="39"/>
      <c r="F203" s="44"/>
      <c r="G203" s="39"/>
      <c r="H203" s="39"/>
      <c r="I203" s="39"/>
      <c r="J203" s="39"/>
      <c r="K203" s="44"/>
      <c r="L203" s="44"/>
      <c r="M203" s="44"/>
      <c r="N203" s="44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5.75" customHeight="1">
      <c r="A204" s="39"/>
      <c r="B204" s="45"/>
      <c r="C204" s="46"/>
      <c r="D204" s="39"/>
      <c r="E204" s="39"/>
      <c r="F204" s="44"/>
      <c r="G204" s="39"/>
      <c r="H204" s="39"/>
      <c r="I204" s="39"/>
      <c r="J204" s="39"/>
      <c r="K204" s="44"/>
      <c r="L204" s="44"/>
      <c r="M204" s="44"/>
      <c r="N204" s="44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5.75" customHeight="1">
      <c r="A205" s="39"/>
      <c r="B205" s="45"/>
      <c r="C205" s="46"/>
      <c r="D205" s="39"/>
      <c r="E205" s="39"/>
      <c r="F205" s="44"/>
      <c r="G205" s="39"/>
      <c r="H205" s="39"/>
      <c r="I205" s="39"/>
      <c r="J205" s="39"/>
      <c r="K205" s="44"/>
      <c r="L205" s="44"/>
      <c r="M205" s="44"/>
      <c r="N205" s="44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5.75" customHeight="1">
      <c r="A206" s="39"/>
      <c r="B206" s="45"/>
      <c r="C206" s="46"/>
      <c r="D206" s="39"/>
      <c r="E206" s="39"/>
      <c r="F206" s="44"/>
      <c r="G206" s="39"/>
      <c r="H206" s="39"/>
      <c r="I206" s="39"/>
      <c r="J206" s="39"/>
      <c r="K206" s="44"/>
      <c r="L206" s="44"/>
      <c r="M206" s="44"/>
      <c r="N206" s="44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5.75" customHeight="1">
      <c r="A207" s="39"/>
      <c r="B207" s="45"/>
      <c r="C207" s="46"/>
      <c r="D207" s="39"/>
      <c r="E207" s="39"/>
      <c r="F207" s="44"/>
      <c r="G207" s="39"/>
      <c r="H207" s="39"/>
      <c r="I207" s="39"/>
      <c r="J207" s="39"/>
      <c r="K207" s="44"/>
      <c r="L207" s="44"/>
      <c r="M207" s="44"/>
      <c r="N207" s="44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5.75" customHeight="1">
      <c r="A208" s="39"/>
      <c r="B208" s="45"/>
      <c r="C208" s="46"/>
      <c r="D208" s="39"/>
      <c r="E208" s="39"/>
      <c r="F208" s="44"/>
      <c r="G208" s="39"/>
      <c r="H208" s="39"/>
      <c r="I208" s="39"/>
      <c r="J208" s="39"/>
      <c r="K208" s="44"/>
      <c r="L208" s="44"/>
      <c r="M208" s="44"/>
      <c r="N208" s="44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5.75" customHeight="1">
      <c r="A209" s="39"/>
      <c r="B209" s="45"/>
      <c r="C209" s="46"/>
      <c r="D209" s="39"/>
      <c r="E209" s="39"/>
      <c r="F209" s="44"/>
      <c r="G209" s="39"/>
      <c r="H209" s="39"/>
      <c r="I209" s="39"/>
      <c r="J209" s="39"/>
      <c r="K209" s="44"/>
      <c r="L209" s="44"/>
      <c r="M209" s="44"/>
      <c r="N209" s="44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5.75" customHeight="1">
      <c r="A210" s="39"/>
      <c r="B210" s="45"/>
      <c r="C210" s="46"/>
      <c r="D210" s="39"/>
      <c r="E210" s="39"/>
      <c r="F210" s="44"/>
      <c r="G210" s="39"/>
      <c r="H210" s="39"/>
      <c r="I210" s="39"/>
      <c r="J210" s="39"/>
      <c r="K210" s="44"/>
      <c r="L210" s="44"/>
      <c r="M210" s="44"/>
      <c r="N210" s="44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5.75" customHeight="1">
      <c r="A211" s="39"/>
      <c r="B211" s="45"/>
      <c r="C211" s="46"/>
      <c r="D211" s="39"/>
      <c r="E211" s="39"/>
      <c r="F211" s="44"/>
      <c r="G211" s="39"/>
      <c r="H211" s="39"/>
      <c r="I211" s="39"/>
      <c r="J211" s="39"/>
      <c r="K211" s="44"/>
      <c r="L211" s="44"/>
      <c r="M211" s="44"/>
      <c r="N211" s="44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5.75" customHeight="1">
      <c r="A212" s="39"/>
      <c r="B212" s="45"/>
      <c r="C212" s="46"/>
      <c r="D212" s="39"/>
      <c r="E212" s="39"/>
      <c r="F212" s="44"/>
      <c r="G212" s="39"/>
      <c r="H212" s="39"/>
      <c r="I212" s="39"/>
      <c r="J212" s="39"/>
      <c r="K212" s="44"/>
      <c r="L212" s="44"/>
      <c r="M212" s="44"/>
      <c r="N212" s="44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5.75" customHeight="1">
      <c r="A213" s="39"/>
      <c r="B213" s="45"/>
      <c r="C213" s="46"/>
      <c r="D213" s="39"/>
      <c r="E213" s="39"/>
      <c r="F213" s="44"/>
      <c r="G213" s="39"/>
      <c r="H213" s="39"/>
      <c r="I213" s="39"/>
      <c r="J213" s="39"/>
      <c r="K213" s="44"/>
      <c r="L213" s="44"/>
      <c r="M213" s="44"/>
      <c r="N213" s="44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5.75" customHeight="1">
      <c r="A214" s="39"/>
      <c r="B214" s="45"/>
      <c r="C214" s="46"/>
      <c r="D214" s="39"/>
      <c r="E214" s="39"/>
      <c r="F214" s="44"/>
      <c r="G214" s="39"/>
      <c r="H214" s="39"/>
      <c r="I214" s="39"/>
      <c r="J214" s="39"/>
      <c r="K214" s="44"/>
      <c r="L214" s="44"/>
      <c r="M214" s="44"/>
      <c r="N214" s="44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5.75" customHeight="1">
      <c r="A215" s="39"/>
      <c r="B215" s="45"/>
      <c r="C215" s="46"/>
      <c r="D215" s="39"/>
      <c r="E215" s="39"/>
      <c r="F215" s="44"/>
      <c r="G215" s="39"/>
      <c r="H215" s="39"/>
      <c r="I215" s="39"/>
      <c r="J215" s="39"/>
      <c r="K215" s="44"/>
      <c r="L215" s="44"/>
      <c r="M215" s="44"/>
      <c r="N215" s="44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5.75" customHeight="1">
      <c r="A216" s="39"/>
      <c r="B216" s="45"/>
      <c r="C216" s="46"/>
      <c r="D216" s="39"/>
      <c r="E216" s="39"/>
      <c r="F216" s="44"/>
      <c r="G216" s="39"/>
      <c r="H216" s="39"/>
      <c r="I216" s="39"/>
      <c r="J216" s="39"/>
      <c r="K216" s="44"/>
      <c r="L216" s="44"/>
      <c r="M216" s="44"/>
      <c r="N216" s="44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5.75" customHeight="1">
      <c r="A217" s="39"/>
      <c r="B217" s="45"/>
      <c r="C217" s="46"/>
      <c r="D217" s="39"/>
      <c r="E217" s="39"/>
      <c r="F217" s="44"/>
      <c r="G217" s="39"/>
      <c r="H217" s="39"/>
      <c r="I217" s="39"/>
      <c r="J217" s="39"/>
      <c r="K217" s="44"/>
      <c r="L217" s="44"/>
      <c r="M217" s="44"/>
      <c r="N217" s="44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5.75" customHeight="1">
      <c r="A218" s="39"/>
      <c r="B218" s="45"/>
      <c r="C218" s="46"/>
      <c r="D218" s="39"/>
      <c r="E218" s="39"/>
      <c r="F218" s="44"/>
      <c r="G218" s="39"/>
      <c r="H218" s="39"/>
      <c r="I218" s="39"/>
      <c r="J218" s="39"/>
      <c r="K218" s="44"/>
      <c r="L218" s="44"/>
      <c r="M218" s="44"/>
      <c r="N218" s="44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5.75" customHeight="1">
      <c r="A219" s="39"/>
      <c r="B219" s="45"/>
      <c r="C219" s="46"/>
      <c r="D219" s="39"/>
      <c r="E219" s="39"/>
      <c r="F219" s="44"/>
      <c r="G219" s="39"/>
      <c r="H219" s="39"/>
      <c r="I219" s="39"/>
      <c r="J219" s="39"/>
      <c r="K219" s="44"/>
      <c r="L219" s="44"/>
      <c r="M219" s="44"/>
      <c r="N219" s="44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5.75" customHeight="1">
      <c r="A220" s="39"/>
      <c r="B220" s="45"/>
      <c r="C220" s="46"/>
      <c r="D220" s="39"/>
      <c r="E220" s="39"/>
      <c r="F220" s="44"/>
      <c r="G220" s="39"/>
      <c r="H220" s="39"/>
      <c r="I220" s="39"/>
      <c r="J220" s="39"/>
      <c r="K220" s="44"/>
      <c r="L220" s="44"/>
      <c r="M220" s="44"/>
      <c r="N220" s="44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5.75" customHeight="1">
      <c r="A221" s="39"/>
      <c r="B221" s="45"/>
      <c r="C221" s="46"/>
      <c r="D221" s="39"/>
      <c r="E221" s="39"/>
      <c r="F221" s="44"/>
      <c r="G221" s="39"/>
      <c r="H221" s="39"/>
      <c r="I221" s="39"/>
      <c r="J221" s="39"/>
      <c r="K221" s="44"/>
      <c r="L221" s="44"/>
      <c r="M221" s="44"/>
      <c r="N221" s="44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5.75" customHeight="1">
      <c r="A222" s="39"/>
      <c r="B222" s="45"/>
      <c r="C222" s="46"/>
      <c r="D222" s="39"/>
      <c r="E222" s="39"/>
      <c r="F222" s="44"/>
      <c r="G222" s="39"/>
      <c r="H222" s="39"/>
      <c r="I222" s="39"/>
      <c r="J222" s="39"/>
      <c r="K222" s="44"/>
      <c r="L222" s="44"/>
      <c r="M222" s="44"/>
      <c r="N222" s="44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5.75" customHeight="1">
      <c r="A223" s="39"/>
      <c r="B223" s="45"/>
      <c r="C223" s="46"/>
      <c r="D223" s="39"/>
      <c r="E223" s="39"/>
      <c r="F223" s="44"/>
      <c r="G223" s="39"/>
      <c r="H223" s="39"/>
      <c r="I223" s="39"/>
      <c r="J223" s="39"/>
      <c r="K223" s="44"/>
      <c r="L223" s="44"/>
      <c r="M223" s="44"/>
      <c r="N223" s="44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5.75" customHeight="1">
      <c r="A224" s="39"/>
      <c r="B224" s="45"/>
      <c r="C224" s="46"/>
      <c r="D224" s="39"/>
      <c r="E224" s="39"/>
      <c r="F224" s="44"/>
      <c r="G224" s="39"/>
      <c r="H224" s="39"/>
      <c r="I224" s="39"/>
      <c r="J224" s="39"/>
      <c r="K224" s="44"/>
      <c r="L224" s="44"/>
      <c r="M224" s="44"/>
      <c r="N224" s="44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5.75" customHeight="1">
      <c r="A225" s="39"/>
      <c r="B225" s="45"/>
      <c r="C225" s="46"/>
      <c r="D225" s="39"/>
      <c r="E225" s="39"/>
      <c r="F225" s="44"/>
      <c r="G225" s="39"/>
      <c r="H225" s="39"/>
      <c r="I225" s="39"/>
      <c r="J225" s="39"/>
      <c r="K225" s="44"/>
      <c r="L225" s="44"/>
      <c r="M225" s="44"/>
      <c r="N225" s="44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5.75" customHeight="1">
      <c r="A226" s="39"/>
      <c r="B226" s="45"/>
      <c r="C226" s="46"/>
      <c r="D226" s="39"/>
      <c r="E226" s="39"/>
      <c r="F226" s="44"/>
      <c r="G226" s="39"/>
      <c r="H226" s="39"/>
      <c r="I226" s="39"/>
      <c r="J226" s="39"/>
      <c r="K226" s="44"/>
      <c r="L226" s="44"/>
      <c r="M226" s="44"/>
      <c r="N226" s="44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5.75" customHeight="1">
      <c r="A227" s="39"/>
      <c r="B227" s="45"/>
      <c r="C227" s="46"/>
      <c r="D227" s="39"/>
      <c r="E227" s="39"/>
      <c r="F227" s="44"/>
      <c r="G227" s="39"/>
      <c r="H227" s="39"/>
      <c r="I227" s="39"/>
      <c r="J227" s="39"/>
      <c r="K227" s="44"/>
      <c r="L227" s="44"/>
      <c r="M227" s="44"/>
      <c r="N227" s="44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5.75" customHeight="1">
      <c r="A228" s="39"/>
      <c r="B228" s="45"/>
      <c r="C228" s="46"/>
      <c r="D228" s="39"/>
      <c r="E228" s="39"/>
      <c r="F228" s="44"/>
      <c r="G228" s="39"/>
      <c r="H228" s="39"/>
      <c r="I228" s="39"/>
      <c r="J228" s="39"/>
      <c r="K228" s="44"/>
      <c r="L228" s="44"/>
      <c r="M228" s="44"/>
      <c r="N228" s="44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5.75" customHeight="1">
      <c r="A229" s="39"/>
      <c r="B229" s="45"/>
      <c r="C229" s="46"/>
      <c r="D229" s="39"/>
      <c r="E229" s="39"/>
      <c r="F229" s="44"/>
      <c r="G229" s="39"/>
      <c r="H229" s="39"/>
      <c r="I229" s="39"/>
      <c r="J229" s="39"/>
      <c r="K229" s="44"/>
      <c r="L229" s="44"/>
      <c r="M229" s="44"/>
      <c r="N229" s="44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5.75" customHeight="1">
      <c r="A230" s="39"/>
      <c r="B230" s="45"/>
      <c r="C230" s="46"/>
      <c r="D230" s="39"/>
      <c r="E230" s="39"/>
      <c r="F230" s="44"/>
      <c r="G230" s="39"/>
      <c r="H230" s="39"/>
      <c r="I230" s="39"/>
      <c r="J230" s="39"/>
      <c r="K230" s="44"/>
      <c r="L230" s="44"/>
      <c r="M230" s="44"/>
      <c r="N230" s="44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5.75" customHeight="1">
      <c r="A231" s="39"/>
      <c r="B231" s="45"/>
      <c r="C231" s="46"/>
      <c r="D231" s="39"/>
      <c r="E231" s="39"/>
      <c r="F231" s="44"/>
      <c r="G231" s="39"/>
      <c r="H231" s="39"/>
      <c r="I231" s="39"/>
      <c r="J231" s="39"/>
      <c r="K231" s="44"/>
      <c r="L231" s="44"/>
      <c r="M231" s="44"/>
      <c r="N231" s="44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5.75" customHeight="1">
      <c r="A232" s="39"/>
      <c r="B232" s="45"/>
      <c r="C232" s="46"/>
      <c r="D232" s="39"/>
      <c r="E232" s="39"/>
      <c r="F232" s="44"/>
      <c r="G232" s="39"/>
      <c r="H232" s="39"/>
      <c r="I232" s="39"/>
      <c r="J232" s="39"/>
      <c r="K232" s="44"/>
      <c r="L232" s="44"/>
      <c r="M232" s="44"/>
      <c r="N232" s="44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5.75" customHeight="1">
      <c r="A233" s="39"/>
      <c r="B233" s="45"/>
      <c r="C233" s="46"/>
      <c r="D233" s="39"/>
      <c r="E233" s="39"/>
      <c r="F233" s="44"/>
      <c r="G233" s="39"/>
      <c r="H233" s="39"/>
      <c r="I233" s="39"/>
      <c r="J233" s="39"/>
      <c r="K233" s="44"/>
      <c r="L233" s="44"/>
      <c r="M233" s="44"/>
      <c r="N233" s="44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5.75" customHeight="1">
      <c r="A234" s="39"/>
      <c r="B234" s="45"/>
      <c r="C234" s="46"/>
      <c r="D234" s="39"/>
      <c r="E234" s="39"/>
      <c r="F234" s="44"/>
      <c r="G234" s="39"/>
      <c r="H234" s="39"/>
      <c r="I234" s="39"/>
      <c r="J234" s="39"/>
      <c r="K234" s="44"/>
      <c r="L234" s="44"/>
      <c r="M234" s="44"/>
      <c r="N234" s="44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5.75" customHeight="1">
      <c r="A235" s="39"/>
      <c r="B235" s="45"/>
      <c r="C235" s="46"/>
      <c r="D235" s="39"/>
      <c r="E235" s="39"/>
      <c r="F235" s="44"/>
      <c r="G235" s="39"/>
      <c r="H235" s="39"/>
      <c r="I235" s="39"/>
      <c r="J235" s="39"/>
      <c r="K235" s="44"/>
      <c r="L235" s="44"/>
      <c r="M235" s="44"/>
      <c r="N235" s="44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5.75" customHeight="1">
      <c r="A236" s="39"/>
      <c r="B236" s="45"/>
      <c r="C236" s="46"/>
      <c r="D236" s="39"/>
      <c r="E236" s="39"/>
      <c r="F236" s="44"/>
      <c r="G236" s="39"/>
      <c r="H236" s="39"/>
      <c r="I236" s="39"/>
      <c r="J236" s="39"/>
      <c r="K236" s="44"/>
      <c r="L236" s="44"/>
      <c r="M236" s="44"/>
      <c r="N236" s="44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5.75" customHeight="1">
      <c r="A237" s="39"/>
      <c r="B237" s="45"/>
      <c r="C237" s="46"/>
      <c r="D237" s="39"/>
      <c r="E237" s="39"/>
      <c r="F237" s="44"/>
      <c r="G237" s="39"/>
      <c r="H237" s="39"/>
      <c r="I237" s="39"/>
      <c r="J237" s="39"/>
      <c r="K237" s="44"/>
      <c r="L237" s="44"/>
      <c r="M237" s="44"/>
      <c r="N237" s="44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5.75" customHeight="1">
      <c r="A238" s="39"/>
      <c r="B238" s="45"/>
      <c r="C238" s="46"/>
      <c r="D238" s="39"/>
      <c r="E238" s="39"/>
      <c r="F238" s="44"/>
      <c r="G238" s="39"/>
      <c r="H238" s="39"/>
      <c r="I238" s="39"/>
      <c r="J238" s="39"/>
      <c r="K238" s="44"/>
      <c r="L238" s="44"/>
      <c r="M238" s="44"/>
      <c r="N238" s="44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5.75" customHeight="1">
      <c r="A239" s="39"/>
      <c r="B239" s="45"/>
      <c r="C239" s="46"/>
      <c r="D239" s="39"/>
      <c r="E239" s="39"/>
      <c r="F239" s="44"/>
      <c r="G239" s="39"/>
      <c r="H239" s="39"/>
      <c r="I239" s="39"/>
      <c r="J239" s="39"/>
      <c r="K239" s="44"/>
      <c r="L239" s="44"/>
      <c r="M239" s="44"/>
      <c r="N239" s="44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5.75" customHeight="1">
      <c r="A240" s="39"/>
      <c r="B240" s="45"/>
      <c r="C240" s="46"/>
      <c r="D240" s="39"/>
      <c r="E240" s="39"/>
      <c r="F240" s="44"/>
      <c r="G240" s="39"/>
      <c r="H240" s="39"/>
      <c r="I240" s="39"/>
      <c r="J240" s="39"/>
      <c r="K240" s="44"/>
      <c r="L240" s="44"/>
      <c r="M240" s="44"/>
      <c r="N240" s="44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5.75" customHeight="1">
      <c r="A241" s="39"/>
      <c r="B241" s="45"/>
      <c r="C241" s="46"/>
      <c r="D241" s="39"/>
      <c r="E241" s="39"/>
      <c r="F241" s="44"/>
      <c r="G241" s="39"/>
      <c r="H241" s="39"/>
      <c r="I241" s="39"/>
      <c r="J241" s="39"/>
      <c r="K241" s="44"/>
      <c r="L241" s="44"/>
      <c r="M241" s="44"/>
      <c r="N241" s="44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5.75" customHeight="1">
      <c r="A242" s="39"/>
      <c r="B242" s="45"/>
      <c r="C242" s="46"/>
      <c r="D242" s="39"/>
      <c r="E242" s="39"/>
      <c r="F242" s="44"/>
      <c r="G242" s="39"/>
      <c r="H242" s="39"/>
      <c r="I242" s="39"/>
      <c r="J242" s="39"/>
      <c r="K242" s="44"/>
      <c r="L242" s="44"/>
      <c r="M242" s="44"/>
      <c r="N242" s="44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5.75" customHeight="1">
      <c r="A243" s="39"/>
      <c r="B243" s="45"/>
      <c r="C243" s="46"/>
      <c r="D243" s="39"/>
      <c r="E243" s="39"/>
      <c r="F243" s="44"/>
      <c r="G243" s="39"/>
      <c r="H243" s="39"/>
      <c r="I243" s="39"/>
      <c r="J243" s="39"/>
      <c r="K243" s="44"/>
      <c r="L243" s="44"/>
      <c r="M243" s="44"/>
      <c r="N243" s="44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5.75" customHeight="1">
      <c r="A244" s="39"/>
      <c r="B244" s="45"/>
      <c r="C244" s="46"/>
      <c r="D244" s="39"/>
      <c r="E244" s="39"/>
      <c r="F244" s="44"/>
      <c r="G244" s="39"/>
      <c r="H244" s="39"/>
      <c r="I244" s="39"/>
      <c r="J244" s="39"/>
      <c r="K244" s="44"/>
      <c r="L244" s="44"/>
      <c r="M244" s="44"/>
      <c r="N244" s="44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5.75" customHeight="1">
      <c r="A245" s="39"/>
      <c r="B245" s="45"/>
      <c r="C245" s="46"/>
      <c r="D245" s="39"/>
      <c r="E245" s="39"/>
      <c r="F245" s="44"/>
      <c r="G245" s="39"/>
      <c r="H245" s="39"/>
      <c r="I245" s="39"/>
      <c r="J245" s="39"/>
      <c r="K245" s="44"/>
      <c r="L245" s="44"/>
      <c r="M245" s="44"/>
      <c r="N245" s="44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5.75" customHeight="1">
      <c r="A246" s="39"/>
      <c r="B246" s="45"/>
      <c r="C246" s="46"/>
      <c r="D246" s="39"/>
      <c r="E246" s="39"/>
      <c r="F246" s="44"/>
      <c r="G246" s="39"/>
      <c r="H246" s="39"/>
      <c r="I246" s="39"/>
      <c r="J246" s="39"/>
      <c r="K246" s="44"/>
      <c r="L246" s="44"/>
      <c r="M246" s="44"/>
      <c r="N246" s="44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5.75" customHeight="1">
      <c r="A247" s="39"/>
      <c r="B247" s="45"/>
      <c r="C247" s="46"/>
      <c r="D247" s="39"/>
      <c r="E247" s="39"/>
      <c r="F247" s="44"/>
      <c r="G247" s="39"/>
      <c r="H247" s="39"/>
      <c r="I247" s="39"/>
      <c r="J247" s="39"/>
      <c r="K247" s="44"/>
      <c r="L247" s="44"/>
      <c r="M247" s="44"/>
      <c r="N247" s="44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5.75" customHeight="1">
      <c r="A248" s="39"/>
      <c r="B248" s="45"/>
      <c r="C248" s="46"/>
      <c r="D248" s="39"/>
      <c r="E248" s="39"/>
      <c r="F248" s="44"/>
      <c r="G248" s="39"/>
      <c r="H248" s="39"/>
      <c r="I248" s="39"/>
      <c r="J248" s="39"/>
      <c r="K248" s="44"/>
      <c r="L248" s="44"/>
      <c r="M248" s="44"/>
      <c r="N248" s="44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5.75" customHeight="1">
      <c r="A249" s="39"/>
      <c r="B249" s="45"/>
      <c r="C249" s="46"/>
      <c r="D249" s="39"/>
      <c r="E249" s="39"/>
      <c r="F249" s="44"/>
      <c r="G249" s="39"/>
      <c r="H249" s="39"/>
      <c r="I249" s="39"/>
      <c r="J249" s="39"/>
      <c r="K249" s="44"/>
      <c r="L249" s="44"/>
      <c r="M249" s="44"/>
      <c r="N249" s="44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5.75" customHeight="1">
      <c r="A250" s="39"/>
      <c r="B250" s="45"/>
      <c r="C250" s="46"/>
      <c r="D250" s="39"/>
      <c r="E250" s="39"/>
      <c r="F250" s="44"/>
      <c r="G250" s="39"/>
      <c r="H250" s="39"/>
      <c r="I250" s="39"/>
      <c r="J250" s="39"/>
      <c r="K250" s="44"/>
      <c r="L250" s="44"/>
      <c r="M250" s="44"/>
      <c r="N250" s="44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5.75" customHeight="1">
      <c r="A251" s="39"/>
      <c r="B251" s="45"/>
      <c r="C251" s="46"/>
      <c r="D251" s="39"/>
      <c r="E251" s="39"/>
      <c r="F251" s="44"/>
      <c r="G251" s="39"/>
      <c r="H251" s="39"/>
      <c r="I251" s="39"/>
      <c r="J251" s="39"/>
      <c r="K251" s="44"/>
      <c r="L251" s="44"/>
      <c r="M251" s="44"/>
      <c r="N251" s="44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5.75" customHeight="1">
      <c r="A252" s="39"/>
      <c r="B252" s="45"/>
      <c r="C252" s="46"/>
      <c r="D252" s="39"/>
      <c r="E252" s="39"/>
      <c r="F252" s="44"/>
      <c r="G252" s="39"/>
      <c r="H252" s="39"/>
      <c r="I252" s="39"/>
      <c r="J252" s="39"/>
      <c r="K252" s="44"/>
      <c r="L252" s="44"/>
      <c r="M252" s="44"/>
      <c r="N252" s="44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5.75" customHeight="1">
      <c r="A253" s="39"/>
      <c r="B253" s="45"/>
      <c r="C253" s="46"/>
      <c r="D253" s="39"/>
      <c r="E253" s="39"/>
      <c r="F253" s="44"/>
      <c r="G253" s="39"/>
      <c r="H253" s="39"/>
      <c r="I253" s="39"/>
      <c r="J253" s="39"/>
      <c r="K253" s="44"/>
      <c r="L253" s="44"/>
      <c r="M253" s="44"/>
      <c r="N253" s="44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5.75" customHeight="1">
      <c r="A254" s="39"/>
      <c r="B254" s="45"/>
      <c r="C254" s="46"/>
      <c r="D254" s="39"/>
      <c r="E254" s="39"/>
      <c r="F254" s="44"/>
      <c r="G254" s="39"/>
      <c r="H254" s="39"/>
      <c r="I254" s="39"/>
      <c r="J254" s="39"/>
      <c r="K254" s="44"/>
      <c r="L254" s="44"/>
      <c r="M254" s="44"/>
      <c r="N254" s="44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5.75" customHeight="1">
      <c r="A255" s="39"/>
      <c r="B255" s="45"/>
      <c r="C255" s="46"/>
      <c r="D255" s="39"/>
      <c r="E255" s="39"/>
      <c r="F255" s="44"/>
      <c r="G255" s="39"/>
      <c r="H255" s="39"/>
      <c r="I255" s="39"/>
      <c r="J255" s="39"/>
      <c r="K255" s="44"/>
      <c r="L255" s="44"/>
      <c r="M255" s="44"/>
      <c r="N255" s="44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5.75" customHeight="1">
      <c r="A256" s="39"/>
      <c r="B256" s="45"/>
      <c r="C256" s="46"/>
      <c r="D256" s="39"/>
      <c r="E256" s="39"/>
      <c r="F256" s="44"/>
      <c r="G256" s="39"/>
      <c r="H256" s="39"/>
      <c r="I256" s="39"/>
      <c r="J256" s="39"/>
      <c r="K256" s="44"/>
      <c r="L256" s="44"/>
      <c r="M256" s="44"/>
      <c r="N256" s="44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5.75" customHeight="1">
      <c r="A257" s="39"/>
      <c r="B257" s="45"/>
      <c r="C257" s="46"/>
      <c r="D257" s="39"/>
      <c r="E257" s="39"/>
      <c r="F257" s="44"/>
      <c r="G257" s="39"/>
      <c r="H257" s="39"/>
      <c r="I257" s="39"/>
      <c r="J257" s="39"/>
      <c r="K257" s="44"/>
      <c r="L257" s="44"/>
      <c r="M257" s="44"/>
      <c r="N257" s="44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5.75" customHeight="1">
      <c r="A258" s="39"/>
      <c r="B258" s="45"/>
      <c r="C258" s="46"/>
      <c r="D258" s="39"/>
      <c r="E258" s="39"/>
      <c r="F258" s="44"/>
      <c r="G258" s="39"/>
      <c r="H258" s="39"/>
      <c r="I258" s="39"/>
      <c r="J258" s="39"/>
      <c r="K258" s="44"/>
      <c r="L258" s="44"/>
      <c r="M258" s="44"/>
      <c r="N258" s="44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5.75" customHeight="1">
      <c r="A259" s="39"/>
      <c r="B259" s="45"/>
      <c r="C259" s="46"/>
      <c r="D259" s="39"/>
      <c r="E259" s="39"/>
      <c r="F259" s="44"/>
      <c r="G259" s="39"/>
      <c r="H259" s="39"/>
      <c r="I259" s="39"/>
      <c r="J259" s="39"/>
      <c r="K259" s="44"/>
      <c r="L259" s="44"/>
      <c r="M259" s="44"/>
      <c r="N259" s="44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5.75" customHeight="1">
      <c r="A260" s="39"/>
      <c r="B260" s="45"/>
      <c r="C260" s="46"/>
      <c r="D260" s="39"/>
      <c r="E260" s="39"/>
      <c r="F260" s="44"/>
      <c r="G260" s="39"/>
      <c r="H260" s="39"/>
      <c r="I260" s="39"/>
      <c r="J260" s="39"/>
      <c r="K260" s="44"/>
      <c r="L260" s="44"/>
      <c r="M260" s="44"/>
      <c r="N260" s="44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5.75" customHeight="1">
      <c r="A261" s="39"/>
      <c r="B261" s="45"/>
      <c r="C261" s="46"/>
      <c r="D261" s="39"/>
      <c r="E261" s="39"/>
      <c r="F261" s="44"/>
      <c r="G261" s="39"/>
      <c r="H261" s="39"/>
      <c r="I261" s="39"/>
      <c r="J261" s="39"/>
      <c r="K261" s="44"/>
      <c r="L261" s="44"/>
      <c r="M261" s="44"/>
      <c r="N261" s="44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5.75" customHeight="1">
      <c r="A262" s="39"/>
      <c r="B262" s="45"/>
      <c r="C262" s="46"/>
      <c r="D262" s="39"/>
      <c r="E262" s="39"/>
      <c r="F262" s="44"/>
      <c r="G262" s="39"/>
      <c r="H262" s="39"/>
      <c r="I262" s="39"/>
      <c r="J262" s="39"/>
      <c r="K262" s="44"/>
      <c r="L262" s="44"/>
      <c r="M262" s="44"/>
      <c r="N262" s="44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5.75" customHeight="1">
      <c r="A263" s="39"/>
      <c r="B263" s="45"/>
      <c r="C263" s="46"/>
      <c r="D263" s="39"/>
      <c r="E263" s="39"/>
      <c r="F263" s="44"/>
      <c r="G263" s="39"/>
      <c r="H263" s="39"/>
      <c r="I263" s="39"/>
      <c r="J263" s="39"/>
      <c r="K263" s="44"/>
      <c r="L263" s="44"/>
      <c r="M263" s="44"/>
      <c r="N263" s="44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5.75" customHeight="1">
      <c r="A264" s="39"/>
      <c r="B264" s="45"/>
      <c r="C264" s="46"/>
      <c r="D264" s="39"/>
      <c r="E264" s="39"/>
      <c r="F264" s="44"/>
      <c r="G264" s="39"/>
      <c r="H264" s="39"/>
      <c r="I264" s="39"/>
      <c r="J264" s="39"/>
      <c r="K264" s="44"/>
      <c r="L264" s="44"/>
      <c r="M264" s="44"/>
      <c r="N264" s="44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5.75" customHeight="1">
      <c r="A265" s="39"/>
      <c r="B265" s="45"/>
      <c r="C265" s="46"/>
      <c r="D265" s="39"/>
      <c r="E265" s="39"/>
      <c r="F265" s="44"/>
      <c r="G265" s="39"/>
      <c r="H265" s="39"/>
      <c r="I265" s="39"/>
      <c r="J265" s="39"/>
      <c r="K265" s="44"/>
      <c r="L265" s="44"/>
      <c r="M265" s="44"/>
      <c r="N265" s="44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5.75" customHeight="1">
      <c r="A266" s="39"/>
      <c r="B266" s="45"/>
      <c r="C266" s="46"/>
      <c r="D266" s="39"/>
      <c r="E266" s="39"/>
      <c r="F266" s="44"/>
      <c r="G266" s="39"/>
      <c r="H266" s="39"/>
      <c r="I266" s="39"/>
      <c r="J266" s="39"/>
      <c r="K266" s="44"/>
      <c r="L266" s="44"/>
      <c r="M266" s="44"/>
      <c r="N266" s="44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5.75" customHeight="1">
      <c r="A267" s="39"/>
      <c r="B267" s="45"/>
      <c r="C267" s="46"/>
      <c r="D267" s="39"/>
      <c r="E267" s="39"/>
      <c r="F267" s="44"/>
      <c r="G267" s="39"/>
      <c r="H267" s="39"/>
      <c r="I267" s="39"/>
      <c r="J267" s="39"/>
      <c r="K267" s="44"/>
      <c r="L267" s="44"/>
      <c r="M267" s="44"/>
      <c r="N267" s="44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5.75" customHeight="1">
      <c r="A268" s="39"/>
      <c r="B268" s="45"/>
      <c r="C268" s="46"/>
      <c r="D268" s="39"/>
      <c r="E268" s="39"/>
      <c r="F268" s="44"/>
      <c r="G268" s="39"/>
      <c r="H268" s="39"/>
      <c r="I268" s="39"/>
      <c r="J268" s="39"/>
      <c r="K268" s="44"/>
      <c r="L268" s="44"/>
      <c r="M268" s="44"/>
      <c r="N268" s="44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5.75" customHeight="1">
      <c r="A269" s="39"/>
      <c r="B269" s="45"/>
      <c r="C269" s="46"/>
      <c r="D269" s="39"/>
      <c r="E269" s="39"/>
      <c r="F269" s="44"/>
      <c r="G269" s="39"/>
      <c r="H269" s="39"/>
      <c r="I269" s="39"/>
      <c r="J269" s="39"/>
      <c r="K269" s="44"/>
      <c r="L269" s="44"/>
      <c r="M269" s="44"/>
      <c r="N269" s="44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5.75" customHeight="1">
      <c r="A270" s="39"/>
      <c r="B270" s="45"/>
      <c r="C270" s="46"/>
      <c r="D270" s="39"/>
      <c r="E270" s="39"/>
      <c r="F270" s="44"/>
      <c r="G270" s="39"/>
      <c r="H270" s="39"/>
      <c r="I270" s="39"/>
      <c r="J270" s="39"/>
      <c r="K270" s="44"/>
      <c r="L270" s="44"/>
      <c r="M270" s="44"/>
      <c r="N270" s="44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5.75" customHeight="1">
      <c r="A271" s="39"/>
      <c r="B271" s="45"/>
      <c r="C271" s="46"/>
      <c r="D271" s="39"/>
      <c r="E271" s="39"/>
      <c r="F271" s="44"/>
      <c r="G271" s="39"/>
      <c r="H271" s="39"/>
      <c r="I271" s="39"/>
      <c r="J271" s="39"/>
      <c r="K271" s="44"/>
      <c r="L271" s="44"/>
      <c r="M271" s="44"/>
      <c r="N271" s="44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5.75" customHeight="1">
      <c r="A272" s="39"/>
      <c r="B272" s="45"/>
      <c r="C272" s="46"/>
      <c r="D272" s="39"/>
      <c r="E272" s="39"/>
      <c r="F272" s="44"/>
      <c r="G272" s="39"/>
      <c r="H272" s="39"/>
      <c r="I272" s="39"/>
      <c r="J272" s="39"/>
      <c r="K272" s="44"/>
      <c r="L272" s="44"/>
      <c r="M272" s="44"/>
      <c r="N272" s="44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5.75" customHeight="1">
      <c r="A273" s="39"/>
      <c r="B273" s="45"/>
      <c r="C273" s="46"/>
      <c r="D273" s="39"/>
      <c r="E273" s="39"/>
      <c r="F273" s="44"/>
      <c r="G273" s="39"/>
      <c r="H273" s="39"/>
      <c r="I273" s="39"/>
      <c r="J273" s="39"/>
      <c r="K273" s="44"/>
      <c r="L273" s="44"/>
      <c r="M273" s="44"/>
      <c r="N273" s="44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5.75" customHeight="1">
      <c r="A274" s="39"/>
      <c r="B274" s="45"/>
      <c r="C274" s="46"/>
      <c r="D274" s="39"/>
      <c r="E274" s="39"/>
      <c r="F274" s="44"/>
      <c r="G274" s="39"/>
      <c r="H274" s="39"/>
      <c r="I274" s="39"/>
      <c r="J274" s="39"/>
      <c r="K274" s="44"/>
      <c r="L274" s="44"/>
      <c r="M274" s="44"/>
      <c r="N274" s="44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5.75" customHeight="1">
      <c r="A275" s="39"/>
      <c r="B275" s="45"/>
      <c r="C275" s="46"/>
      <c r="D275" s="39"/>
      <c r="E275" s="39"/>
      <c r="F275" s="44"/>
      <c r="G275" s="39"/>
      <c r="H275" s="39"/>
      <c r="I275" s="39"/>
      <c r="J275" s="39"/>
      <c r="K275" s="44"/>
      <c r="L275" s="44"/>
      <c r="M275" s="44"/>
      <c r="N275" s="44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5.75" customHeight="1">
      <c r="A276" s="39"/>
      <c r="B276" s="45"/>
      <c r="C276" s="46"/>
      <c r="D276" s="39"/>
      <c r="E276" s="39"/>
      <c r="F276" s="44"/>
      <c r="G276" s="39"/>
      <c r="H276" s="39"/>
      <c r="I276" s="39"/>
      <c r="J276" s="39"/>
      <c r="K276" s="44"/>
      <c r="L276" s="44"/>
      <c r="M276" s="44"/>
      <c r="N276" s="44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5.75" customHeight="1">
      <c r="A277" s="39"/>
      <c r="B277" s="45"/>
      <c r="C277" s="46"/>
      <c r="D277" s="39"/>
      <c r="E277" s="39"/>
      <c r="F277" s="44"/>
      <c r="G277" s="39"/>
      <c r="H277" s="39"/>
      <c r="I277" s="39"/>
      <c r="J277" s="39"/>
      <c r="K277" s="44"/>
      <c r="L277" s="44"/>
      <c r="M277" s="44"/>
      <c r="N277" s="44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5.75" customHeight="1">
      <c r="A278" s="39"/>
      <c r="B278" s="45"/>
      <c r="C278" s="46"/>
      <c r="D278" s="39"/>
      <c r="E278" s="39"/>
      <c r="F278" s="44"/>
      <c r="G278" s="39"/>
      <c r="H278" s="39"/>
      <c r="I278" s="39"/>
      <c r="J278" s="39"/>
      <c r="K278" s="44"/>
      <c r="L278" s="44"/>
      <c r="M278" s="44"/>
      <c r="N278" s="44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5.75" customHeight="1">
      <c r="A279" s="39"/>
      <c r="B279" s="45"/>
      <c r="C279" s="46"/>
      <c r="D279" s="39"/>
      <c r="E279" s="39"/>
      <c r="F279" s="44"/>
      <c r="G279" s="39"/>
      <c r="H279" s="39"/>
      <c r="I279" s="39"/>
      <c r="J279" s="39"/>
      <c r="K279" s="44"/>
      <c r="L279" s="44"/>
      <c r="M279" s="44"/>
      <c r="N279" s="44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5.75" customHeight="1">
      <c r="A280" s="39"/>
      <c r="B280" s="45"/>
      <c r="C280" s="46"/>
      <c r="D280" s="39"/>
      <c r="E280" s="39"/>
      <c r="F280" s="44"/>
      <c r="G280" s="39"/>
      <c r="H280" s="39"/>
      <c r="I280" s="39"/>
      <c r="J280" s="39"/>
      <c r="K280" s="44"/>
      <c r="L280" s="44"/>
      <c r="M280" s="44"/>
      <c r="N280" s="44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5.75" customHeight="1">
      <c r="A281" s="39"/>
      <c r="B281" s="45"/>
      <c r="C281" s="46"/>
      <c r="D281" s="39"/>
      <c r="E281" s="39"/>
      <c r="F281" s="44"/>
      <c r="G281" s="39"/>
      <c r="H281" s="39"/>
      <c r="I281" s="39"/>
      <c r="J281" s="39"/>
      <c r="K281" s="44"/>
      <c r="L281" s="44"/>
      <c r="M281" s="44"/>
      <c r="N281" s="44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5.75" customHeight="1">
      <c r="A282" s="39"/>
      <c r="B282" s="45"/>
      <c r="C282" s="46"/>
      <c r="D282" s="39"/>
      <c r="E282" s="39"/>
      <c r="F282" s="44"/>
      <c r="G282" s="39"/>
      <c r="H282" s="39"/>
      <c r="I282" s="39"/>
      <c r="J282" s="39"/>
      <c r="K282" s="44"/>
      <c r="L282" s="44"/>
      <c r="M282" s="44"/>
      <c r="N282" s="44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5.75" customHeight="1">
      <c r="A283" s="39"/>
      <c r="B283" s="45"/>
      <c r="C283" s="46"/>
      <c r="D283" s="39"/>
      <c r="E283" s="39"/>
      <c r="F283" s="44"/>
      <c r="G283" s="39"/>
      <c r="H283" s="39"/>
      <c r="I283" s="39"/>
      <c r="J283" s="39"/>
      <c r="K283" s="44"/>
      <c r="L283" s="44"/>
      <c r="M283" s="44"/>
      <c r="N283" s="44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5.75" customHeight="1">
      <c r="A284" s="39"/>
      <c r="B284" s="45"/>
      <c r="C284" s="46"/>
      <c r="D284" s="39"/>
      <c r="E284" s="39"/>
      <c r="F284" s="44"/>
      <c r="G284" s="39"/>
      <c r="H284" s="39"/>
      <c r="I284" s="39"/>
      <c r="J284" s="39"/>
      <c r="K284" s="44"/>
      <c r="L284" s="44"/>
      <c r="M284" s="44"/>
      <c r="N284" s="44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5.75" customHeight="1">
      <c r="A285" s="39"/>
      <c r="B285" s="45"/>
      <c r="C285" s="46"/>
      <c r="D285" s="39"/>
      <c r="E285" s="39"/>
      <c r="F285" s="44"/>
      <c r="G285" s="39"/>
      <c r="H285" s="39"/>
      <c r="I285" s="39"/>
      <c r="J285" s="39"/>
      <c r="K285" s="44"/>
      <c r="L285" s="44"/>
      <c r="M285" s="44"/>
      <c r="N285" s="44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5.75" customHeight="1">
      <c r="A286" s="39"/>
      <c r="B286" s="45"/>
      <c r="C286" s="46"/>
      <c r="D286" s="39"/>
      <c r="E286" s="39"/>
      <c r="F286" s="44"/>
      <c r="G286" s="39"/>
      <c r="H286" s="39"/>
      <c r="I286" s="39"/>
      <c r="J286" s="39"/>
      <c r="K286" s="44"/>
      <c r="L286" s="44"/>
      <c r="M286" s="44"/>
      <c r="N286" s="44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5.75" customHeight="1">
      <c r="A287" s="39"/>
      <c r="B287" s="45"/>
      <c r="C287" s="46"/>
      <c r="D287" s="39"/>
      <c r="E287" s="39"/>
      <c r="F287" s="44"/>
      <c r="G287" s="39"/>
      <c r="H287" s="39"/>
      <c r="I287" s="39"/>
      <c r="J287" s="39"/>
      <c r="K287" s="44"/>
      <c r="L287" s="44"/>
      <c r="M287" s="44"/>
      <c r="N287" s="44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5.75" customHeight="1">
      <c r="A288" s="39"/>
      <c r="B288" s="45"/>
      <c r="C288" s="46"/>
      <c r="D288" s="39"/>
      <c r="E288" s="39"/>
      <c r="F288" s="44"/>
      <c r="G288" s="39"/>
      <c r="H288" s="39"/>
      <c r="I288" s="39"/>
      <c r="J288" s="39"/>
      <c r="K288" s="44"/>
      <c r="L288" s="44"/>
      <c r="M288" s="44"/>
      <c r="N288" s="44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5.75" customHeight="1">
      <c r="A289" s="39"/>
      <c r="B289" s="45"/>
      <c r="C289" s="46"/>
      <c r="D289" s="39"/>
      <c r="E289" s="39"/>
      <c r="F289" s="44"/>
      <c r="G289" s="39"/>
      <c r="H289" s="39"/>
      <c r="I289" s="39"/>
      <c r="J289" s="39"/>
      <c r="K289" s="44"/>
      <c r="L289" s="44"/>
      <c r="M289" s="44"/>
      <c r="N289" s="44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5.75" customHeight="1">
      <c r="A290" s="39"/>
      <c r="B290" s="45"/>
      <c r="C290" s="46"/>
      <c r="D290" s="39"/>
      <c r="E290" s="39"/>
      <c r="F290" s="44"/>
      <c r="G290" s="39"/>
      <c r="H290" s="39"/>
      <c r="I290" s="39"/>
      <c r="J290" s="39"/>
      <c r="K290" s="44"/>
      <c r="L290" s="44"/>
      <c r="M290" s="44"/>
      <c r="N290" s="44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5.75" customHeight="1">
      <c r="A291" s="39"/>
      <c r="B291" s="45"/>
      <c r="C291" s="46"/>
      <c r="D291" s="39"/>
      <c r="E291" s="39"/>
      <c r="F291" s="44"/>
      <c r="G291" s="39"/>
      <c r="H291" s="39"/>
      <c r="I291" s="39"/>
      <c r="J291" s="39"/>
      <c r="K291" s="44"/>
      <c r="L291" s="44"/>
      <c r="M291" s="44"/>
      <c r="N291" s="44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5.75" customHeight="1">
      <c r="A292" s="39"/>
      <c r="B292" s="45"/>
      <c r="C292" s="46"/>
      <c r="D292" s="39"/>
      <c r="E292" s="39"/>
      <c r="F292" s="44"/>
      <c r="G292" s="39"/>
      <c r="H292" s="39"/>
      <c r="I292" s="39"/>
      <c r="J292" s="39"/>
      <c r="K292" s="44"/>
      <c r="L292" s="44"/>
      <c r="M292" s="44"/>
      <c r="N292" s="44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5.75" customHeight="1">
      <c r="A293" s="39"/>
      <c r="B293" s="45"/>
      <c r="C293" s="46"/>
      <c r="D293" s="39"/>
      <c r="E293" s="39"/>
      <c r="F293" s="44"/>
      <c r="G293" s="39"/>
      <c r="H293" s="39"/>
      <c r="I293" s="39"/>
      <c r="J293" s="39"/>
      <c r="K293" s="44"/>
      <c r="L293" s="44"/>
      <c r="M293" s="44"/>
      <c r="N293" s="44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5.75" customHeight="1">
      <c r="A294" s="39"/>
      <c r="B294" s="45"/>
      <c r="C294" s="46"/>
      <c r="D294" s="39"/>
      <c r="E294" s="39"/>
      <c r="F294" s="44"/>
      <c r="G294" s="39"/>
      <c r="H294" s="39"/>
      <c r="I294" s="39"/>
      <c r="J294" s="39"/>
      <c r="K294" s="44"/>
      <c r="L294" s="44"/>
      <c r="M294" s="44"/>
      <c r="N294" s="44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5.75" customHeight="1">
      <c r="A295" s="39"/>
      <c r="B295" s="45"/>
      <c r="C295" s="46"/>
      <c r="D295" s="39"/>
      <c r="E295" s="39"/>
      <c r="F295" s="44"/>
      <c r="G295" s="39"/>
      <c r="H295" s="39"/>
      <c r="I295" s="39"/>
      <c r="J295" s="39"/>
      <c r="K295" s="44"/>
      <c r="L295" s="44"/>
      <c r="M295" s="44"/>
      <c r="N295" s="44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5.75" customHeight="1">
      <c r="A296" s="39"/>
      <c r="B296" s="45"/>
      <c r="C296" s="46"/>
      <c r="D296" s="39"/>
      <c r="E296" s="39"/>
      <c r="F296" s="44"/>
      <c r="G296" s="39"/>
      <c r="H296" s="39"/>
      <c r="I296" s="39"/>
      <c r="J296" s="39"/>
      <c r="K296" s="44"/>
      <c r="L296" s="44"/>
      <c r="M296" s="44"/>
      <c r="N296" s="44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5.75" customHeight="1">
      <c r="A297" s="39"/>
      <c r="B297" s="45"/>
      <c r="C297" s="46"/>
      <c r="D297" s="39"/>
      <c r="E297" s="39"/>
      <c r="F297" s="44"/>
      <c r="G297" s="39"/>
      <c r="H297" s="39"/>
      <c r="I297" s="39"/>
      <c r="J297" s="39"/>
      <c r="K297" s="44"/>
      <c r="L297" s="44"/>
      <c r="M297" s="44"/>
      <c r="N297" s="44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5.75" customHeight="1">
      <c r="A298" s="39"/>
      <c r="B298" s="45"/>
      <c r="C298" s="46"/>
      <c r="D298" s="39"/>
      <c r="E298" s="39"/>
      <c r="F298" s="44"/>
      <c r="G298" s="39"/>
      <c r="H298" s="39"/>
      <c r="I298" s="39"/>
      <c r="J298" s="39"/>
      <c r="K298" s="44"/>
      <c r="L298" s="44"/>
      <c r="M298" s="44"/>
      <c r="N298" s="44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5.75" customHeight="1">
      <c r="A299" s="39"/>
      <c r="B299" s="45"/>
      <c r="C299" s="46"/>
      <c r="D299" s="39"/>
      <c r="E299" s="39"/>
      <c r="F299" s="44"/>
      <c r="G299" s="39"/>
      <c r="H299" s="39"/>
      <c r="I299" s="39"/>
      <c r="J299" s="39"/>
      <c r="K299" s="44"/>
      <c r="L299" s="44"/>
      <c r="M299" s="44"/>
      <c r="N299" s="44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5.75" customHeight="1">
      <c r="A300" s="39"/>
      <c r="B300" s="45"/>
      <c r="C300" s="46"/>
      <c r="D300" s="39"/>
      <c r="E300" s="39"/>
      <c r="F300" s="44"/>
      <c r="G300" s="39"/>
      <c r="H300" s="39"/>
      <c r="I300" s="39"/>
      <c r="J300" s="39"/>
      <c r="K300" s="44"/>
      <c r="L300" s="44"/>
      <c r="M300" s="44"/>
      <c r="N300" s="44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5.75" customHeight="1">
      <c r="A301" s="39"/>
      <c r="B301" s="45"/>
      <c r="C301" s="46"/>
      <c r="D301" s="39"/>
      <c r="E301" s="39"/>
      <c r="F301" s="44"/>
      <c r="G301" s="39"/>
      <c r="H301" s="39"/>
      <c r="I301" s="39"/>
      <c r="J301" s="39"/>
      <c r="K301" s="44"/>
      <c r="L301" s="44"/>
      <c r="M301" s="44"/>
      <c r="N301" s="44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5.75" customHeight="1">
      <c r="A302" s="39"/>
      <c r="B302" s="45"/>
      <c r="C302" s="46"/>
      <c r="D302" s="39"/>
      <c r="E302" s="39"/>
      <c r="F302" s="44"/>
      <c r="G302" s="39"/>
      <c r="H302" s="39"/>
      <c r="I302" s="39"/>
      <c r="J302" s="39"/>
      <c r="K302" s="44"/>
      <c r="L302" s="44"/>
      <c r="M302" s="44"/>
      <c r="N302" s="44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5.75" customHeight="1">
      <c r="A303" s="39"/>
      <c r="B303" s="45"/>
      <c r="C303" s="46"/>
      <c r="D303" s="39"/>
      <c r="E303" s="39"/>
      <c r="F303" s="44"/>
      <c r="G303" s="39"/>
      <c r="H303" s="39"/>
      <c r="I303" s="39"/>
      <c r="J303" s="39"/>
      <c r="K303" s="44"/>
      <c r="L303" s="44"/>
      <c r="M303" s="44"/>
      <c r="N303" s="44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5.75" customHeight="1">
      <c r="A304" s="39"/>
      <c r="B304" s="45"/>
      <c r="C304" s="46"/>
      <c r="D304" s="39"/>
      <c r="E304" s="39"/>
      <c r="F304" s="44"/>
      <c r="G304" s="39"/>
      <c r="H304" s="39"/>
      <c r="I304" s="39"/>
      <c r="J304" s="39"/>
      <c r="K304" s="44"/>
      <c r="L304" s="44"/>
      <c r="M304" s="44"/>
      <c r="N304" s="44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5.75" customHeight="1">
      <c r="A305" s="39"/>
      <c r="B305" s="45"/>
      <c r="C305" s="46"/>
      <c r="D305" s="39"/>
      <c r="E305" s="39"/>
      <c r="F305" s="44"/>
      <c r="G305" s="39"/>
      <c r="H305" s="39"/>
      <c r="I305" s="39"/>
      <c r="J305" s="39"/>
      <c r="K305" s="44"/>
      <c r="L305" s="44"/>
      <c r="M305" s="44"/>
      <c r="N305" s="44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5.75" customHeight="1">
      <c r="A306" s="39"/>
      <c r="B306" s="45"/>
      <c r="C306" s="46"/>
      <c r="D306" s="39"/>
      <c r="E306" s="39"/>
      <c r="F306" s="44"/>
      <c r="G306" s="39"/>
      <c r="H306" s="39"/>
      <c r="I306" s="39"/>
      <c r="J306" s="39"/>
      <c r="K306" s="44"/>
      <c r="L306" s="44"/>
      <c r="M306" s="44"/>
      <c r="N306" s="44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5.75" customHeight="1">
      <c r="A307" s="39"/>
      <c r="B307" s="45"/>
      <c r="C307" s="46"/>
      <c r="D307" s="39"/>
      <c r="E307" s="39"/>
      <c r="F307" s="44"/>
      <c r="G307" s="39"/>
      <c r="H307" s="39"/>
      <c r="I307" s="39"/>
      <c r="J307" s="39"/>
      <c r="K307" s="44"/>
      <c r="L307" s="44"/>
      <c r="M307" s="44"/>
      <c r="N307" s="44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5.75" customHeight="1">
      <c r="A308" s="39"/>
      <c r="B308" s="45"/>
      <c r="C308" s="46"/>
      <c r="D308" s="39"/>
      <c r="E308" s="39"/>
      <c r="F308" s="44"/>
      <c r="G308" s="39"/>
      <c r="H308" s="39"/>
      <c r="I308" s="39"/>
      <c r="J308" s="39"/>
      <c r="K308" s="44"/>
      <c r="L308" s="44"/>
      <c r="M308" s="44"/>
      <c r="N308" s="44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5.75" customHeight="1">
      <c r="A309" s="39"/>
      <c r="B309" s="45"/>
      <c r="C309" s="46"/>
      <c r="D309" s="39"/>
      <c r="E309" s="39"/>
      <c r="F309" s="44"/>
      <c r="G309" s="39"/>
      <c r="H309" s="39"/>
      <c r="I309" s="39"/>
      <c r="J309" s="39"/>
      <c r="K309" s="44"/>
      <c r="L309" s="44"/>
      <c r="M309" s="44"/>
      <c r="N309" s="44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5.75" customHeight="1">
      <c r="A310" s="39"/>
      <c r="B310" s="45"/>
      <c r="C310" s="46"/>
      <c r="D310" s="39"/>
      <c r="E310" s="39"/>
      <c r="F310" s="44"/>
      <c r="G310" s="39"/>
      <c r="H310" s="39"/>
      <c r="I310" s="39"/>
      <c r="J310" s="39"/>
      <c r="K310" s="44"/>
      <c r="L310" s="44"/>
      <c r="M310" s="44"/>
      <c r="N310" s="44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5.75" customHeight="1">
      <c r="A311" s="39"/>
      <c r="B311" s="45"/>
      <c r="C311" s="46"/>
      <c r="D311" s="39"/>
      <c r="E311" s="39"/>
      <c r="F311" s="44"/>
      <c r="G311" s="39"/>
      <c r="H311" s="39"/>
      <c r="I311" s="39"/>
      <c r="J311" s="39"/>
      <c r="K311" s="44"/>
      <c r="L311" s="44"/>
      <c r="M311" s="44"/>
      <c r="N311" s="44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5.75" customHeight="1">
      <c r="A312" s="39"/>
      <c r="B312" s="45"/>
      <c r="C312" s="46"/>
      <c r="D312" s="39"/>
      <c r="E312" s="39"/>
      <c r="F312" s="44"/>
      <c r="G312" s="39"/>
      <c r="H312" s="39"/>
      <c r="I312" s="39"/>
      <c r="J312" s="39"/>
      <c r="K312" s="44"/>
      <c r="L312" s="44"/>
      <c r="M312" s="44"/>
      <c r="N312" s="44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5.75" customHeight="1">
      <c r="A313" s="39"/>
      <c r="B313" s="45"/>
      <c r="C313" s="46"/>
      <c r="D313" s="39"/>
      <c r="E313" s="39"/>
      <c r="F313" s="44"/>
      <c r="G313" s="39"/>
      <c r="H313" s="39"/>
      <c r="I313" s="39"/>
      <c r="J313" s="39"/>
      <c r="K313" s="44"/>
      <c r="L313" s="44"/>
      <c r="M313" s="44"/>
      <c r="N313" s="44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5.75" customHeight="1">
      <c r="A314" s="39"/>
      <c r="B314" s="45"/>
      <c r="C314" s="46"/>
      <c r="D314" s="39"/>
      <c r="E314" s="39"/>
      <c r="F314" s="44"/>
      <c r="G314" s="39"/>
      <c r="H314" s="39"/>
      <c r="I314" s="39"/>
      <c r="J314" s="39"/>
      <c r="K314" s="44"/>
      <c r="L314" s="44"/>
      <c r="M314" s="44"/>
      <c r="N314" s="44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5.75" customHeight="1">
      <c r="A315" s="39"/>
      <c r="B315" s="45"/>
      <c r="C315" s="46"/>
      <c r="D315" s="39"/>
      <c r="E315" s="39"/>
      <c r="F315" s="44"/>
      <c r="G315" s="39"/>
      <c r="H315" s="39"/>
      <c r="I315" s="39"/>
      <c r="J315" s="39"/>
      <c r="K315" s="44"/>
      <c r="L315" s="44"/>
      <c r="M315" s="44"/>
      <c r="N315" s="44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5.75" customHeight="1">
      <c r="A316" s="39"/>
      <c r="B316" s="45"/>
      <c r="C316" s="46"/>
      <c r="D316" s="39"/>
      <c r="E316" s="39"/>
      <c r="F316" s="44"/>
      <c r="G316" s="39"/>
      <c r="H316" s="39"/>
      <c r="I316" s="39"/>
      <c r="J316" s="39"/>
      <c r="K316" s="44"/>
      <c r="L316" s="44"/>
      <c r="M316" s="44"/>
      <c r="N316" s="44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5.75" customHeight="1">
      <c r="A317" s="39"/>
      <c r="B317" s="45"/>
      <c r="C317" s="46"/>
      <c r="D317" s="39"/>
      <c r="E317" s="39"/>
      <c r="F317" s="44"/>
      <c r="G317" s="39"/>
      <c r="H317" s="39"/>
      <c r="I317" s="39"/>
      <c r="J317" s="39"/>
      <c r="K317" s="44"/>
      <c r="L317" s="44"/>
      <c r="M317" s="44"/>
      <c r="N317" s="44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5.75" customHeight="1">
      <c r="A318" s="39"/>
      <c r="B318" s="45"/>
      <c r="C318" s="46"/>
      <c r="D318" s="39"/>
      <c r="E318" s="39"/>
      <c r="F318" s="44"/>
      <c r="G318" s="39"/>
      <c r="H318" s="39"/>
      <c r="I318" s="39"/>
      <c r="J318" s="39"/>
      <c r="K318" s="44"/>
      <c r="L318" s="44"/>
      <c r="M318" s="44"/>
      <c r="N318" s="44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5.75" customHeight="1">
      <c r="A319" s="39"/>
      <c r="B319" s="45"/>
      <c r="C319" s="46"/>
      <c r="D319" s="39"/>
      <c r="E319" s="39"/>
      <c r="F319" s="44"/>
      <c r="G319" s="39"/>
      <c r="H319" s="39"/>
      <c r="I319" s="39"/>
      <c r="J319" s="39"/>
      <c r="K319" s="44"/>
      <c r="L319" s="44"/>
      <c r="M319" s="44"/>
      <c r="N319" s="44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5.75" customHeight="1">
      <c r="A320" s="39"/>
      <c r="B320" s="45"/>
      <c r="C320" s="46"/>
      <c r="D320" s="39"/>
      <c r="E320" s="39"/>
      <c r="F320" s="44"/>
      <c r="G320" s="39"/>
      <c r="H320" s="39"/>
      <c r="I320" s="39"/>
      <c r="J320" s="39"/>
      <c r="K320" s="44"/>
      <c r="L320" s="44"/>
      <c r="M320" s="44"/>
      <c r="N320" s="44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5.75" customHeight="1">
      <c r="A321" s="39"/>
      <c r="B321" s="45"/>
      <c r="C321" s="46"/>
      <c r="D321" s="39"/>
      <c r="E321" s="39"/>
      <c r="F321" s="44"/>
      <c r="G321" s="39"/>
      <c r="H321" s="39"/>
      <c r="I321" s="39"/>
      <c r="J321" s="39"/>
      <c r="K321" s="44"/>
      <c r="L321" s="44"/>
      <c r="M321" s="44"/>
      <c r="N321" s="44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5.75" customHeight="1">
      <c r="A322" s="39"/>
      <c r="B322" s="45"/>
      <c r="C322" s="46"/>
      <c r="D322" s="39"/>
      <c r="E322" s="39"/>
      <c r="F322" s="44"/>
      <c r="G322" s="39"/>
      <c r="H322" s="39"/>
      <c r="I322" s="39"/>
      <c r="J322" s="39"/>
      <c r="K322" s="44"/>
      <c r="L322" s="44"/>
      <c r="M322" s="44"/>
      <c r="N322" s="44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5.75" customHeight="1">
      <c r="A323" s="39"/>
      <c r="B323" s="45"/>
      <c r="C323" s="46"/>
      <c r="D323" s="39"/>
      <c r="E323" s="39"/>
      <c r="F323" s="44"/>
      <c r="G323" s="39"/>
      <c r="H323" s="39"/>
      <c r="I323" s="39"/>
      <c r="J323" s="39"/>
      <c r="K323" s="44"/>
      <c r="L323" s="44"/>
      <c r="M323" s="44"/>
      <c r="N323" s="44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5.75" customHeight="1">
      <c r="A324" s="39"/>
      <c r="B324" s="45"/>
      <c r="C324" s="46"/>
      <c r="D324" s="39"/>
      <c r="E324" s="39"/>
      <c r="F324" s="44"/>
      <c r="G324" s="39"/>
      <c r="H324" s="39"/>
      <c r="I324" s="39"/>
      <c r="J324" s="39"/>
      <c r="K324" s="44"/>
      <c r="L324" s="44"/>
      <c r="M324" s="44"/>
      <c r="N324" s="44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5.75" customHeight="1">
      <c r="A325" s="39"/>
      <c r="B325" s="45"/>
      <c r="C325" s="46"/>
      <c r="D325" s="39"/>
      <c r="E325" s="39"/>
      <c r="F325" s="44"/>
      <c r="G325" s="39"/>
      <c r="H325" s="39"/>
      <c r="I325" s="39"/>
      <c r="J325" s="39"/>
      <c r="K325" s="44"/>
      <c r="L325" s="44"/>
      <c r="M325" s="44"/>
      <c r="N325" s="44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5.75" customHeight="1">
      <c r="A326" s="39"/>
      <c r="B326" s="45"/>
      <c r="C326" s="46"/>
      <c r="D326" s="39"/>
      <c r="E326" s="39"/>
      <c r="F326" s="44"/>
      <c r="G326" s="39"/>
      <c r="H326" s="39"/>
      <c r="I326" s="39"/>
      <c r="J326" s="39"/>
      <c r="K326" s="44"/>
      <c r="L326" s="44"/>
      <c r="M326" s="44"/>
      <c r="N326" s="44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5.75" customHeight="1">
      <c r="A327" s="39"/>
      <c r="B327" s="45"/>
      <c r="C327" s="46"/>
      <c r="D327" s="39"/>
      <c r="E327" s="39"/>
      <c r="F327" s="44"/>
      <c r="G327" s="39"/>
      <c r="H327" s="39"/>
      <c r="I327" s="39"/>
      <c r="J327" s="39"/>
      <c r="K327" s="44"/>
      <c r="L327" s="44"/>
      <c r="M327" s="44"/>
      <c r="N327" s="44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5.75" customHeight="1">
      <c r="A328" s="39"/>
      <c r="B328" s="45"/>
      <c r="C328" s="46"/>
      <c r="D328" s="39"/>
      <c r="E328" s="39"/>
      <c r="F328" s="44"/>
      <c r="G328" s="39"/>
      <c r="H328" s="39"/>
      <c r="I328" s="39"/>
      <c r="J328" s="39"/>
      <c r="K328" s="44"/>
      <c r="L328" s="44"/>
      <c r="M328" s="44"/>
      <c r="N328" s="44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5.75" customHeight="1">
      <c r="A329" s="39"/>
      <c r="B329" s="45"/>
      <c r="C329" s="46"/>
      <c r="D329" s="39"/>
      <c r="E329" s="39"/>
      <c r="F329" s="44"/>
      <c r="G329" s="39"/>
      <c r="H329" s="39"/>
      <c r="I329" s="39"/>
      <c r="J329" s="39"/>
      <c r="K329" s="44"/>
      <c r="L329" s="44"/>
      <c r="M329" s="44"/>
      <c r="N329" s="44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5.75" customHeight="1">
      <c r="A330" s="39"/>
      <c r="B330" s="45"/>
      <c r="C330" s="46"/>
      <c r="D330" s="39"/>
      <c r="E330" s="39"/>
      <c r="F330" s="44"/>
      <c r="G330" s="39"/>
      <c r="H330" s="39"/>
      <c r="I330" s="39"/>
      <c r="J330" s="39"/>
      <c r="K330" s="44"/>
      <c r="L330" s="44"/>
      <c r="M330" s="44"/>
      <c r="N330" s="44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5.75" customHeight="1">
      <c r="A331" s="39"/>
      <c r="B331" s="45"/>
      <c r="C331" s="46"/>
      <c r="D331" s="39"/>
      <c r="E331" s="39"/>
      <c r="F331" s="44"/>
      <c r="G331" s="39"/>
      <c r="H331" s="39"/>
      <c r="I331" s="39"/>
      <c r="J331" s="39"/>
      <c r="K331" s="44"/>
      <c r="L331" s="44"/>
      <c r="M331" s="44"/>
      <c r="N331" s="44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5.75" customHeight="1">
      <c r="A332" s="39"/>
      <c r="B332" s="45"/>
      <c r="C332" s="46"/>
      <c r="D332" s="39"/>
      <c r="E332" s="39"/>
      <c r="F332" s="44"/>
      <c r="G332" s="39"/>
      <c r="H332" s="39"/>
      <c r="I332" s="39"/>
      <c r="J332" s="39"/>
      <c r="K332" s="44"/>
      <c r="L332" s="44"/>
      <c r="M332" s="44"/>
      <c r="N332" s="44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5.75" customHeight="1">
      <c r="A333" s="39"/>
      <c r="B333" s="45"/>
      <c r="C333" s="46"/>
      <c r="D333" s="39"/>
      <c r="E333" s="39"/>
      <c r="F333" s="44"/>
      <c r="G333" s="39"/>
      <c r="H333" s="39"/>
      <c r="I333" s="39"/>
      <c r="J333" s="39"/>
      <c r="K333" s="44"/>
      <c r="L333" s="44"/>
      <c r="M333" s="44"/>
      <c r="N333" s="44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5.75" customHeight="1">
      <c r="A334" s="39"/>
      <c r="B334" s="45"/>
      <c r="C334" s="46"/>
      <c r="D334" s="39"/>
      <c r="E334" s="39"/>
      <c r="F334" s="44"/>
      <c r="G334" s="39"/>
      <c r="H334" s="39"/>
      <c r="I334" s="39"/>
      <c r="J334" s="39"/>
      <c r="K334" s="44"/>
      <c r="L334" s="44"/>
      <c r="M334" s="44"/>
      <c r="N334" s="44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5.75" customHeight="1">
      <c r="A335" s="39"/>
      <c r="B335" s="45"/>
      <c r="C335" s="46"/>
      <c r="D335" s="39"/>
      <c r="E335" s="39"/>
      <c r="F335" s="44"/>
      <c r="G335" s="39"/>
      <c r="H335" s="39"/>
      <c r="I335" s="39"/>
      <c r="J335" s="39"/>
      <c r="K335" s="44"/>
      <c r="L335" s="44"/>
      <c r="M335" s="44"/>
      <c r="N335" s="44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5.75" customHeight="1">
      <c r="A336" s="39"/>
      <c r="B336" s="45"/>
      <c r="C336" s="46"/>
      <c r="D336" s="39"/>
      <c r="E336" s="39"/>
      <c r="F336" s="44"/>
      <c r="G336" s="39"/>
      <c r="H336" s="39"/>
      <c r="I336" s="39"/>
      <c r="J336" s="39"/>
      <c r="K336" s="44"/>
      <c r="L336" s="44"/>
      <c r="M336" s="44"/>
      <c r="N336" s="44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5.75" customHeight="1">
      <c r="A337" s="39"/>
      <c r="B337" s="45"/>
      <c r="C337" s="46"/>
      <c r="D337" s="39"/>
      <c r="E337" s="39"/>
      <c r="F337" s="44"/>
      <c r="G337" s="39"/>
      <c r="H337" s="39"/>
      <c r="I337" s="39"/>
      <c r="J337" s="39"/>
      <c r="K337" s="44"/>
      <c r="L337" s="44"/>
      <c r="M337" s="44"/>
      <c r="N337" s="44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5.75" customHeight="1">
      <c r="A338" s="39"/>
      <c r="B338" s="45"/>
      <c r="C338" s="46"/>
      <c r="D338" s="39"/>
      <c r="E338" s="39"/>
      <c r="F338" s="44"/>
      <c r="G338" s="39"/>
      <c r="H338" s="39"/>
      <c r="I338" s="39"/>
      <c r="J338" s="39"/>
      <c r="K338" s="44"/>
      <c r="L338" s="44"/>
      <c r="M338" s="44"/>
      <c r="N338" s="44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5.75" customHeight="1">
      <c r="A339" s="39"/>
      <c r="B339" s="45"/>
      <c r="C339" s="46"/>
      <c r="D339" s="39"/>
      <c r="E339" s="39"/>
      <c r="F339" s="44"/>
      <c r="G339" s="39"/>
      <c r="H339" s="39"/>
      <c r="I339" s="39"/>
      <c r="J339" s="39"/>
      <c r="K339" s="44"/>
      <c r="L339" s="44"/>
      <c r="M339" s="44"/>
      <c r="N339" s="44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5.75" customHeight="1">
      <c r="A340" s="39"/>
      <c r="B340" s="45"/>
      <c r="C340" s="46"/>
      <c r="D340" s="39"/>
      <c r="E340" s="39"/>
      <c r="F340" s="44"/>
      <c r="G340" s="39"/>
      <c r="H340" s="39"/>
      <c r="I340" s="39"/>
      <c r="J340" s="39"/>
      <c r="K340" s="44"/>
      <c r="L340" s="44"/>
      <c r="M340" s="44"/>
      <c r="N340" s="44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5.75" customHeight="1">
      <c r="A341" s="39"/>
      <c r="B341" s="45"/>
      <c r="C341" s="46"/>
      <c r="D341" s="39"/>
      <c r="E341" s="39"/>
      <c r="F341" s="44"/>
      <c r="G341" s="39"/>
      <c r="H341" s="39"/>
      <c r="I341" s="39"/>
      <c r="J341" s="39"/>
      <c r="K341" s="44"/>
      <c r="L341" s="44"/>
      <c r="M341" s="44"/>
      <c r="N341" s="44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5.75" customHeight="1">
      <c r="A342" s="39"/>
      <c r="B342" s="45"/>
      <c r="C342" s="46"/>
      <c r="D342" s="39"/>
      <c r="E342" s="39"/>
      <c r="F342" s="44"/>
      <c r="G342" s="39"/>
      <c r="H342" s="39"/>
      <c r="I342" s="39"/>
      <c r="J342" s="39"/>
      <c r="K342" s="44"/>
      <c r="L342" s="44"/>
      <c r="M342" s="44"/>
      <c r="N342" s="44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5.75" customHeight="1">
      <c r="A343" s="39"/>
      <c r="B343" s="45"/>
      <c r="C343" s="46"/>
      <c r="D343" s="39"/>
      <c r="E343" s="39"/>
      <c r="F343" s="44"/>
      <c r="G343" s="39"/>
      <c r="H343" s="39"/>
      <c r="I343" s="39"/>
      <c r="J343" s="39"/>
      <c r="K343" s="44"/>
      <c r="L343" s="44"/>
      <c r="M343" s="44"/>
      <c r="N343" s="44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5.75" customHeight="1">
      <c r="A344" s="39"/>
      <c r="B344" s="45"/>
      <c r="C344" s="46"/>
      <c r="D344" s="39"/>
      <c r="E344" s="39"/>
      <c r="F344" s="44"/>
      <c r="G344" s="39"/>
      <c r="H344" s="39"/>
      <c r="I344" s="39"/>
      <c r="J344" s="39"/>
      <c r="K344" s="44"/>
      <c r="L344" s="44"/>
      <c r="M344" s="44"/>
      <c r="N344" s="44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5.75" customHeight="1">
      <c r="A345" s="39"/>
      <c r="B345" s="45"/>
      <c r="C345" s="46"/>
      <c r="D345" s="39"/>
      <c r="E345" s="39"/>
      <c r="F345" s="44"/>
      <c r="G345" s="39"/>
      <c r="H345" s="39"/>
      <c r="I345" s="39"/>
      <c r="J345" s="39"/>
      <c r="K345" s="44"/>
      <c r="L345" s="44"/>
      <c r="M345" s="44"/>
      <c r="N345" s="44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5.75" customHeight="1">
      <c r="A346" s="39"/>
      <c r="B346" s="45"/>
      <c r="C346" s="46"/>
      <c r="D346" s="39"/>
      <c r="E346" s="39"/>
      <c r="F346" s="44"/>
      <c r="G346" s="39"/>
      <c r="H346" s="39"/>
      <c r="I346" s="39"/>
      <c r="J346" s="39"/>
      <c r="K346" s="44"/>
      <c r="L346" s="44"/>
      <c r="M346" s="44"/>
      <c r="N346" s="44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5.75" customHeight="1">
      <c r="A347" s="39"/>
      <c r="B347" s="45"/>
      <c r="C347" s="46"/>
      <c r="D347" s="39"/>
      <c r="E347" s="39"/>
      <c r="F347" s="44"/>
      <c r="G347" s="39"/>
      <c r="H347" s="39"/>
      <c r="I347" s="39"/>
      <c r="J347" s="39"/>
      <c r="K347" s="44"/>
      <c r="L347" s="44"/>
      <c r="M347" s="44"/>
      <c r="N347" s="44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5.75" customHeight="1">
      <c r="A348" s="39"/>
      <c r="B348" s="45"/>
      <c r="C348" s="46"/>
      <c r="D348" s="39"/>
      <c r="E348" s="39"/>
      <c r="F348" s="44"/>
      <c r="G348" s="39"/>
      <c r="H348" s="39"/>
      <c r="I348" s="39"/>
      <c r="J348" s="39"/>
      <c r="K348" s="44"/>
      <c r="L348" s="44"/>
      <c r="M348" s="44"/>
      <c r="N348" s="44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5.75" customHeight="1">
      <c r="A349" s="39"/>
      <c r="B349" s="45"/>
      <c r="C349" s="46"/>
      <c r="D349" s="39"/>
      <c r="E349" s="39"/>
      <c r="F349" s="44"/>
      <c r="G349" s="39"/>
      <c r="H349" s="39"/>
      <c r="I349" s="39"/>
      <c r="J349" s="39"/>
      <c r="K349" s="44"/>
      <c r="L349" s="44"/>
      <c r="M349" s="44"/>
      <c r="N349" s="44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5.75" customHeight="1">
      <c r="A350" s="39"/>
      <c r="B350" s="45"/>
      <c r="C350" s="46"/>
      <c r="D350" s="39"/>
      <c r="E350" s="39"/>
      <c r="F350" s="44"/>
      <c r="G350" s="39"/>
      <c r="H350" s="39"/>
      <c r="I350" s="39"/>
      <c r="J350" s="39"/>
      <c r="K350" s="44"/>
      <c r="L350" s="44"/>
      <c r="M350" s="44"/>
      <c r="N350" s="44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5.75" customHeight="1">
      <c r="A351" s="39"/>
      <c r="B351" s="45"/>
      <c r="C351" s="46"/>
      <c r="D351" s="39"/>
      <c r="E351" s="39"/>
      <c r="F351" s="44"/>
      <c r="G351" s="39"/>
      <c r="H351" s="39"/>
      <c r="I351" s="39"/>
      <c r="J351" s="39"/>
      <c r="K351" s="44"/>
      <c r="L351" s="44"/>
      <c r="M351" s="44"/>
      <c r="N351" s="44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5.75" customHeight="1">
      <c r="A352" s="39"/>
      <c r="B352" s="45"/>
      <c r="C352" s="46"/>
      <c r="D352" s="39"/>
      <c r="E352" s="39"/>
      <c r="F352" s="44"/>
      <c r="G352" s="39"/>
      <c r="H352" s="39"/>
      <c r="I352" s="39"/>
      <c r="J352" s="39"/>
      <c r="K352" s="44"/>
      <c r="L352" s="44"/>
      <c r="M352" s="44"/>
      <c r="N352" s="44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5.75" customHeight="1">
      <c r="A353" s="39"/>
      <c r="B353" s="45"/>
      <c r="C353" s="46"/>
      <c r="D353" s="39"/>
      <c r="E353" s="39"/>
      <c r="F353" s="44"/>
      <c r="G353" s="39"/>
      <c r="H353" s="39"/>
      <c r="I353" s="39"/>
      <c r="J353" s="39"/>
      <c r="K353" s="44"/>
      <c r="L353" s="44"/>
      <c r="M353" s="44"/>
      <c r="N353" s="44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5.75" customHeight="1">
      <c r="A354" s="39"/>
      <c r="B354" s="45"/>
      <c r="C354" s="46"/>
      <c r="D354" s="39"/>
      <c r="E354" s="39"/>
      <c r="F354" s="44"/>
      <c r="G354" s="39"/>
      <c r="H354" s="39"/>
      <c r="I354" s="39"/>
      <c r="J354" s="39"/>
      <c r="K354" s="44"/>
      <c r="L354" s="44"/>
      <c r="M354" s="44"/>
      <c r="N354" s="44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5.75" customHeight="1">
      <c r="A355" s="39"/>
      <c r="B355" s="45"/>
      <c r="C355" s="46"/>
      <c r="D355" s="39"/>
      <c r="E355" s="39"/>
      <c r="F355" s="44"/>
      <c r="G355" s="39"/>
      <c r="H355" s="39"/>
      <c r="I355" s="39"/>
      <c r="J355" s="39"/>
      <c r="K355" s="44"/>
      <c r="L355" s="44"/>
      <c r="M355" s="44"/>
      <c r="N355" s="44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5.75" customHeight="1">
      <c r="A356" s="39"/>
      <c r="B356" s="45"/>
      <c r="C356" s="46"/>
      <c r="D356" s="39"/>
      <c r="E356" s="39"/>
      <c r="F356" s="44"/>
      <c r="G356" s="39"/>
      <c r="H356" s="39"/>
      <c r="I356" s="39"/>
      <c r="J356" s="39"/>
      <c r="K356" s="44"/>
      <c r="L356" s="44"/>
      <c r="M356" s="44"/>
      <c r="N356" s="44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5.75" customHeight="1">
      <c r="A357" s="39"/>
      <c r="B357" s="45"/>
      <c r="C357" s="46"/>
      <c r="D357" s="39"/>
      <c r="E357" s="39"/>
      <c r="F357" s="44"/>
      <c r="G357" s="39"/>
      <c r="H357" s="39"/>
      <c r="I357" s="39"/>
      <c r="J357" s="39"/>
      <c r="K357" s="44"/>
      <c r="L357" s="44"/>
      <c r="M357" s="44"/>
      <c r="N357" s="44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5.75" customHeight="1">
      <c r="A358" s="39"/>
      <c r="B358" s="45"/>
      <c r="C358" s="46"/>
      <c r="D358" s="39"/>
      <c r="E358" s="39"/>
      <c r="F358" s="44"/>
      <c r="G358" s="39"/>
      <c r="H358" s="39"/>
      <c r="I358" s="39"/>
      <c r="J358" s="39"/>
      <c r="K358" s="44"/>
      <c r="L358" s="44"/>
      <c r="M358" s="44"/>
      <c r="N358" s="44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5.75" customHeight="1">
      <c r="A359" s="39"/>
      <c r="B359" s="45"/>
      <c r="C359" s="46"/>
      <c r="D359" s="39"/>
      <c r="E359" s="39"/>
      <c r="F359" s="44"/>
      <c r="G359" s="39"/>
      <c r="H359" s="39"/>
      <c r="I359" s="39"/>
      <c r="J359" s="39"/>
      <c r="K359" s="44"/>
      <c r="L359" s="44"/>
      <c r="M359" s="44"/>
      <c r="N359" s="44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5.75" customHeight="1">
      <c r="A360" s="39"/>
      <c r="B360" s="45"/>
      <c r="C360" s="46"/>
      <c r="D360" s="39"/>
      <c r="E360" s="39"/>
      <c r="F360" s="44"/>
      <c r="G360" s="39"/>
      <c r="H360" s="39"/>
      <c r="I360" s="39"/>
      <c r="J360" s="39"/>
      <c r="K360" s="44"/>
      <c r="L360" s="44"/>
      <c r="M360" s="44"/>
      <c r="N360" s="44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5.75" customHeight="1">
      <c r="A361" s="39"/>
      <c r="B361" s="45"/>
      <c r="C361" s="46"/>
      <c r="D361" s="39"/>
      <c r="E361" s="39"/>
      <c r="F361" s="44"/>
      <c r="G361" s="39"/>
      <c r="H361" s="39"/>
      <c r="I361" s="39"/>
      <c r="J361" s="39"/>
      <c r="K361" s="44"/>
      <c r="L361" s="44"/>
      <c r="M361" s="44"/>
      <c r="N361" s="44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5.75" customHeight="1">
      <c r="A362" s="39"/>
      <c r="B362" s="45"/>
      <c r="C362" s="46"/>
      <c r="D362" s="39"/>
      <c r="E362" s="39"/>
      <c r="F362" s="44"/>
      <c r="G362" s="39"/>
      <c r="H362" s="39"/>
      <c r="I362" s="39"/>
      <c r="J362" s="39"/>
      <c r="K362" s="44"/>
      <c r="L362" s="44"/>
      <c r="M362" s="44"/>
      <c r="N362" s="44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5.75" customHeight="1">
      <c r="A363" s="39"/>
      <c r="B363" s="45"/>
      <c r="C363" s="46"/>
      <c r="D363" s="39"/>
      <c r="E363" s="39"/>
      <c r="F363" s="44"/>
      <c r="G363" s="39"/>
      <c r="H363" s="39"/>
      <c r="I363" s="39"/>
      <c r="J363" s="39"/>
      <c r="K363" s="44"/>
      <c r="L363" s="44"/>
      <c r="M363" s="44"/>
      <c r="N363" s="44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5.75" customHeight="1">
      <c r="A364" s="39"/>
      <c r="B364" s="45"/>
      <c r="C364" s="46"/>
      <c r="D364" s="39"/>
      <c r="E364" s="39"/>
      <c r="F364" s="44"/>
      <c r="G364" s="39"/>
      <c r="H364" s="39"/>
      <c r="I364" s="39"/>
      <c r="J364" s="39"/>
      <c r="K364" s="44"/>
      <c r="L364" s="44"/>
      <c r="M364" s="44"/>
      <c r="N364" s="44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5.75" customHeight="1">
      <c r="A365" s="39"/>
      <c r="B365" s="45"/>
      <c r="C365" s="46"/>
      <c r="D365" s="39"/>
      <c r="E365" s="39"/>
      <c r="F365" s="44"/>
      <c r="G365" s="39"/>
      <c r="H365" s="39"/>
      <c r="I365" s="39"/>
      <c r="J365" s="39"/>
      <c r="K365" s="44"/>
      <c r="L365" s="44"/>
      <c r="M365" s="44"/>
      <c r="N365" s="44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5.75" customHeight="1">
      <c r="A366" s="39"/>
      <c r="B366" s="45"/>
      <c r="C366" s="46"/>
      <c r="D366" s="39"/>
      <c r="E366" s="39"/>
      <c r="F366" s="44"/>
      <c r="G366" s="39"/>
      <c r="H366" s="39"/>
      <c r="I366" s="39"/>
      <c r="J366" s="39"/>
      <c r="K366" s="44"/>
      <c r="L366" s="44"/>
      <c r="M366" s="44"/>
      <c r="N366" s="44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5.75" customHeight="1">
      <c r="A367" s="39"/>
      <c r="B367" s="45"/>
      <c r="C367" s="46"/>
      <c r="D367" s="39"/>
      <c r="E367" s="39"/>
      <c r="F367" s="44"/>
      <c r="G367" s="39"/>
      <c r="H367" s="39"/>
      <c r="I367" s="39"/>
      <c r="J367" s="39"/>
      <c r="K367" s="44"/>
      <c r="L367" s="44"/>
      <c r="M367" s="44"/>
      <c r="N367" s="44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5.75" customHeight="1">
      <c r="A368" s="39"/>
      <c r="B368" s="45"/>
      <c r="C368" s="46"/>
      <c r="D368" s="39"/>
      <c r="E368" s="39"/>
      <c r="F368" s="44"/>
      <c r="G368" s="39"/>
      <c r="H368" s="39"/>
      <c r="I368" s="39"/>
      <c r="J368" s="39"/>
      <c r="K368" s="44"/>
      <c r="L368" s="44"/>
      <c r="M368" s="44"/>
      <c r="N368" s="44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5.75" customHeight="1">
      <c r="A369" s="39"/>
      <c r="B369" s="45"/>
      <c r="C369" s="46"/>
      <c r="D369" s="39"/>
      <c r="E369" s="39"/>
      <c r="F369" s="44"/>
      <c r="G369" s="39"/>
      <c r="H369" s="39"/>
      <c r="I369" s="39"/>
      <c r="J369" s="39"/>
      <c r="K369" s="44"/>
      <c r="L369" s="44"/>
      <c r="M369" s="44"/>
      <c r="N369" s="44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5.75" customHeight="1">
      <c r="A370" s="39"/>
      <c r="B370" s="45"/>
      <c r="C370" s="46"/>
      <c r="D370" s="39"/>
      <c r="E370" s="39"/>
      <c r="F370" s="44"/>
      <c r="G370" s="39"/>
      <c r="H370" s="39"/>
      <c r="I370" s="39"/>
      <c r="J370" s="39"/>
      <c r="K370" s="44"/>
      <c r="L370" s="44"/>
      <c r="M370" s="44"/>
      <c r="N370" s="44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5.75" customHeight="1">
      <c r="A371" s="39"/>
      <c r="B371" s="45"/>
      <c r="C371" s="46"/>
      <c r="D371" s="39"/>
      <c r="E371" s="39"/>
      <c r="F371" s="44"/>
      <c r="G371" s="39"/>
      <c r="H371" s="39"/>
      <c r="I371" s="39"/>
      <c r="J371" s="39"/>
      <c r="K371" s="44"/>
      <c r="L371" s="44"/>
      <c r="M371" s="44"/>
      <c r="N371" s="44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5.75" customHeight="1">
      <c r="A372" s="39"/>
      <c r="B372" s="45"/>
      <c r="C372" s="46"/>
      <c r="D372" s="39"/>
      <c r="E372" s="39"/>
      <c r="F372" s="44"/>
      <c r="G372" s="39"/>
      <c r="H372" s="39"/>
      <c r="I372" s="39"/>
      <c r="J372" s="39"/>
      <c r="K372" s="44"/>
      <c r="L372" s="44"/>
      <c r="M372" s="44"/>
      <c r="N372" s="44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5.75" customHeight="1">
      <c r="A373" s="39"/>
      <c r="B373" s="45"/>
      <c r="C373" s="46"/>
      <c r="D373" s="39"/>
      <c r="E373" s="39"/>
      <c r="F373" s="44"/>
      <c r="G373" s="39"/>
      <c r="H373" s="39"/>
      <c r="I373" s="39"/>
      <c r="J373" s="39"/>
      <c r="K373" s="44"/>
      <c r="L373" s="44"/>
      <c r="M373" s="44"/>
      <c r="N373" s="44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5.75" customHeight="1">
      <c r="A374" s="39"/>
      <c r="B374" s="45"/>
      <c r="C374" s="46"/>
      <c r="D374" s="39"/>
      <c r="E374" s="39"/>
      <c r="F374" s="44"/>
      <c r="G374" s="39"/>
      <c r="H374" s="39"/>
      <c r="I374" s="39"/>
      <c r="J374" s="39"/>
      <c r="K374" s="44"/>
      <c r="L374" s="44"/>
      <c r="M374" s="44"/>
      <c r="N374" s="44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5.75" customHeight="1">
      <c r="A375" s="39"/>
      <c r="B375" s="45"/>
      <c r="C375" s="46"/>
      <c r="D375" s="39"/>
      <c r="E375" s="39"/>
      <c r="F375" s="44"/>
      <c r="G375" s="39"/>
      <c r="H375" s="39"/>
      <c r="I375" s="39"/>
      <c r="J375" s="39"/>
      <c r="K375" s="44"/>
      <c r="L375" s="44"/>
      <c r="M375" s="44"/>
      <c r="N375" s="44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5.75" customHeight="1">
      <c r="A376" s="39"/>
      <c r="B376" s="45"/>
      <c r="C376" s="46"/>
      <c r="D376" s="39"/>
      <c r="E376" s="39"/>
      <c r="F376" s="44"/>
      <c r="G376" s="39"/>
      <c r="H376" s="39"/>
      <c r="I376" s="39"/>
      <c r="J376" s="39"/>
      <c r="K376" s="44"/>
      <c r="L376" s="44"/>
      <c r="M376" s="44"/>
      <c r="N376" s="44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5.75" customHeight="1">
      <c r="A377" s="39"/>
      <c r="B377" s="45"/>
      <c r="C377" s="46"/>
      <c r="D377" s="39"/>
      <c r="E377" s="39"/>
      <c r="F377" s="44"/>
      <c r="G377" s="39"/>
      <c r="H377" s="39"/>
      <c r="I377" s="39"/>
      <c r="J377" s="39"/>
      <c r="K377" s="44"/>
      <c r="L377" s="44"/>
      <c r="M377" s="44"/>
      <c r="N377" s="44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5.75" customHeight="1">
      <c r="A378" s="39"/>
      <c r="B378" s="45"/>
      <c r="C378" s="46"/>
      <c r="D378" s="39"/>
      <c r="E378" s="39"/>
      <c r="F378" s="44"/>
      <c r="G378" s="39"/>
      <c r="H378" s="39"/>
      <c r="I378" s="39"/>
      <c r="J378" s="39"/>
      <c r="K378" s="44"/>
      <c r="L378" s="44"/>
      <c r="M378" s="44"/>
      <c r="N378" s="44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5.75" customHeight="1">
      <c r="A379" s="39"/>
      <c r="B379" s="45"/>
      <c r="C379" s="46"/>
      <c r="D379" s="39"/>
      <c r="E379" s="39"/>
      <c r="F379" s="44"/>
      <c r="G379" s="39"/>
      <c r="H379" s="39"/>
      <c r="I379" s="39"/>
      <c r="J379" s="39"/>
      <c r="K379" s="44"/>
      <c r="L379" s="44"/>
      <c r="M379" s="44"/>
      <c r="N379" s="44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5.75" customHeight="1">
      <c r="A380" s="39"/>
      <c r="B380" s="45"/>
      <c r="C380" s="46"/>
      <c r="D380" s="39"/>
      <c r="E380" s="39"/>
      <c r="F380" s="44"/>
      <c r="G380" s="39"/>
      <c r="H380" s="39"/>
      <c r="I380" s="39"/>
      <c r="J380" s="39"/>
      <c r="K380" s="44"/>
      <c r="L380" s="44"/>
      <c r="M380" s="44"/>
      <c r="N380" s="44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5.75" customHeight="1">
      <c r="A381" s="39"/>
      <c r="B381" s="45"/>
      <c r="C381" s="46"/>
      <c r="D381" s="39"/>
      <c r="E381" s="39"/>
      <c r="F381" s="44"/>
      <c r="G381" s="39"/>
      <c r="H381" s="39"/>
      <c r="I381" s="39"/>
      <c r="J381" s="39"/>
      <c r="K381" s="44"/>
      <c r="L381" s="44"/>
      <c r="M381" s="44"/>
      <c r="N381" s="44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5.75" customHeight="1">
      <c r="A382" s="39"/>
      <c r="B382" s="45"/>
      <c r="C382" s="46"/>
      <c r="D382" s="39"/>
      <c r="E382" s="39"/>
      <c r="F382" s="44"/>
      <c r="G382" s="39"/>
      <c r="H382" s="39"/>
      <c r="I382" s="39"/>
      <c r="J382" s="39"/>
      <c r="K382" s="44"/>
      <c r="L382" s="44"/>
      <c r="M382" s="44"/>
      <c r="N382" s="44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5.75" customHeight="1">
      <c r="A383" s="39"/>
      <c r="B383" s="45"/>
      <c r="C383" s="46"/>
      <c r="D383" s="39"/>
      <c r="E383" s="39"/>
      <c r="F383" s="44"/>
      <c r="G383" s="39"/>
      <c r="H383" s="39"/>
      <c r="I383" s="39"/>
      <c r="J383" s="39"/>
      <c r="K383" s="44"/>
      <c r="L383" s="44"/>
      <c r="M383" s="44"/>
      <c r="N383" s="44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5.75" customHeight="1">
      <c r="A384" s="39"/>
      <c r="B384" s="45"/>
      <c r="C384" s="46"/>
      <c r="D384" s="39"/>
      <c r="E384" s="39"/>
      <c r="F384" s="44"/>
      <c r="G384" s="39"/>
      <c r="H384" s="39"/>
      <c r="I384" s="39"/>
      <c r="J384" s="39"/>
      <c r="K384" s="44"/>
      <c r="L384" s="44"/>
      <c r="M384" s="44"/>
      <c r="N384" s="44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5.75" customHeight="1">
      <c r="A385" s="39"/>
      <c r="B385" s="45"/>
      <c r="C385" s="46"/>
      <c r="D385" s="39"/>
      <c r="E385" s="39"/>
      <c r="F385" s="44"/>
      <c r="G385" s="39"/>
      <c r="H385" s="39"/>
      <c r="I385" s="39"/>
      <c r="J385" s="39"/>
      <c r="K385" s="44"/>
      <c r="L385" s="44"/>
      <c r="M385" s="44"/>
      <c r="N385" s="44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5.75" customHeight="1">
      <c r="A386" s="39"/>
      <c r="B386" s="45"/>
      <c r="C386" s="46"/>
      <c r="D386" s="39"/>
      <c r="E386" s="39"/>
      <c r="F386" s="44"/>
      <c r="G386" s="39"/>
      <c r="H386" s="39"/>
      <c r="I386" s="39"/>
      <c r="J386" s="39"/>
      <c r="K386" s="44"/>
      <c r="L386" s="44"/>
      <c r="M386" s="44"/>
      <c r="N386" s="44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5.75" customHeight="1">
      <c r="A387" s="39"/>
      <c r="B387" s="45"/>
      <c r="C387" s="46"/>
      <c r="D387" s="39"/>
      <c r="E387" s="39"/>
      <c r="F387" s="44"/>
      <c r="G387" s="39"/>
      <c r="H387" s="39"/>
      <c r="I387" s="39"/>
      <c r="J387" s="39"/>
      <c r="K387" s="44"/>
      <c r="L387" s="44"/>
      <c r="M387" s="44"/>
      <c r="N387" s="44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5.75" customHeight="1">
      <c r="A388" s="39"/>
      <c r="B388" s="45"/>
      <c r="C388" s="46"/>
      <c r="D388" s="39"/>
      <c r="E388" s="39"/>
      <c r="F388" s="44"/>
      <c r="G388" s="39"/>
      <c r="H388" s="39"/>
      <c r="I388" s="39"/>
      <c r="J388" s="39"/>
      <c r="K388" s="44"/>
      <c r="L388" s="44"/>
      <c r="M388" s="44"/>
      <c r="N388" s="44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5.75" customHeight="1">
      <c r="A389" s="39"/>
      <c r="B389" s="45"/>
      <c r="C389" s="46"/>
      <c r="D389" s="39"/>
      <c r="E389" s="39"/>
      <c r="F389" s="44"/>
      <c r="G389" s="39"/>
      <c r="H389" s="39"/>
      <c r="I389" s="39"/>
      <c r="J389" s="39"/>
      <c r="K389" s="44"/>
      <c r="L389" s="44"/>
      <c r="M389" s="44"/>
      <c r="N389" s="44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5.75" customHeight="1">
      <c r="A390" s="39"/>
      <c r="B390" s="45"/>
      <c r="C390" s="46"/>
      <c r="D390" s="39"/>
      <c r="E390" s="39"/>
      <c r="F390" s="44"/>
      <c r="G390" s="39"/>
      <c r="H390" s="39"/>
      <c r="I390" s="39"/>
      <c r="J390" s="39"/>
      <c r="K390" s="44"/>
      <c r="L390" s="44"/>
      <c r="M390" s="44"/>
      <c r="N390" s="44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5.75" customHeight="1">
      <c r="A391" s="39"/>
      <c r="B391" s="45"/>
      <c r="C391" s="46"/>
      <c r="D391" s="39"/>
      <c r="E391" s="39"/>
      <c r="F391" s="44"/>
      <c r="G391" s="39"/>
      <c r="H391" s="39"/>
      <c r="I391" s="39"/>
      <c r="J391" s="39"/>
      <c r="K391" s="44"/>
      <c r="L391" s="44"/>
      <c r="M391" s="44"/>
      <c r="N391" s="44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5.75" customHeight="1">
      <c r="A392" s="39"/>
      <c r="B392" s="45"/>
      <c r="C392" s="46"/>
      <c r="D392" s="39"/>
      <c r="E392" s="39"/>
      <c r="F392" s="44"/>
      <c r="G392" s="39"/>
      <c r="H392" s="39"/>
      <c r="I392" s="39"/>
      <c r="J392" s="39"/>
      <c r="K392" s="44"/>
      <c r="L392" s="44"/>
      <c r="M392" s="44"/>
      <c r="N392" s="44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5.75" customHeight="1">
      <c r="A393" s="39"/>
      <c r="B393" s="45"/>
      <c r="C393" s="46"/>
      <c r="D393" s="39"/>
      <c r="E393" s="39"/>
      <c r="F393" s="44"/>
      <c r="G393" s="39"/>
      <c r="H393" s="39"/>
      <c r="I393" s="39"/>
      <c r="J393" s="39"/>
      <c r="K393" s="44"/>
      <c r="L393" s="44"/>
      <c r="M393" s="44"/>
      <c r="N393" s="44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5.75" customHeight="1">
      <c r="A394" s="39"/>
      <c r="B394" s="45"/>
      <c r="C394" s="46"/>
      <c r="D394" s="39"/>
      <c r="E394" s="39"/>
      <c r="F394" s="44"/>
      <c r="G394" s="39"/>
      <c r="H394" s="39"/>
      <c r="I394" s="39"/>
      <c r="J394" s="39"/>
      <c r="K394" s="44"/>
      <c r="L394" s="44"/>
      <c r="M394" s="44"/>
      <c r="N394" s="44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5.75" customHeight="1">
      <c r="A395" s="39"/>
      <c r="B395" s="45"/>
      <c r="C395" s="46"/>
      <c r="D395" s="39"/>
      <c r="E395" s="39"/>
      <c r="F395" s="44"/>
      <c r="G395" s="39"/>
      <c r="H395" s="39"/>
      <c r="I395" s="39"/>
      <c r="J395" s="39"/>
      <c r="K395" s="44"/>
      <c r="L395" s="44"/>
      <c r="M395" s="44"/>
      <c r="N395" s="44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5.75" customHeight="1">
      <c r="A396" s="39"/>
      <c r="B396" s="45"/>
      <c r="C396" s="46"/>
      <c r="D396" s="39"/>
      <c r="E396" s="39"/>
      <c r="F396" s="44"/>
      <c r="G396" s="39"/>
      <c r="H396" s="39"/>
      <c r="I396" s="39"/>
      <c r="J396" s="39"/>
      <c r="K396" s="44"/>
      <c r="L396" s="44"/>
      <c r="M396" s="44"/>
      <c r="N396" s="44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5.75" customHeight="1">
      <c r="A397" s="39"/>
      <c r="B397" s="45"/>
      <c r="C397" s="46"/>
      <c r="D397" s="39"/>
      <c r="E397" s="39"/>
      <c r="F397" s="44"/>
      <c r="G397" s="39"/>
      <c r="H397" s="39"/>
      <c r="I397" s="39"/>
      <c r="J397" s="39"/>
      <c r="K397" s="44"/>
      <c r="L397" s="44"/>
      <c r="M397" s="44"/>
      <c r="N397" s="44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5.75" customHeight="1">
      <c r="A398" s="39"/>
      <c r="B398" s="45"/>
      <c r="C398" s="46"/>
      <c r="D398" s="39"/>
      <c r="E398" s="39"/>
      <c r="F398" s="44"/>
      <c r="G398" s="39"/>
      <c r="H398" s="39"/>
      <c r="I398" s="39"/>
      <c r="J398" s="39"/>
      <c r="K398" s="44"/>
      <c r="L398" s="44"/>
      <c r="M398" s="44"/>
      <c r="N398" s="44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5.75" customHeight="1">
      <c r="A399" s="39"/>
      <c r="B399" s="45"/>
      <c r="C399" s="46"/>
      <c r="D399" s="39"/>
      <c r="E399" s="39"/>
      <c r="F399" s="44"/>
      <c r="G399" s="39"/>
      <c r="H399" s="39"/>
      <c r="I399" s="39"/>
      <c r="J399" s="39"/>
      <c r="K399" s="44"/>
      <c r="L399" s="44"/>
      <c r="M399" s="44"/>
      <c r="N399" s="44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5.75" customHeight="1">
      <c r="A400" s="39"/>
      <c r="B400" s="45"/>
      <c r="C400" s="46"/>
      <c r="D400" s="39"/>
      <c r="E400" s="39"/>
      <c r="F400" s="44"/>
      <c r="G400" s="39"/>
      <c r="H400" s="39"/>
      <c r="I400" s="39"/>
      <c r="J400" s="39"/>
      <c r="K400" s="44"/>
      <c r="L400" s="44"/>
      <c r="M400" s="44"/>
      <c r="N400" s="44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5.75" customHeight="1">
      <c r="A401" s="39"/>
      <c r="B401" s="45"/>
      <c r="C401" s="46"/>
      <c r="D401" s="39"/>
      <c r="E401" s="39"/>
      <c r="F401" s="44"/>
      <c r="G401" s="39"/>
      <c r="H401" s="39"/>
      <c r="I401" s="39"/>
      <c r="J401" s="39"/>
      <c r="K401" s="44"/>
      <c r="L401" s="44"/>
      <c r="M401" s="44"/>
      <c r="N401" s="44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5.75" customHeight="1">
      <c r="A402" s="39"/>
      <c r="B402" s="45"/>
      <c r="C402" s="46"/>
      <c r="D402" s="39"/>
      <c r="E402" s="39"/>
      <c r="F402" s="44"/>
      <c r="G402" s="39"/>
      <c r="H402" s="39"/>
      <c r="I402" s="39"/>
      <c r="J402" s="39"/>
      <c r="K402" s="44"/>
      <c r="L402" s="44"/>
      <c r="M402" s="44"/>
      <c r="N402" s="44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5.75" customHeight="1">
      <c r="A403" s="39"/>
      <c r="B403" s="45"/>
      <c r="C403" s="46"/>
      <c r="D403" s="39"/>
      <c r="E403" s="39"/>
      <c r="F403" s="44"/>
      <c r="G403" s="39"/>
      <c r="H403" s="39"/>
      <c r="I403" s="39"/>
      <c r="J403" s="39"/>
      <c r="K403" s="44"/>
      <c r="L403" s="44"/>
      <c r="M403" s="44"/>
      <c r="N403" s="44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5.75" customHeight="1">
      <c r="A404" s="39"/>
      <c r="B404" s="45"/>
      <c r="C404" s="46"/>
      <c r="D404" s="39"/>
      <c r="E404" s="39"/>
      <c r="F404" s="44"/>
      <c r="G404" s="39"/>
      <c r="H404" s="39"/>
      <c r="I404" s="39"/>
      <c r="J404" s="39"/>
      <c r="K404" s="44"/>
      <c r="L404" s="44"/>
      <c r="M404" s="44"/>
      <c r="N404" s="44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5.75" customHeight="1">
      <c r="A405" s="39"/>
      <c r="B405" s="45"/>
      <c r="C405" s="46"/>
      <c r="D405" s="39"/>
      <c r="E405" s="39"/>
      <c r="F405" s="44"/>
      <c r="G405" s="39"/>
      <c r="H405" s="39"/>
      <c r="I405" s="39"/>
      <c r="J405" s="39"/>
      <c r="K405" s="44"/>
      <c r="L405" s="44"/>
      <c r="M405" s="44"/>
      <c r="N405" s="44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5.75" customHeight="1">
      <c r="A406" s="39"/>
      <c r="B406" s="45"/>
      <c r="C406" s="46"/>
      <c r="D406" s="39"/>
      <c r="E406" s="39"/>
      <c r="F406" s="44"/>
      <c r="G406" s="39"/>
      <c r="H406" s="39"/>
      <c r="I406" s="39"/>
      <c r="J406" s="39"/>
      <c r="K406" s="44"/>
      <c r="L406" s="44"/>
      <c r="M406" s="44"/>
      <c r="N406" s="44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5.75" customHeight="1">
      <c r="A407" s="39"/>
      <c r="B407" s="45"/>
      <c r="C407" s="46"/>
      <c r="D407" s="39"/>
      <c r="E407" s="39"/>
      <c r="F407" s="44"/>
      <c r="G407" s="39"/>
      <c r="H407" s="39"/>
      <c r="I407" s="39"/>
      <c r="J407" s="39"/>
      <c r="K407" s="44"/>
      <c r="L407" s="44"/>
      <c r="M407" s="44"/>
      <c r="N407" s="44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5.75" customHeight="1">
      <c r="A408" s="39"/>
      <c r="B408" s="45"/>
      <c r="C408" s="46"/>
      <c r="D408" s="39"/>
      <c r="E408" s="39"/>
      <c r="F408" s="44"/>
      <c r="G408" s="39"/>
      <c r="H408" s="39"/>
      <c r="I408" s="39"/>
      <c r="J408" s="39"/>
      <c r="K408" s="44"/>
      <c r="L408" s="44"/>
      <c r="M408" s="44"/>
      <c r="N408" s="44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5.75" customHeight="1">
      <c r="A409" s="39"/>
      <c r="B409" s="45"/>
      <c r="C409" s="46"/>
      <c r="D409" s="39"/>
      <c r="E409" s="39"/>
      <c r="F409" s="44"/>
      <c r="G409" s="39"/>
      <c r="H409" s="39"/>
      <c r="I409" s="39"/>
      <c r="J409" s="39"/>
      <c r="K409" s="44"/>
      <c r="L409" s="44"/>
      <c r="M409" s="44"/>
      <c r="N409" s="44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5.75" customHeight="1">
      <c r="A410" s="39"/>
      <c r="B410" s="45"/>
      <c r="C410" s="46"/>
      <c r="D410" s="39"/>
      <c r="E410" s="39"/>
      <c r="F410" s="44"/>
      <c r="G410" s="39"/>
      <c r="H410" s="39"/>
      <c r="I410" s="39"/>
      <c r="J410" s="39"/>
      <c r="K410" s="44"/>
      <c r="L410" s="44"/>
      <c r="M410" s="44"/>
      <c r="N410" s="44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5.75" customHeight="1">
      <c r="A411" s="39"/>
      <c r="B411" s="45"/>
      <c r="C411" s="46"/>
      <c r="D411" s="39"/>
      <c r="E411" s="39"/>
      <c r="F411" s="44"/>
      <c r="G411" s="39"/>
      <c r="H411" s="39"/>
      <c r="I411" s="39"/>
      <c r="J411" s="39"/>
      <c r="K411" s="44"/>
      <c r="L411" s="44"/>
      <c r="M411" s="44"/>
      <c r="N411" s="44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5.75" customHeight="1">
      <c r="A412" s="39"/>
      <c r="B412" s="45"/>
      <c r="C412" s="46"/>
      <c r="D412" s="39"/>
      <c r="E412" s="39"/>
      <c r="F412" s="44"/>
      <c r="G412" s="39"/>
      <c r="H412" s="39"/>
      <c r="I412" s="39"/>
      <c r="J412" s="39"/>
      <c r="K412" s="44"/>
      <c r="L412" s="44"/>
      <c r="M412" s="44"/>
      <c r="N412" s="44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5.75" customHeight="1">
      <c r="A413" s="39"/>
      <c r="B413" s="45"/>
      <c r="C413" s="46"/>
      <c r="D413" s="39"/>
      <c r="E413" s="39"/>
      <c r="F413" s="44"/>
      <c r="G413" s="39"/>
      <c r="H413" s="39"/>
      <c r="I413" s="39"/>
      <c r="J413" s="39"/>
      <c r="K413" s="44"/>
      <c r="L413" s="44"/>
      <c r="M413" s="44"/>
      <c r="N413" s="44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5.75" customHeight="1">
      <c r="A414" s="39"/>
      <c r="B414" s="45"/>
      <c r="C414" s="46"/>
      <c r="D414" s="39"/>
      <c r="E414" s="39"/>
      <c r="F414" s="44"/>
      <c r="G414" s="39"/>
      <c r="H414" s="39"/>
      <c r="I414" s="39"/>
      <c r="J414" s="39"/>
      <c r="K414" s="44"/>
      <c r="L414" s="44"/>
      <c r="M414" s="44"/>
      <c r="N414" s="44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5.75" customHeight="1">
      <c r="A415" s="39"/>
      <c r="B415" s="45"/>
      <c r="C415" s="46"/>
      <c r="D415" s="39"/>
      <c r="E415" s="39"/>
      <c r="F415" s="44"/>
      <c r="G415" s="39"/>
      <c r="H415" s="39"/>
      <c r="I415" s="39"/>
      <c r="J415" s="39"/>
      <c r="K415" s="44"/>
      <c r="L415" s="44"/>
      <c r="M415" s="44"/>
      <c r="N415" s="44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5.75" customHeight="1">
      <c r="A416" s="39"/>
      <c r="B416" s="45"/>
      <c r="C416" s="46"/>
      <c r="D416" s="39"/>
      <c r="E416" s="39"/>
      <c r="F416" s="44"/>
      <c r="G416" s="39"/>
      <c r="H416" s="39"/>
      <c r="I416" s="39"/>
      <c r="J416" s="39"/>
      <c r="K416" s="44"/>
      <c r="L416" s="44"/>
      <c r="M416" s="44"/>
      <c r="N416" s="44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5.75" customHeight="1">
      <c r="A417" s="39"/>
      <c r="B417" s="45"/>
      <c r="C417" s="46"/>
      <c r="D417" s="39"/>
      <c r="E417" s="39"/>
      <c r="F417" s="44"/>
      <c r="G417" s="39"/>
      <c r="H417" s="39"/>
      <c r="I417" s="39"/>
      <c r="J417" s="39"/>
      <c r="K417" s="44"/>
      <c r="L417" s="44"/>
      <c r="M417" s="44"/>
      <c r="N417" s="44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5.75" customHeight="1">
      <c r="A418" s="39"/>
      <c r="B418" s="45"/>
      <c r="C418" s="46"/>
      <c r="D418" s="39"/>
      <c r="E418" s="39"/>
      <c r="F418" s="44"/>
      <c r="G418" s="39"/>
      <c r="H418" s="39"/>
      <c r="I418" s="39"/>
      <c r="J418" s="39"/>
      <c r="K418" s="44"/>
      <c r="L418" s="44"/>
      <c r="M418" s="44"/>
      <c r="N418" s="44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5.75" customHeight="1">
      <c r="A419" s="39"/>
      <c r="B419" s="45"/>
      <c r="C419" s="46"/>
      <c r="D419" s="39"/>
      <c r="E419" s="39"/>
      <c r="F419" s="44"/>
      <c r="G419" s="39"/>
      <c r="H419" s="39"/>
      <c r="I419" s="39"/>
      <c r="J419" s="39"/>
      <c r="K419" s="44"/>
      <c r="L419" s="44"/>
      <c r="M419" s="44"/>
      <c r="N419" s="44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5.75" customHeight="1">
      <c r="A420" s="39"/>
      <c r="B420" s="45"/>
      <c r="C420" s="46"/>
      <c r="D420" s="39"/>
      <c r="E420" s="39"/>
      <c r="F420" s="44"/>
      <c r="G420" s="39"/>
      <c r="H420" s="39"/>
      <c r="I420" s="39"/>
      <c r="J420" s="39"/>
      <c r="K420" s="44"/>
      <c r="L420" s="44"/>
      <c r="M420" s="44"/>
      <c r="N420" s="44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5.75" customHeight="1">
      <c r="A421" s="39"/>
      <c r="B421" s="45"/>
      <c r="C421" s="46"/>
      <c r="D421" s="39"/>
      <c r="E421" s="39"/>
      <c r="F421" s="44"/>
      <c r="G421" s="39"/>
      <c r="H421" s="39"/>
      <c r="I421" s="39"/>
      <c r="J421" s="39"/>
      <c r="K421" s="44"/>
      <c r="L421" s="44"/>
      <c r="M421" s="44"/>
      <c r="N421" s="44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5.75" customHeight="1">
      <c r="A422" s="39"/>
      <c r="B422" s="45"/>
      <c r="C422" s="46"/>
      <c r="D422" s="39"/>
      <c r="E422" s="39"/>
      <c r="F422" s="44"/>
      <c r="G422" s="39"/>
      <c r="H422" s="39"/>
      <c r="I422" s="39"/>
      <c r="J422" s="39"/>
      <c r="K422" s="44"/>
      <c r="L422" s="44"/>
      <c r="M422" s="44"/>
      <c r="N422" s="44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5.75" customHeight="1">
      <c r="A423" s="39"/>
      <c r="B423" s="45"/>
      <c r="C423" s="46"/>
      <c r="D423" s="39"/>
      <c r="E423" s="39"/>
      <c r="F423" s="44"/>
      <c r="G423" s="39"/>
      <c r="H423" s="39"/>
      <c r="I423" s="39"/>
      <c r="J423" s="39"/>
      <c r="K423" s="44"/>
      <c r="L423" s="44"/>
      <c r="M423" s="44"/>
      <c r="N423" s="44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5.75" customHeight="1">
      <c r="A424" s="39"/>
      <c r="B424" s="45"/>
      <c r="C424" s="46"/>
      <c r="D424" s="39"/>
      <c r="E424" s="39"/>
      <c r="F424" s="44"/>
      <c r="G424" s="39"/>
      <c r="H424" s="39"/>
      <c r="I424" s="39"/>
      <c r="J424" s="39"/>
      <c r="K424" s="44"/>
      <c r="L424" s="44"/>
      <c r="M424" s="44"/>
      <c r="N424" s="44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5.75" customHeight="1">
      <c r="A425" s="39"/>
      <c r="B425" s="45"/>
      <c r="C425" s="46"/>
      <c r="D425" s="39"/>
      <c r="E425" s="39"/>
      <c r="F425" s="44"/>
      <c r="G425" s="39"/>
      <c r="H425" s="39"/>
      <c r="I425" s="39"/>
      <c r="J425" s="39"/>
      <c r="K425" s="44"/>
      <c r="L425" s="44"/>
      <c r="M425" s="44"/>
      <c r="N425" s="44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5.75" customHeight="1">
      <c r="A426" s="39"/>
      <c r="B426" s="45"/>
      <c r="C426" s="46"/>
      <c r="D426" s="39"/>
      <c r="E426" s="39"/>
      <c r="F426" s="44"/>
      <c r="G426" s="39"/>
      <c r="H426" s="39"/>
      <c r="I426" s="39"/>
      <c r="J426" s="39"/>
      <c r="K426" s="44"/>
      <c r="L426" s="44"/>
      <c r="M426" s="44"/>
      <c r="N426" s="44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5.75" customHeight="1">
      <c r="A427" s="39"/>
      <c r="B427" s="45"/>
      <c r="C427" s="46"/>
      <c r="D427" s="39"/>
      <c r="E427" s="39"/>
      <c r="F427" s="44"/>
      <c r="G427" s="39"/>
      <c r="H427" s="39"/>
      <c r="I427" s="39"/>
      <c r="J427" s="39"/>
      <c r="K427" s="44"/>
      <c r="L427" s="44"/>
      <c r="M427" s="44"/>
      <c r="N427" s="44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5.75" customHeight="1">
      <c r="A428" s="39"/>
      <c r="B428" s="45"/>
      <c r="C428" s="46"/>
      <c r="D428" s="39"/>
      <c r="E428" s="39"/>
      <c r="F428" s="44"/>
      <c r="G428" s="39"/>
      <c r="H428" s="39"/>
      <c r="I428" s="39"/>
      <c r="J428" s="39"/>
      <c r="K428" s="44"/>
      <c r="L428" s="44"/>
      <c r="M428" s="44"/>
      <c r="N428" s="44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5.75" customHeight="1">
      <c r="A429" s="39"/>
      <c r="B429" s="45"/>
      <c r="C429" s="46"/>
      <c r="D429" s="39"/>
      <c r="E429" s="39"/>
      <c r="F429" s="44"/>
      <c r="G429" s="39"/>
      <c r="H429" s="39"/>
      <c r="I429" s="39"/>
      <c r="J429" s="39"/>
      <c r="K429" s="44"/>
      <c r="L429" s="44"/>
      <c r="M429" s="44"/>
      <c r="N429" s="44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5.75" customHeight="1">
      <c r="A430" s="39"/>
      <c r="B430" s="45"/>
      <c r="C430" s="46"/>
      <c r="D430" s="39"/>
      <c r="E430" s="39"/>
      <c r="F430" s="44"/>
      <c r="G430" s="39"/>
      <c r="H430" s="39"/>
      <c r="I430" s="39"/>
      <c r="J430" s="39"/>
      <c r="K430" s="44"/>
      <c r="L430" s="44"/>
      <c r="M430" s="44"/>
      <c r="N430" s="44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5.75" customHeight="1">
      <c r="A431" s="39"/>
      <c r="B431" s="45"/>
      <c r="C431" s="46"/>
      <c r="D431" s="39"/>
      <c r="E431" s="39"/>
      <c r="F431" s="44"/>
      <c r="G431" s="39"/>
      <c r="H431" s="39"/>
      <c r="I431" s="39"/>
      <c r="J431" s="39"/>
      <c r="K431" s="44"/>
      <c r="L431" s="44"/>
      <c r="M431" s="44"/>
      <c r="N431" s="44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5.75" customHeight="1">
      <c r="A432" s="39"/>
      <c r="B432" s="45"/>
      <c r="C432" s="46"/>
      <c r="D432" s="39"/>
      <c r="E432" s="39"/>
      <c r="F432" s="44"/>
      <c r="G432" s="39"/>
      <c r="H432" s="39"/>
      <c r="I432" s="39"/>
      <c r="J432" s="39"/>
      <c r="K432" s="44"/>
      <c r="L432" s="44"/>
      <c r="M432" s="44"/>
      <c r="N432" s="44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5.75" customHeight="1">
      <c r="A433" s="39"/>
      <c r="B433" s="45"/>
      <c r="C433" s="46"/>
      <c r="D433" s="39"/>
      <c r="E433" s="39"/>
      <c r="F433" s="44"/>
      <c r="G433" s="39"/>
      <c r="H433" s="39"/>
      <c r="I433" s="39"/>
      <c r="J433" s="39"/>
      <c r="K433" s="44"/>
      <c r="L433" s="44"/>
      <c r="M433" s="44"/>
      <c r="N433" s="44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5.75" customHeight="1">
      <c r="A434" s="39"/>
      <c r="B434" s="45"/>
      <c r="C434" s="46"/>
      <c r="D434" s="39"/>
      <c r="E434" s="39"/>
      <c r="F434" s="44"/>
      <c r="G434" s="39"/>
      <c r="H434" s="39"/>
      <c r="I434" s="39"/>
      <c r="J434" s="39"/>
      <c r="K434" s="44"/>
      <c r="L434" s="44"/>
      <c r="M434" s="44"/>
      <c r="N434" s="44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5.75" customHeight="1">
      <c r="A435" s="39"/>
      <c r="B435" s="45"/>
      <c r="C435" s="46"/>
      <c r="D435" s="39"/>
      <c r="E435" s="39"/>
      <c r="F435" s="44"/>
      <c r="G435" s="39"/>
      <c r="H435" s="39"/>
      <c r="I435" s="39"/>
      <c r="J435" s="39"/>
      <c r="K435" s="44"/>
      <c r="L435" s="44"/>
      <c r="M435" s="44"/>
      <c r="N435" s="44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5.75" customHeight="1">
      <c r="A436" s="39"/>
      <c r="B436" s="45"/>
      <c r="C436" s="46"/>
      <c r="D436" s="39"/>
      <c r="E436" s="39"/>
      <c r="F436" s="44"/>
      <c r="G436" s="39"/>
      <c r="H436" s="39"/>
      <c r="I436" s="39"/>
      <c r="J436" s="39"/>
      <c r="K436" s="44"/>
      <c r="L436" s="44"/>
      <c r="M436" s="44"/>
      <c r="N436" s="44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5.75" customHeight="1">
      <c r="A437" s="39"/>
      <c r="B437" s="45"/>
      <c r="C437" s="46"/>
      <c r="D437" s="39"/>
      <c r="E437" s="39"/>
      <c r="F437" s="44"/>
      <c r="G437" s="39"/>
      <c r="H437" s="39"/>
      <c r="I437" s="39"/>
      <c r="J437" s="39"/>
      <c r="K437" s="44"/>
      <c r="L437" s="44"/>
      <c r="M437" s="44"/>
      <c r="N437" s="44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5.75" customHeight="1">
      <c r="A438" s="39"/>
      <c r="B438" s="45"/>
      <c r="C438" s="46"/>
      <c r="D438" s="39"/>
      <c r="E438" s="39"/>
      <c r="F438" s="44"/>
      <c r="G438" s="39"/>
      <c r="H438" s="39"/>
      <c r="I438" s="39"/>
      <c r="J438" s="39"/>
      <c r="K438" s="44"/>
      <c r="L438" s="44"/>
      <c r="M438" s="44"/>
      <c r="N438" s="44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5.75" customHeight="1">
      <c r="A439" s="39"/>
      <c r="B439" s="45"/>
      <c r="C439" s="46"/>
      <c r="D439" s="39"/>
      <c r="E439" s="39"/>
      <c r="F439" s="44"/>
      <c r="G439" s="39"/>
      <c r="H439" s="39"/>
      <c r="I439" s="39"/>
      <c r="J439" s="39"/>
      <c r="K439" s="44"/>
      <c r="L439" s="44"/>
      <c r="M439" s="44"/>
      <c r="N439" s="44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5.75" customHeight="1">
      <c r="A440" s="39"/>
      <c r="B440" s="45"/>
      <c r="C440" s="46"/>
      <c r="D440" s="39"/>
      <c r="E440" s="39"/>
      <c r="F440" s="44"/>
      <c r="G440" s="39"/>
      <c r="H440" s="39"/>
      <c r="I440" s="39"/>
      <c r="J440" s="39"/>
      <c r="K440" s="44"/>
      <c r="L440" s="44"/>
      <c r="M440" s="44"/>
      <c r="N440" s="44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5.75" customHeight="1">
      <c r="A441" s="39"/>
      <c r="B441" s="45"/>
      <c r="C441" s="46"/>
      <c r="D441" s="39"/>
      <c r="E441" s="39"/>
      <c r="F441" s="44"/>
      <c r="G441" s="39"/>
      <c r="H441" s="39"/>
      <c r="I441" s="39"/>
      <c r="J441" s="39"/>
      <c r="K441" s="44"/>
      <c r="L441" s="44"/>
      <c r="M441" s="44"/>
      <c r="N441" s="44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5.75" customHeight="1">
      <c r="A442" s="39"/>
      <c r="B442" s="45"/>
      <c r="C442" s="46"/>
      <c r="D442" s="39"/>
      <c r="E442" s="39"/>
      <c r="F442" s="44"/>
      <c r="G442" s="39"/>
      <c r="H442" s="39"/>
      <c r="I442" s="39"/>
      <c r="J442" s="39"/>
      <c r="K442" s="44"/>
      <c r="L442" s="44"/>
      <c r="M442" s="44"/>
      <c r="N442" s="44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5.75" customHeight="1">
      <c r="A443" s="39"/>
      <c r="B443" s="45"/>
      <c r="C443" s="46"/>
      <c r="D443" s="39"/>
      <c r="E443" s="39"/>
      <c r="F443" s="44"/>
      <c r="G443" s="39"/>
      <c r="H443" s="39"/>
      <c r="I443" s="39"/>
      <c r="J443" s="39"/>
      <c r="K443" s="44"/>
      <c r="L443" s="44"/>
      <c r="M443" s="44"/>
      <c r="N443" s="44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5.75" customHeight="1">
      <c r="A444" s="39"/>
      <c r="B444" s="45"/>
      <c r="C444" s="46"/>
      <c r="D444" s="39"/>
      <c r="E444" s="39"/>
      <c r="F444" s="44"/>
      <c r="G444" s="39"/>
      <c r="H444" s="39"/>
      <c r="I444" s="39"/>
      <c r="J444" s="39"/>
      <c r="K444" s="44"/>
      <c r="L444" s="44"/>
      <c r="M444" s="44"/>
      <c r="N444" s="44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5.75" customHeight="1">
      <c r="A445" s="39"/>
      <c r="B445" s="45"/>
      <c r="C445" s="46"/>
      <c r="D445" s="39"/>
      <c r="E445" s="39"/>
      <c r="F445" s="44"/>
      <c r="G445" s="39"/>
      <c r="H445" s="39"/>
      <c r="I445" s="39"/>
      <c r="J445" s="39"/>
      <c r="K445" s="44"/>
      <c r="L445" s="44"/>
      <c r="M445" s="44"/>
      <c r="N445" s="44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5.75" customHeight="1">
      <c r="A446" s="39"/>
      <c r="B446" s="45"/>
      <c r="C446" s="46"/>
      <c r="D446" s="39"/>
      <c r="E446" s="39"/>
      <c r="F446" s="44"/>
      <c r="G446" s="39"/>
      <c r="H446" s="39"/>
      <c r="I446" s="39"/>
      <c r="J446" s="39"/>
      <c r="K446" s="44"/>
      <c r="L446" s="44"/>
      <c r="M446" s="44"/>
      <c r="N446" s="44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5.75" customHeight="1">
      <c r="A447" s="39"/>
      <c r="B447" s="45"/>
      <c r="C447" s="46"/>
      <c r="D447" s="39"/>
      <c r="E447" s="39"/>
      <c r="F447" s="44"/>
      <c r="G447" s="39"/>
      <c r="H447" s="39"/>
      <c r="I447" s="39"/>
      <c r="J447" s="39"/>
      <c r="K447" s="44"/>
      <c r="L447" s="44"/>
      <c r="M447" s="44"/>
      <c r="N447" s="44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5.75" customHeight="1">
      <c r="A448" s="39"/>
      <c r="B448" s="45"/>
      <c r="C448" s="46"/>
      <c r="D448" s="39"/>
      <c r="E448" s="39"/>
      <c r="F448" s="44"/>
      <c r="G448" s="39"/>
      <c r="H448" s="39"/>
      <c r="I448" s="39"/>
      <c r="J448" s="39"/>
      <c r="K448" s="44"/>
      <c r="L448" s="44"/>
      <c r="M448" s="44"/>
      <c r="N448" s="44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5.75" customHeight="1">
      <c r="A449" s="39"/>
      <c r="B449" s="45"/>
      <c r="C449" s="46"/>
      <c r="D449" s="39"/>
      <c r="E449" s="39"/>
      <c r="F449" s="44"/>
      <c r="G449" s="39"/>
      <c r="H449" s="39"/>
      <c r="I449" s="39"/>
      <c r="J449" s="39"/>
      <c r="K449" s="44"/>
      <c r="L449" s="44"/>
      <c r="M449" s="44"/>
      <c r="N449" s="44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5.75" customHeight="1">
      <c r="A450" s="39"/>
      <c r="B450" s="45"/>
      <c r="C450" s="46"/>
      <c r="D450" s="39"/>
      <c r="E450" s="39"/>
      <c r="F450" s="44"/>
      <c r="G450" s="39"/>
      <c r="H450" s="39"/>
      <c r="I450" s="39"/>
      <c r="J450" s="39"/>
      <c r="K450" s="44"/>
      <c r="L450" s="44"/>
      <c r="M450" s="44"/>
      <c r="N450" s="44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5.75" customHeight="1">
      <c r="A451" s="39"/>
      <c r="B451" s="45"/>
      <c r="C451" s="46"/>
      <c r="D451" s="39"/>
      <c r="E451" s="39"/>
      <c r="F451" s="44"/>
      <c r="G451" s="39"/>
      <c r="H451" s="39"/>
      <c r="I451" s="39"/>
      <c r="J451" s="39"/>
      <c r="K451" s="44"/>
      <c r="L451" s="44"/>
      <c r="M451" s="44"/>
      <c r="N451" s="44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5.75" customHeight="1">
      <c r="A452" s="39"/>
      <c r="B452" s="45"/>
      <c r="C452" s="46"/>
      <c r="D452" s="39"/>
      <c r="E452" s="39"/>
      <c r="F452" s="44"/>
      <c r="G452" s="39"/>
      <c r="H452" s="39"/>
      <c r="I452" s="39"/>
      <c r="J452" s="39"/>
      <c r="K452" s="44"/>
      <c r="L452" s="44"/>
      <c r="M452" s="44"/>
      <c r="N452" s="44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5.75" customHeight="1">
      <c r="A453" s="39"/>
      <c r="B453" s="45"/>
      <c r="C453" s="46"/>
      <c r="D453" s="39"/>
      <c r="E453" s="39"/>
      <c r="F453" s="44"/>
      <c r="G453" s="39"/>
      <c r="H453" s="39"/>
      <c r="I453" s="39"/>
      <c r="J453" s="39"/>
      <c r="K453" s="44"/>
      <c r="L453" s="44"/>
      <c r="M453" s="44"/>
      <c r="N453" s="44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5.75" customHeight="1">
      <c r="A454" s="39"/>
      <c r="B454" s="45"/>
      <c r="C454" s="46"/>
      <c r="D454" s="39"/>
      <c r="E454" s="39"/>
      <c r="F454" s="44"/>
      <c r="G454" s="39"/>
      <c r="H454" s="39"/>
      <c r="I454" s="39"/>
      <c r="J454" s="39"/>
      <c r="K454" s="44"/>
      <c r="L454" s="44"/>
      <c r="M454" s="44"/>
      <c r="N454" s="44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5.75" customHeight="1">
      <c r="A455" s="39"/>
      <c r="B455" s="45"/>
      <c r="C455" s="46"/>
      <c r="D455" s="39"/>
      <c r="E455" s="39"/>
      <c r="F455" s="44"/>
      <c r="G455" s="39"/>
      <c r="H455" s="39"/>
      <c r="I455" s="39"/>
      <c r="J455" s="39"/>
      <c r="K455" s="44"/>
      <c r="L455" s="44"/>
      <c r="M455" s="44"/>
      <c r="N455" s="44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5.75" customHeight="1">
      <c r="A456" s="39"/>
      <c r="B456" s="45"/>
      <c r="C456" s="46"/>
      <c r="D456" s="39"/>
      <c r="E456" s="39"/>
      <c r="F456" s="44"/>
      <c r="G456" s="39"/>
      <c r="H456" s="39"/>
      <c r="I456" s="39"/>
      <c r="J456" s="39"/>
      <c r="K456" s="44"/>
      <c r="L456" s="44"/>
      <c r="M456" s="44"/>
      <c r="N456" s="44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5.75" customHeight="1">
      <c r="A457" s="39"/>
      <c r="B457" s="45"/>
      <c r="C457" s="46"/>
      <c r="D457" s="39"/>
      <c r="E457" s="39"/>
      <c r="F457" s="44"/>
      <c r="G457" s="39"/>
      <c r="H457" s="39"/>
      <c r="I457" s="39"/>
      <c r="J457" s="39"/>
      <c r="K457" s="44"/>
      <c r="L457" s="44"/>
      <c r="M457" s="44"/>
      <c r="N457" s="44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5.75" customHeight="1">
      <c r="A458" s="39"/>
      <c r="B458" s="45"/>
      <c r="C458" s="46"/>
      <c r="D458" s="39"/>
      <c r="E458" s="39"/>
      <c r="F458" s="44"/>
      <c r="G458" s="39"/>
      <c r="H458" s="39"/>
      <c r="I458" s="39"/>
      <c r="J458" s="39"/>
      <c r="K458" s="44"/>
      <c r="L458" s="44"/>
      <c r="M458" s="44"/>
      <c r="N458" s="44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5.75" customHeight="1">
      <c r="A459" s="39"/>
      <c r="B459" s="45"/>
      <c r="C459" s="46"/>
      <c r="D459" s="39"/>
      <c r="E459" s="39"/>
      <c r="F459" s="44"/>
      <c r="G459" s="39"/>
      <c r="H459" s="39"/>
      <c r="I459" s="39"/>
      <c r="J459" s="39"/>
      <c r="K459" s="44"/>
      <c r="L459" s="44"/>
      <c r="M459" s="44"/>
      <c r="N459" s="44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5.75" customHeight="1">
      <c r="A460" s="39"/>
      <c r="B460" s="45"/>
      <c r="C460" s="46"/>
      <c r="D460" s="39"/>
      <c r="E460" s="39"/>
      <c r="F460" s="44"/>
      <c r="G460" s="39"/>
      <c r="H460" s="39"/>
      <c r="I460" s="39"/>
      <c r="J460" s="39"/>
      <c r="K460" s="44"/>
      <c r="L460" s="44"/>
      <c r="M460" s="44"/>
      <c r="N460" s="44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5.75" customHeight="1">
      <c r="A461" s="39"/>
      <c r="B461" s="45"/>
      <c r="C461" s="46"/>
      <c r="D461" s="39"/>
      <c r="E461" s="39"/>
      <c r="F461" s="44"/>
      <c r="G461" s="39"/>
      <c r="H461" s="39"/>
      <c r="I461" s="39"/>
      <c r="J461" s="39"/>
      <c r="K461" s="44"/>
      <c r="L461" s="44"/>
      <c r="M461" s="44"/>
      <c r="N461" s="44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5.75" customHeight="1">
      <c r="A462" s="39"/>
      <c r="B462" s="45"/>
      <c r="C462" s="46"/>
      <c r="D462" s="39"/>
      <c r="E462" s="39"/>
      <c r="F462" s="44"/>
      <c r="G462" s="39"/>
      <c r="H462" s="39"/>
      <c r="I462" s="39"/>
      <c r="J462" s="39"/>
      <c r="K462" s="44"/>
      <c r="L462" s="44"/>
      <c r="M462" s="44"/>
      <c r="N462" s="44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5.75" customHeight="1">
      <c r="A463" s="39"/>
      <c r="B463" s="45"/>
      <c r="C463" s="46"/>
      <c r="D463" s="39"/>
      <c r="E463" s="39"/>
      <c r="F463" s="44"/>
      <c r="G463" s="39"/>
      <c r="H463" s="39"/>
      <c r="I463" s="39"/>
      <c r="J463" s="39"/>
      <c r="K463" s="44"/>
      <c r="L463" s="44"/>
      <c r="M463" s="44"/>
      <c r="N463" s="44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5.75" customHeight="1">
      <c r="A464" s="39"/>
      <c r="B464" s="45"/>
      <c r="C464" s="46"/>
      <c r="D464" s="39"/>
      <c r="E464" s="39"/>
      <c r="F464" s="44"/>
      <c r="G464" s="39"/>
      <c r="H464" s="39"/>
      <c r="I464" s="39"/>
      <c r="J464" s="39"/>
      <c r="K464" s="44"/>
      <c r="L464" s="44"/>
      <c r="M464" s="44"/>
      <c r="N464" s="44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5.75" customHeight="1">
      <c r="A465" s="39"/>
      <c r="B465" s="45"/>
      <c r="C465" s="46"/>
      <c r="D465" s="39"/>
      <c r="E465" s="39"/>
      <c r="F465" s="44"/>
      <c r="G465" s="39"/>
      <c r="H465" s="39"/>
      <c r="I465" s="39"/>
      <c r="J465" s="39"/>
      <c r="K465" s="44"/>
      <c r="L465" s="44"/>
      <c r="M465" s="44"/>
      <c r="N465" s="44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5.75" customHeight="1">
      <c r="A466" s="39"/>
      <c r="B466" s="45"/>
      <c r="C466" s="46"/>
      <c r="D466" s="39"/>
      <c r="E466" s="39"/>
      <c r="F466" s="44"/>
      <c r="G466" s="39"/>
      <c r="H466" s="39"/>
      <c r="I466" s="39"/>
      <c r="J466" s="39"/>
      <c r="K466" s="44"/>
      <c r="L466" s="44"/>
      <c r="M466" s="44"/>
      <c r="N466" s="44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5.75" customHeight="1">
      <c r="A467" s="39"/>
      <c r="B467" s="45"/>
      <c r="C467" s="46"/>
      <c r="D467" s="39"/>
      <c r="E467" s="39"/>
      <c r="F467" s="44"/>
      <c r="G467" s="39"/>
      <c r="H467" s="39"/>
      <c r="I467" s="39"/>
      <c r="J467" s="39"/>
      <c r="K467" s="44"/>
      <c r="L467" s="44"/>
      <c r="M467" s="44"/>
      <c r="N467" s="44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5.75" customHeight="1">
      <c r="A468" s="39"/>
      <c r="B468" s="45"/>
      <c r="C468" s="46"/>
      <c r="D468" s="39"/>
      <c r="E468" s="39"/>
      <c r="F468" s="44"/>
      <c r="G468" s="39"/>
      <c r="H468" s="39"/>
      <c r="I468" s="39"/>
      <c r="J468" s="39"/>
      <c r="K468" s="44"/>
      <c r="L468" s="44"/>
      <c r="M468" s="44"/>
      <c r="N468" s="44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5.75" customHeight="1">
      <c r="A469" s="39"/>
      <c r="B469" s="45"/>
      <c r="C469" s="46"/>
      <c r="D469" s="39"/>
      <c r="E469" s="39"/>
      <c r="F469" s="44"/>
      <c r="G469" s="39"/>
      <c r="H469" s="39"/>
      <c r="I469" s="39"/>
      <c r="J469" s="39"/>
      <c r="K469" s="44"/>
      <c r="L469" s="44"/>
      <c r="M469" s="44"/>
      <c r="N469" s="44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5.75" customHeight="1">
      <c r="A470" s="39"/>
      <c r="B470" s="45"/>
      <c r="C470" s="46"/>
      <c r="D470" s="39"/>
      <c r="E470" s="39"/>
      <c r="F470" s="44"/>
      <c r="G470" s="39"/>
      <c r="H470" s="39"/>
      <c r="I470" s="39"/>
      <c r="J470" s="39"/>
      <c r="K470" s="44"/>
      <c r="L470" s="44"/>
      <c r="M470" s="44"/>
      <c r="N470" s="44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5.75" customHeight="1">
      <c r="A471" s="39"/>
      <c r="B471" s="45"/>
      <c r="C471" s="46"/>
      <c r="D471" s="39"/>
      <c r="E471" s="39"/>
      <c r="F471" s="44"/>
      <c r="G471" s="39"/>
      <c r="H471" s="39"/>
      <c r="I471" s="39"/>
      <c r="J471" s="39"/>
      <c r="K471" s="44"/>
      <c r="L471" s="44"/>
      <c r="M471" s="44"/>
      <c r="N471" s="44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5.75" customHeight="1">
      <c r="A472" s="39"/>
      <c r="B472" s="45"/>
      <c r="C472" s="46"/>
      <c r="D472" s="39"/>
      <c r="E472" s="39"/>
      <c r="F472" s="44"/>
      <c r="G472" s="39"/>
      <c r="H472" s="39"/>
      <c r="I472" s="39"/>
      <c r="J472" s="39"/>
      <c r="K472" s="44"/>
      <c r="L472" s="44"/>
      <c r="M472" s="44"/>
      <c r="N472" s="44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5.75" customHeight="1">
      <c r="A473" s="39"/>
      <c r="B473" s="45"/>
      <c r="C473" s="46"/>
      <c r="D473" s="39"/>
      <c r="E473" s="39"/>
      <c r="F473" s="44"/>
      <c r="G473" s="39"/>
      <c r="H473" s="39"/>
      <c r="I473" s="39"/>
      <c r="J473" s="39"/>
      <c r="K473" s="44"/>
      <c r="L473" s="44"/>
      <c r="M473" s="44"/>
      <c r="N473" s="44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5.75" customHeight="1">
      <c r="A474" s="39"/>
      <c r="B474" s="45"/>
      <c r="C474" s="46"/>
      <c r="D474" s="39"/>
      <c r="E474" s="39"/>
      <c r="F474" s="44"/>
      <c r="G474" s="39"/>
      <c r="H474" s="39"/>
      <c r="I474" s="39"/>
      <c r="J474" s="39"/>
      <c r="K474" s="44"/>
      <c r="L474" s="44"/>
      <c r="M474" s="44"/>
      <c r="N474" s="44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5.75" customHeight="1">
      <c r="A475" s="39"/>
      <c r="B475" s="45"/>
      <c r="C475" s="46"/>
      <c r="D475" s="39"/>
      <c r="E475" s="39"/>
      <c r="F475" s="44"/>
      <c r="G475" s="39"/>
      <c r="H475" s="39"/>
      <c r="I475" s="39"/>
      <c r="J475" s="39"/>
      <c r="K475" s="44"/>
      <c r="L475" s="44"/>
      <c r="M475" s="44"/>
      <c r="N475" s="44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5.75" customHeight="1">
      <c r="A476" s="39"/>
      <c r="B476" s="45"/>
      <c r="C476" s="46"/>
      <c r="D476" s="39"/>
      <c r="E476" s="39"/>
      <c r="F476" s="44"/>
      <c r="G476" s="39"/>
      <c r="H476" s="39"/>
      <c r="I476" s="39"/>
      <c r="J476" s="39"/>
      <c r="K476" s="44"/>
      <c r="L476" s="44"/>
      <c r="M476" s="44"/>
      <c r="N476" s="44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5.75" customHeight="1">
      <c r="A477" s="39"/>
      <c r="B477" s="45"/>
      <c r="C477" s="46"/>
      <c r="D477" s="39"/>
      <c r="E477" s="39"/>
      <c r="F477" s="44"/>
      <c r="G477" s="39"/>
      <c r="H477" s="39"/>
      <c r="I477" s="39"/>
      <c r="J477" s="39"/>
      <c r="K477" s="44"/>
      <c r="L477" s="44"/>
      <c r="M477" s="44"/>
      <c r="N477" s="44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5.75" customHeight="1">
      <c r="A478" s="39"/>
      <c r="B478" s="45"/>
      <c r="C478" s="46"/>
      <c r="D478" s="39"/>
      <c r="E478" s="39"/>
      <c r="F478" s="44"/>
      <c r="G478" s="39"/>
      <c r="H478" s="39"/>
      <c r="I478" s="39"/>
      <c r="J478" s="39"/>
      <c r="K478" s="44"/>
      <c r="L478" s="44"/>
      <c r="M478" s="44"/>
      <c r="N478" s="44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5.75" customHeight="1">
      <c r="A479" s="39"/>
      <c r="B479" s="45"/>
      <c r="C479" s="46"/>
      <c r="D479" s="39"/>
      <c r="E479" s="39"/>
      <c r="F479" s="44"/>
      <c r="G479" s="39"/>
      <c r="H479" s="39"/>
      <c r="I479" s="39"/>
      <c r="J479" s="39"/>
      <c r="K479" s="44"/>
      <c r="L479" s="44"/>
      <c r="M479" s="44"/>
      <c r="N479" s="44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5.75" customHeight="1">
      <c r="A480" s="39"/>
      <c r="B480" s="45"/>
      <c r="C480" s="46"/>
      <c r="D480" s="39"/>
      <c r="E480" s="39"/>
      <c r="F480" s="44"/>
      <c r="G480" s="39"/>
      <c r="H480" s="39"/>
      <c r="I480" s="39"/>
      <c r="J480" s="39"/>
      <c r="K480" s="44"/>
      <c r="L480" s="44"/>
      <c r="M480" s="44"/>
      <c r="N480" s="44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5.75" customHeight="1">
      <c r="A481" s="39"/>
      <c r="B481" s="45"/>
      <c r="C481" s="46"/>
      <c r="D481" s="39"/>
      <c r="E481" s="39"/>
      <c r="F481" s="44"/>
      <c r="G481" s="39"/>
      <c r="H481" s="39"/>
      <c r="I481" s="39"/>
      <c r="J481" s="39"/>
      <c r="K481" s="44"/>
      <c r="L481" s="44"/>
      <c r="M481" s="44"/>
      <c r="N481" s="44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5.75" customHeight="1">
      <c r="A482" s="39"/>
      <c r="B482" s="45"/>
      <c r="C482" s="46"/>
      <c r="D482" s="39"/>
      <c r="E482" s="39"/>
      <c r="F482" s="44"/>
      <c r="G482" s="39"/>
      <c r="H482" s="39"/>
      <c r="I482" s="39"/>
      <c r="J482" s="39"/>
      <c r="K482" s="44"/>
      <c r="L482" s="44"/>
      <c r="M482" s="44"/>
      <c r="N482" s="44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5.75" customHeight="1">
      <c r="A483" s="39"/>
      <c r="B483" s="45"/>
      <c r="C483" s="46"/>
      <c r="D483" s="39"/>
      <c r="E483" s="39"/>
      <c r="F483" s="44"/>
      <c r="G483" s="39"/>
      <c r="H483" s="39"/>
      <c r="I483" s="39"/>
      <c r="J483" s="39"/>
      <c r="K483" s="44"/>
      <c r="L483" s="44"/>
      <c r="M483" s="44"/>
      <c r="N483" s="44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5.75" customHeight="1">
      <c r="A484" s="39"/>
      <c r="B484" s="45"/>
      <c r="C484" s="46"/>
      <c r="D484" s="39"/>
      <c r="E484" s="39"/>
      <c r="F484" s="44"/>
      <c r="G484" s="39"/>
      <c r="H484" s="39"/>
      <c r="I484" s="39"/>
      <c r="J484" s="39"/>
      <c r="K484" s="44"/>
      <c r="L484" s="44"/>
      <c r="M484" s="44"/>
      <c r="N484" s="44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5.75" customHeight="1">
      <c r="A485" s="39"/>
      <c r="B485" s="45"/>
      <c r="C485" s="46"/>
      <c r="D485" s="39"/>
      <c r="E485" s="39"/>
      <c r="F485" s="44"/>
      <c r="G485" s="39"/>
      <c r="H485" s="39"/>
      <c r="I485" s="39"/>
      <c r="J485" s="39"/>
      <c r="K485" s="44"/>
      <c r="L485" s="44"/>
      <c r="M485" s="44"/>
      <c r="N485" s="44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5.75" customHeight="1">
      <c r="A486" s="39"/>
      <c r="B486" s="45"/>
      <c r="C486" s="46"/>
      <c r="D486" s="39"/>
      <c r="E486" s="39"/>
      <c r="F486" s="44"/>
      <c r="G486" s="39"/>
      <c r="H486" s="39"/>
      <c r="I486" s="39"/>
      <c r="J486" s="39"/>
      <c r="K486" s="44"/>
      <c r="L486" s="44"/>
      <c r="M486" s="44"/>
      <c r="N486" s="44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5.75" customHeight="1">
      <c r="A487" s="39"/>
      <c r="B487" s="45"/>
      <c r="C487" s="46"/>
      <c r="D487" s="39"/>
      <c r="E487" s="39"/>
      <c r="F487" s="44"/>
      <c r="G487" s="39"/>
      <c r="H487" s="39"/>
      <c r="I487" s="39"/>
      <c r="J487" s="39"/>
      <c r="K487" s="44"/>
      <c r="L487" s="44"/>
      <c r="M487" s="44"/>
      <c r="N487" s="44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5.75" customHeight="1">
      <c r="A488" s="39"/>
      <c r="B488" s="45"/>
      <c r="C488" s="46"/>
      <c r="D488" s="39"/>
      <c r="E488" s="39"/>
      <c r="F488" s="44"/>
      <c r="G488" s="39"/>
      <c r="H488" s="39"/>
      <c r="I488" s="39"/>
      <c r="J488" s="39"/>
      <c r="K488" s="44"/>
      <c r="L488" s="44"/>
      <c r="M488" s="44"/>
      <c r="N488" s="44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5.75" customHeight="1">
      <c r="A489" s="39"/>
      <c r="B489" s="45"/>
      <c r="C489" s="46"/>
      <c r="D489" s="39"/>
      <c r="E489" s="39"/>
      <c r="F489" s="44"/>
      <c r="G489" s="39"/>
      <c r="H489" s="39"/>
      <c r="I489" s="39"/>
      <c r="J489" s="39"/>
      <c r="K489" s="44"/>
      <c r="L489" s="44"/>
      <c r="M489" s="44"/>
      <c r="N489" s="44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5.75" customHeight="1">
      <c r="A490" s="39"/>
      <c r="B490" s="45"/>
      <c r="C490" s="46"/>
      <c r="D490" s="39"/>
      <c r="E490" s="39"/>
      <c r="F490" s="44"/>
      <c r="G490" s="39"/>
      <c r="H490" s="39"/>
      <c r="I490" s="39"/>
      <c r="J490" s="39"/>
      <c r="K490" s="44"/>
      <c r="L490" s="44"/>
      <c r="M490" s="44"/>
      <c r="N490" s="44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5.75" customHeight="1">
      <c r="A491" s="39"/>
      <c r="B491" s="45"/>
      <c r="C491" s="46"/>
      <c r="D491" s="39"/>
      <c r="E491" s="39"/>
      <c r="F491" s="44"/>
      <c r="G491" s="39"/>
      <c r="H491" s="39"/>
      <c r="I491" s="39"/>
      <c r="J491" s="39"/>
      <c r="K491" s="44"/>
      <c r="L491" s="44"/>
      <c r="M491" s="44"/>
      <c r="N491" s="44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5.75" customHeight="1">
      <c r="A492" s="39"/>
      <c r="B492" s="45"/>
      <c r="C492" s="46"/>
      <c r="D492" s="39"/>
      <c r="E492" s="39"/>
      <c r="F492" s="44"/>
      <c r="G492" s="39"/>
      <c r="H492" s="39"/>
      <c r="I492" s="39"/>
      <c r="J492" s="39"/>
      <c r="K492" s="44"/>
      <c r="L492" s="44"/>
      <c r="M492" s="44"/>
      <c r="N492" s="44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5.75" customHeight="1">
      <c r="A493" s="39"/>
      <c r="B493" s="45"/>
      <c r="C493" s="46"/>
      <c r="D493" s="39"/>
      <c r="E493" s="39"/>
      <c r="F493" s="44"/>
      <c r="G493" s="39"/>
      <c r="H493" s="39"/>
      <c r="I493" s="39"/>
      <c r="J493" s="39"/>
      <c r="K493" s="44"/>
      <c r="L493" s="44"/>
      <c r="M493" s="44"/>
      <c r="N493" s="44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5.75" customHeight="1">
      <c r="A494" s="39"/>
      <c r="B494" s="45"/>
      <c r="C494" s="46"/>
      <c r="D494" s="39"/>
      <c r="E494" s="39"/>
      <c r="F494" s="44"/>
      <c r="G494" s="39"/>
      <c r="H494" s="39"/>
      <c r="I494" s="39"/>
      <c r="J494" s="39"/>
      <c r="K494" s="44"/>
      <c r="L494" s="44"/>
      <c r="M494" s="44"/>
      <c r="N494" s="44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5.75" customHeight="1">
      <c r="A495" s="39"/>
      <c r="B495" s="45"/>
      <c r="C495" s="46"/>
      <c r="D495" s="39"/>
      <c r="E495" s="39"/>
      <c r="F495" s="44"/>
      <c r="G495" s="39"/>
      <c r="H495" s="39"/>
      <c r="I495" s="39"/>
      <c r="J495" s="39"/>
      <c r="K495" s="44"/>
      <c r="L495" s="44"/>
      <c r="M495" s="44"/>
      <c r="N495" s="44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5.75" customHeight="1">
      <c r="A496" s="39"/>
      <c r="B496" s="45"/>
      <c r="C496" s="46"/>
      <c r="D496" s="39"/>
      <c r="E496" s="39"/>
      <c r="F496" s="44"/>
      <c r="G496" s="39"/>
      <c r="H496" s="39"/>
      <c r="I496" s="39"/>
      <c r="J496" s="39"/>
      <c r="K496" s="44"/>
      <c r="L496" s="44"/>
      <c r="M496" s="44"/>
      <c r="N496" s="44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5.75" customHeight="1">
      <c r="A497" s="39"/>
      <c r="B497" s="45"/>
      <c r="C497" s="46"/>
      <c r="D497" s="39"/>
      <c r="E497" s="39"/>
      <c r="F497" s="44"/>
      <c r="G497" s="39"/>
      <c r="H497" s="39"/>
      <c r="I497" s="39"/>
      <c r="J497" s="39"/>
      <c r="K497" s="44"/>
      <c r="L497" s="44"/>
      <c r="M497" s="44"/>
      <c r="N497" s="44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5.75" customHeight="1">
      <c r="A498" s="39"/>
      <c r="B498" s="45"/>
      <c r="C498" s="46"/>
      <c r="D498" s="39"/>
      <c r="E498" s="39"/>
      <c r="F498" s="44"/>
      <c r="G498" s="39"/>
      <c r="H498" s="39"/>
      <c r="I498" s="39"/>
      <c r="J498" s="39"/>
      <c r="K498" s="44"/>
      <c r="L498" s="44"/>
      <c r="M498" s="44"/>
      <c r="N498" s="44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5.75" customHeight="1">
      <c r="A499" s="39"/>
      <c r="B499" s="45"/>
      <c r="C499" s="46"/>
      <c r="D499" s="39"/>
      <c r="E499" s="39"/>
      <c r="F499" s="44"/>
      <c r="G499" s="39"/>
      <c r="H499" s="39"/>
      <c r="I499" s="39"/>
      <c r="J499" s="39"/>
      <c r="K499" s="44"/>
      <c r="L499" s="44"/>
      <c r="M499" s="44"/>
      <c r="N499" s="44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5.75" customHeight="1">
      <c r="A500" s="39"/>
      <c r="B500" s="45"/>
      <c r="C500" s="46"/>
      <c r="D500" s="39"/>
      <c r="E500" s="39"/>
      <c r="F500" s="44"/>
      <c r="G500" s="39"/>
      <c r="H500" s="39"/>
      <c r="I500" s="39"/>
      <c r="J500" s="39"/>
      <c r="K500" s="44"/>
      <c r="L500" s="44"/>
      <c r="M500" s="44"/>
      <c r="N500" s="44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5.75" customHeight="1">
      <c r="A501" s="39"/>
      <c r="B501" s="45"/>
      <c r="C501" s="46"/>
      <c r="D501" s="39"/>
      <c r="E501" s="39"/>
      <c r="F501" s="44"/>
      <c r="G501" s="39"/>
      <c r="H501" s="39"/>
      <c r="I501" s="39"/>
      <c r="J501" s="39"/>
      <c r="K501" s="44"/>
      <c r="L501" s="44"/>
      <c r="M501" s="44"/>
      <c r="N501" s="44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5.75" customHeight="1">
      <c r="A502" s="39"/>
      <c r="B502" s="45"/>
      <c r="C502" s="46"/>
      <c r="D502" s="39"/>
      <c r="E502" s="39"/>
      <c r="F502" s="44"/>
      <c r="G502" s="39"/>
      <c r="H502" s="39"/>
      <c r="I502" s="39"/>
      <c r="J502" s="39"/>
      <c r="K502" s="44"/>
      <c r="L502" s="44"/>
      <c r="M502" s="44"/>
      <c r="N502" s="44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5.75" customHeight="1">
      <c r="A503" s="39"/>
      <c r="B503" s="45"/>
      <c r="C503" s="46"/>
      <c r="D503" s="39"/>
      <c r="E503" s="39"/>
      <c r="F503" s="44"/>
      <c r="G503" s="39"/>
      <c r="H503" s="39"/>
      <c r="I503" s="39"/>
      <c r="J503" s="39"/>
      <c r="K503" s="44"/>
      <c r="L503" s="44"/>
      <c r="M503" s="44"/>
      <c r="N503" s="44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5.75" customHeight="1">
      <c r="A504" s="39"/>
      <c r="B504" s="45"/>
      <c r="C504" s="46"/>
      <c r="D504" s="39"/>
      <c r="E504" s="39"/>
      <c r="F504" s="44"/>
      <c r="G504" s="39"/>
      <c r="H504" s="39"/>
      <c r="I504" s="39"/>
      <c r="J504" s="39"/>
      <c r="K504" s="44"/>
      <c r="L504" s="44"/>
      <c r="M504" s="44"/>
      <c r="N504" s="44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5.75" customHeight="1">
      <c r="A505" s="39"/>
      <c r="B505" s="45"/>
      <c r="C505" s="46"/>
      <c r="D505" s="39"/>
      <c r="E505" s="39"/>
      <c r="F505" s="44"/>
      <c r="G505" s="39"/>
      <c r="H505" s="39"/>
      <c r="I505" s="39"/>
      <c r="J505" s="39"/>
      <c r="K505" s="44"/>
      <c r="L505" s="44"/>
      <c r="M505" s="44"/>
      <c r="N505" s="44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5.75" customHeight="1">
      <c r="A506" s="39"/>
      <c r="B506" s="45"/>
      <c r="C506" s="46"/>
      <c r="D506" s="39"/>
      <c r="E506" s="39"/>
      <c r="F506" s="44"/>
      <c r="G506" s="39"/>
      <c r="H506" s="39"/>
      <c r="I506" s="39"/>
      <c r="J506" s="39"/>
      <c r="K506" s="44"/>
      <c r="L506" s="44"/>
      <c r="M506" s="44"/>
      <c r="N506" s="44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5.75" customHeight="1">
      <c r="A507" s="39"/>
      <c r="B507" s="45"/>
      <c r="C507" s="46"/>
      <c r="D507" s="39"/>
      <c r="E507" s="39"/>
      <c r="F507" s="44"/>
      <c r="G507" s="39"/>
      <c r="H507" s="39"/>
      <c r="I507" s="39"/>
      <c r="J507" s="39"/>
      <c r="K507" s="44"/>
      <c r="L507" s="44"/>
      <c r="M507" s="44"/>
      <c r="N507" s="44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5.75" customHeight="1">
      <c r="A508" s="39"/>
      <c r="B508" s="45"/>
      <c r="C508" s="46"/>
      <c r="D508" s="39"/>
      <c r="E508" s="39"/>
      <c r="F508" s="44"/>
      <c r="G508" s="39"/>
      <c r="H508" s="39"/>
      <c r="I508" s="39"/>
      <c r="J508" s="39"/>
      <c r="K508" s="44"/>
      <c r="L508" s="44"/>
      <c r="M508" s="44"/>
      <c r="N508" s="44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5.75" customHeight="1">
      <c r="A509" s="39"/>
      <c r="B509" s="45"/>
      <c r="C509" s="46"/>
      <c r="D509" s="39"/>
      <c r="E509" s="39"/>
      <c r="F509" s="44"/>
      <c r="G509" s="39"/>
      <c r="H509" s="39"/>
      <c r="I509" s="39"/>
      <c r="J509" s="39"/>
      <c r="K509" s="44"/>
      <c r="L509" s="44"/>
      <c r="M509" s="44"/>
      <c r="N509" s="44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5.75" customHeight="1">
      <c r="A510" s="39"/>
      <c r="B510" s="45"/>
      <c r="C510" s="46"/>
      <c r="D510" s="39"/>
      <c r="E510" s="39"/>
      <c r="F510" s="44"/>
      <c r="G510" s="39"/>
      <c r="H510" s="39"/>
      <c r="I510" s="39"/>
      <c r="J510" s="39"/>
      <c r="K510" s="44"/>
      <c r="L510" s="44"/>
      <c r="M510" s="44"/>
      <c r="N510" s="44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5.75" customHeight="1">
      <c r="A511" s="39"/>
      <c r="B511" s="45"/>
      <c r="C511" s="46"/>
      <c r="D511" s="39"/>
      <c r="E511" s="39"/>
      <c r="F511" s="44"/>
      <c r="G511" s="39"/>
      <c r="H511" s="39"/>
      <c r="I511" s="39"/>
      <c r="J511" s="39"/>
      <c r="K511" s="44"/>
      <c r="L511" s="44"/>
      <c r="M511" s="44"/>
      <c r="N511" s="44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5.75" customHeight="1">
      <c r="A512" s="39"/>
      <c r="B512" s="45"/>
      <c r="C512" s="46"/>
      <c r="D512" s="39"/>
      <c r="E512" s="39"/>
      <c r="F512" s="44"/>
      <c r="G512" s="39"/>
      <c r="H512" s="39"/>
      <c r="I512" s="39"/>
      <c r="J512" s="39"/>
      <c r="K512" s="44"/>
      <c r="L512" s="44"/>
      <c r="M512" s="44"/>
      <c r="N512" s="44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5.75" customHeight="1">
      <c r="A513" s="39"/>
      <c r="B513" s="45"/>
      <c r="C513" s="46"/>
      <c r="D513" s="39"/>
      <c r="E513" s="39"/>
      <c r="F513" s="44"/>
      <c r="G513" s="39"/>
      <c r="H513" s="39"/>
      <c r="I513" s="39"/>
      <c r="J513" s="39"/>
      <c r="K513" s="44"/>
      <c r="L513" s="44"/>
      <c r="M513" s="44"/>
      <c r="N513" s="44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5.75" customHeight="1">
      <c r="A514" s="39"/>
      <c r="B514" s="45"/>
      <c r="C514" s="46"/>
      <c r="D514" s="39"/>
      <c r="E514" s="39"/>
      <c r="F514" s="44"/>
      <c r="G514" s="39"/>
      <c r="H514" s="39"/>
      <c r="I514" s="39"/>
      <c r="J514" s="39"/>
      <c r="K514" s="44"/>
      <c r="L514" s="44"/>
      <c r="M514" s="44"/>
      <c r="N514" s="44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5.75" customHeight="1">
      <c r="A515" s="39"/>
      <c r="B515" s="45"/>
      <c r="C515" s="46"/>
      <c r="D515" s="39"/>
      <c r="E515" s="39"/>
      <c r="F515" s="44"/>
      <c r="G515" s="39"/>
      <c r="H515" s="39"/>
      <c r="I515" s="39"/>
      <c r="J515" s="39"/>
      <c r="K515" s="44"/>
      <c r="L515" s="44"/>
      <c r="M515" s="44"/>
      <c r="N515" s="44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5.75" customHeight="1">
      <c r="A516" s="39"/>
      <c r="B516" s="45"/>
      <c r="C516" s="46"/>
      <c r="D516" s="39"/>
      <c r="E516" s="39"/>
      <c r="F516" s="44"/>
      <c r="G516" s="39"/>
      <c r="H516" s="39"/>
      <c r="I516" s="39"/>
      <c r="J516" s="39"/>
      <c r="K516" s="44"/>
      <c r="L516" s="44"/>
      <c r="M516" s="44"/>
      <c r="N516" s="44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5.75" customHeight="1">
      <c r="A517" s="39"/>
      <c r="B517" s="45"/>
      <c r="C517" s="46"/>
      <c r="D517" s="39"/>
      <c r="E517" s="39"/>
      <c r="F517" s="44"/>
      <c r="G517" s="39"/>
      <c r="H517" s="39"/>
      <c r="I517" s="39"/>
      <c r="J517" s="39"/>
      <c r="K517" s="44"/>
      <c r="L517" s="44"/>
      <c r="M517" s="44"/>
      <c r="N517" s="44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5.75" customHeight="1">
      <c r="A518" s="39"/>
      <c r="B518" s="45"/>
      <c r="C518" s="46"/>
      <c r="D518" s="39"/>
      <c r="E518" s="39"/>
      <c r="F518" s="44"/>
      <c r="G518" s="39"/>
      <c r="H518" s="39"/>
      <c r="I518" s="39"/>
      <c r="J518" s="39"/>
      <c r="K518" s="44"/>
      <c r="L518" s="44"/>
      <c r="M518" s="44"/>
      <c r="N518" s="44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5.75" customHeight="1">
      <c r="A519" s="39"/>
      <c r="B519" s="45"/>
      <c r="C519" s="46"/>
      <c r="D519" s="39"/>
      <c r="E519" s="39"/>
      <c r="F519" s="44"/>
      <c r="G519" s="39"/>
      <c r="H519" s="39"/>
      <c r="I519" s="39"/>
      <c r="J519" s="39"/>
      <c r="K519" s="44"/>
      <c r="L519" s="44"/>
      <c r="M519" s="44"/>
      <c r="N519" s="44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5.75" customHeight="1">
      <c r="A520" s="39"/>
      <c r="B520" s="45"/>
      <c r="C520" s="46"/>
      <c r="D520" s="39"/>
      <c r="E520" s="39"/>
      <c r="F520" s="44"/>
      <c r="G520" s="39"/>
      <c r="H520" s="39"/>
      <c r="I520" s="39"/>
      <c r="J520" s="39"/>
      <c r="K520" s="44"/>
      <c r="L520" s="44"/>
      <c r="M520" s="44"/>
      <c r="N520" s="44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5.75" customHeight="1">
      <c r="A521" s="39"/>
      <c r="B521" s="45"/>
      <c r="C521" s="46"/>
      <c r="D521" s="39"/>
      <c r="E521" s="39"/>
      <c r="F521" s="44"/>
      <c r="G521" s="39"/>
      <c r="H521" s="39"/>
      <c r="I521" s="39"/>
      <c r="J521" s="39"/>
      <c r="K521" s="44"/>
      <c r="L521" s="44"/>
      <c r="M521" s="44"/>
      <c r="N521" s="44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5.75" customHeight="1">
      <c r="A522" s="39"/>
      <c r="B522" s="45"/>
      <c r="C522" s="46"/>
      <c r="D522" s="39"/>
      <c r="E522" s="39"/>
      <c r="F522" s="44"/>
      <c r="G522" s="39"/>
      <c r="H522" s="39"/>
      <c r="I522" s="39"/>
      <c r="J522" s="39"/>
      <c r="K522" s="44"/>
      <c r="L522" s="44"/>
      <c r="M522" s="44"/>
      <c r="N522" s="44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5.75" customHeight="1">
      <c r="A523" s="39"/>
      <c r="B523" s="45"/>
      <c r="C523" s="46"/>
      <c r="D523" s="39"/>
      <c r="E523" s="39"/>
      <c r="F523" s="44"/>
      <c r="G523" s="39"/>
      <c r="H523" s="39"/>
      <c r="I523" s="39"/>
      <c r="J523" s="39"/>
      <c r="K523" s="44"/>
      <c r="L523" s="44"/>
      <c r="M523" s="44"/>
      <c r="N523" s="44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5.75" customHeight="1">
      <c r="A524" s="39"/>
      <c r="B524" s="45"/>
      <c r="C524" s="46"/>
      <c r="D524" s="39"/>
      <c r="E524" s="39"/>
      <c r="F524" s="44"/>
      <c r="G524" s="39"/>
      <c r="H524" s="39"/>
      <c r="I524" s="39"/>
      <c r="J524" s="39"/>
      <c r="K524" s="44"/>
      <c r="L524" s="44"/>
      <c r="M524" s="44"/>
      <c r="N524" s="44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5.75" customHeight="1">
      <c r="A525" s="39"/>
      <c r="B525" s="45"/>
      <c r="C525" s="46"/>
      <c r="D525" s="39"/>
      <c r="E525" s="39"/>
      <c r="F525" s="44"/>
      <c r="G525" s="39"/>
      <c r="H525" s="39"/>
      <c r="I525" s="39"/>
      <c r="J525" s="39"/>
      <c r="K525" s="44"/>
      <c r="L525" s="44"/>
      <c r="M525" s="44"/>
      <c r="N525" s="44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5.75" customHeight="1">
      <c r="A526" s="39"/>
      <c r="B526" s="45"/>
      <c r="C526" s="46"/>
      <c r="D526" s="39"/>
      <c r="E526" s="39"/>
      <c r="F526" s="44"/>
      <c r="G526" s="39"/>
      <c r="H526" s="39"/>
      <c r="I526" s="39"/>
      <c r="J526" s="39"/>
      <c r="K526" s="44"/>
      <c r="L526" s="44"/>
      <c r="M526" s="44"/>
      <c r="N526" s="44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5.75" customHeight="1">
      <c r="A527" s="39"/>
      <c r="B527" s="45"/>
      <c r="C527" s="46"/>
      <c r="D527" s="39"/>
      <c r="E527" s="39"/>
      <c r="F527" s="44"/>
      <c r="G527" s="39"/>
      <c r="H527" s="39"/>
      <c r="I527" s="39"/>
      <c r="J527" s="39"/>
      <c r="K527" s="44"/>
      <c r="L527" s="44"/>
      <c r="M527" s="44"/>
      <c r="N527" s="44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5.75" customHeight="1">
      <c r="A528" s="39"/>
      <c r="B528" s="45"/>
      <c r="C528" s="46"/>
      <c r="D528" s="39"/>
      <c r="E528" s="39"/>
      <c r="F528" s="44"/>
      <c r="G528" s="39"/>
      <c r="H528" s="39"/>
      <c r="I528" s="39"/>
      <c r="J528" s="39"/>
      <c r="K528" s="44"/>
      <c r="L528" s="44"/>
      <c r="M528" s="44"/>
      <c r="N528" s="44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5.75" customHeight="1">
      <c r="A529" s="39"/>
      <c r="B529" s="45"/>
      <c r="C529" s="46"/>
      <c r="D529" s="39"/>
      <c r="E529" s="39"/>
      <c r="F529" s="44"/>
      <c r="G529" s="39"/>
      <c r="H529" s="39"/>
      <c r="I529" s="39"/>
      <c r="J529" s="39"/>
      <c r="K529" s="44"/>
      <c r="L529" s="44"/>
      <c r="M529" s="44"/>
      <c r="N529" s="44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5.75" customHeight="1">
      <c r="A530" s="39"/>
      <c r="B530" s="45"/>
      <c r="C530" s="46"/>
      <c r="D530" s="39"/>
      <c r="E530" s="39"/>
      <c r="F530" s="44"/>
      <c r="G530" s="39"/>
      <c r="H530" s="39"/>
      <c r="I530" s="39"/>
      <c r="J530" s="39"/>
      <c r="K530" s="44"/>
      <c r="L530" s="44"/>
      <c r="M530" s="44"/>
      <c r="N530" s="44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5.75" customHeight="1">
      <c r="A531" s="39"/>
      <c r="B531" s="45"/>
      <c r="C531" s="46"/>
      <c r="D531" s="39"/>
      <c r="E531" s="39"/>
      <c r="F531" s="44"/>
      <c r="G531" s="39"/>
      <c r="H531" s="39"/>
      <c r="I531" s="39"/>
      <c r="J531" s="39"/>
      <c r="K531" s="44"/>
      <c r="L531" s="44"/>
      <c r="M531" s="44"/>
      <c r="N531" s="44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5.75" customHeight="1">
      <c r="A532" s="39"/>
      <c r="B532" s="45"/>
      <c r="C532" s="46"/>
      <c r="D532" s="39"/>
      <c r="E532" s="39"/>
      <c r="F532" s="44"/>
      <c r="G532" s="39"/>
      <c r="H532" s="39"/>
      <c r="I532" s="39"/>
      <c r="J532" s="39"/>
      <c r="K532" s="44"/>
      <c r="L532" s="44"/>
      <c r="M532" s="44"/>
      <c r="N532" s="44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5.75" customHeight="1">
      <c r="A533" s="39"/>
      <c r="B533" s="45"/>
      <c r="C533" s="46"/>
      <c r="D533" s="39"/>
      <c r="E533" s="39"/>
      <c r="F533" s="44"/>
      <c r="G533" s="39"/>
      <c r="H533" s="39"/>
      <c r="I533" s="39"/>
      <c r="J533" s="39"/>
      <c r="K533" s="44"/>
      <c r="L533" s="44"/>
      <c r="M533" s="44"/>
      <c r="N533" s="44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5.75" customHeight="1">
      <c r="A534" s="39"/>
      <c r="B534" s="45"/>
      <c r="C534" s="46"/>
      <c r="D534" s="39"/>
      <c r="E534" s="39"/>
      <c r="F534" s="44"/>
      <c r="G534" s="39"/>
      <c r="H534" s="39"/>
      <c r="I534" s="39"/>
      <c r="J534" s="39"/>
      <c r="K534" s="44"/>
      <c r="L534" s="44"/>
      <c r="M534" s="44"/>
      <c r="N534" s="44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5.75" customHeight="1">
      <c r="A535" s="39"/>
      <c r="B535" s="45"/>
      <c r="C535" s="46"/>
      <c r="D535" s="39"/>
      <c r="E535" s="39"/>
      <c r="F535" s="44"/>
      <c r="G535" s="39"/>
      <c r="H535" s="39"/>
      <c r="I535" s="39"/>
      <c r="J535" s="39"/>
      <c r="K535" s="44"/>
      <c r="L535" s="44"/>
      <c r="M535" s="44"/>
      <c r="N535" s="44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5.75" customHeight="1">
      <c r="A536" s="39"/>
      <c r="B536" s="45"/>
      <c r="C536" s="46"/>
      <c r="D536" s="39"/>
      <c r="E536" s="39"/>
      <c r="F536" s="44"/>
      <c r="G536" s="39"/>
      <c r="H536" s="39"/>
      <c r="I536" s="39"/>
      <c r="J536" s="39"/>
      <c r="K536" s="44"/>
      <c r="L536" s="44"/>
      <c r="M536" s="44"/>
      <c r="N536" s="44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5.75" customHeight="1">
      <c r="A537" s="39"/>
      <c r="B537" s="45"/>
      <c r="C537" s="46"/>
      <c r="D537" s="39"/>
      <c r="E537" s="39"/>
      <c r="F537" s="44"/>
      <c r="G537" s="39"/>
      <c r="H537" s="39"/>
      <c r="I537" s="39"/>
      <c r="J537" s="39"/>
      <c r="K537" s="44"/>
      <c r="L537" s="44"/>
      <c r="M537" s="44"/>
      <c r="N537" s="44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5.75" customHeight="1">
      <c r="A538" s="39"/>
      <c r="B538" s="45"/>
      <c r="C538" s="46"/>
      <c r="D538" s="39"/>
      <c r="E538" s="39"/>
      <c r="F538" s="44"/>
      <c r="G538" s="39"/>
      <c r="H538" s="39"/>
      <c r="I538" s="39"/>
      <c r="J538" s="39"/>
      <c r="K538" s="44"/>
      <c r="L538" s="44"/>
      <c r="M538" s="44"/>
      <c r="N538" s="44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5.75" customHeight="1">
      <c r="A539" s="39"/>
      <c r="B539" s="45"/>
      <c r="C539" s="46"/>
      <c r="D539" s="39"/>
      <c r="E539" s="39"/>
      <c r="F539" s="44"/>
      <c r="G539" s="39"/>
      <c r="H539" s="39"/>
      <c r="I539" s="39"/>
      <c r="J539" s="39"/>
      <c r="K539" s="44"/>
      <c r="L539" s="44"/>
      <c r="M539" s="44"/>
      <c r="N539" s="44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5.75" customHeight="1">
      <c r="A540" s="39"/>
      <c r="B540" s="45"/>
      <c r="C540" s="46"/>
      <c r="D540" s="39"/>
      <c r="E540" s="39"/>
      <c r="F540" s="44"/>
      <c r="G540" s="39"/>
      <c r="H540" s="39"/>
      <c r="I540" s="39"/>
      <c r="J540" s="39"/>
      <c r="K540" s="44"/>
      <c r="L540" s="44"/>
      <c r="M540" s="44"/>
      <c r="N540" s="44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5.75" customHeight="1">
      <c r="A541" s="39"/>
      <c r="B541" s="45"/>
      <c r="C541" s="46"/>
      <c r="D541" s="39"/>
      <c r="E541" s="39"/>
      <c r="F541" s="44"/>
      <c r="G541" s="39"/>
      <c r="H541" s="39"/>
      <c r="I541" s="39"/>
      <c r="J541" s="39"/>
      <c r="K541" s="44"/>
      <c r="L541" s="44"/>
      <c r="M541" s="44"/>
      <c r="N541" s="44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5.75" customHeight="1">
      <c r="A542" s="39"/>
      <c r="B542" s="45"/>
      <c r="C542" s="46"/>
      <c r="D542" s="39"/>
      <c r="E542" s="39"/>
      <c r="F542" s="44"/>
      <c r="G542" s="39"/>
      <c r="H542" s="39"/>
      <c r="I542" s="39"/>
      <c r="J542" s="39"/>
      <c r="K542" s="44"/>
      <c r="L542" s="44"/>
      <c r="M542" s="44"/>
      <c r="N542" s="44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5.75" customHeight="1">
      <c r="A543" s="39"/>
      <c r="B543" s="45"/>
      <c r="C543" s="46"/>
      <c r="D543" s="39"/>
      <c r="E543" s="39"/>
      <c r="F543" s="44"/>
      <c r="G543" s="39"/>
      <c r="H543" s="39"/>
      <c r="I543" s="39"/>
      <c r="J543" s="39"/>
      <c r="K543" s="44"/>
      <c r="L543" s="44"/>
      <c r="M543" s="44"/>
      <c r="N543" s="44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5.75" customHeight="1">
      <c r="A544" s="39"/>
      <c r="B544" s="45"/>
      <c r="C544" s="46"/>
      <c r="D544" s="39"/>
      <c r="E544" s="39"/>
      <c r="F544" s="44"/>
      <c r="G544" s="39"/>
      <c r="H544" s="39"/>
      <c r="I544" s="39"/>
      <c r="J544" s="39"/>
      <c r="K544" s="44"/>
      <c r="L544" s="44"/>
      <c r="M544" s="44"/>
      <c r="N544" s="44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5.75" customHeight="1">
      <c r="A545" s="39"/>
      <c r="B545" s="45"/>
      <c r="C545" s="46"/>
      <c r="D545" s="39"/>
      <c r="E545" s="39"/>
      <c r="F545" s="44"/>
      <c r="G545" s="39"/>
      <c r="H545" s="39"/>
      <c r="I545" s="39"/>
      <c r="J545" s="39"/>
      <c r="K545" s="44"/>
      <c r="L545" s="44"/>
      <c r="M545" s="44"/>
      <c r="N545" s="44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5.75" customHeight="1">
      <c r="A546" s="39"/>
      <c r="B546" s="45"/>
      <c r="C546" s="46"/>
      <c r="D546" s="39"/>
      <c r="E546" s="39"/>
      <c r="F546" s="44"/>
      <c r="G546" s="39"/>
      <c r="H546" s="39"/>
      <c r="I546" s="39"/>
      <c r="J546" s="39"/>
      <c r="K546" s="44"/>
      <c r="L546" s="44"/>
      <c r="M546" s="44"/>
      <c r="N546" s="44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5.75" customHeight="1">
      <c r="A547" s="39"/>
      <c r="B547" s="45"/>
      <c r="C547" s="46"/>
      <c r="D547" s="39"/>
      <c r="E547" s="39"/>
      <c r="F547" s="44"/>
      <c r="G547" s="39"/>
      <c r="H547" s="39"/>
      <c r="I547" s="39"/>
      <c r="J547" s="39"/>
      <c r="K547" s="44"/>
      <c r="L547" s="44"/>
      <c r="M547" s="44"/>
      <c r="N547" s="44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5.75" customHeight="1">
      <c r="A548" s="39"/>
      <c r="B548" s="45"/>
      <c r="C548" s="46"/>
      <c r="D548" s="39"/>
      <c r="E548" s="39"/>
      <c r="F548" s="44"/>
      <c r="G548" s="39"/>
      <c r="H548" s="39"/>
      <c r="I548" s="39"/>
      <c r="J548" s="39"/>
      <c r="K548" s="44"/>
      <c r="L548" s="44"/>
      <c r="M548" s="44"/>
      <c r="N548" s="44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5.75" customHeight="1">
      <c r="A549" s="39"/>
      <c r="B549" s="45"/>
      <c r="C549" s="46"/>
      <c r="D549" s="39"/>
      <c r="E549" s="39"/>
      <c r="F549" s="44"/>
      <c r="G549" s="39"/>
      <c r="H549" s="39"/>
      <c r="I549" s="39"/>
      <c r="J549" s="39"/>
      <c r="K549" s="44"/>
      <c r="L549" s="44"/>
      <c r="M549" s="44"/>
      <c r="N549" s="44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5.75" customHeight="1">
      <c r="A550" s="39"/>
      <c r="B550" s="45"/>
      <c r="C550" s="46"/>
      <c r="D550" s="39"/>
      <c r="E550" s="39"/>
      <c r="F550" s="44"/>
      <c r="G550" s="39"/>
      <c r="H550" s="39"/>
      <c r="I550" s="39"/>
      <c r="J550" s="39"/>
      <c r="K550" s="44"/>
      <c r="L550" s="44"/>
      <c r="M550" s="44"/>
      <c r="N550" s="44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5.75" customHeight="1">
      <c r="A551" s="39"/>
      <c r="B551" s="45"/>
      <c r="C551" s="46"/>
      <c r="D551" s="39"/>
      <c r="E551" s="39"/>
      <c r="F551" s="44"/>
      <c r="G551" s="39"/>
      <c r="H551" s="39"/>
      <c r="I551" s="39"/>
      <c r="J551" s="39"/>
      <c r="K551" s="44"/>
      <c r="L551" s="44"/>
      <c r="M551" s="44"/>
      <c r="N551" s="44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5.75" customHeight="1">
      <c r="A552" s="39"/>
      <c r="B552" s="45"/>
      <c r="C552" s="46"/>
      <c r="D552" s="39"/>
      <c r="E552" s="39"/>
      <c r="F552" s="44"/>
      <c r="G552" s="39"/>
      <c r="H552" s="39"/>
      <c r="I552" s="39"/>
      <c r="J552" s="39"/>
      <c r="K552" s="44"/>
      <c r="L552" s="44"/>
      <c r="M552" s="44"/>
      <c r="N552" s="44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5.75" customHeight="1">
      <c r="A553" s="39"/>
      <c r="B553" s="45"/>
      <c r="C553" s="46"/>
      <c r="D553" s="39"/>
      <c r="E553" s="39"/>
      <c r="F553" s="44"/>
      <c r="G553" s="39"/>
      <c r="H553" s="39"/>
      <c r="I553" s="39"/>
      <c r="J553" s="39"/>
      <c r="K553" s="44"/>
      <c r="L553" s="44"/>
      <c r="M553" s="44"/>
      <c r="N553" s="44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5.75" customHeight="1">
      <c r="A554" s="39"/>
      <c r="B554" s="45"/>
      <c r="C554" s="46"/>
      <c r="D554" s="39"/>
      <c r="E554" s="39"/>
      <c r="F554" s="44"/>
      <c r="G554" s="39"/>
      <c r="H554" s="39"/>
      <c r="I554" s="39"/>
      <c r="J554" s="39"/>
      <c r="K554" s="44"/>
      <c r="L554" s="44"/>
      <c r="M554" s="44"/>
      <c r="N554" s="44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5.75" customHeight="1">
      <c r="A555" s="39"/>
      <c r="B555" s="45"/>
      <c r="C555" s="46"/>
      <c r="D555" s="39"/>
      <c r="E555" s="39"/>
      <c r="F555" s="44"/>
      <c r="G555" s="39"/>
      <c r="H555" s="39"/>
      <c r="I555" s="39"/>
      <c r="J555" s="39"/>
      <c r="K555" s="44"/>
      <c r="L555" s="44"/>
      <c r="M555" s="44"/>
      <c r="N555" s="44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5.75" customHeight="1">
      <c r="A556" s="39"/>
      <c r="B556" s="45"/>
      <c r="C556" s="46"/>
      <c r="D556" s="39"/>
      <c r="E556" s="39"/>
      <c r="F556" s="44"/>
      <c r="G556" s="39"/>
      <c r="H556" s="39"/>
      <c r="I556" s="39"/>
      <c r="J556" s="39"/>
      <c r="K556" s="44"/>
      <c r="L556" s="44"/>
      <c r="M556" s="44"/>
      <c r="N556" s="44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5.75" customHeight="1">
      <c r="A557" s="39"/>
      <c r="B557" s="45"/>
      <c r="C557" s="46"/>
      <c r="D557" s="39"/>
      <c r="E557" s="39"/>
      <c r="F557" s="44"/>
      <c r="G557" s="39"/>
      <c r="H557" s="39"/>
      <c r="I557" s="39"/>
      <c r="J557" s="39"/>
      <c r="K557" s="44"/>
      <c r="L557" s="44"/>
      <c r="M557" s="44"/>
      <c r="N557" s="44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5.75" customHeight="1">
      <c r="A558" s="39"/>
      <c r="B558" s="45"/>
      <c r="C558" s="46"/>
      <c r="D558" s="39"/>
      <c r="E558" s="39"/>
      <c r="F558" s="44"/>
      <c r="G558" s="39"/>
      <c r="H558" s="39"/>
      <c r="I558" s="39"/>
      <c r="J558" s="39"/>
      <c r="K558" s="44"/>
      <c r="L558" s="44"/>
      <c r="M558" s="44"/>
      <c r="N558" s="44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5.75" customHeight="1">
      <c r="A559" s="39"/>
      <c r="B559" s="45"/>
      <c r="C559" s="46"/>
      <c r="D559" s="39"/>
      <c r="E559" s="39"/>
      <c r="F559" s="44"/>
      <c r="G559" s="39"/>
      <c r="H559" s="39"/>
      <c r="I559" s="39"/>
      <c r="J559" s="39"/>
      <c r="K559" s="44"/>
      <c r="L559" s="44"/>
      <c r="M559" s="44"/>
      <c r="N559" s="44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5.75" customHeight="1">
      <c r="A560" s="39"/>
      <c r="B560" s="45"/>
      <c r="C560" s="46"/>
      <c r="D560" s="39"/>
      <c r="E560" s="39"/>
      <c r="F560" s="44"/>
      <c r="G560" s="39"/>
      <c r="H560" s="39"/>
      <c r="I560" s="39"/>
      <c r="J560" s="39"/>
      <c r="K560" s="44"/>
      <c r="L560" s="44"/>
      <c r="M560" s="44"/>
      <c r="N560" s="44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5.75" customHeight="1">
      <c r="A561" s="39"/>
      <c r="B561" s="45"/>
      <c r="C561" s="46"/>
      <c r="D561" s="39"/>
      <c r="E561" s="39"/>
      <c r="F561" s="44"/>
      <c r="G561" s="39"/>
      <c r="H561" s="39"/>
      <c r="I561" s="39"/>
      <c r="J561" s="39"/>
      <c r="K561" s="44"/>
      <c r="L561" s="44"/>
      <c r="M561" s="44"/>
      <c r="N561" s="44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5.75" customHeight="1">
      <c r="A562" s="39"/>
      <c r="B562" s="45"/>
      <c r="C562" s="46"/>
      <c r="D562" s="39"/>
      <c r="E562" s="39"/>
      <c r="F562" s="44"/>
      <c r="G562" s="39"/>
      <c r="H562" s="39"/>
      <c r="I562" s="39"/>
      <c r="J562" s="39"/>
      <c r="K562" s="44"/>
      <c r="L562" s="44"/>
      <c r="M562" s="44"/>
      <c r="N562" s="44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5.75" customHeight="1">
      <c r="A563" s="39"/>
      <c r="B563" s="45"/>
      <c r="C563" s="46"/>
      <c r="D563" s="39"/>
      <c r="E563" s="39"/>
      <c r="F563" s="44"/>
      <c r="G563" s="39"/>
      <c r="H563" s="39"/>
      <c r="I563" s="39"/>
      <c r="J563" s="39"/>
      <c r="K563" s="44"/>
      <c r="L563" s="44"/>
      <c r="M563" s="44"/>
      <c r="N563" s="44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5.75" customHeight="1">
      <c r="A564" s="39"/>
      <c r="B564" s="45"/>
      <c r="C564" s="46"/>
      <c r="D564" s="39"/>
      <c r="E564" s="39"/>
      <c r="F564" s="44"/>
      <c r="G564" s="39"/>
      <c r="H564" s="39"/>
      <c r="I564" s="39"/>
      <c r="J564" s="39"/>
      <c r="K564" s="44"/>
      <c r="L564" s="44"/>
      <c r="M564" s="44"/>
      <c r="N564" s="44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5.75" customHeight="1">
      <c r="A565" s="39"/>
      <c r="B565" s="45"/>
      <c r="C565" s="46"/>
      <c r="D565" s="39"/>
      <c r="E565" s="39"/>
      <c r="F565" s="44"/>
      <c r="G565" s="39"/>
      <c r="H565" s="39"/>
      <c r="I565" s="39"/>
      <c r="J565" s="39"/>
      <c r="K565" s="44"/>
      <c r="L565" s="44"/>
      <c r="M565" s="44"/>
      <c r="N565" s="44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5.75" customHeight="1">
      <c r="A566" s="39"/>
      <c r="B566" s="45"/>
      <c r="C566" s="46"/>
      <c r="D566" s="39"/>
      <c r="E566" s="39"/>
      <c r="F566" s="44"/>
      <c r="G566" s="39"/>
      <c r="H566" s="39"/>
      <c r="I566" s="39"/>
      <c r="J566" s="39"/>
      <c r="K566" s="44"/>
      <c r="L566" s="44"/>
      <c r="M566" s="44"/>
      <c r="N566" s="44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5.75" customHeight="1">
      <c r="A567" s="39"/>
      <c r="B567" s="45"/>
      <c r="C567" s="46"/>
      <c r="D567" s="39"/>
      <c r="E567" s="39"/>
      <c r="F567" s="44"/>
      <c r="G567" s="39"/>
      <c r="H567" s="39"/>
      <c r="I567" s="39"/>
      <c r="J567" s="39"/>
      <c r="K567" s="44"/>
      <c r="L567" s="44"/>
      <c r="M567" s="44"/>
      <c r="N567" s="44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5.75" customHeight="1">
      <c r="A568" s="39"/>
      <c r="B568" s="45"/>
      <c r="C568" s="46"/>
      <c r="D568" s="39"/>
      <c r="E568" s="39"/>
      <c r="F568" s="44"/>
      <c r="G568" s="39"/>
      <c r="H568" s="39"/>
      <c r="I568" s="39"/>
      <c r="J568" s="39"/>
      <c r="K568" s="44"/>
      <c r="L568" s="44"/>
      <c r="M568" s="44"/>
      <c r="N568" s="44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5.75" customHeight="1">
      <c r="A569" s="39"/>
      <c r="B569" s="45"/>
      <c r="C569" s="46"/>
      <c r="D569" s="39"/>
      <c r="E569" s="39"/>
      <c r="F569" s="44"/>
      <c r="G569" s="39"/>
      <c r="H569" s="39"/>
      <c r="I569" s="39"/>
      <c r="J569" s="39"/>
      <c r="K569" s="44"/>
      <c r="L569" s="44"/>
      <c r="M569" s="44"/>
      <c r="N569" s="44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5.75" customHeight="1">
      <c r="A570" s="39"/>
      <c r="B570" s="45"/>
      <c r="C570" s="46"/>
      <c r="D570" s="39"/>
      <c r="E570" s="39"/>
      <c r="F570" s="44"/>
      <c r="G570" s="39"/>
      <c r="H570" s="39"/>
      <c r="I570" s="39"/>
      <c r="J570" s="39"/>
      <c r="K570" s="44"/>
      <c r="L570" s="44"/>
      <c r="M570" s="44"/>
      <c r="N570" s="44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5.75" customHeight="1">
      <c r="A571" s="39"/>
      <c r="B571" s="45"/>
      <c r="C571" s="46"/>
      <c r="D571" s="39"/>
      <c r="E571" s="39"/>
      <c r="F571" s="44"/>
      <c r="G571" s="39"/>
      <c r="H571" s="39"/>
      <c r="I571" s="39"/>
      <c r="J571" s="39"/>
      <c r="K571" s="44"/>
      <c r="L571" s="44"/>
      <c r="M571" s="44"/>
      <c r="N571" s="44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5.75" customHeight="1">
      <c r="A572" s="39"/>
      <c r="B572" s="45"/>
      <c r="C572" s="46"/>
      <c r="D572" s="39"/>
      <c r="E572" s="39"/>
      <c r="F572" s="44"/>
      <c r="G572" s="39"/>
      <c r="H572" s="39"/>
      <c r="I572" s="39"/>
      <c r="J572" s="39"/>
      <c r="K572" s="44"/>
      <c r="L572" s="44"/>
      <c r="M572" s="44"/>
      <c r="N572" s="44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5.75" customHeight="1">
      <c r="A573" s="39"/>
      <c r="B573" s="45"/>
      <c r="C573" s="46"/>
      <c r="D573" s="39"/>
      <c r="E573" s="39"/>
      <c r="F573" s="44"/>
      <c r="G573" s="39"/>
      <c r="H573" s="39"/>
      <c r="I573" s="39"/>
      <c r="J573" s="39"/>
      <c r="K573" s="44"/>
      <c r="L573" s="44"/>
      <c r="M573" s="44"/>
      <c r="N573" s="44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5.75" customHeight="1">
      <c r="A574" s="39"/>
      <c r="B574" s="45"/>
      <c r="C574" s="46"/>
      <c r="D574" s="39"/>
      <c r="E574" s="39"/>
      <c r="F574" s="44"/>
      <c r="G574" s="39"/>
      <c r="H574" s="39"/>
      <c r="I574" s="39"/>
      <c r="J574" s="39"/>
      <c r="K574" s="44"/>
      <c r="L574" s="44"/>
      <c r="M574" s="44"/>
      <c r="N574" s="44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5.75" customHeight="1">
      <c r="A575" s="39"/>
      <c r="B575" s="45"/>
      <c r="C575" s="46"/>
      <c r="D575" s="39"/>
      <c r="E575" s="39"/>
      <c r="F575" s="44"/>
      <c r="G575" s="39"/>
      <c r="H575" s="39"/>
      <c r="I575" s="39"/>
      <c r="J575" s="39"/>
      <c r="K575" s="44"/>
      <c r="L575" s="44"/>
      <c r="M575" s="44"/>
      <c r="N575" s="44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5.75" customHeight="1">
      <c r="A576" s="39"/>
      <c r="B576" s="45"/>
      <c r="C576" s="46"/>
      <c r="D576" s="39"/>
      <c r="E576" s="39"/>
      <c r="F576" s="44"/>
      <c r="G576" s="39"/>
      <c r="H576" s="39"/>
      <c r="I576" s="39"/>
      <c r="J576" s="39"/>
      <c r="K576" s="44"/>
      <c r="L576" s="44"/>
      <c r="M576" s="44"/>
      <c r="N576" s="44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5.75" customHeight="1">
      <c r="A577" s="39"/>
      <c r="B577" s="45"/>
      <c r="C577" s="46"/>
      <c r="D577" s="39"/>
      <c r="E577" s="39"/>
      <c r="F577" s="44"/>
      <c r="G577" s="39"/>
      <c r="H577" s="39"/>
      <c r="I577" s="39"/>
      <c r="J577" s="39"/>
      <c r="K577" s="44"/>
      <c r="L577" s="44"/>
      <c r="M577" s="44"/>
      <c r="N577" s="44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5.75" customHeight="1">
      <c r="A578" s="39"/>
      <c r="B578" s="45"/>
      <c r="C578" s="46"/>
      <c r="D578" s="39"/>
      <c r="E578" s="39"/>
      <c r="F578" s="44"/>
      <c r="G578" s="39"/>
      <c r="H578" s="39"/>
      <c r="I578" s="39"/>
      <c r="J578" s="39"/>
      <c r="K578" s="44"/>
      <c r="L578" s="44"/>
      <c r="M578" s="44"/>
      <c r="N578" s="44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5.75" customHeight="1">
      <c r="A579" s="39"/>
      <c r="B579" s="45"/>
      <c r="C579" s="46"/>
      <c r="D579" s="39"/>
      <c r="E579" s="39"/>
      <c r="F579" s="44"/>
      <c r="G579" s="39"/>
      <c r="H579" s="39"/>
      <c r="I579" s="39"/>
      <c r="J579" s="39"/>
      <c r="K579" s="44"/>
      <c r="L579" s="44"/>
      <c r="M579" s="44"/>
      <c r="N579" s="44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5.75" customHeight="1">
      <c r="A580" s="39"/>
      <c r="B580" s="45"/>
      <c r="C580" s="46"/>
      <c r="D580" s="39"/>
      <c r="E580" s="39"/>
      <c r="F580" s="44"/>
      <c r="G580" s="39"/>
      <c r="H580" s="39"/>
      <c r="I580" s="39"/>
      <c r="J580" s="39"/>
      <c r="K580" s="44"/>
      <c r="L580" s="44"/>
      <c r="M580" s="44"/>
      <c r="N580" s="44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5.75" customHeight="1">
      <c r="A581" s="39"/>
      <c r="B581" s="45"/>
      <c r="C581" s="46"/>
      <c r="D581" s="39"/>
      <c r="E581" s="39"/>
      <c r="F581" s="44"/>
      <c r="G581" s="39"/>
      <c r="H581" s="39"/>
      <c r="I581" s="39"/>
      <c r="J581" s="39"/>
      <c r="K581" s="44"/>
      <c r="L581" s="44"/>
      <c r="M581" s="44"/>
      <c r="N581" s="44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5.75" customHeight="1">
      <c r="A582" s="39"/>
      <c r="B582" s="45"/>
      <c r="C582" s="46"/>
      <c r="D582" s="39"/>
      <c r="E582" s="39"/>
      <c r="F582" s="44"/>
      <c r="G582" s="39"/>
      <c r="H582" s="39"/>
      <c r="I582" s="39"/>
      <c r="J582" s="39"/>
      <c r="K582" s="44"/>
      <c r="L582" s="44"/>
      <c r="M582" s="44"/>
      <c r="N582" s="44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5.75" customHeight="1">
      <c r="A583" s="39"/>
      <c r="B583" s="45"/>
      <c r="C583" s="46"/>
      <c r="D583" s="39"/>
      <c r="E583" s="39"/>
      <c r="F583" s="44"/>
      <c r="G583" s="39"/>
      <c r="H583" s="39"/>
      <c r="I583" s="39"/>
      <c r="J583" s="39"/>
      <c r="K583" s="44"/>
      <c r="L583" s="44"/>
      <c r="M583" s="44"/>
      <c r="N583" s="44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5.75" customHeight="1">
      <c r="A584" s="39"/>
      <c r="B584" s="45"/>
      <c r="C584" s="46"/>
      <c r="D584" s="39"/>
      <c r="E584" s="39"/>
      <c r="F584" s="44"/>
      <c r="G584" s="39"/>
      <c r="H584" s="39"/>
      <c r="I584" s="39"/>
      <c r="J584" s="39"/>
      <c r="K584" s="44"/>
      <c r="L584" s="44"/>
      <c r="M584" s="44"/>
      <c r="N584" s="44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5.75" customHeight="1">
      <c r="A585" s="39"/>
      <c r="B585" s="45"/>
      <c r="C585" s="46"/>
      <c r="D585" s="39"/>
      <c r="E585" s="39"/>
      <c r="F585" s="44"/>
      <c r="G585" s="39"/>
      <c r="H585" s="39"/>
      <c r="I585" s="39"/>
      <c r="J585" s="39"/>
      <c r="K585" s="44"/>
      <c r="L585" s="44"/>
      <c r="M585" s="44"/>
      <c r="N585" s="44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5.75" customHeight="1">
      <c r="A586" s="39"/>
      <c r="B586" s="45"/>
      <c r="C586" s="46"/>
      <c r="D586" s="39"/>
      <c r="E586" s="39"/>
      <c r="F586" s="44"/>
      <c r="G586" s="39"/>
      <c r="H586" s="39"/>
      <c r="I586" s="39"/>
      <c r="J586" s="39"/>
      <c r="K586" s="44"/>
      <c r="L586" s="44"/>
      <c r="M586" s="44"/>
      <c r="N586" s="44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5.75" customHeight="1">
      <c r="A587" s="39"/>
      <c r="B587" s="45"/>
      <c r="C587" s="46"/>
      <c r="D587" s="39"/>
      <c r="E587" s="39"/>
      <c r="F587" s="44"/>
      <c r="G587" s="39"/>
      <c r="H587" s="39"/>
      <c r="I587" s="39"/>
      <c r="J587" s="39"/>
      <c r="K587" s="44"/>
      <c r="L587" s="44"/>
      <c r="M587" s="44"/>
      <c r="N587" s="44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5.75" customHeight="1">
      <c r="A588" s="39"/>
      <c r="B588" s="45"/>
      <c r="C588" s="46"/>
      <c r="D588" s="39"/>
      <c r="E588" s="39"/>
      <c r="F588" s="44"/>
      <c r="G588" s="39"/>
      <c r="H588" s="39"/>
      <c r="I588" s="39"/>
      <c r="J588" s="39"/>
      <c r="K588" s="44"/>
      <c r="L588" s="44"/>
      <c r="M588" s="44"/>
      <c r="N588" s="44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5.75" customHeight="1">
      <c r="A589" s="39"/>
      <c r="B589" s="45"/>
      <c r="C589" s="46"/>
      <c r="D589" s="39"/>
      <c r="E589" s="39"/>
      <c r="F589" s="44"/>
      <c r="G589" s="39"/>
      <c r="H589" s="39"/>
      <c r="I589" s="39"/>
      <c r="J589" s="39"/>
      <c r="K589" s="44"/>
      <c r="L589" s="44"/>
      <c r="M589" s="44"/>
      <c r="N589" s="44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5.75" customHeight="1">
      <c r="A590" s="39"/>
      <c r="B590" s="45"/>
      <c r="C590" s="46"/>
      <c r="D590" s="39"/>
      <c r="E590" s="39"/>
      <c r="F590" s="44"/>
      <c r="G590" s="39"/>
      <c r="H590" s="39"/>
      <c r="I590" s="39"/>
      <c r="J590" s="39"/>
      <c r="K590" s="44"/>
      <c r="L590" s="44"/>
      <c r="M590" s="44"/>
      <c r="N590" s="44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5.75" customHeight="1">
      <c r="A591" s="39"/>
      <c r="B591" s="45"/>
      <c r="C591" s="46"/>
      <c r="D591" s="39"/>
      <c r="E591" s="39"/>
      <c r="F591" s="44"/>
      <c r="G591" s="39"/>
      <c r="H591" s="39"/>
      <c r="I591" s="39"/>
      <c r="J591" s="39"/>
      <c r="K591" s="44"/>
      <c r="L591" s="44"/>
      <c r="M591" s="44"/>
      <c r="N591" s="44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5.75" customHeight="1">
      <c r="A592" s="39"/>
      <c r="B592" s="45"/>
      <c r="C592" s="46"/>
      <c r="D592" s="39"/>
      <c r="E592" s="39"/>
      <c r="F592" s="44"/>
      <c r="G592" s="39"/>
      <c r="H592" s="39"/>
      <c r="I592" s="39"/>
      <c r="J592" s="39"/>
      <c r="K592" s="44"/>
      <c r="L592" s="44"/>
      <c r="M592" s="44"/>
      <c r="N592" s="44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5.75" customHeight="1">
      <c r="A593" s="39"/>
      <c r="B593" s="45"/>
      <c r="C593" s="46"/>
      <c r="D593" s="39"/>
      <c r="E593" s="39"/>
      <c r="F593" s="44"/>
      <c r="G593" s="39"/>
      <c r="H593" s="39"/>
      <c r="I593" s="39"/>
      <c r="J593" s="39"/>
      <c r="K593" s="44"/>
      <c r="L593" s="44"/>
      <c r="M593" s="44"/>
      <c r="N593" s="44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5.75" customHeight="1">
      <c r="A594" s="39"/>
      <c r="B594" s="45"/>
      <c r="C594" s="46"/>
      <c r="D594" s="39"/>
      <c r="E594" s="39"/>
      <c r="F594" s="44"/>
      <c r="G594" s="39"/>
      <c r="H594" s="39"/>
      <c r="I594" s="39"/>
      <c r="J594" s="39"/>
      <c r="K594" s="44"/>
      <c r="L594" s="44"/>
      <c r="M594" s="44"/>
      <c r="N594" s="44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5.75" customHeight="1">
      <c r="A595" s="39"/>
      <c r="B595" s="45"/>
      <c r="C595" s="46"/>
      <c r="D595" s="39"/>
      <c r="E595" s="39"/>
      <c r="F595" s="44"/>
      <c r="G595" s="39"/>
      <c r="H595" s="39"/>
      <c r="I595" s="39"/>
      <c r="J595" s="39"/>
      <c r="K595" s="44"/>
      <c r="L595" s="44"/>
      <c r="M595" s="44"/>
      <c r="N595" s="44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5.75" customHeight="1">
      <c r="A596" s="39"/>
      <c r="B596" s="45"/>
      <c r="C596" s="46"/>
      <c r="D596" s="39"/>
      <c r="E596" s="39"/>
      <c r="F596" s="44"/>
      <c r="G596" s="39"/>
      <c r="H596" s="39"/>
      <c r="I596" s="39"/>
      <c r="J596" s="39"/>
      <c r="K596" s="44"/>
      <c r="L596" s="44"/>
      <c r="M596" s="44"/>
      <c r="N596" s="44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5.75" customHeight="1">
      <c r="A597" s="39"/>
      <c r="B597" s="45"/>
      <c r="C597" s="46"/>
      <c r="D597" s="39"/>
      <c r="E597" s="39"/>
      <c r="F597" s="44"/>
      <c r="G597" s="39"/>
      <c r="H597" s="39"/>
      <c r="I597" s="39"/>
      <c r="J597" s="39"/>
      <c r="K597" s="44"/>
      <c r="L597" s="44"/>
      <c r="M597" s="44"/>
      <c r="N597" s="44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5.75" customHeight="1">
      <c r="A598" s="39"/>
      <c r="B598" s="45"/>
      <c r="C598" s="46"/>
      <c r="D598" s="39"/>
      <c r="E598" s="39"/>
      <c r="F598" s="44"/>
      <c r="G598" s="39"/>
      <c r="H598" s="39"/>
      <c r="I598" s="39"/>
      <c r="J598" s="39"/>
      <c r="K598" s="44"/>
      <c r="L598" s="44"/>
      <c r="M598" s="44"/>
      <c r="N598" s="44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5.75" customHeight="1">
      <c r="A599" s="39"/>
      <c r="B599" s="45"/>
      <c r="C599" s="46"/>
      <c r="D599" s="39"/>
      <c r="E599" s="39"/>
      <c r="F599" s="44"/>
      <c r="G599" s="39"/>
      <c r="H599" s="39"/>
      <c r="I599" s="39"/>
      <c r="J599" s="39"/>
      <c r="K599" s="44"/>
      <c r="L599" s="44"/>
      <c r="M599" s="44"/>
      <c r="N599" s="44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5.75" customHeight="1">
      <c r="A600" s="39"/>
      <c r="B600" s="45"/>
      <c r="C600" s="46"/>
      <c r="D600" s="39"/>
      <c r="E600" s="39"/>
      <c r="F600" s="44"/>
      <c r="G600" s="39"/>
      <c r="H600" s="39"/>
      <c r="I600" s="39"/>
      <c r="J600" s="39"/>
      <c r="K600" s="44"/>
      <c r="L600" s="44"/>
      <c r="M600" s="44"/>
      <c r="N600" s="44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5.75" customHeight="1">
      <c r="A601" s="39"/>
      <c r="B601" s="45"/>
      <c r="C601" s="46"/>
      <c r="D601" s="39"/>
      <c r="E601" s="39"/>
      <c r="F601" s="44"/>
      <c r="G601" s="39"/>
      <c r="H601" s="39"/>
      <c r="I601" s="39"/>
      <c r="J601" s="39"/>
      <c r="K601" s="44"/>
      <c r="L601" s="44"/>
      <c r="M601" s="44"/>
      <c r="N601" s="44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5.75" customHeight="1">
      <c r="A602" s="39"/>
      <c r="B602" s="45"/>
      <c r="C602" s="46"/>
      <c r="D602" s="39"/>
      <c r="E602" s="39"/>
      <c r="F602" s="44"/>
      <c r="G602" s="39"/>
      <c r="H602" s="39"/>
      <c r="I602" s="39"/>
      <c r="J602" s="39"/>
      <c r="K602" s="44"/>
      <c r="L602" s="44"/>
      <c r="M602" s="44"/>
      <c r="N602" s="44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5.75" customHeight="1">
      <c r="A603" s="39"/>
      <c r="B603" s="45"/>
      <c r="C603" s="46"/>
      <c r="D603" s="39"/>
      <c r="E603" s="39"/>
      <c r="F603" s="44"/>
      <c r="G603" s="39"/>
      <c r="H603" s="39"/>
      <c r="I603" s="39"/>
      <c r="J603" s="39"/>
      <c r="K603" s="44"/>
      <c r="L603" s="44"/>
      <c r="M603" s="44"/>
      <c r="N603" s="44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5.75" customHeight="1">
      <c r="A604" s="39"/>
      <c r="B604" s="45"/>
      <c r="C604" s="46"/>
      <c r="D604" s="39"/>
      <c r="E604" s="39"/>
      <c r="F604" s="44"/>
      <c r="G604" s="39"/>
      <c r="H604" s="39"/>
      <c r="I604" s="39"/>
      <c r="J604" s="39"/>
      <c r="K604" s="44"/>
      <c r="L604" s="44"/>
      <c r="M604" s="44"/>
      <c r="N604" s="44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5.75" customHeight="1">
      <c r="A605" s="39"/>
      <c r="B605" s="45"/>
      <c r="C605" s="46"/>
      <c r="D605" s="39"/>
      <c r="E605" s="39"/>
      <c r="F605" s="44"/>
      <c r="G605" s="39"/>
      <c r="H605" s="39"/>
      <c r="I605" s="39"/>
      <c r="J605" s="39"/>
      <c r="K605" s="44"/>
      <c r="L605" s="44"/>
      <c r="M605" s="44"/>
      <c r="N605" s="44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5.75" customHeight="1">
      <c r="A606" s="39"/>
      <c r="B606" s="45"/>
      <c r="C606" s="46"/>
      <c r="D606" s="39"/>
      <c r="E606" s="39"/>
      <c r="F606" s="44"/>
      <c r="G606" s="39"/>
      <c r="H606" s="39"/>
      <c r="I606" s="39"/>
      <c r="J606" s="39"/>
      <c r="K606" s="44"/>
      <c r="L606" s="44"/>
      <c r="M606" s="44"/>
      <c r="N606" s="44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5.75" customHeight="1">
      <c r="A607" s="39"/>
      <c r="B607" s="45"/>
      <c r="C607" s="46"/>
      <c r="D607" s="39"/>
      <c r="E607" s="39"/>
      <c r="F607" s="44"/>
      <c r="G607" s="39"/>
      <c r="H607" s="39"/>
      <c r="I607" s="39"/>
      <c r="J607" s="39"/>
      <c r="K607" s="44"/>
      <c r="L607" s="44"/>
      <c r="M607" s="44"/>
      <c r="N607" s="44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5.75" customHeight="1">
      <c r="A608" s="39"/>
      <c r="B608" s="45"/>
      <c r="C608" s="46"/>
      <c r="D608" s="39"/>
      <c r="E608" s="39"/>
      <c r="F608" s="44"/>
      <c r="G608" s="39"/>
      <c r="H608" s="39"/>
      <c r="I608" s="39"/>
      <c r="J608" s="39"/>
      <c r="K608" s="44"/>
      <c r="L608" s="44"/>
      <c r="M608" s="44"/>
      <c r="N608" s="44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5.75" customHeight="1">
      <c r="A609" s="39"/>
      <c r="B609" s="45"/>
      <c r="C609" s="46"/>
      <c r="D609" s="39"/>
      <c r="E609" s="39"/>
      <c r="F609" s="44"/>
      <c r="G609" s="39"/>
      <c r="H609" s="39"/>
      <c r="I609" s="39"/>
      <c r="J609" s="39"/>
      <c r="K609" s="44"/>
      <c r="L609" s="44"/>
      <c r="M609" s="44"/>
      <c r="N609" s="44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5.75" customHeight="1">
      <c r="A610" s="39"/>
      <c r="B610" s="45"/>
      <c r="C610" s="46"/>
      <c r="D610" s="39"/>
      <c r="E610" s="39"/>
      <c r="F610" s="44"/>
      <c r="G610" s="39"/>
      <c r="H610" s="39"/>
      <c r="I610" s="39"/>
      <c r="J610" s="39"/>
      <c r="K610" s="44"/>
      <c r="L610" s="44"/>
      <c r="M610" s="44"/>
      <c r="N610" s="44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5.75" customHeight="1">
      <c r="A611" s="39"/>
      <c r="B611" s="45"/>
      <c r="C611" s="46"/>
      <c r="D611" s="39"/>
      <c r="E611" s="39"/>
      <c r="F611" s="44"/>
      <c r="G611" s="39"/>
      <c r="H611" s="39"/>
      <c r="I611" s="39"/>
      <c r="J611" s="39"/>
      <c r="K611" s="44"/>
      <c r="L611" s="44"/>
      <c r="M611" s="44"/>
      <c r="N611" s="44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5.75" customHeight="1">
      <c r="A612" s="39"/>
      <c r="B612" s="45"/>
      <c r="C612" s="46"/>
      <c r="D612" s="39"/>
      <c r="E612" s="39"/>
      <c r="F612" s="44"/>
      <c r="G612" s="39"/>
      <c r="H612" s="39"/>
      <c r="I612" s="39"/>
      <c r="J612" s="39"/>
      <c r="K612" s="44"/>
      <c r="L612" s="44"/>
      <c r="M612" s="44"/>
      <c r="N612" s="44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5.75" customHeight="1">
      <c r="A613" s="39"/>
      <c r="B613" s="45"/>
      <c r="C613" s="46"/>
      <c r="D613" s="39"/>
      <c r="E613" s="39"/>
      <c r="F613" s="44"/>
      <c r="G613" s="39"/>
      <c r="H613" s="39"/>
      <c r="I613" s="39"/>
      <c r="J613" s="39"/>
      <c r="K613" s="44"/>
      <c r="L613" s="44"/>
      <c r="M613" s="44"/>
      <c r="N613" s="44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5.75" customHeight="1">
      <c r="A614" s="39"/>
      <c r="B614" s="45"/>
      <c r="C614" s="46"/>
      <c r="D614" s="39"/>
      <c r="E614" s="39"/>
      <c r="F614" s="44"/>
      <c r="G614" s="39"/>
      <c r="H614" s="39"/>
      <c r="I614" s="39"/>
      <c r="J614" s="39"/>
      <c r="K614" s="44"/>
      <c r="L614" s="44"/>
      <c r="M614" s="44"/>
      <c r="N614" s="44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5.75" customHeight="1">
      <c r="A615" s="39"/>
      <c r="B615" s="45"/>
      <c r="C615" s="46"/>
      <c r="D615" s="39"/>
      <c r="E615" s="39"/>
      <c r="F615" s="44"/>
      <c r="G615" s="39"/>
      <c r="H615" s="39"/>
      <c r="I615" s="39"/>
      <c r="J615" s="39"/>
      <c r="K615" s="44"/>
      <c r="L615" s="44"/>
      <c r="M615" s="44"/>
      <c r="N615" s="44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5.75" customHeight="1">
      <c r="A616" s="39"/>
      <c r="B616" s="45"/>
      <c r="C616" s="46"/>
      <c r="D616" s="39"/>
      <c r="E616" s="39"/>
      <c r="F616" s="44"/>
      <c r="G616" s="39"/>
      <c r="H616" s="39"/>
      <c r="I616" s="39"/>
      <c r="J616" s="39"/>
      <c r="K616" s="44"/>
      <c r="L616" s="44"/>
      <c r="M616" s="44"/>
      <c r="N616" s="44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5.75" customHeight="1">
      <c r="A617" s="39"/>
      <c r="B617" s="45"/>
      <c r="C617" s="46"/>
      <c r="D617" s="39"/>
      <c r="E617" s="39"/>
      <c r="F617" s="44"/>
      <c r="G617" s="39"/>
      <c r="H617" s="39"/>
      <c r="I617" s="39"/>
      <c r="J617" s="39"/>
      <c r="K617" s="44"/>
      <c r="L617" s="44"/>
      <c r="M617" s="44"/>
      <c r="N617" s="44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5.75" customHeight="1">
      <c r="A618" s="39"/>
      <c r="B618" s="45"/>
      <c r="C618" s="46"/>
      <c r="D618" s="39"/>
      <c r="E618" s="39"/>
      <c r="F618" s="44"/>
      <c r="G618" s="39"/>
      <c r="H618" s="39"/>
      <c r="I618" s="39"/>
      <c r="J618" s="39"/>
      <c r="K618" s="44"/>
      <c r="L618" s="44"/>
      <c r="M618" s="44"/>
      <c r="N618" s="44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5.75" customHeight="1">
      <c r="A619" s="39"/>
      <c r="B619" s="45"/>
      <c r="C619" s="46"/>
      <c r="D619" s="39"/>
      <c r="E619" s="39"/>
      <c r="F619" s="44"/>
      <c r="G619" s="39"/>
      <c r="H619" s="39"/>
      <c r="I619" s="39"/>
      <c r="J619" s="39"/>
      <c r="K619" s="44"/>
      <c r="L619" s="44"/>
      <c r="M619" s="44"/>
      <c r="N619" s="44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5.75" customHeight="1">
      <c r="A620" s="39"/>
      <c r="B620" s="45"/>
      <c r="C620" s="46"/>
      <c r="D620" s="39"/>
      <c r="E620" s="39"/>
      <c r="F620" s="44"/>
      <c r="G620" s="39"/>
      <c r="H620" s="39"/>
      <c r="I620" s="39"/>
      <c r="J620" s="39"/>
      <c r="K620" s="44"/>
      <c r="L620" s="44"/>
      <c r="M620" s="44"/>
      <c r="N620" s="44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5.75" customHeight="1">
      <c r="A621" s="39"/>
      <c r="B621" s="45"/>
      <c r="C621" s="46"/>
      <c r="D621" s="39"/>
      <c r="E621" s="39"/>
      <c r="F621" s="44"/>
      <c r="G621" s="39"/>
      <c r="H621" s="39"/>
      <c r="I621" s="39"/>
      <c r="J621" s="39"/>
      <c r="K621" s="44"/>
      <c r="L621" s="44"/>
      <c r="M621" s="44"/>
      <c r="N621" s="44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5.75" customHeight="1">
      <c r="A622" s="39"/>
      <c r="B622" s="45"/>
      <c r="C622" s="46"/>
      <c r="D622" s="39"/>
      <c r="E622" s="39"/>
      <c r="F622" s="44"/>
      <c r="G622" s="39"/>
      <c r="H622" s="39"/>
      <c r="I622" s="39"/>
      <c r="J622" s="39"/>
      <c r="K622" s="44"/>
      <c r="L622" s="44"/>
      <c r="M622" s="44"/>
      <c r="N622" s="44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5.75" customHeight="1">
      <c r="A623" s="39"/>
      <c r="B623" s="45"/>
      <c r="C623" s="46"/>
      <c r="D623" s="39"/>
      <c r="E623" s="39"/>
      <c r="F623" s="44"/>
      <c r="G623" s="39"/>
      <c r="H623" s="39"/>
      <c r="I623" s="39"/>
      <c r="J623" s="39"/>
      <c r="K623" s="44"/>
      <c r="L623" s="44"/>
      <c r="M623" s="44"/>
      <c r="N623" s="44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5.75" customHeight="1">
      <c r="A624" s="39"/>
      <c r="B624" s="45"/>
      <c r="C624" s="46"/>
      <c r="D624" s="39"/>
      <c r="E624" s="39"/>
      <c r="F624" s="44"/>
      <c r="G624" s="39"/>
      <c r="H624" s="39"/>
      <c r="I624" s="39"/>
      <c r="J624" s="39"/>
      <c r="K624" s="44"/>
      <c r="L624" s="44"/>
      <c r="M624" s="44"/>
      <c r="N624" s="44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5.75" customHeight="1">
      <c r="A625" s="39"/>
      <c r="B625" s="45"/>
      <c r="C625" s="46"/>
      <c r="D625" s="39"/>
      <c r="E625" s="39"/>
      <c r="F625" s="44"/>
      <c r="G625" s="39"/>
      <c r="H625" s="39"/>
      <c r="I625" s="39"/>
      <c r="J625" s="39"/>
      <c r="K625" s="44"/>
      <c r="L625" s="44"/>
      <c r="M625" s="44"/>
      <c r="N625" s="44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5.75" customHeight="1">
      <c r="A626" s="39"/>
      <c r="B626" s="45"/>
      <c r="C626" s="46"/>
      <c r="D626" s="39"/>
      <c r="E626" s="39"/>
      <c r="F626" s="44"/>
      <c r="G626" s="39"/>
      <c r="H626" s="39"/>
      <c r="I626" s="39"/>
      <c r="J626" s="39"/>
      <c r="K626" s="44"/>
      <c r="L626" s="44"/>
      <c r="M626" s="44"/>
      <c r="N626" s="44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5.75" customHeight="1">
      <c r="A627" s="39"/>
      <c r="B627" s="45"/>
      <c r="C627" s="46"/>
      <c r="D627" s="39"/>
      <c r="E627" s="39"/>
      <c r="F627" s="44"/>
      <c r="G627" s="39"/>
      <c r="H627" s="39"/>
      <c r="I627" s="39"/>
      <c r="J627" s="39"/>
      <c r="K627" s="44"/>
      <c r="L627" s="44"/>
      <c r="M627" s="44"/>
      <c r="N627" s="44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5.75" customHeight="1">
      <c r="A628" s="39"/>
      <c r="B628" s="45"/>
      <c r="C628" s="46"/>
      <c r="D628" s="39"/>
      <c r="E628" s="39"/>
      <c r="F628" s="44"/>
      <c r="G628" s="39"/>
      <c r="H628" s="39"/>
      <c r="I628" s="39"/>
      <c r="J628" s="39"/>
      <c r="K628" s="44"/>
      <c r="L628" s="44"/>
      <c r="M628" s="44"/>
      <c r="N628" s="44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5.75" customHeight="1">
      <c r="A629" s="39"/>
      <c r="B629" s="45"/>
      <c r="C629" s="46"/>
      <c r="D629" s="39"/>
      <c r="E629" s="39"/>
      <c r="F629" s="44"/>
      <c r="G629" s="39"/>
      <c r="H629" s="39"/>
      <c r="I629" s="39"/>
      <c r="J629" s="39"/>
      <c r="K629" s="44"/>
      <c r="L629" s="44"/>
      <c r="M629" s="44"/>
      <c r="N629" s="44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5.75" customHeight="1">
      <c r="A630" s="39"/>
      <c r="B630" s="45"/>
      <c r="C630" s="46"/>
      <c r="D630" s="39"/>
      <c r="E630" s="39"/>
      <c r="F630" s="44"/>
      <c r="G630" s="39"/>
      <c r="H630" s="39"/>
      <c r="I630" s="39"/>
      <c r="J630" s="39"/>
      <c r="K630" s="44"/>
      <c r="L630" s="44"/>
      <c r="M630" s="44"/>
      <c r="N630" s="44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5.75" customHeight="1">
      <c r="A631" s="39"/>
      <c r="B631" s="45"/>
      <c r="C631" s="46"/>
      <c r="D631" s="39"/>
      <c r="E631" s="39"/>
      <c r="F631" s="44"/>
      <c r="G631" s="39"/>
      <c r="H631" s="39"/>
      <c r="I631" s="39"/>
      <c r="J631" s="39"/>
      <c r="K631" s="44"/>
      <c r="L631" s="44"/>
      <c r="M631" s="44"/>
      <c r="N631" s="44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5.75" customHeight="1">
      <c r="A632" s="39"/>
      <c r="B632" s="45"/>
      <c r="C632" s="46"/>
      <c r="D632" s="39"/>
      <c r="E632" s="39"/>
      <c r="F632" s="44"/>
      <c r="G632" s="39"/>
      <c r="H632" s="39"/>
      <c r="I632" s="39"/>
      <c r="J632" s="39"/>
      <c r="K632" s="44"/>
      <c r="L632" s="44"/>
      <c r="M632" s="44"/>
      <c r="N632" s="44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5.75" customHeight="1">
      <c r="A633" s="39"/>
      <c r="B633" s="45"/>
      <c r="C633" s="46"/>
      <c r="D633" s="39"/>
      <c r="E633" s="39"/>
      <c r="F633" s="44"/>
      <c r="G633" s="39"/>
      <c r="H633" s="39"/>
      <c r="I633" s="39"/>
      <c r="J633" s="39"/>
      <c r="K633" s="44"/>
      <c r="L633" s="44"/>
      <c r="M633" s="44"/>
      <c r="N633" s="44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5.75" customHeight="1">
      <c r="A634" s="39"/>
      <c r="B634" s="45"/>
      <c r="C634" s="46"/>
      <c r="D634" s="39"/>
      <c r="E634" s="39"/>
      <c r="F634" s="44"/>
      <c r="G634" s="39"/>
      <c r="H634" s="39"/>
      <c r="I634" s="39"/>
      <c r="J634" s="39"/>
      <c r="K634" s="44"/>
      <c r="L634" s="44"/>
      <c r="M634" s="44"/>
      <c r="N634" s="44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5.75" customHeight="1">
      <c r="A635" s="39"/>
      <c r="B635" s="45"/>
      <c r="C635" s="46"/>
      <c r="D635" s="39"/>
      <c r="E635" s="39"/>
      <c r="F635" s="44"/>
      <c r="G635" s="39"/>
      <c r="H635" s="39"/>
      <c r="I635" s="39"/>
      <c r="J635" s="39"/>
      <c r="K635" s="44"/>
      <c r="L635" s="44"/>
      <c r="M635" s="44"/>
      <c r="N635" s="44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5.75" customHeight="1">
      <c r="A636" s="39"/>
      <c r="B636" s="45"/>
      <c r="C636" s="46"/>
      <c r="D636" s="39"/>
      <c r="E636" s="39"/>
      <c r="F636" s="44"/>
      <c r="G636" s="39"/>
      <c r="H636" s="39"/>
      <c r="I636" s="39"/>
      <c r="J636" s="39"/>
      <c r="K636" s="44"/>
      <c r="L636" s="44"/>
      <c r="M636" s="44"/>
      <c r="N636" s="44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5.75" customHeight="1">
      <c r="A637" s="39"/>
      <c r="B637" s="45"/>
      <c r="C637" s="46"/>
      <c r="D637" s="39"/>
      <c r="E637" s="39"/>
      <c r="F637" s="44"/>
      <c r="G637" s="39"/>
      <c r="H637" s="39"/>
      <c r="I637" s="39"/>
      <c r="J637" s="39"/>
      <c r="K637" s="44"/>
      <c r="L637" s="44"/>
      <c r="M637" s="44"/>
      <c r="N637" s="44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5.75" customHeight="1">
      <c r="A638" s="39"/>
      <c r="B638" s="45"/>
      <c r="C638" s="46"/>
      <c r="D638" s="39"/>
      <c r="E638" s="39"/>
      <c r="F638" s="44"/>
      <c r="G638" s="39"/>
      <c r="H638" s="39"/>
      <c r="I638" s="39"/>
      <c r="J638" s="39"/>
      <c r="K638" s="44"/>
      <c r="L638" s="44"/>
      <c r="M638" s="44"/>
      <c r="N638" s="44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5.75" customHeight="1">
      <c r="A639" s="39"/>
      <c r="B639" s="45"/>
      <c r="C639" s="46"/>
      <c r="D639" s="39"/>
      <c r="E639" s="39"/>
      <c r="F639" s="44"/>
      <c r="G639" s="39"/>
      <c r="H639" s="39"/>
      <c r="I639" s="39"/>
      <c r="J639" s="39"/>
      <c r="K639" s="44"/>
      <c r="L639" s="44"/>
      <c r="M639" s="44"/>
      <c r="N639" s="44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5.75" customHeight="1">
      <c r="A640" s="39"/>
      <c r="B640" s="45"/>
      <c r="C640" s="46"/>
      <c r="D640" s="39"/>
      <c r="E640" s="39"/>
      <c r="F640" s="44"/>
      <c r="G640" s="39"/>
      <c r="H640" s="39"/>
      <c r="I640" s="39"/>
      <c r="J640" s="39"/>
      <c r="K640" s="44"/>
      <c r="L640" s="44"/>
      <c r="M640" s="44"/>
      <c r="N640" s="44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5.75" customHeight="1">
      <c r="A641" s="39"/>
      <c r="B641" s="45"/>
      <c r="C641" s="46"/>
      <c r="D641" s="39"/>
      <c r="E641" s="39"/>
      <c r="F641" s="44"/>
      <c r="G641" s="39"/>
      <c r="H641" s="39"/>
      <c r="I641" s="39"/>
      <c r="J641" s="39"/>
      <c r="K641" s="44"/>
      <c r="L641" s="44"/>
      <c r="M641" s="44"/>
      <c r="N641" s="44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5.75" customHeight="1">
      <c r="A642" s="39"/>
      <c r="B642" s="45"/>
      <c r="C642" s="46"/>
      <c r="D642" s="39"/>
      <c r="E642" s="39"/>
      <c r="F642" s="44"/>
      <c r="G642" s="39"/>
      <c r="H642" s="39"/>
      <c r="I642" s="39"/>
      <c r="J642" s="39"/>
      <c r="K642" s="44"/>
      <c r="L642" s="44"/>
      <c r="M642" s="44"/>
      <c r="N642" s="44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5.75" customHeight="1">
      <c r="A643" s="39"/>
      <c r="B643" s="45"/>
      <c r="C643" s="46"/>
      <c r="D643" s="39"/>
      <c r="E643" s="39"/>
      <c r="F643" s="44"/>
      <c r="G643" s="39"/>
      <c r="H643" s="39"/>
      <c r="I643" s="39"/>
      <c r="J643" s="39"/>
      <c r="K643" s="44"/>
      <c r="L643" s="44"/>
      <c r="M643" s="44"/>
      <c r="N643" s="44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5.75" customHeight="1">
      <c r="A644" s="39"/>
      <c r="B644" s="45"/>
      <c r="C644" s="46"/>
      <c r="D644" s="39"/>
      <c r="E644" s="39"/>
      <c r="F644" s="44"/>
      <c r="G644" s="39"/>
      <c r="H644" s="39"/>
      <c r="I644" s="39"/>
      <c r="J644" s="39"/>
      <c r="K644" s="44"/>
      <c r="L644" s="44"/>
      <c r="M644" s="44"/>
      <c r="N644" s="44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5.75" customHeight="1">
      <c r="A645" s="39"/>
      <c r="B645" s="45"/>
      <c r="C645" s="46"/>
      <c r="D645" s="39"/>
      <c r="E645" s="39"/>
      <c r="F645" s="44"/>
      <c r="G645" s="39"/>
      <c r="H645" s="39"/>
      <c r="I645" s="39"/>
      <c r="J645" s="39"/>
      <c r="K645" s="44"/>
      <c r="L645" s="44"/>
      <c r="M645" s="44"/>
      <c r="N645" s="44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5.75" customHeight="1">
      <c r="A646" s="39"/>
      <c r="B646" s="45"/>
      <c r="C646" s="46"/>
      <c r="D646" s="39"/>
      <c r="E646" s="39"/>
      <c r="F646" s="44"/>
      <c r="G646" s="39"/>
      <c r="H646" s="39"/>
      <c r="I646" s="39"/>
      <c r="J646" s="39"/>
      <c r="K646" s="44"/>
      <c r="L646" s="44"/>
      <c r="M646" s="44"/>
      <c r="N646" s="44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5.75" customHeight="1">
      <c r="A647" s="39"/>
      <c r="B647" s="45"/>
      <c r="C647" s="46"/>
      <c r="D647" s="39"/>
      <c r="E647" s="39"/>
      <c r="F647" s="44"/>
      <c r="G647" s="39"/>
      <c r="H647" s="39"/>
      <c r="I647" s="39"/>
      <c r="J647" s="39"/>
      <c r="K647" s="44"/>
      <c r="L647" s="44"/>
      <c r="M647" s="44"/>
      <c r="N647" s="44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5.75" customHeight="1">
      <c r="A648" s="39"/>
      <c r="B648" s="45"/>
      <c r="C648" s="46"/>
      <c r="D648" s="39"/>
      <c r="E648" s="39"/>
      <c r="F648" s="44"/>
      <c r="G648" s="39"/>
      <c r="H648" s="39"/>
      <c r="I648" s="39"/>
      <c r="J648" s="39"/>
      <c r="K648" s="44"/>
      <c r="L648" s="44"/>
      <c r="M648" s="44"/>
      <c r="N648" s="44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5.75" customHeight="1">
      <c r="A649" s="39"/>
      <c r="B649" s="45"/>
      <c r="C649" s="46"/>
      <c r="D649" s="39"/>
      <c r="E649" s="39"/>
      <c r="F649" s="44"/>
      <c r="G649" s="39"/>
      <c r="H649" s="39"/>
      <c r="I649" s="39"/>
      <c r="J649" s="39"/>
      <c r="K649" s="44"/>
      <c r="L649" s="44"/>
      <c r="M649" s="44"/>
      <c r="N649" s="44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5.75" customHeight="1">
      <c r="A650" s="39"/>
      <c r="B650" s="45"/>
      <c r="C650" s="46"/>
      <c r="D650" s="39"/>
      <c r="E650" s="39"/>
      <c r="F650" s="44"/>
      <c r="G650" s="39"/>
      <c r="H650" s="39"/>
      <c r="I650" s="39"/>
      <c r="J650" s="39"/>
      <c r="K650" s="44"/>
      <c r="L650" s="44"/>
      <c r="M650" s="44"/>
      <c r="N650" s="44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5.75" customHeight="1">
      <c r="A651" s="39"/>
      <c r="B651" s="45"/>
      <c r="C651" s="46"/>
      <c r="D651" s="39"/>
      <c r="E651" s="39"/>
      <c r="F651" s="44"/>
      <c r="G651" s="39"/>
      <c r="H651" s="39"/>
      <c r="I651" s="39"/>
      <c r="J651" s="39"/>
      <c r="K651" s="44"/>
      <c r="L651" s="44"/>
      <c r="M651" s="44"/>
      <c r="N651" s="44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5.75" customHeight="1">
      <c r="A652" s="39"/>
      <c r="B652" s="45"/>
      <c r="C652" s="46"/>
      <c r="D652" s="39"/>
      <c r="E652" s="39"/>
      <c r="F652" s="44"/>
      <c r="G652" s="39"/>
      <c r="H652" s="39"/>
      <c r="I652" s="39"/>
      <c r="J652" s="39"/>
      <c r="K652" s="44"/>
      <c r="L652" s="44"/>
      <c r="M652" s="44"/>
      <c r="N652" s="44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5.75" customHeight="1">
      <c r="A653" s="39"/>
      <c r="B653" s="45"/>
      <c r="C653" s="46"/>
      <c r="D653" s="39"/>
      <c r="E653" s="39"/>
      <c r="F653" s="44"/>
      <c r="G653" s="39"/>
      <c r="H653" s="39"/>
      <c r="I653" s="39"/>
      <c r="J653" s="39"/>
      <c r="K653" s="44"/>
      <c r="L653" s="44"/>
      <c r="M653" s="44"/>
      <c r="N653" s="44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5.75" customHeight="1">
      <c r="A654" s="39"/>
      <c r="B654" s="45"/>
      <c r="C654" s="46"/>
      <c r="D654" s="39"/>
      <c r="E654" s="39"/>
      <c r="F654" s="44"/>
      <c r="G654" s="39"/>
      <c r="H654" s="39"/>
      <c r="I654" s="39"/>
      <c r="J654" s="39"/>
      <c r="K654" s="44"/>
      <c r="L654" s="44"/>
      <c r="M654" s="44"/>
      <c r="N654" s="44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5.75" customHeight="1">
      <c r="A655" s="39"/>
      <c r="B655" s="45"/>
      <c r="C655" s="46"/>
      <c r="D655" s="39"/>
      <c r="E655" s="39"/>
      <c r="F655" s="44"/>
      <c r="G655" s="39"/>
      <c r="H655" s="39"/>
      <c r="I655" s="39"/>
      <c r="J655" s="39"/>
      <c r="K655" s="44"/>
      <c r="L655" s="44"/>
      <c r="M655" s="44"/>
      <c r="N655" s="44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5.75" customHeight="1">
      <c r="A656" s="39"/>
      <c r="B656" s="45"/>
      <c r="C656" s="46"/>
      <c r="D656" s="39"/>
      <c r="E656" s="39"/>
      <c r="F656" s="44"/>
      <c r="G656" s="39"/>
      <c r="H656" s="39"/>
      <c r="I656" s="39"/>
      <c r="J656" s="39"/>
      <c r="K656" s="44"/>
      <c r="L656" s="44"/>
      <c r="M656" s="44"/>
      <c r="N656" s="44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5.75" customHeight="1">
      <c r="A657" s="39"/>
      <c r="B657" s="45"/>
      <c r="C657" s="46"/>
      <c r="D657" s="39"/>
      <c r="E657" s="39"/>
      <c r="F657" s="44"/>
      <c r="G657" s="39"/>
      <c r="H657" s="39"/>
      <c r="I657" s="39"/>
      <c r="J657" s="39"/>
      <c r="K657" s="44"/>
      <c r="L657" s="44"/>
      <c r="M657" s="44"/>
      <c r="N657" s="44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5.75" customHeight="1">
      <c r="A658" s="39"/>
      <c r="B658" s="45"/>
      <c r="C658" s="46"/>
      <c r="D658" s="39"/>
      <c r="E658" s="39"/>
      <c r="F658" s="44"/>
      <c r="G658" s="39"/>
      <c r="H658" s="39"/>
      <c r="I658" s="39"/>
      <c r="J658" s="39"/>
      <c r="K658" s="44"/>
      <c r="L658" s="44"/>
      <c r="M658" s="44"/>
      <c r="N658" s="44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5.75" customHeight="1">
      <c r="A659" s="39"/>
      <c r="B659" s="45"/>
      <c r="C659" s="46"/>
      <c r="D659" s="39"/>
      <c r="E659" s="39"/>
      <c r="F659" s="44"/>
      <c r="G659" s="39"/>
      <c r="H659" s="39"/>
      <c r="I659" s="39"/>
      <c r="J659" s="39"/>
      <c r="K659" s="44"/>
      <c r="L659" s="44"/>
      <c r="M659" s="44"/>
      <c r="N659" s="44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5.75" customHeight="1">
      <c r="A660" s="39"/>
      <c r="B660" s="45"/>
      <c r="C660" s="46"/>
      <c r="D660" s="39"/>
      <c r="E660" s="39"/>
      <c r="F660" s="44"/>
      <c r="G660" s="39"/>
      <c r="H660" s="39"/>
      <c r="I660" s="39"/>
      <c r="J660" s="39"/>
      <c r="K660" s="44"/>
      <c r="L660" s="44"/>
      <c r="M660" s="44"/>
      <c r="N660" s="44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5.75" customHeight="1">
      <c r="A661" s="39"/>
      <c r="B661" s="45"/>
      <c r="C661" s="46"/>
      <c r="D661" s="39"/>
      <c r="E661" s="39"/>
      <c r="F661" s="44"/>
      <c r="G661" s="39"/>
      <c r="H661" s="39"/>
      <c r="I661" s="39"/>
      <c r="J661" s="39"/>
      <c r="K661" s="44"/>
      <c r="L661" s="44"/>
      <c r="M661" s="44"/>
      <c r="N661" s="44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5.75" customHeight="1">
      <c r="A662" s="39"/>
      <c r="B662" s="45"/>
      <c r="C662" s="46"/>
      <c r="D662" s="39"/>
      <c r="E662" s="39"/>
      <c r="F662" s="44"/>
      <c r="G662" s="39"/>
      <c r="H662" s="39"/>
      <c r="I662" s="39"/>
      <c r="J662" s="39"/>
      <c r="K662" s="44"/>
      <c r="L662" s="44"/>
      <c r="M662" s="44"/>
      <c r="N662" s="44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5.75" customHeight="1">
      <c r="A663" s="39"/>
      <c r="B663" s="45"/>
      <c r="C663" s="46"/>
      <c r="D663" s="39"/>
      <c r="E663" s="39"/>
      <c r="F663" s="44"/>
      <c r="G663" s="39"/>
      <c r="H663" s="39"/>
      <c r="I663" s="39"/>
      <c r="J663" s="39"/>
      <c r="K663" s="44"/>
      <c r="L663" s="44"/>
      <c r="M663" s="44"/>
      <c r="N663" s="44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5.75" customHeight="1">
      <c r="A664" s="39"/>
      <c r="B664" s="45"/>
      <c r="C664" s="46"/>
      <c r="D664" s="39"/>
      <c r="E664" s="39"/>
      <c r="F664" s="44"/>
      <c r="G664" s="39"/>
      <c r="H664" s="39"/>
      <c r="I664" s="39"/>
      <c r="J664" s="39"/>
      <c r="K664" s="44"/>
      <c r="L664" s="44"/>
      <c r="M664" s="44"/>
      <c r="N664" s="44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5.75" customHeight="1">
      <c r="A665" s="39"/>
      <c r="B665" s="45"/>
      <c r="C665" s="46"/>
      <c r="D665" s="39"/>
      <c r="E665" s="39"/>
      <c r="F665" s="44"/>
      <c r="G665" s="39"/>
      <c r="H665" s="39"/>
      <c r="I665" s="39"/>
      <c r="J665" s="39"/>
      <c r="K665" s="44"/>
      <c r="L665" s="44"/>
      <c r="M665" s="44"/>
      <c r="N665" s="44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5.75" customHeight="1">
      <c r="A666" s="39"/>
      <c r="B666" s="45"/>
      <c r="C666" s="46"/>
      <c r="D666" s="39"/>
      <c r="E666" s="39"/>
      <c r="F666" s="44"/>
      <c r="G666" s="39"/>
      <c r="H666" s="39"/>
      <c r="I666" s="39"/>
      <c r="J666" s="39"/>
      <c r="K666" s="44"/>
      <c r="L666" s="44"/>
      <c r="M666" s="44"/>
      <c r="N666" s="44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5.75" customHeight="1">
      <c r="A667" s="39"/>
      <c r="B667" s="45"/>
      <c r="C667" s="46"/>
      <c r="D667" s="39"/>
      <c r="E667" s="39"/>
      <c r="F667" s="44"/>
      <c r="G667" s="39"/>
      <c r="H667" s="39"/>
      <c r="I667" s="39"/>
      <c r="J667" s="39"/>
      <c r="K667" s="44"/>
      <c r="L667" s="44"/>
      <c r="M667" s="44"/>
      <c r="N667" s="44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5.75" customHeight="1">
      <c r="A668" s="39"/>
      <c r="B668" s="45"/>
      <c r="C668" s="46"/>
      <c r="D668" s="39"/>
      <c r="E668" s="39"/>
      <c r="F668" s="44"/>
      <c r="G668" s="39"/>
      <c r="H668" s="39"/>
      <c r="I668" s="39"/>
      <c r="J668" s="39"/>
      <c r="K668" s="44"/>
      <c r="L668" s="44"/>
      <c r="M668" s="44"/>
      <c r="N668" s="44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5.75" customHeight="1">
      <c r="A669" s="39"/>
      <c r="B669" s="45"/>
      <c r="C669" s="46"/>
      <c r="D669" s="39"/>
      <c r="E669" s="39"/>
      <c r="F669" s="44"/>
      <c r="G669" s="39"/>
      <c r="H669" s="39"/>
      <c r="I669" s="39"/>
      <c r="J669" s="39"/>
      <c r="K669" s="44"/>
      <c r="L669" s="44"/>
      <c r="M669" s="44"/>
      <c r="N669" s="44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5.75" customHeight="1">
      <c r="A670" s="39"/>
      <c r="B670" s="45"/>
      <c r="C670" s="46"/>
      <c r="D670" s="39"/>
      <c r="E670" s="39"/>
      <c r="F670" s="44"/>
      <c r="G670" s="39"/>
      <c r="H670" s="39"/>
      <c r="I670" s="39"/>
      <c r="J670" s="39"/>
      <c r="K670" s="44"/>
      <c r="L670" s="44"/>
      <c r="M670" s="44"/>
      <c r="N670" s="44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5.75" customHeight="1">
      <c r="A671" s="39"/>
      <c r="B671" s="45"/>
      <c r="C671" s="46"/>
      <c r="D671" s="39"/>
      <c r="E671" s="39"/>
      <c r="F671" s="44"/>
      <c r="G671" s="39"/>
      <c r="H671" s="39"/>
      <c r="I671" s="39"/>
      <c r="J671" s="39"/>
      <c r="K671" s="44"/>
      <c r="L671" s="44"/>
      <c r="M671" s="44"/>
      <c r="N671" s="44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5.75" customHeight="1">
      <c r="A672" s="39"/>
      <c r="B672" s="45"/>
      <c r="C672" s="46"/>
      <c r="D672" s="39"/>
      <c r="E672" s="39"/>
      <c r="F672" s="44"/>
      <c r="G672" s="39"/>
      <c r="H672" s="39"/>
      <c r="I672" s="39"/>
      <c r="J672" s="39"/>
      <c r="K672" s="44"/>
      <c r="L672" s="44"/>
      <c r="M672" s="44"/>
      <c r="N672" s="44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5.75" customHeight="1">
      <c r="A673" s="39"/>
      <c r="B673" s="45"/>
      <c r="C673" s="46"/>
      <c r="D673" s="39"/>
      <c r="E673" s="39"/>
      <c r="F673" s="44"/>
      <c r="G673" s="39"/>
      <c r="H673" s="39"/>
      <c r="I673" s="39"/>
      <c r="J673" s="39"/>
      <c r="K673" s="44"/>
      <c r="L673" s="44"/>
      <c r="M673" s="44"/>
      <c r="N673" s="44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5.75" customHeight="1">
      <c r="A674" s="39"/>
      <c r="B674" s="45"/>
      <c r="C674" s="46"/>
      <c r="D674" s="39"/>
      <c r="E674" s="39"/>
      <c r="F674" s="44"/>
      <c r="G674" s="39"/>
      <c r="H674" s="39"/>
      <c r="I674" s="39"/>
      <c r="J674" s="39"/>
      <c r="K674" s="44"/>
      <c r="L674" s="44"/>
      <c r="M674" s="44"/>
      <c r="N674" s="44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5.75" customHeight="1">
      <c r="A675" s="39"/>
      <c r="B675" s="45"/>
      <c r="C675" s="46"/>
      <c r="D675" s="39"/>
      <c r="E675" s="39"/>
      <c r="F675" s="44"/>
      <c r="G675" s="39"/>
      <c r="H675" s="39"/>
      <c r="I675" s="39"/>
      <c r="J675" s="39"/>
      <c r="K675" s="44"/>
      <c r="L675" s="44"/>
      <c r="M675" s="44"/>
      <c r="N675" s="44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5.75" customHeight="1">
      <c r="A676" s="39"/>
      <c r="B676" s="45"/>
      <c r="C676" s="46"/>
      <c r="D676" s="39"/>
      <c r="E676" s="39"/>
      <c r="F676" s="44"/>
      <c r="G676" s="39"/>
      <c r="H676" s="39"/>
      <c r="I676" s="39"/>
      <c r="J676" s="39"/>
      <c r="K676" s="44"/>
      <c r="L676" s="44"/>
      <c r="M676" s="44"/>
      <c r="N676" s="44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5.75" customHeight="1">
      <c r="A677" s="39"/>
      <c r="B677" s="45"/>
      <c r="C677" s="46"/>
      <c r="D677" s="39"/>
      <c r="E677" s="39"/>
      <c r="F677" s="44"/>
      <c r="G677" s="39"/>
      <c r="H677" s="39"/>
      <c r="I677" s="39"/>
      <c r="J677" s="39"/>
      <c r="K677" s="44"/>
      <c r="L677" s="44"/>
      <c r="M677" s="44"/>
      <c r="N677" s="44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5.75" customHeight="1">
      <c r="A678" s="39"/>
      <c r="B678" s="45"/>
      <c r="C678" s="46"/>
      <c r="D678" s="39"/>
      <c r="E678" s="39"/>
      <c r="F678" s="44"/>
      <c r="G678" s="39"/>
      <c r="H678" s="39"/>
      <c r="I678" s="39"/>
      <c r="J678" s="39"/>
      <c r="K678" s="44"/>
      <c r="L678" s="44"/>
      <c r="M678" s="44"/>
      <c r="N678" s="44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5.75" customHeight="1">
      <c r="A679" s="39"/>
      <c r="B679" s="45"/>
      <c r="C679" s="46"/>
      <c r="D679" s="39"/>
      <c r="E679" s="39"/>
      <c r="F679" s="44"/>
      <c r="G679" s="39"/>
      <c r="H679" s="39"/>
      <c r="I679" s="39"/>
      <c r="J679" s="39"/>
      <c r="K679" s="44"/>
      <c r="L679" s="44"/>
      <c r="M679" s="44"/>
      <c r="N679" s="44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5.75" customHeight="1">
      <c r="A680" s="39"/>
      <c r="B680" s="45"/>
      <c r="C680" s="46"/>
      <c r="D680" s="39"/>
      <c r="E680" s="39"/>
      <c r="F680" s="44"/>
      <c r="G680" s="39"/>
      <c r="H680" s="39"/>
      <c r="I680" s="39"/>
      <c r="J680" s="39"/>
      <c r="K680" s="44"/>
      <c r="L680" s="44"/>
      <c r="M680" s="44"/>
      <c r="N680" s="44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5.75" customHeight="1">
      <c r="A681" s="39"/>
      <c r="B681" s="45"/>
      <c r="C681" s="46"/>
      <c r="D681" s="39"/>
      <c r="E681" s="39"/>
      <c r="F681" s="44"/>
      <c r="G681" s="39"/>
      <c r="H681" s="39"/>
      <c r="I681" s="39"/>
      <c r="J681" s="39"/>
      <c r="K681" s="44"/>
      <c r="L681" s="44"/>
      <c r="M681" s="44"/>
      <c r="N681" s="44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5.75" customHeight="1">
      <c r="A682" s="39"/>
      <c r="B682" s="45"/>
      <c r="C682" s="46"/>
      <c r="D682" s="39"/>
      <c r="E682" s="39"/>
      <c r="F682" s="44"/>
      <c r="G682" s="39"/>
      <c r="H682" s="39"/>
      <c r="I682" s="39"/>
      <c r="J682" s="39"/>
      <c r="K682" s="44"/>
      <c r="L682" s="44"/>
      <c r="M682" s="44"/>
      <c r="N682" s="44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5.75" customHeight="1">
      <c r="A683" s="39"/>
      <c r="B683" s="45"/>
      <c r="C683" s="46"/>
      <c r="D683" s="39"/>
      <c r="E683" s="39"/>
      <c r="F683" s="44"/>
      <c r="G683" s="39"/>
      <c r="H683" s="39"/>
      <c r="I683" s="39"/>
      <c r="J683" s="39"/>
      <c r="K683" s="44"/>
      <c r="L683" s="44"/>
      <c r="M683" s="44"/>
      <c r="N683" s="44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5.75" customHeight="1">
      <c r="A684" s="39"/>
      <c r="B684" s="45"/>
      <c r="C684" s="46"/>
      <c r="D684" s="39"/>
      <c r="E684" s="39"/>
      <c r="F684" s="44"/>
      <c r="G684" s="39"/>
      <c r="H684" s="39"/>
      <c r="I684" s="39"/>
      <c r="J684" s="39"/>
      <c r="K684" s="44"/>
      <c r="L684" s="44"/>
      <c r="M684" s="44"/>
      <c r="N684" s="44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5.75" customHeight="1">
      <c r="A685" s="39"/>
      <c r="B685" s="45"/>
      <c r="C685" s="46"/>
      <c r="D685" s="39"/>
      <c r="E685" s="39"/>
      <c r="F685" s="44"/>
      <c r="G685" s="39"/>
      <c r="H685" s="39"/>
      <c r="I685" s="39"/>
      <c r="J685" s="39"/>
      <c r="K685" s="44"/>
      <c r="L685" s="44"/>
      <c r="M685" s="44"/>
      <c r="N685" s="44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5.75" customHeight="1">
      <c r="A686" s="39"/>
      <c r="B686" s="45"/>
      <c r="C686" s="46"/>
      <c r="D686" s="39"/>
      <c r="E686" s="39"/>
      <c r="F686" s="44"/>
      <c r="G686" s="39"/>
      <c r="H686" s="39"/>
      <c r="I686" s="39"/>
      <c r="J686" s="39"/>
      <c r="K686" s="44"/>
      <c r="L686" s="44"/>
      <c r="M686" s="44"/>
      <c r="N686" s="44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5.75" customHeight="1">
      <c r="A687" s="39"/>
      <c r="B687" s="45"/>
      <c r="C687" s="46"/>
      <c r="D687" s="39"/>
      <c r="E687" s="39"/>
      <c r="F687" s="44"/>
      <c r="G687" s="39"/>
      <c r="H687" s="39"/>
      <c r="I687" s="39"/>
      <c r="J687" s="39"/>
      <c r="K687" s="44"/>
      <c r="L687" s="44"/>
      <c r="M687" s="44"/>
      <c r="N687" s="44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5.75" customHeight="1">
      <c r="A688" s="39"/>
      <c r="B688" s="45"/>
      <c r="C688" s="46"/>
      <c r="D688" s="39"/>
      <c r="E688" s="39"/>
      <c r="F688" s="44"/>
      <c r="G688" s="39"/>
      <c r="H688" s="39"/>
      <c r="I688" s="39"/>
      <c r="J688" s="39"/>
      <c r="K688" s="44"/>
      <c r="L688" s="44"/>
      <c r="M688" s="44"/>
      <c r="N688" s="44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5.75" customHeight="1">
      <c r="A689" s="39"/>
      <c r="B689" s="45"/>
      <c r="C689" s="46"/>
      <c r="D689" s="39"/>
      <c r="E689" s="39"/>
      <c r="F689" s="44"/>
      <c r="G689" s="39"/>
      <c r="H689" s="39"/>
      <c r="I689" s="39"/>
      <c r="J689" s="39"/>
      <c r="K689" s="44"/>
      <c r="L689" s="44"/>
      <c r="M689" s="44"/>
      <c r="N689" s="44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5.75" customHeight="1">
      <c r="A690" s="39"/>
      <c r="B690" s="45"/>
      <c r="C690" s="46"/>
      <c r="D690" s="39"/>
      <c r="E690" s="39"/>
      <c r="F690" s="44"/>
      <c r="G690" s="39"/>
      <c r="H690" s="39"/>
      <c r="I690" s="39"/>
      <c r="J690" s="39"/>
      <c r="K690" s="44"/>
      <c r="L690" s="44"/>
      <c r="M690" s="44"/>
      <c r="N690" s="44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5.75" customHeight="1">
      <c r="A691" s="39"/>
      <c r="B691" s="45"/>
      <c r="C691" s="46"/>
      <c r="D691" s="39"/>
      <c r="E691" s="39"/>
      <c r="F691" s="44"/>
      <c r="G691" s="39"/>
      <c r="H691" s="39"/>
      <c r="I691" s="39"/>
      <c r="J691" s="39"/>
      <c r="K691" s="44"/>
      <c r="L691" s="44"/>
      <c r="M691" s="44"/>
      <c r="N691" s="44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5.75" customHeight="1">
      <c r="A692" s="39"/>
      <c r="B692" s="45"/>
      <c r="C692" s="46"/>
      <c r="D692" s="39"/>
      <c r="E692" s="39"/>
      <c r="F692" s="44"/>
      <c r="G692" s="39"/>
      <c r="H692" s="39"/>
      <c r="I692" s="39"/>
      <c r="J692" s="39"/>
      <c r="K692" s="44"/>
      <c r="L692" s="44"/>
      <c r="M692" s="44"/>
      <c r="N692" s="44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5.75" customHeight="1">
      <c r="A693" s="39"/>
      <c r="B693" s="45"/>
      <c r="C693" s="46"/>
      <c r="D693" s="39"/>
      <c r="E693" s="39"/>
      <c r="F693" s="44"/>
      <c r="G693" s="39"/>
      <c r="H693" s="39"/>
      <c r="I693" s="39"/>
      <c r="J693" s="39"/>
      <c r="K693" s="44"/>
      <c r="L693" s="44"/>
      <c r="M693" s="44"/>
      <c r="N693" s="44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5.75" customHeight="1">
      <c r="A694" s="39"/>
      <c r="B694" s="45"/>
      <c r="C694" s="46"/>
      <c r="D694" s="39"/>
      <c r="E694" s="39"/>
      <c r="F694" s="44"/>
      <c r="G694" s="39"/>
      <c r="H694" s="39"/>
      <c r="I694" s="39"/>
      <c r="J694" s="39"/>
      <c r="K694" s="44"/>
      <c r="L694" s="44"/>
      <c r="M694" s="44"/>
      <c r="N694" s="44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5.75" customHeight="1">
      <c r="A695" s="39"/>
      <c r="B695" s="45"/>
      <c r="C695" s="46"/>
      <c r="D695" s="39"/>
      <c r="E695" s="39"/>
      <c r="F695" s="44"/>
      <c r="G695" s="39"/>
      <c r="H695" s="39"/>
      <c r="I695" s="39"/>
      <c r="J695" s="39"/>
      <c r="K695" s="44"/>
      <c r="L695" s="44"/>
      <c r="M695" s="44"/>
      <c r="N695" s="44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5.75" customHeight="1">
      <c r="A696" s="39"/>
      <c r="B696" s="45"/>
      <c r="C696" s="46"/>
      <c r="D696" s="39"/>
      <c r="E696" s="39"/>
      <c r="F696" s="44"/>
      <c r="G696" s="39"/>
      <c r="H696" s="39"/>
      <c r="I696" s="39"/>
      <c r="J696" s="39"/>
      <c r="K696" s="44"/>
      <c r="L696" s="44"/>
      <c r="M696" s="44"/>
      <c r="N696" s="44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5.75" customHeight="1">
      <c r="A697" s="39"/>
      <c r="B697" s="45"/>
      <c r="C697" s="46"/>
      <c r="D697" s="39"/>
      <c r="E697" s="39"/>
      <c r="F697" s="44"/>
      <c r="G697" s="39"/>
      <c r="H697" s="39"/>
      <c r="I697" s="39"/>
      <c r="J697" s="39"/>
      <c r="K697" s="44"/>
      <c r="L697" s="44"/>
      <c r="M697" s="44"/>
      <c r="N697" s="44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5.75" customHeight="1">
      <c r="A698" s="39"/>
      <c r="B698" s="45"/>
      <c r="C698" s="46"/>
      <c r="D698" s="39"/>
      <c r="E698" s="39"/>
      <c r="F698" s="44"/>
      <c r="G698" s="39"/>
      <c r="H698" s="39"/>
      <c r="I698" s="39"/>
      <c r="J698" s="39"/>
      <c r="K698" s="44"/>
      <c r="L698" s="44"/>
      <c r="M698" s="44"/>
      <c r="N698" s="44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5.75" customHeight="1">
      <c r="A699" s="39"/>
      <c r="B699" s="45"/>
      <c r="C699" s="46"/>
      <c r="D699" s="39"/>
      <c r="E699" s="39"/>
      <c r="F699" s="44"/>
      <c r="G699" s="39"/>
      <c r="H699" s="39"/>
      <c r="I699" s="39"/>
      <c r="J699" s="39"/>
      <c r="K699" s="44"/>
      <c r="L699" s="44"/>
      <c r="M699" s="44"/>
      <c r="N699" s="44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5.75" customHeight="1">
      <c r="A700" s="39"/>
      <c r="B700" s="45"/>
      <c r="C700" s="46"/>
      <c r="D700" s="39"/>
      <c r="E700" s="39"/>
      <c r="F700" s="44"/>
      <c r="G700" s="39"/>
      <c r="H700" s="39"/>
      <c r="I700" s="39"/>
      <c r="J700" s="39"/>
      <c r="K700" s="44"/>
      <c r="L700" s="44"/>
      <c r="M700" s="44"/>
      <c r="N700" s="44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5.75" customHeight="1">
      <c r="A701" s="39"/>
      <c r="B701" s="45"/>
      <c r="C701" s="46"/>
      <c r="D701" s="39"/>
      <c r="E701" s="39"/>
      <c r="F701" s="44"/>
      <c r="G701" s="39"/>
      <c r="H701" s="39"/>
      <c r="I701" s="39"/>
      <c r="J701" s="39"/>
      <c r="K701" s="44"/>
      <c r="L701" s="44"/>
      <c r="M701" s="44"/>
      <c r="N701" s="44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5.75" customHeight="1">
      <c r="A702" s="39"/>
      <c r="B702" s="45"/>
      <c r="C702" s="46"/>
      <c r="D702" s="39"/>
      <c r="E702" s="39"/>
      <c r="F702" s="44"/>
      <c r="G702" s="39"/>
      <c r="H702" s="39"/>
      <c r="I702" s="39"/>
      <c r="J702" s="39"/>
      <c r="K702" s="44"/>
      <c r="L702" s="44"/>
      <c r="M702" s="44"/>
      <c r="N702" s="44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5.75" customHeight="1">
      <c r="A703" s="39"/>
      <c r="B703" s="45"/>
      <c r="C703" s="46"/>
      <c r="D703" s="39"/>
      <c r="E703" s="39"/>
      <c r="F703" s="44"/>
      <c r="G703" s="39"/>
      <c r="H703" s="39"/>
      <c r="I703" s="39"/>
      <c r="J703" s="39"/>
      <c r="K703" s="44"/>
      <c r="L703" s="44"/>
      <c r="M703" s="44"/>
      <c r="N703" s="44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5.75" customHeight="1">
      <c r="A704" s="39"/>
      <c r="B704" s="45"/>
      <c r="C704" s="46"/>
      <c r="D704" s="39"/>
      <c r="E704" s="39"/>
      <c r="F704" s="44"/>
      <c r="G704" s="39"/>
      <c r="H704" s="39"/>
      <c r="I704" s="39"/>
      <c r="J704" s="39"/>
      <c r="K704" s="44"/>
      <c r="L704" s="44"/>
      <c r="M704" s="44"/>
      <c r="N704" s="44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5.75" customHeight="1">
      <c r="A705" s="39"/>
      <c r="B705" s="45"/>
      <c r="C705" s="46"/>
      <c r="D705" s="39"/>
      <c r="E705" s="39"/>
      <c r="F705" s="44"/>
      <c r="G705" s="39"/>
      <c r="H705" s="39"/>
      <c r="I705" s="39"/>
      <c r="J705" s="39"/>
      <c r="K705" s="44"/>
      <c r="L705" s="44"/>
      <c r="M705" s="44"/>
      <c r="N705" s="44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5.75" customHeight="1">
      <c r="A706" s="39"/>
      <c r="B706" s="45"/>
      <c r="C706" s="46"/>
      <c r="D706" s="39"/>
      <c r="E706" s="39"/>
      <c r="F706" s="44"/>
      <c r="G706" s="39"/>
      <c r="H706" s="39"/>
      <c r="I706" s="39"/>
      <c r="J706" s="39"/>
      <c r="K706" s="44"/>
      <c r="L706" s="44"/>
      <c r="M706" s="44"/>
      <c r="N706" s="44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5.75" customHeight="1">
      <c r="A707" s="39"/>
      <c r="B707" s="45"/>
      <c r="C707" s="46"/>
      <c r="D707" s="39"/>
      <c r="E707" s="39"/>
      <c r="F707" s="44"/>
      <c r="G707" s="39"/>
      <c r="H707" s="39"/>
      <c r="I707" s="39"/>
      <c r="J707" s="39"/>
      <c r="K707" s="44"/>
      <c r="L707" s="44"/>
      <c r="M707" s="44"/>
      <c r="N707" s="44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5.75" customHeight="1">
      <c r="A708" s="39"/>
      <c r="B708" s="45"/>
      <c r="C708" s="46"/>
      <c r="D708" s="39"/>
      <c r="E708" s="39"/>
      <c r="F708" s="44"/>
      <c r="G708" s="39"/>
      <c r="H708" s="39"/>
      <c r="I708" s="39"/>
      <c r="J708" s="39"/>
      <c r="K708" s="44"/>
      <c r="L708" s="44"/>
      <c r="M708" s="44"/>
      <c r="N708" s="44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5.75" customHeight="1">
      <c r="A709" s="39"/>
      <c r="B709" s="45"/>
      <c r="C709" s="46"/>
      <c r="D709" s="39"/>
      <c r="E709" s="39"/>
      <c r="F709" s="44"/>
      <c r="G709" s="39"/>
      <c r="H709" s="39"/>
      <c r="I709" s="39"/>
      <c r="J709" s="39"/>
      <c r="K709" s="44"/>
      <c r="L709" s="44"/>
      <c r="M709" s="44"/>
      <c r="N709" s="44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5.75" customHeight="1">
      <c r="A710" s="39"/>
      <c r="B710" s="45"/>
      <c r="C710" s="46"/>
      <c r="D710" s="39"/>
      <c r="E710" s="39"/>
      <c r="F710" s="44"/>
      <c r="G710" s="39"/>
      <c r="H710" s="39"/>
      <c r="I710" s="39"/>
      <c r="J710" s="39"/>
      <c r="K710" s="44"/>
      <c r="L710" s="44"/>
      <c r="M710" s="44"/>
      <c r="N710" s="44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5.75" customHeight="1">
      <c r="A711" s="39"/>
      <c r="B711" s="45"/>
      <c r="C711" s="46"/>
      <c r="D711" s="39"/>
      <c r="E711" s="39"/>
      <c r="F711" s="44"/>
      <c r="G711" s="39"/>
      <c r="H711" s="39"/>
      <c r="I711" s="39"/>
      <c r="J711" s="39"/>
      <c r="K711" s="44"/>
      <c r="L711" s="44"/>
      <c r="M711" s="44"/>
      <c r="N711" s="44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5.75" customHeight="1">
      <c r="A712" s="39"/>
      <c r="B712" s="45"/>
      <c r="C712" s="46"/>
      <c r="D712" s="39"/>
      <c r="E712" s="39"/>
      <c r="F712" s="44"/>
      <c r="G712" s="39"/>
      <c r="H712" s="39"/>
      <c r="I712" s="39"/>
      <c r="J712" s="39"/>
      <c r="K712" s="44"/>
      <c r="L712" s="44"/>
      <c r="M712" s="44"/>
      <c r="N712" s="44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5.75" customHeight="1">
      <c r="A713" s="39"/>
      <c r="B713" s="45"/>
      <c r="C713" s="46"/>
      <c r="D713" s="39"/>
      <c r="E713" s="39"/>
      <c r="F713" s="44"/>
      <c r="G713" s="39"/>
      <c r="H713" s="39"/>
      <c r="I713" s="39"/>
      <c r="J713" s="39"/>
      <c r="K713" s="44"/>
      <c r="L713" s="44"/>
      <c r="M713" s="44"/>
      <c r="N713" s="44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5.75" customHeight="1">
      <c r="A714" s="39"/>
      <c r="B714" s="45"/>
      <c r="C714" s="46"/>
      <c r="D714" s="39"/>
      <c r="E714" s="39"/>
      <c r="F714" s="44"/>
      <c r="G714" s="39"/>
      <c r="H714" s="39"/>
      <c r="I714" s="39"/>
      <c r="J714" s="39"/>
      <c r="K714" s="44"/>
      <c r="L714" s="44"/>
      <c r="M714" s="44"/>
      <c r="N714" s="44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5.75" customHeight="1">
      <c r="A715" s="39"/>
      <c r="B715" s="45"/>
      <c r="C715" s="46"/>
      <c r="D715" s="39"/>
      <c r="E715" s="39"/>
      <c r="F715" s="44"/>
      <c r="G715" s="39"/>
      <c r="H715" s="39"/>
      <c r="I715" s="39"/>
      <c r="J715" s="39"/>
      <c r="K715" s="44"/>
      <c r="L715" s="44"/>
      <c r="M715" s="44"/>
      <c r="N715" s="44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5.75" customHeight="1">
      <c r="A716" s="39"/>
      <c r="B716" s="45"/>
      <c r="C716" s="46"/>
      <c r="D716" s="39"/>
      <c r="E716" s="39"/>
      <c r="F716" s="44"/>
      <c r="G716" s="39"/>
      <c r="H716" s="39"/>
      <c r="I716" s="39"/>
      <c r="J716" s="39"/>
      <c r="K716" s="44"/>
      <c r="L716" s="44"/>
      <c r="M716" s="44"/>
      <c r="N716" s="44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5.75" customHeight="1">
      <c r="A717" s="39"/>
      <c r="B717" s="45"/>
      <c r="C717" s="46"/>
      <c r="D717" s="39"/>
      <c r="E717" s="39"/>
      <c r="F717" s="44"/>
      <c r="G717" s="39"/>
      <c r="H717" s="39"/>
      <c r="I717" s="39"/>
      <c r="J717" s="39"/>
      <c r="K717" s="44"/>
      <c r="L717" s="44"/>
      <c r="M717" s="44"/>
      <c r="N717" s="44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5.75" customHeight="1">
      <c r="A718" s="39"/>
      <c r="B718" s="45"/>
      <c r="C718" s="46"/>
      <c r="D718" s="39"/>
      <c r="E718" s="39"/>
      <c r="F718" s="44"/>
      <c r="G718" s="39"/>
      <c r="H718" s="39"/>
      <c r="I718" s="39"/>
      <c r="J718" s="39"/>
      <c r="K718" s="44"/>
      <c r="L718" s="44"/>
      <c r="M718" s="44"/>
      <c r="N718" s="44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5.75" customHeight="1">
      <c r="A719" s="39"/>
      <c r="B719" s="45"/>
      <c r="C719" s="46"/>
      <c r="D719" s="39"/>
      <c r="E719" s="39"/>
      <c r="F719" s="44"/>
      <c r="G719" s="39"/>
      <c r="H719" s="39"/>
      <c r="I719" s="39"/>
      <c r="J719" s="39"/>
      <c r="K719" s="44"/>
      <c r="L719" s="44"/>
      <c r="M719" s="44"/>
      <c r="N719" s="44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5.75" customHeight="1">
      <c r="A720" s="39"/>
      <c r="B720" s="45"/>
      <c r="C720" s="46"/>
      <c r="D720" s="39"/>
      <c r="E720" s="39"/>
      <c r="F720" s="44"/>
      <c r="G720" s="39"/>
      <c r="H720" s="39"/>
      <c r="I720" s="39"/>
      <c r="J720" s="39"/>
      <c r="K720" s="44"/>
      <c r="L720" s="44"/>
      <c r="M720" s="44"/>
      <c r="N720" s="44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5.75" customHeight="1">
      <c r="A721" s="39"/>
      <c r="B721" s="45"/>
      <c r="C721" s="46"/>
      <c r="D721" s="39"/>
      <c r="E721" s="39"/>
      <c r="F721" s="44"/>
      <c r="G721" s="39"/>
      <c r="H721" s="39"/>
      <c r="I721" s="39"/>
      <c r="J721" s="39"/>
      <c r="K721" s="44"/>
      <c r="L721" s="44"/>
      <c r="M721" s="44"/>
      <c r="N721" s="44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5.75" customHeight="1">
      <c r="A722" s="39"/>
      <c r="B722" s="45"/>
      <c r="C722" s="46"/>
      <c r="D722" s="39"/>
      <c r="E722" s="39"/>
      <c r="F722" s="44"/>
      <c r="G722" s="39"/>
      <c r="H722" s="39"/>
      <c r="I722" s="39"/>
      <c r="J722" s="39"/>
      <c r="K722" s="44"/>
      <c r="L722" s="44"/>
      <c r="M722" s="44"/>
      <c r="N722" s="44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5.75" customHeight="1">
      <c r="A723" s="39"/>
      <c r="B723" s="45"/>
      <c r="C723" s="46"/>
      <c r="D723" s="39"/>
      <c r="E723" s="39"/>
      <c r="F723" s="44"/>
      <c r="G723" s="39"/>
      <c r="H723" s="39"/>
      <c r="I723" s="39"/>
      <c r="J723" s="39"/>
      <c r="K723" s="44"/>
      <c r="L723" s="44"/>
      <c r="M723" s="44"/>
      <c r="N723" s="44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5.75" customHeight="1">
      <c r="A724" s="39"/>
      <c r="B724" s="45"/>
      <c r="C724" s="46"/>
      <c r="D724" s="39"/>
      <c r="E724" s="39"/>
      <c r="F724" s="44"/>
      <c r="G724" s="39"/>
      <c r="H724" s="39"/>
      <c r="I724" s="39"/>
      <c r="J724" s="39"/>
      <c r="K724" s="44"/>
      <c r="L724" s="44"/>
      <c r="M724" s="44"/>
      <c r="N724" s="44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5.75" customHeight="1">
      <c r="A725" s="39"/>
      <c r="B725" s="45"/>
      <c r="C725" s="46"/>
      <c r="D725" s="39"/>
      <c r="E725" s="39"/>
      <c r="F725" s="44"/>
      <c r="G725" s="39"/>
      <c r="H725" s="39"/>
      <c r="I725" s="39"/>
      <c r="J725" s="39"/>
      <c r="K725" s="44"/>
      <c r="L725" s="44"/>
      <c r="M725" s="44"/>
      <c r="N725" s="44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5.75" customHeight="1">
      <c r="A726" s="39"/>
      <c r="B726" s="45"/>
      <c r="C726" s="46"/>
      <c r="D726" s="39"/>
      <c r="E726" s="39"/>
      <c r="F726" s="44"/>
      <c r="G726" s="39"/>
      <c r="H726" s="39"/>
      <c r="I726" s="39"/>
      <c r="J726" s="39"/>
      <c r="K726" s="44"/>
      <c r="L726" s="44"/>
      <c r="M726" s="44"/>
      <c r="N726" s="44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5.75" customHeight="1">
      <c r="A727" s="39"/>
      <c r="B727" s="45"/>
      <c r="C727" s="46"/>
      <c r="D727" s="39"/>
      <c r="E727" s="39"/>
      <c r="F727" s="44"/>
      <c r="G727" s="39"/>
      <c r="H727" s="39"/>
      <c r="I727" s="39"/>
      <c r="J727" s="39"/>
      <c r="K727" s="44"/>
      <c r="L727" s="44"/>
      <c r="M727" s="44"/>
      <c r="N727" s="44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5.75" customHeight="1">
      <c r="A728" s="39"/>
      <c r="B728" s="45"/>
      <c r="C728" s="46"/>
      <c r="D728" s="39"/>
      <c r="E728" s="39"/>
      <c r="F728" s="44"/>
      <c r="G728" s="39"/>
      <c r="H728" s="39"/>
      <c r="I728" s="39"/>
      <c r="J728" s="39"/>
      <c r="K728" s="44"/>
      <c r="L728" s="44"/>
      <c r="M728" s="44"/>
      <c r="N728" s="44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5.75" customHeight="1">
      <c r="A729" s="39"/>
      <c r="B729" s="45"/>
      <c r="C729" s="46"/>
      <c r="D729" s="39"/>
      <c r="E729" s="39"/>
      <c r="F729" s="44"/>
      <c r="G729" s="39"/>
      <c r="H729" s="39"/>
      <c r="I729" s="39"/>
      <c r="J729" s="39"/>
      <c r="K729" s="44"/>
      <c r="L729" s="44"/>
      <c r="M729" s="44"/>
      <c r="N729" s="44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5.75" customHeight="1">
      <c r="A730" s="39"/>
      <c r="B730" s="45"/>
      <c r="C730" s="46"/>
      <c r="D730" s="39"/>
      <c r="E730" s="39"/>
      <c r="F730" s="44"/>
      <c r="G730" s="39"/>
      <c r="H730" s="39"/>
      <c r="I730" s="39"/>
      <c r="J730" s="39"/>
      <c r="K730" s="44"/>
      <c r="L730" s="44"/>
      <c r="M730" s="44"/>
      <c r="N730" s="44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5.75" customHeight="1">
      <c r="A731" s="39"/>
      <c r="B731" s="45"/>
      <c r="C731" s="46"/>
      <c r="D731" s="39"/>
      <c r="E731" s="39"/>
      <c r="F731" s="44"/>
      <c r="G731" s="39"/>
      <c r="H731" s="39"/>
      <c r="I731" s="39"/>
      <c r="J731" s="39"/>
      <c r="K731" s="44"/>
      <c r="L731" s="44"/>
      <c r="M731" s="44"/>
      <c r="N731" s="44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5.75" customHeight="1">
      <c r="A732" s="39"/>
      <c r="B732" s="45"/>
      <c r="C732" s="46"/>
      <c r="D732" s="39"/>
      <c r="E732" s="39"/>
      <c r="F732" s="44"/>
      <c r="G732" s="39"/>
      <c r="H732" s="39"/>
      <c r="I732" s="39"/>
      <c r="J732" s="39"/>
      <c r="K732" s="44"/>
      <c r="L732" s="44"/>
      <c r="M732" s="44"/>
      <c r="N732" s="44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5.75" customHeight="1">
      <c r="A733" s="39"/>
      <c r="B733" s="45"/>
      <c r="C733" s="46"/>
      <c r="D733" s="39"/>
      <c r="E733" s="39"/>
      <c r="F733" s="44"/>
      <c r="G733" s="39"/>
      <c r="H733" s="39"/>
      <c r="I733" s="39"/>
      <c r="J733" s="39"/>
      <c r="K733" s="44"/>
      <c r="L733" s="44"/>
      <c r="M733" s="44"/>
      <c r="N733" s="44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5.75" customHeight="1">
      <c r="A734" s="39"/>
      <c r="B734" s="45"/>
      <c r="C734" s="46"/>
      <c r="D734" s="39"/>
      <c r="E734" s="39"/>
      <c r="F734" s="44"/>
      <c r="G734" s="39"/>
      <c r="H734" s="39"/>
      <c r="I734" s="39"/>
      <c r="J734" s="39"/>
      <c r="K734" s="44"/>
      <c r="L734" s="44"/>
      <c r="M734" s="44"/>
      <c r="N734" s="44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5.75" customHeight="1">
      <c r="A735" s="39"/>
      <c r="B735" s="45"/>
      <c r="C735" s="46"/>
      <c r="D735" s="39"/>
      <c r="E735" s="39"/>
      <c r="F735" s="44"/>
      <c r="G735" s="39"/>
      <c r="H735" s="39"/>
      <c r="I735" s="39"/>
      <c r="J735" s="39"/>
      <c r="K735" s="44"/>
      <c r="L735" s="44"/>
      <c r="M735" s="44"/>
      <c r="N735" s="44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5.75" customHeight="1">
      <c r="A736" s="39"/>
      <c r="B736" s="45"/>
      <c r="C736" s="46"/>
      <c r="D736" s="39"/>
      <c r="E736" s="39"/>
      <c r="F736" s="44"/>
      <c r="G736" s="39"/>
      <c r="H736" s="39"/>
      <c r="I736" s="39"/>
      <c r="J736" s="39"/>
      <c r="K736" s="44"/>
      <c r="L736" s="44"/>
      <c r="M736" s="44"/>
      <c r="N736" s="44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5.75" customHeight="1">
      <c r="A737" s="39"/>
      <c r="B737" s="45"/>
      <c r="C737" s="46"/>
      <c r="D737" s="39"/>
      <c r="E737" s="39"/>
      <c r="F737" s="44"/>
      <c r="G737" s="39"/>
      <c r="H737" s="39"/>
      <c r="I737" s="39"/>
      <c r="J737" s="39"/>
      <c r="K737" s="44"/>
      <c r="L737" s="44"/>
      <c r="M737" s="44"/>
      <c r="N737" s="44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5.75" customHeight="1">
      <c r="A738" s="39"/>
      <c r="B738" s="45"/>
      <c r="C738" s="46"/>
      <c r="D738" s="39"/>
      <c r="E738" s="39"/>
      <c r="F738" s="44"/>
      <c r="G738" s="39"/>
      <c r="H738" s="39"/>
      <c r="I738" s="39"/>
      <c r="J738" s="39"/>
      <c r="K738" s="44"/>
      <c r="L738" s="44"/>
      <c r="M738" s="44"/>
      <c r="N738" s="44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5.75" customHeight="1">
      <c r="A739" s="39"/>
      <c r="B739" s="45"/>
      <c r="C739" s="46"/>
      <c r="D739" s="39"/>
      <c r="E739" s="39"/>
      <c r="F739" s="44"/>
      <c r="G739" s="39"/>
      <c r="H739" s="39"/>
      <c r="I739" s="39"/>
      <c r="J739" s="39"/>
      <c r="K739" s="44"/>
      <c r="L739" s="44"/>
      <c r="M739" s="44"/>
      <c r="N739" s="44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5.75" customHeight="1">
      <c r="A740" s="39"/>
      <c r="B740" s="45"/>
      <c r="C740" s="46"/>
      <c r="D740" s="39"/>
      <c r="E740" s="39"/>
      <c r="F740" s="44"/>
      <c r="G740" s="39"/>
      <c r="H740" s="39"/>
      <c r="I740" s="39"/>
      <c r="J740" s="39"/>
      <c r="K740" s="44"/>
      <c r="L740" s="44"/>
      <c r="M740" s="44"/>
      <c r="N740" s="44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5.75" customHeight="1">
      <c r="A741" s="39"/>
      <c r="B741" s="45"/>
      <c r="C741" s="46"/>
      <c r="D741" s="39"/>
      <c r="E741" s="39"/>
      <c r="F741" s="44"/>
      <c r="G741" s="39"/>
      <c r="H741" s="39"/>
      <c r="I741" s="39"/>
      <c r="J741" s="39"/>
      <c r="K741" s="44"/>
      <c r="L741" s="44"/>
      <c r="M741" s="44"/>
      <c r="N741" s="44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5.75" customHeight="1">
      <c r="A742" s="39"/>
      <c r="B742" s="45"/>
      <c r="C742" s="46"/>
      <c r="D742" s="39"/>
      <c r="E742" s="39"/>
      <c r="F742" s="44"/>
      <c r="G742" s="39"/>
      <c r="H742" s="39"/>
      <c r="I742" s="39"/>
      <c r="J742" s="39"/>
      <c r="K742" s="44"/>
      <c r="L742" s="44"/>
      <c r="M742" s="44"/>
      <c r="N742" s="44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5.75" customHeight="1">
      <c r="A743" s="39"/>
      <c r="B743" s="45"/>
      <c r="C743" s="46"/>
      <c r="D743" s="39"/>
      <c r="E743" s="39"/>
      <c r="F743" s="44"/>
      <c r="G743" s="39"/>
      <c r="H743" s="39"/>
      <c r="I743" s="39"/>
      <c r="J743" s="39"/>
      <c r="K743" s="44"/>
      <c r="L743" s="44"/>
      <c r="M743" s="44"/>
      <c r="N743" s="44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5.75" customHeight="1">
      <c r="A744" s="39"/>
      <c r="B744" s="45"/>
      <c r="C744" s="46"/>
      <c r="D744" s="39"/>
      <c r="E744" s="39"/>
      <c r="F744" s="44"/>
      <c r="G744" s="39"/>
      <c r="H744" s="39"/>
      <c r="I744" s="39"/>
      <c r="J744" s="39"/>
      <c r="K744" s="44"/>
      <c r="L744" s="44"/>
      <c r="M744" s="44"/>
      <c r="N744" s="44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5.75" customHeight="1">
      <c r="A745" s="39"/>
      <c r="B745" s="45"/>
      <c r="C745" s="46"/>
      <c r="D745" s="39"/>
      <c r="E745" s="39"/>
      <c r="F745" s="44"/>
      <c r="G745" s="39"/>
      <c r="H745" s="39"/>
      <c r="I745" s="39"/>
      <c r="J745" s="39"/>
      <c r="K745" s="44"/>
      <c r="L745" s="44"/>
      <c r="M745" s="44"/>
      <c r="N745" s="44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5.75" customHeight="1">
      <c r="A746" s="39"/>
      <c r="B746" s="45"/>
      <c r="C746" s="46"/>
      <c r="D746" s="39"/>
      <c r="E746" s="39"/>
      <c r="F746" s="44"/>
      <c r="G746" s="39"/>
      <c r="H746" s="39"/>
      <c r="I746" s="39"/>
      <c r="J746" s="39"/>
      <c r="K746" s="44"/>
      <c r="L746" s="44"/>
      <c r="M746" s="44"/>
      <c r="N746" s="44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5.75" customHeight="1">
      <c r="A747" s="39"/>
      <c r="B747" s="45"/>
      <c r="C747" s="46"/>
      <c r="D747" s="39"/>
      <c r="E747" s="39"/>
      <c r="F747" s="44"/>
      <c r="G747" s="39"/>
      <c r="H747" s="39"/>
      <c r="I747" s="39"/>
      <c r="J747" s="39"/>
      <c r="K747" s="44"/>
      <c r="L747" s="44"/>
      <c r="M747" s="44"/>
      <c r="N747" s="44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5.75" customHeight="1">
      <c r="A748" s="39"/>
      <c r="B748" s="45"/>
      <c r="C748" s="46"/>
      <c r="D748" s="39"/>
      <c r="E748" s="39"/>
      <c r="F748" s="44"/>
      <c r="G748" s="39"/>
      <c r="H748" s="39"/>
      <c r="I748" s="39"/>
      <c r="J748" s="39"/>
      <c r="K748" s="44"/>
      <c r="L748" s="44"/>
      <c r="M748" s="44"/>
      <c r="N748" s="44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5.75" customHeight="1">
      <c r="A749" s="39"/>
      <c r="B749" s="45"/>
      <c r="C749" s="46"/>
      <c r="D749" s="39"/>
      <c r="E749" s="39"/>
      <c r="F749" s="44"/>
      <c r="G749" s="39"/>
      <c r="H749" s="39"/>
      <c r="I749" s="39"/>
      <c r="J749" s="39"/>
      <c r="K749" s="44"/>
      <c r="L749" s="44"/>
      <c r="M749" s="44"/>
      <c r="N749" s="44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5.75" customHeight="1">
      <c r="A750" s="39"/>
      <c r="B750" s="45"/>
      <c r="C750" s="46"/>
      <c r="D750" s="39"/>
      <c r="E750" s="39"/>
      <c r="F750" s="44"/>
      <c r="G750" s="39"/>
      <c r="H750" s="39"/>
      <c r="I750" s="39"/>
      <c r="J750" s="39"/>
      <c r="K750" s="44"/>
      <c r="L750" s="44"/>
      <c r="M750" s="44"/>
      <c r="N750" s="44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5.75" customHeight="1">
      <c r="A751" s="39"/>
      <c r="B751" s="45"/>
      <c r="C751" s="46"/>
      <c r="D751" s="39"/>
      <c r="E751" s="39"/>
      <c r="F751" s="44"/>
      <c r="G751" s="39"/>
      <c r="H751" s="39"/>
      <c r="I751" s="39"/>
      <c r="J751" s="39"/>
      <c r="K751" s="44"/>
      <c r="L751" s="44"/>
      <c r="M751" s="44"/>
      <c r="N751" s="44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5.75" customHeight="1">
      <c r="A752" s="39"/>
      <c r="B752" s="45"/>
      <c r="C752" s="46"/>
      <c r="D752" s="39"/>
      <c r="E752" s="39"/>
      <c r="F752" s="44"/>
      <c r="G752" s="39"/>
      <c r="H752" s="39"/>
      <c r="I752" s="39"/>
      <c r="J752" s="39"/>
      <c r="K752" s="44"/>
      <c r="L752" s="44"/>
      <c r="M752" s="44"/>
      <c r="N752" s="44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5.75" customHeight="1">
      <c r="A753" s="39"/>
      <c r="B753" s="45"/>
      <c r="C753" s="46"/>
      <c r="D753" s="39"/>
      <c r="E753" s="39"/>
      <c r="F753" s="44"/>
      <c r="G753" s="39"/>
      <c r="H753" s="39"/>
      <c r="I753" s="39"/>
      <c r="J753" s="39"/>
      <c r="K753" s="44"/>
      <c r="L753" s="44"/>
      <c r="M753" s="44"/>
      <c r="N753" s="44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5.75" customHeight="1">
      <c r="A754" s="39"/>
      <c r="B754" s="45"/>
      <c r="C754" s="46"/>
      <c r="D754" s="39"/>
      <c r="E754" s="39"/>
      <c r="F754" s="44"/>
      <c r="G754" s="39"/>
      <c r="H754" s="39"/>
      <c r="I754" s="39"/>
      <c r="J754" s="39"/>
      <c r="K754" s="44"/>
      <c r="L754" s="44"/>
      <c r="M754" s="44"/>
      <c r="N754" s="44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5.75" customHeight="1">
      <c r="A755" s="39"/>
      <c r="B755" s="45"/>
      <c r="C755" s="46"/>
      <c r="D755" s="39"/>
      <c r="E755" s="39"/>
      <c r="F755" s="44"/>
      <c r="G755" s="39"/>
      <c r="H755" s="39"/>
      <c r="I755" s="39"/>
      <c r="J755" s="39"/>
      <c r="K755" s="44"/>
      <c r="L755" s="44"/>
      <c r="M755" s="44"/>
      <c r="N755" s="44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5.75" customHeight="1">
      <c r="A756" s="39"/>
      <c r="B756" s="45"/>
      <c r="C756" s="46"/>
      <c r="D756" s="39"/>
      <c r="E756" s="39"/>
      <c r="F756" s="44"/>
      <c r="G756" s="39"/>
      <c r="H756" s="39"/>
      <c r="I756" s="39"/>
      <c r="J756" s="39"/>
      <c r="K756" s="44"/>
      <c r="L756" s="44"/>
      <c r="M756" s="44"/>
      <c r="N756" s="44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5.75" customHeight="1">
      <c r="A757" s="39"/>
      <c r="B757" s="45"/>
      <c r="C757" s="46"/>
      <c r="D757" s="39"/>
      <c r="E757" s="39"/>
      <c r="F757" s="44"/>
      <c r="G757" s="39"/>
      <c r="H757" s="39"/>
      <c r="I757" s="39"/>
      <c r="J757" s="39"/>
      <c r="K757" s="44"/>
      <c r="L757" s="44"/>
      <c r="M757" s="44"/>
      <c r="N757" s="44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5.75" customHeight="1">
      <c r="A758" s="39"/>
      <c r="B758" s="45"/>
      <c r="C758" s="46"/>
      <c r="D758" s="39"/>
      <c r="E758" s="39"/>
      <c r="F758" s="44"/>
      <c r="G758" s="39"/>
      <c r="H758" s="39"/>
      <c r="I758" s="39"/>
      <c r="J758" s="39"/>
      <c r="K758" s="44"/>
      <c r="L758" s="44"/>
      <c r="M758" s="44"/>
      <c r="N758" s="44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5.75" customHeight="1">
      <c r="A759" s="39"/>
      <c r="B759" s="45"/>
      <c r="C759" s="46"/>
      <c r="D759" s="39"/>
      <c r="E759" s="39"/>
      <c r="F759" s="44"/>
      <c r="G759" s="39"/>
      <c r="H759" s="39"/>
      <c r="I759" s="39"/>
      <c r="J759" s="39"/>
      <c r="K759" s="44"/>
      <c r="L759" s="44"/>
      <c r="M759" s="44"/>
      <c r="N759" s="44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5.75" customHeight="1">
      <c r="A760" s="39"/>
      <c r="B760" s="45"/>
      <c r="C760" s="46"/>
      <c r="D760" s="39"/>
      <c r="E760" s="39"/>
      <c r="F760" s="44"/>
      <c r="G760" s="39"/>
      <c r="H760" s="39"/>
      <c r="I760" s="39"/>
      <c r="J760" s="39"/>
      <c r="K760" s="44"/>
      <c r="L760" s="44"/>
      <c r="M760" s="44"/>
      <c r="N760" s="44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5.75" customHeight="1">
      <c r="A761" s="39"/>
      <c r="B761" s="45"/>
      <c r="C761" s="46"/>
      <c r="D761" s="39"/>
      <c r="E761" s="39"/>
      <c r="F761" s="44"/>
      <c r="G761" s="39"/>
      <c r="H761" s="39"/>
      <c r="I761" s="39"/>
      <c r="J761" s="39"/>
      <c r="K761" s="44"/>
      <c r="L761" s="44"/>
      <c r="M761" s="44"/>
      <c r="N761" s="44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5.75" customHeight="1">
      <c r="A762" s="39"/>
      <c r="B762" s="45"/>
      <c r="C762" s="46"/>
      <c r="D762" s="39"/>
      <c r="E762" s="39"/>
      <c r="F762" s="44"/>
      <c r="G762" s="39"/>
      <c r="H762" s="39"/>
      <c r="I762" s="39"/>
      <c r="J762" s="39"/>
      <c r="K762" s="44"/>
      <c r="L762" s="44"/>
      <c r="M762" s="44"/>
      <c r="N762" s="44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5.75" customHeight="1">
      <c r="A763" s="39"/>
      <c r="B763" s="45"/>
      <c r="C763" s="46"/>
      <c r="D763" s="39"/>
      <c r="E763" s="39"/>
      <c r="F763" s="44"/>
      <c r="G763" s="39"/>
      <c r="H763" s="39"/>
      <c r="I763" s="39"/>
      <c r="J763" s="39"/>
      <c r="K763" s="44"/>
      <c r="L763" s="44"/>
      <c r="M763" s="44"/>
      <c r="N763" s="44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5.75" customHeight="1">
      <c r="A764" s="39"/>
      <c r="B764" s="45"/>
      <c r="C764" s="46"/>
      <c r="D764" s="39"/>
      <c r="E764" s="39"/>
      <c r="F764" s="44"/>
      <c r="G764" s="39"/>
      <c r="H764" s="39"/>
      <c r="I764" s="39"/>
      <c r="J764" s="39"/>
      <c r="K764" s="44"/>
      <c r="L764" s="44"/>
      <c r="M764" s="44"/>
      <c r="N764" s="44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5.75" customHeight="1">
      <c r="A765" s="39"/>
      <c r="B765" s="45"/>
      <c r="C765" s="46"/>
      <c r="D765" s="39"/>
      <c r="E765" s="39"/>
      <c r="F765" s="44"/>
      <c r="G765" s="39"/>
      <c r="H765" s="39"/>
      <c r="I765" s="39"/>
      <c r="J765" s="39"/>
      <c r="K765" s="44"/>
      <c r="L765" s="44"/>
      <c r="M765" s="44"/>
      <c r="N765" s="44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5.75" customHeight="1">
      <c r="A766" s="39"/>
      <c r="B766" s="45"/>
      <c r="C766" s="46"/>
      <c r="D766" s="39"/>
      <c r="E766" s="39"/>
      <c r="F766" s="44"/>
      <c r="G766" s="39"/>
      <c r="H766" s="39"/>
      <c r="I766" s="39"/>
      <c r="J766" s="39"/>
      <c r="K766" s="44"/>
      <c r="L766" s="44"/>
      <c r="M766" s="44"/>
      <c r="N766" s="44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5.75" customHeight="1">
      <c r="A767" s="39"/>
      <c r="B767" s="45"/>
      <c r="C767" s="46"/>
      <c r="D767" s="39"/>
      <c r="E767" s="39"/>
      <c r="F767" s="44"/>
      <c r="G767" s="39"/>
      <c r="H767" s="39"/>
      <c r="I767" s="39"/>
      <c r="J767" s="39"/>
      <c r="K767" s="44"/>
      <c r="L767" s="44"/>
      <c r="M767" s="44"/>
      <c r="N767" s="44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5.75" customHeight="1">
      <c r="A768" s="39"/>
      <c r="B768" s="45"/>
      <c r="C768" s="46"/>
      <c r="D768" s="39"/>
      <c r="E768" s="39"/>
      <c r="F768" s="44"/>
      <c r="G768" s="39"/>
      <c r="H768" s="39"/>
      <c r="I768" s="39"/>
      <c r="J768" s="39"/>
      <c r="K768" s="44"/>
      <c r="L768" s="44"/>
      <c r="M768" s="44"/>
      <c r="N768" s="44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5.75" customHeight="1">
      <c r="A769" s="39"/>
      <c r="B769" s="45"/>
      <c r="C769" s="46"/>
      <c r="D769" s="39"/>
      <c r="E769" s="39"/>
      <c r="F769" s="44"/>
      <c r="G769" s="39"/>
      <c r="H769" s="39"/>
      <c r="I769" s="39"/>
      <c r="J769" s="39"/>
      <c r="K769" s="44"/>
      <c r="L769" s="44"/>
      <c r="M769" s="44"/>
      <c r="N769" s="44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5.75" customHeight="1">
      <c r="A770" s="39"/>
      <c r="B770" s="45"/>
      <c r="C770" s="46"/>
      <c r="D770" s="39"/>
      <c r="E770" s="39"/>
      <c r="F770" s="44"/>
      <c r="G770" s="39"/>
      <c r="H770" s="39"/>
      <c r="I770" s="39"/>
      <c r="J770" s="39"/>
      <c r="K770" s="44"/>
      <c r="L770" s="44"/>
      <c r="M770" s="44"/>
      <c r="N770" s="44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5.75" customHeight="1">
      <c r="A771" s="39"/>
      <c r="B771" s="45"/>
      <c r="C771" s="46"/>
      <c r="D771" s="39"/>
      <c r="E771" s="39"/>
      <c r="F771" s="44"/>
      <c r="G771" s="39"/>
      <c r="H771" s="39"/>
      <c r="I771" s="39"/>
      <c r="J771" s="39"/>
      <c r="K771" s="44"/>
      <c r="L771" s="44"/>
      <c r="M771" s="44"/>
      <c r="N771" s="44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5.75" customHeight="1">
      <c r="A772" s="39"/>
      <c r="B772" s="45"/>
      <c r="C772" s="46"/>
      <c r="D772" s="39"/>
      <c r="E772" s="39"/>
      <c r="F772" s="44"/>
      <c r="G772" s="39"/>
      <c r="H772" s="39"/>
      <c r="I772" s="39"/>
      <c r="J772" s="39"/>
      <c r="K772" s="44"/>
      <c r="L772" s="44"/>
      <c r="M772" s="44"/>
      <c r="N772" s="44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5.75" customHeight="1">
      <c r="A773" s="39"/>
      <c r="B773" s="45"/>
      <c r="C773" s="46"/>
      <c r="D773" s="39"/>
      <c r="E773" s="39"/>
      <c r="F773" s="44"/>
      <c r="G773" s="39"/>
      <c r="H773" s="39"/>
      <c r="I773" s="39"/>
      <c r="J773" s="39"/>
      <c r="K773" s="44"/>
      <c r="L773" s="44"/>
      <c r="M773" s="44"/>
      <c r="N773" s="44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5.75" customHeight="1">
      <c r="A774" s="39"/>
      <c r="B774" s="45"/>
      <c r="C774" s="46"/>
      <c r="D774" s="39"/>
      <c r="E774" s="39"/>
      <c r="F774" s="44"/>
      <c r="G774" s="39"/>
      <c r="H774" s="39"/>
      <c r="I774" s="39"/>
      <c r="J774" s="39"/>
      <c r="K774" s="44"/>
      <c r="L774" s="44"/>
      <c r="M774" s="44"/>
      <c r="N774" s="44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5.75" customHeight="1">
      <c r="A775" s="39"/>
      <c r="B775" s="45"/>
      <c r="C775" s="46"/>
      <c r="D775" s="39"/>
      <c r="E775" s="39"/>
      <c r="F775" s="44"/>
      <c r="G775" s="39"/>
      <c r="H775" s="39"/>
      <c r="I775" s="39"/>
      <c r="J775" s="39"/>
      <c r="K775" s="44"/>
      <c r="L775" s="44"/>
      <c r="M775" s="44"/>
      <c r="N775" s="44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5.75" customHeight="1">
      <c r="A776" s="39"/>
      <c r="B776" s="45"/>
      <c r="C776" s="46"/>
      <c r="D776" s="39"/>
      <c r="E776" s="39"/>
      <c r="F776" s="44"/>
      <c r="G776" s="39"/>
      <c r="H776" s="39"/>
      <c r="I776" s="39"/>
      <c r="J776" s="39"/>
      <c r="K776" s="44"/>
      <c r="L776" s="44"/>
      <c r="M776" s="44"/>
      <c r="N776" s="44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5.75" customHeight="1">
      <c r="A777" s="39"/>
      <c r="B777" s="45"/>
      <c r="C777" s="46"/>
      <c r="D777" s="39"/>
      <c r="E777" s="39"/>
      <c r="F777" s="44"/>
      <c r="G777" s="39"/>
      <c r="H777" s="39"/>
      <c r="I777" s="39"/>
      <c r="J777" s="39"/>
      <c r="K777" s="44"/>
      <c r="L777" s="44"/>
      <c r="M777" s="44"/>
      <c r="N777" s="44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5.75" customHeight="1">
      <c r="A778" s="39"/>
      <c r="B778" s="45"/>
      <c r="C778" s="46"/>
      <c r="D778" s="39"/>
      <c r="E778" s="39"/>
      <c r="F778" s="44"/>
      <c r="G778" s="39"/>
      <c r="H778" s="39"/>
      <c r="I778" s="39"/>
      <c r="J778" s="39"/>
      <c r="K778" s="44"/>
      <c r="L778" s="44"/>
      <c r="M778" s="44"/>
      <c r="N778" s="44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5.75" customHeight="1">
      <c r="A779" s="39"/>
      <c r="B779" s="45"/>
      <c r="C779" s="46"/>
      <c r="D779" s="39"/>
      <c r="E779" s="39"/>
      <c r="F779" s="44"/>
      <c r="G779" s="39"/>
      <c r="H779" s="39"/>
      <c r="I779" s="39"/>
      <c r="J779" s="39"/>
      <c r="K779" s="44"/>
      <c r="L779" s="44"/>
      <c r="M779" s="44"/>
      <c r="N779" s="44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5.75" customHeight="1">
      <c r="A780" s="39"/>
      <c r="B780" s="45"/>
      <c r="C780" s="46"/>
      <c r="D780" s="39"/>
      <c r="E780" s="39"/>
      <c r="F780" s="44"/>
      <c r="G780" s="39"/>
      <c r="H780" s="39"/>
      <c r="I780" s="39"/>
      <c r="J780" s="39"/>
      <c r="K780" s="44"/>
      <c r="L780" s="44"/>
      <c r="M780" s="44"/>
      <c r="N780" s="44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5.75" customHeight="1">
      <c r="A781" s="39"/>
      <c r="B781" s="45"/>
      <c r="C781" s="46"/>
      <c r="D781" s="39"/>
      <c r="E781" s="39"/>
      <c r="F781" s="44"/>
      <c r="G781" s="39"/>
      <c r="H781" s="39"/>
      <c r="I781" s="39"/>
      <c r="J781" s="39"/>
      <c r="K781" s="44"/>
      <c r="L781" s="44"/>
      <c r="M781" s="44"/>
      <c r="N781" s="44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5.75" customHeight="1">
      <c r="A782" s="39"/>
      <c r="B782" s="45"/>
      <c r="C782" s="46"/>
      <c r="D782" s="39"/>
      <c r="E782" s="39"/>
      <c r="F782" s="44"/>
      <c r="G782" s="39"/>
      <c r="H782" s="39"/>
      <c r="I782" s="39"/>
      <c r="J782" s="39"/>
      <c r="K782" s="44"/>
      <c r="L782" s="44"/>
      <c r="M782" s="44"/>
      <c r="N782" s="44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5.75" customHeight="1">
      <c r="A783" s="39"/>
      <c r="B783" s="45"/>
      <c r="C783" s="46"/>
      <c r="D783" s="39"/>
      <c r="E783" s="39"/>
      <c r="F783" s="44"/>
      <c r="G783" s="39"/>
      <c r="H783" s="39"/>
      <c r="I783" s="39"/>
      <c r="J783" s="39"/>
      <c r="K783" s="44"/>
      <c r="L783" s="44"/>
      <c r="M783" s="44"/>
      <c r="N783" s="44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5.75" customHeight="1">
      <c r="A784" s="39"/>
      <c r="B784" s="45"/>
      <c r="C784" s="46"/>
      <c r="D784" s="39"/>
      <c r="E784" s="39"/>
      <c r="F784" s="44"/>
      <c r="G784" s="39"/>
      <c r="H784" s="39"/>
      <c r="I784" s="39"/>
      <c r="J784" s="39"/>
      <c r="K784" s="44"/>
      <c r="L784" s="44"/>
      <c r="M784" s="44"/>
      <c r="N784" s="44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5.75" customHeight="1">
      <c r="A785" s="39"/>
      <c r="B785" s="45"/>
      <c r="C785" s="46"/>
      <c r="D785" s="39"/>
      <c r="E785" s="39"/>
      <c r="F785" s="44"/>
      <c r="G785" s="39"/>
      <c r="H785" s="39"/>
      <c r="I785" s="39"/>
      <c r="J785" s="39"/>
      <c r="K785" s="44"/>
      <c r="L785" s="44"/>
      <c r="M785" s="44"/>
      <c r="N785" s="44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5.75" customHeight="1">
      <c r="A786" s="39"/>
      <c r="B786" s="45"/>
      <c r="C786" s="46"/>
      <c r="D786" s="39"/>
      <c r="E786" s="39"/>
      <c r="F786" s="44"/>
      <c r="G786" s="39"/>
      <c r="H786" s="39"/>
      <c r="I786" s="39"/>
      <c r="J786" s="39"/>
      <c r="K786" s="44"/>
      <c r="L786" s="44"/>
      <c r="M786" s="44"/>
      <c r="N786" s="44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5.75" customHeight="1">
      <c r="A787" s="39"/>
      <c r="B787" s="45"/>
      <c r="C787" s="46"/>
      <c r="D787" s="39"/>
      <c r="E787" s="39"/>
      <c r="F787" s="44"/>
      <c r="G787" s="39"/>
      <c r="H787" s="39"/>
      <c r="I787" s="39"/>
      <c r="J787" s="39"/>
      <c r="K787" s="44"/>
      <c r="L787" s="44"/>
      <c r="M787" s="44"/>
      <c r="N787" s="44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5.75" customHeight="1">
      <c r="A788" s="39"/>
      <c r="B788" s="45"/>
      <c r="C788" s="46"/>
      <c r="D788" s="39"/>
      <c r="E788" s="39"/>
      <c r="F788" s="44"/>
      <c r="G788" s="39"/>
      <c r="H788" s="39"/>
      <c r="I788" s="39"/>
      <c r="J788" s="39"/>
      <c r="K788" s="44"/>
      <c r="L788" s="44"/>
      <c r="M788" s="44"/>
      <c r="N788" s="44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5.75" customHeight="1">
      <c r="A789" s="39"/>
      <c r="B789" s="45"/>
      <c r="C789" s="46"/>
      <c r="D789" s="39"/>
      <c r="E789" s="39"/>
      <c r="F789" s="44"/>
      <c r="G789" s="39"/>
      <c r="H789" s="39"/>
      <c r="I789" s="39"/>
      <c r="J789" s="39"/>
      <c r="K789" s="44"/>
      <c r="L789" s="44"/>
      <c r="M789" s="44"/>
      <c r="N789" s="44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5.75" customHeight="1">
      <c r="A790" s="39"/>
      <c r="B790" s="45"/>
      <c r="C790" s="46"/>
      <c r="D790" s="39"/>
      <c r="E790" s="39"/>
      <c r="F790" s="44"/>
      <c r="G790" s="39"/>
      <c r="H790" s="39"/>
      <c r="I790" s="39"/>
      <c r="J790" s="39"/>
      <c r="K790" s="44"/>
      <c r="L790" s="44"/>
      <c r="M790" s="44"/>
      <c r="N790" s="44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5.75" customHeight="1">
      <c r="A791" s="39"/>
      <c r="B791" s="45"/>
      <c r="C791" s="46"/>
      <c r="D791" s="39"/>
      <c r="E791" s="39"/>
      <c r="F791" s="44"/>
      <c r="G791" s="39"/>
      <c r="H791" s="39"/>
      <c r="I791" s="39"/>
      <c r="J791" s="39"/>
      <c r="K791" s="44"/>
      <c r="L791" s="44"/>
      <c r="M791" s="44"/>
      <c r="N791" s="44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5.75" customHeight="1">
      <c r="A792" s="39"/>
      <c r="B792" s="45"/>
      <c r="C792" s="46"/>
      <c r="D792" s="39"/>
      <c r="E792" s="39"/>
      <c r="F792" s="44"/>
      <c r="G792" s="39"/>
      <c r="H792" s="39"/>
      <c r="I792" s="39"/>
      <c r="J792" s="39"/>
      <c r="K792" s="44"/>
      <c r="L792" s="44"/>
      <c r="M792" s="44"/>
      <c r="N792" s="44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5.75" customHeight="1">
      <c r="A793" s="39"/>
      <c r="B793" s="45"/>
      <c r="C793" s="46"/>
      <c r="D793" s="39"/>
      <c r="E793" s="39"/>
      <c r="F793" s="44"/>
      <c r="G793" s="39"/>
      <c r="H793" s="39"/>
      <c r="I793" s="39"/>
      <c r="J793" s="39"/>
      <c r="K793" s="44"/>
      <c r="L793" s="44"/>
      <c r="M793" s="44"/>
      <c r="N793" s="44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5.75" customHeight="1">
      <c r="A794" s="39"/>
      <c r="B794" s="45"/>
      <c r="C794" s="46"/>
      <c r="D794" s="39"/>
      <c r="E794" s="39"/>
      <c r="F794" s="44"/>
      <c r="G794" s="39"/>
      <c r="H794" s="39"/>
      <c r="I794" s="39"/>
      <c r="J794" s="39"/>
      <c r="K794" s="44"/>
      <c r="L794" s="44"/>
      <c r="M794" s="44"/>
      <c r="N794" s="44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5.75" customHeight="1">
      <c r="A795" s="39"/>
      <c r="B795" s="45"/>
      <c r="C795" s="46"/>
      <c r="D795" s="39"/>
      <c r="E795" s="39"/>
      <c r="F795" s="44"/>
      <c r="G795" s="39"/>
      <c r="H795" s="39"/>
      <c r="I795" s="39"/>
      <c r="J795" s="39"/>
      <c r="K795" s="44"/>
      <c r="L795" s="44"/>
      <c r="M795" s="44"/>
      <c r="N795" s="44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5.75" customHeight="1">
      <c r="A796" s="39"/>
      <c r="B796" s="45"/>
      <c r="C796" s="46"/>
      <c r="D796" s="39"/>
      <c r="E796" s="39"/>
      <c r="F796" s="44"/>
      <c r="G796" s="39"/>
      <c r="H796" s="39"/>
      <c r="I796" s="39"/>
      <c r="J796" s="39"/>
      <c r="K796" s="44"/>
      <c r="L796" s="44"/>
      <c r="M796" s="44"/>
      <c r="N796" s="44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5.75" customHeight="1">
      <c r="A797" s="39"/>
      <c r="B797" s="45"/>
      <c r="C797" s="46"/>
      <c r="D797" s="39"/>
      <c r="E797" s="39"/>
      <c r="F797" s="44"/>
      <c r="G797" s="39"/>
      <c r="H797" s="39"/>
      <c r="I797" s="39"/>
      <c r="J797" s="39"/>
      <c r="K797" s="44"/>
      <c r="L797" s="44"/>
      <c r="M797" s="44"/>
      <c r="N797" s="44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5.75" customHeight="1">
      <c r="A798" s="39"/>
      <c r="B798" s="45"/>
      <c r="C798" s="46"/>
      <c r="D798" s="39"/>
      <c r="E798" s="39"/>
      <c r="F798" s="44"/>
      <c r="G798" s="39"/>
      <c r="H798" s="39"/>
      <c r="I798" s="39"/>
      <c r="J798" s="39"/>
      <c r="K798" s="44"/>
      <c r="L798" s="44"/>
      <c r="M798" s="44"/>
      <c r="N798" s="44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5.75" customHeight="1">
      <c r="A799" s="39"/>
      <c r="B799" s="45"/>
      <c r="C799" s="46"/>
      <c r="D799" s="39"/>
      <c r="E799" s="39"/>
      <c r="F799" s="44"/>
      <c r="G799" s="39"/>
      <c r="H799" s="39"/>
      <c r="I799" s="39"/>
      <c r="J799" s="39"/>
      <c r="K799" s="44"/>
      <c r="L799" s="44"/>
      <c r="M799" s="44"/>
      <c r="N799" s="44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5.75" customHeight="1">
      <c r="A800" s="39"/>
      <c r="B800" s="45"/>
      <c r="C800" s="46"/>
      <c r="D800" s="39"/>
      <c r="E800" s="39"/>
      <c r="F800" s="44"/>
      <c r="G800" s="39"/>
      <c r="H800" s="39"/>
      <c r="I800" s="39"/>
      <c r="J800" s="39"/>
      <c r="K800" s="44"/>
      <c r="L800" s="44"/>
      <c r="M800" s="44"/>
      <c r="N800" s="44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5.75" customHeight="1">
      <c r="A801" s="39"/>
      <c r="B801" s="45"/>
      <c r="C801" s="46"/>
      <c r="D801" s="39"/>
      <c r="E801" s="39"/>
      <c r="F801" s="44"/>
      <c r="G801" s="39"/>
      <c r="H801" s="39"/>
      <c r="I801" s="39"/>
      <c r="J801" s="39"/>
      <c r="K801" s="44"/>
      <c r="L801" s="44"/>
      <c r="M801" s="44"/>
      <c r="N801" s="44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5.75" customHeight="1">
      <c r="A802" s="39"/>
      <c r="B802" s="45"/>
      <c r="C802" s="46"/>
      <c r="D802" s="39"/>
      <c r="E802" s="39"/>
      <c r="F802" s="44"/>
      <c r="G802" s="39"/>
      <c r="H802" s="39"/>
      <c r="I802" s="39"/>
      <c r="J802" s="39"/>
      <c r="K802" s="44"/>
      <c r="L802" s="44"/>
      <c r="M802" s="44"/>
      <c r="N802" s="44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5.75" customHeight="1">
      <c r="A803" s="39"/>
      <c r="B803" s="45"/>
      <c r="C803" s="46"/>
      <c r="D803" s="39"/>
      <c r="E803" s="39"/>
      <c r="F803" s="44"/>
      <c r="G803" s="39"/>
      <c r="H803" s="39"/>
      <c r="I803" s="39"/>
      <c r="J803" s="39"/>
      <c r="K803" s="44"/>
      <c r="L803" s="44"/>
      <c r="M803" s="44"/>
      <c r="N803" s="44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5.75" customHeight="1">
      <c r="A804" s="39"/>
      <c r="B804" s="45"/>
      <c r="C804" s="46"/>
      <c r="D804" s="39"/>
      <c r="E804" s="39"/>
      <c r="F804" s="44"/>
      <c r="G804" s="39"/>
      <c r="H804" s="39"/>
      <c r="I804" s="39"/>
      <c r="J804" s="39"/>
      <c r="K804" s="44"/>
      <c r="L804" s="44"/>
      <c r="M804" s="44"/>
      <c r="N804" s="44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5.75" customHeight="1">
      <c r="A805" s="39"/>
      <c r="B805" s="45"/>
      <c r="C805" s="46"/>
      <c r="D805" s="39"/>
      <c r="E805" s="39"/>
      <c r="F805" s="44"/>
      <c r="G805" s="39"/>
      <c r="H805" s="39"/>
      <c r="I805" s="39"/>
      <c r="J805" s="39"/>
      <c r="K805" s="44"/>
      <c r="L805" s="44"/>
      <c r="M805" s="44"/>
      <c r="N805" s="44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5.75" customHeight="1">
      <c r="A806" s="39"/>
      <c r="B806" s="45"/>
      <c r="C806" s="46"/>
      <c r="D806" s="39"/>
      <c r="E806" s="39"/>
      <c r="F806" s="44"/>
      <c r="G806" s="39"/>
      <c r="H806" s="39"/>
      <c r="I806" s="39"/>
      <c r="J806" s="39"/>
      <c r="K806" s="44"/>
      <c r="L806" s="44"/>
      <c r="M806" s="44"/>
      <c r="N806" s="44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5.75" customHeight="1">
      <c r="A807" s="39"/>
      <c r="B807" s="45"/>
      <c r="C807" s="46"/>
      <c r="D807" s="39"/>
      <c r="E807" s="39"/>
      <c r="F807" s="44"/>
      <c r="G807" s="39"/>
      <c r="H807" s="39"/>
      <c r="I807" s="39"/>
      <c r="J807" s="39"/>
      <c r="K807" s="44"/>
      <c r="L807" s="44"/>
      <c r="M807" s="44"/>
      <c r="N807" s="44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5.75" customHeight="1">
      <c r="A808" s="39"/>
      <c r="B808" s="45"/>
      <c r="C808" s="46"/>
      <c r="D808" s="39"/>
      <c r="E808" s="39"/>
      <c r="F808" s="44"/>
      <c r="G808" s="39"/>
      <c r="H808" s="39"/>
      <c r="I808" s="39"/>
      <c r="J808" s="39"/>
      <c r="K808" s="44"/>
      <c r="L808" s="44"/>
      <c r="M808" s="44"/>
      <c r="N808" s="44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5.75" customHeight="1">
      <c r="A809" s="39"/>
      <c r="B809" s="45"/>
      <c r="C809" s="46"/>
      <c r="D809" s="39"/>
      <c r="E809" s="39"/>
      <c r="F809" s="44"/>
      <c r="G809" s="39"/>
      <c r="H809" s="39"/>
      <c r="I809" s="39"/>
      <c r="J809" s="39"/>
      <c r="K809" s="44"/>
      <c r="L809" s="44"/>
      <c r="M809" s="44"/>
      <c r="N809" s="44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5.75" customHeight="1">
      <c r="A810" s="39"/>
      <c r="B810" s="45"/>
      <c r="C810" s="46"/>
      <c r="D810" s="39"/>
      <c r="E810" s="39"/>
      <c r="F810" s="44"/>
      <c r="G810" s="39"/>
      <c r="H810" s="39"/>
      <c r="I810" s="39"/>
      <c r="J810" s="39"/>
      <c r="K810" s="44"/>
      <c r="L810" s="44"/>
      <c r="M810" s="44"/>
      <c r="N810" s="44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5.75" customHeight="1">
      <c r="A811" s="39"/>
      <c r="B811" s="45"/>
      <c r="C811" s="46"/>
      <c r="D811" s="39"/>
      <c r="E811" s="39"/>
      <c r="F811" s="44"/>
      <c r="G811" s="39"/>
      <c r="H811" s="39"/>
      <c r="I811" s="39"/>
      <c r="J811" s="39"/>
      <c r="K811" s="44"/>
      <c r="L811" s="44"/>
      <c r="M811" s="44"/>
      <c r="N811" s="44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5.75" customHeight="1">
      <c r="A812" s="39"/>
      <c r="B812" s="45"/>
      <c r="C812" s="46"/>
      <c r="D812" s="39"/>
      <c r="E812" s="39"/>
      <c r="F812" s="44"/>
      <c r="G812" s="39"/>
      <c r="H812" s="39"/>
      <c r="I812" s="39"/>
      <c r="J812" s="39"/>
      <c r="K812" s="44"/>
      <c r="L812" s="44"/>
      <c r="M812" s="44"/>
      <c r="N812" s="44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5.75" customHeight="1">
      <c r="A813" s="39"/>
      <c r="B813" s="45"/>
      <c r="C813" s="46"/>
      <c r="D813" s="39"/>
      <c r="E813" s="39"/>
      <c r="F813" s="44"/>
      <c r="G813" s="39"/>
      <c r="H813" s="39"/>
      <c r="I813" s="39"/>
      <c r="J813" s="39"/>
      <c r="K813" s="44"/>
      <c r="L813" s="44"/>
      <c r="M813" s="44"/>
      <c r="N813" s="44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5.75" customHeight="1">
      <c r="A814" s="39"/>
      <c r="B814" s="45"/>
      <c r="C814" s="46"/>
      <c r="D814" s="39"/>
      <c r="E814" s="39"/>
      <c r="F814" s="44"/>
      <c r="G814" s="39"/>
      <c r="H814" s="39"/>
      <c r="I814" s="39"/>
      <c r="J814" s="39"/>
      <c r="K814" s="44"/>
      <c r="L814" s="44"/>
      <c r="M814" s="44"/>
      <c r="N814" s="44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5.75" customHeight="1">
      <c r="A815" s="39"/>
      <c r="B815" s="45"/>
      <c r="C815" s="46"/>
      <c r="D815" s="39"/>
      <c r="E815" s="39"/>
      <c r="F815" s="44"/>
      <c r="G815" s="39"/>
      <c r="H815" s="39"/>
      <c r="I815" s="39"/>
      <c r="J815" s="39"/>
      <c r="K815" s="44"/>
      <c r="L815" s="44"/>
      <c r="M815" s="44"/>
      <c r="N815" s="44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5.75" customHeight="1">
      <c r="A816" s="39"/>
      <c r="B816" s="45"/>
      <c r="C816" s="46"/>
      <c r="D816" s="39"/>
      <c r="E816" s="39"/>
      <c r="F816" s="44"/>
      <c r="G816" s="39"/>
      <c r="H816" s="39"/>
      <c r="I816" s="39"/>
      <c r="J816" s="39"/>
      <c r="K816" s="44"/>
      <c r="L816" s="44"/>
      <c r="M816" s="44"/>
      <c r="N816" s="44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5.75" customHeight="1">
      <c r="A817" s="39"/>
      <c r="B817" s="45"/>
      <c r="C817" s="46"/>
      <c r="D817" s="39"/>
      <c r="E817" s="39"/>
      <c r="F817" s="44"/>
      <c r="G817" s="39"/>
      <c r="H817" s="39"/>
      <c r="I817" s="39"/>
      <c r="J817" s="39"/>
      <c r="K817" s="44"/>
      <c r="L817" s="44"/>
      <c r="M817" s="44"/>
      <c r="N817" s="44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5.75" customHeight="1">
      <c r="A818" s="39"/>
      <c r="B818" s="45"/>
      <c r="C818" s="46"/>
      <c r="D818" s="39"/>
      <c r="E818" s="39"/>
      <c r="F818" s="44"/>
      <c r="G818" s="39"/>
      <c r="H818" s="39"/>
      <c r="I818" s="39"/>
      <c r="J818" s="39"/>
      <c r="K818" s="44"/>
      <c r="L818" s="44"/>
      <c r="M818" s="44"/>
      <c r="N818" s="44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5.75" customHeight="1">
      <c r="A819" s="39"/>
      <c r="B819" s="45"/>
      <c r="C819" s="46"/>
      <c r="D819" s="39"/>
      <c r="E819" s="39"/>
      <c r="F819" s="44"/>
      <c r="G819" s="39"/>
      <c r="H819" s="39"/>
      <c r="I819" s="39"/>
      <c r="J819" s="39"/>
      <c r="K819" s="44"/>
      <c r="L819" s="44"/>
      <c r="M819" s="44"/>
      <c r="N819" s="44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5.75" customHeight="1">
      <c r="A820" s="39"/>
      <c r="B820" s="45"/>
      <c r="C820" s="46"/>
      <c r="D820" s="39"/>
      <c r="E820" s="39"/>
      <c r="F820" s="44"/>
      <c r="G820" s="39"/>
      <c r="H820" s="39"/>
      <c r="I820" s="39"/>
      <c r="J820" s="39"/>
      <c r="K820" s="44"/>
      <c r="L820" s="44"/>
      <c r="M820" s="44"/>
      <c r="N820" s="44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5.75" customHeight="1">
      <c r="A821" s="39"/>
      <c r="B821" s="45"/>
      <c r="C821" s="46"/>
      <c r="D821" s="39"/>
      <c r="E821" s="39"/>
      <c r="F821" s="44"/>
      <c r="G821" s="39"/>
      <c r="H821" s="39"/>
      <c r="I821" s="39"/>
      <c r="J821" s="39"/>
      <c r="K821" s="44"/>
      <c r="L821" s="44"/>
      <c r="M821" s="44"/>
      <c r="N821" s="44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5.75" customHeight="1">
      <c r="A822" s="39"/>
      <c r="B822" s="45"/>
      <c r="C822" s="46"/>
      <c r="D822" s="39"/>
      <c r="E822" s="39"/>
      <c r="F822" s="44"/>
      <c r="G822" s="39"/>
      <c r="H822" s="39"/>
      <c r="I822" s="39"/>
      <c r="J822" s="39"/>
      <c r="K822" s="44"/>
      <c r="L822" s="44"/>
      <c r="M822" s="44"/>
      <c r="N822" s="44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5.75" customHeight="1">
      <c r="A823" s="39"/>
      <c r="B823" s="45"/>
      <c r="C823" s="46"/>
      <c r="D823" s="39"/>
      <c r="E823" s="39"/>
      <c r="F823" s="44"/>
      <c r="G823" s="39"/>
      <c r="H823" s="39"/>
      <c r="I823" s="39"/>
      <c r="J823" s="39"/>
      <c r="K823" s="44"/>
      <c r="L823" s="44"/>
      <c r="M823" s="44"/>
      <c r="N823" s="44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5.75" customHeight="1">
      <c r="A824" s="39"/>
      <c r="B824" s="45"/>
      <c r="C824" s="46"/>
      <c r="D824" s="39"/>
      <c r="E824" s="39"/>
      <c r="F824" s="44"/>
      <c r="G824" s="39"/>
      <c r="H824" s="39"/>
      <c r="I824" s="39"/>
      <c r="J824" s="39"/>
      <c r="K824" s="44"/>
      <c r="L824" s="44"/>
      <c r="M824" s="44"/>
      <c r="N824" s="44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5.75" customHeight="1">
      <c r="A825" s="39"/>
      <c r="B825" s="45"/>
      <c r="C825" s="46"/>
      <c r="D825" s="39"/>
      <c r="E825" s="39"/>
      <c r="F825" s="44"/>
      <c r="G825" s="39"/>
      <c r="H825" s="39"/>
      <c r="I825" s="39"/>
      <c r="J825" s="39"/>
      <c r="K825" s="44"/>
      <c r="L825" s="44"/>
      <c r="M825" s="44"/>
      <c r="N825" s="44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5.75" customHeight="1">
      <c r="A826" s="39"/>
      <c r="B826" s="45"/>
      <c r="C826" s="46"/>
      <c r="D826" s="39"/>
      <c r="E826" s="39"/>
      <c r="F826" s="44"/>
      <c r="G826" s="39"/>
      <c r="H826" s="39"/>
      <c r="I826" s="39"/>
      <c r="J826" s="39"/>
      <c r="K826" s="44"/>
      <c r="L826" s="44"/>
      <c r="M826" s="44"/>
      <c r="N826" s="44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5.75" customHeight="1">
      <c r="A827" s="39"/>
      <c r="B827" s="45"/>
      <c r="C827" s="46"/>
      <c r="D827" s="39"/>
      <c r="E827" s="39"/>
      <c r="F827" s="44"/>
      <c r="G827" s="39"/>
      <c r="H827" s="39"/>
      <c r="I827" s="39"/>
      <c r="J827" s="39"/>
      <c r="K827" s="44"/>
      <c r="L827" s="44"/>
      <c r="M827" s="44"/>
      <c r="N827" s="44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5.75" customHeight="1">
      <c r="A828" s="39"/>
      <c r="B828" s="45"/>
      <c r="C828" s="46"/>
      <c r="D828" s="39"/>
      <c r="E828" s="39"/>
      <c r="F828" s="44"/>
      <c r="G828" s="39"/>
      <c r="H828" s="39"/>
      <c r="I828" s="39"/>
      <c r="J828" s="39"/>
      <c r="K828" s="44"/>
      <c r="L828" s="44"/>
      <c r="M828" s="44"/>
      <c r="N828" s="44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5.75" customHeight="1">
      <c r="A829" s="39"/>
      <c r="B829" s="45"/>
      <c r="C829" s="46"/>
      <c r="D829" s="39"/>
      <c r="E829" s="39"/>
      <c r="F829" s="44"/>
      <c r="G829" s="39"/>
      <c r="H829" s="39"/>
      <c r="I829" s="39"/>
      <c r="J829" s="39"/>
      <c r="K829" s="44"/>
      <c r="L829" s="44"/>
      <c r="M829" s="44"/>
      <c r="N829" s="44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5.75" customHeight="1">
      <c r="A830" s="39"/>
      <c r="B830" s="45"/>
      <c r="C830" s="46"/>
      <c r="D830" s="39"/>
      <c r="E830" s="39"/>
      <c r="F830" s="44"/>
      <c r="G830" s="39"/>
      <c r="H830" s="39"/>
      <c r="I830" s="39"/>
      <c r="J830" s="39"/>
      <c r="K830" s="44"/>
      <c r="L830" s="44"/>
      <c r="M830" s="44"/>
      <c r="N830" s="44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5.75" customHeight="1">
      <c r="A831" s="39"/>
      <c r="B831" s="45"/>
      <c r="C831" s="46"/>
      <c r="D831" s="39"/>
      <c r="E831" s="39"/>
      <c r="F831" s="44"/>
      <c r="G831" s="39"/>
      <c r="H831" s="39"/>
      <c r="I831" s="39"/>
      <c r="J831" s="39"/>
      <c r="K831" s="44"/>
      <c r="L831" s="44"/>
      <c r="M831" s="44"/>
      <c r="N831" s="44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5.75" customHeight="1">
      <c r="A832" s="39"/>
      <c r="B832" s="45"/>
      <c r="C832" s="46"/>
      <c r="D832" s="39"/>
      <c r="E832" s="39"/>
      <c r="F832" s="44"/>
      <c r="G832" s="39"/>
      <c r="H832" s="39"/>
      <c r="I832" s="39"/>
      <c r="J832" s="39"/>
      <c r="K832" s="44"/>
      <c r="L832" s="44"/>
      <c r="M832" s="44"/>
      <c r="N832" s="44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5.75" customHeight="1">
      <c r="A833" s="39"/>
      <c r="B833" s="45"/>
      <c r="C833" s="46"/>
      <c r="D833" s="39"/>
      <c r="E833" s="39"/>
      <c r="F833" s="44"/>
      <c r="G833" s="39"/>
      <c r="H833" s="39"/>
      <c r="I833" s="39"/>
      <c r="J833" s="39"/>
      <c r="K833" s="44"/>
      <c r="L833" s="44"/>
      <c r="M833" s="44"/>
      <c r="N833" s="44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5.75" customHeight="1">
      <c r="A834" s="39"/>
      <c r="B834" s="45"/>
      <c r="C834" s="46"/>
      <c r="D834" s="39"/>
      <c r="E834" s="39"/>
      <c r="F834" s="44"/>
      <c r="G834" s="39"/>
      <c r="H834" s="39"/>
      <c r="I834" s="39"/>
      <c r="J834" s="39"/>
      <c r="K834" s="44"/>
      <c r="L834" s="44"/>
      <c r="M834" s="44"/>
      <c r="N834" s="44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5.75" customHeight="1">
      <c r="A835" s="39"/>
      <c r="B835" s="45"/>
      <c r="C835" s="46"/>
      <c r="D835" s="39"/>
      <c r="E835" s="39"/>
      <c r="F835" s="44"/>
      <c r="G835" s="39"/>
      <c r="H835" s="39"/>
      <c r="I835" s="39"/>
      <c r="J835" s="39"/>
      <c r="K835" s="44"/>
      <c r="L835" s="44"/>
      <c r="M835" s="44"/>
      <c r="N835" s="44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5.75" customHeight="1">
      <c r="A836" s="39"/>
      <c r="B836" s="45"/>
      <c r="C836" s="46"/>
      <c r="D836" s="39"/>
      <c r="E836" s="39"/>
      <c r="F836" s="44"/>
      <c r="G836" s="39"/>
      <c r="H836" s="39"/>
      <c r="I836" s="39"/>
      <c r="J836" s="39"/>
      <c r="K836" s="44"/>
      <c r="L836" s="44"/>
      <c r="M836" s="44"/>
      <c r="N836" s="44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5.75" customHeight="1">
      <c r="A837" s="39"/>
      <c r="B837" s="45"/>
      <c r="C837" s="46"/>
      <c r="D837" s="39"/>
      <c r="E837" s="39"/>
      <c r="F837" s="44"/>
      <c r="G837" s="39"/>
      <c r="H837" s="39"/>
      <c r="I837" s="39"/>
      <c r="J837" s="39"/>
      <c r="K837" s="44"/>
      <c r="L837" s="44"/>
      <c r="M837" s="44"/>
      <c r="N837" s="44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5.75" customHeight="1">
      <c r="A838" s="39"/>
      <c r="B838" s="45"/>
      <c r="C838" s="46"/>
      <c r="D838" s="39"/>
      <c r="E838" s="39"/>
      <c r="F838" s="44"/>
      <c r="G838" s="39"/>
      <c r="H838" s="39"/>
      <c r="I838" s="39"/>
      <c r="J838" s="39"/>
      <c r="K838" s="44"/>
      <c r="L838" s="44"/>
      <c r="M838" s="44"/>
      <c r="N838" s="44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5.75" customHeight="1">
      <c r="A839" s="39"/>
      <c r="B839" s="45"/>
      <c r="C839" s="46"/>
      <c r="D839" s="39"/>
      <c r="E839" s="39"/>
      <c r="F839" s="44"/>
      <c r="G839" s="39"/>
      <c r="H839" s="39"/>
      <c r="I839" s="39"/>
      <c r="J839" s="39"/>
      <c r="K839" s="44"/>
      <c r="L839" s="44"/>
      <c r="M839" s="44"/>
      <c r="N839" s="44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5.75" customHeight="1">
      <c r="A840" s="39"/>
      <c r="B840" s="45"/>
      <c r="C840" s="46"/>
      <c r="D840" s="39"/>
      <c r="E840" s="39"/>
      <c r="F840" s="44"/>
      <c r="G840" s="39"/>
      <c r="H840" s="39"/>
      <c r="I840" s="39"/>
      <c r="J840" s="39"/>
      <c r="K840" s="44"/>
      <c r="L840" s="44"/>
      <c r="M840" s="44"/>
      <c r="N840" s="44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5.75" customHeight="1">
      <c r="A841" s="39"/>
      <c r="B841" s="45"/>
      <c r="C841" s="46"/>
      <c r="D841" s="39"/>
      <c r="E841" s="39"/>
      <c r="F841" s="44"/>
      <c r="G841" s="39"/>
      <c r="H841" s="39"/>
      <c r="I841" s="39"/>
      <c r="J841" s="39"/>
      <c r="K841" s="44"/>
      <c r="L841" s="44"/>
      <c r="M841" s="44"/>
      <c r="N841" s="44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5.75" customHeight="1">
      <c r="A842" s="39"/>
      <c r="B842" s="45"/>
      <c r="C842" s="46"/>
      <c r="D842" s="39"/>
      <c r="E842" s="39"/>
      <c r="F842" s="44"/>
      <c r="G842" s="39"/>
      <c r="H842" s="39"/>
      <c r="I842" s="39"/>
      <c r="J842" s="39"/>
      <c r="K842" s="44"/>
      <c r="L842" s="44"/>
      <c r="M842" s="44"/>
      <c r="N842" s="44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5.75" customHeight="1">
      <c r="A843" s="39"/>
      <c r="B843" s="45"/>
      <c r="C843" s="46"/>
      <c r="D843" s="39"/>
      <c r="E843" s="39"/>
      <c r="F843" s="44"/>
      <c r="G843" s="39"/>
      <c r="H843" s="39"/>
      <c r="I843" s="39"/>
      <c r="J843" s="39"/>
      <c r="K843" s="44"/>
      <c r="L843" s="44"/>
      <c r="M843" s="44"/>
      <c r="N843" s="44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5.75" customHeight="1">
      <c r="A844" s="39"/>
      <c r="B844" s="45"/>
      <c r="C844" s="46"/>
      <c r="D844" s="39"/>
      <c r="E844" s="39"/>
      <c r="F844" s="44"/>
      <c r="G844" s="39"/>
      <c r="H844" s="39"/>
      <c r="I844" s="39"/>
      <c r="J844" s="39"/>
      <c r="K844" s="44"/>
      <c r="L844" s="44"/>
      <c r="M844" s="44"/>
      <c r="N844" s="44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5.75" customHeight="1">
      <c r="A845" s="39"/>
      <c r="B845" s="45"/>
      <c r="C845" s="46"/>
      <c r="D845" s="39"/>
      <c r="E845" s="39"/>
      <c r="F845" s="44"/>
      <c r="G845" s="39"/>
      <c r="H845" s="39"/>
      <c r="I845" s="39"/>
      <c r="J845" s="39"/>
      <c r="K845" s="44"/>
      <c r="L845" s="44"/>
      <c r="M845" s="44"/>
      <c r="N845" s="44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5.75" customHeight="1">
      <c r="A846" s="39"/>
      <c r="B846" s="45"/>
      <c r="C846" s="46"/>
      <c r="D846" s="39"/>
      <c r="E846" s="39"/>
      <c r="F846" s="44"/>
      <c r="G846" s="39"/>
      <c r="H846" s="39"/>
      <c r="I846" s="39"/>
      <c r="J846" s="39"/>
      <c r="K846" s="44"/>
      <c r="L846" s="44"/>
      <c r="M846" s="44"/>
      <c r="N846" s="44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5.75" customHeight="1">
      <c r="A847" s="39"/>
      <c r="B847" s="45"/>
      <c r="C847" s="46"/>
      <c r="D847" s="39"/>
      <c r="E847" s="39"/>
      <c r="F847" s="44"/>
      <c r="G847" s="39"/>
      <c r="H847" s="39"/>
      <c r="I847" s="39"/>
      <c r="J847" s="39"/>
      <c r="K847" s="44"/>
      <c r="L847" s="44"/>
      <c r="M847" s="44"/>
      <c r="N847" s="44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5.75" customHeight="1">
      <c r="A848" s="39"/>
      <c r="B848" s="45"/>
      <c r="C848" s="46"/>
      <c r="D848" s="39"/>
      <c r="E848" s="39"/>
      <c r="F848" s="44"/>
      <c r="G848" s="39"/>
      <c r="H848" s="39"/>
      <c r="I848" s="39"/>
      <c r="J848" s="39"/>
      <c r="K848" s="44"/>
      <c r="L848" s="44"/>
      <c r="M848" s="44"/>
      <c r="N848" s="44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5.75" customHeight="1">
      <c r="A849" s="39"/>
      <c r="B849" s="45"/>
      <c r="C849" s="46"/>
      <c r="D849" s="39"/>
      <c r="E849" s="39"/>
      <c r="F849" s="44"/>
      <c r="G849" s="39"/>
      <c r="H849" s="39"/>
      <c r="I849" s="39"/>
      <c r="J849" s="39"/>
      <c r="K849" s="44"/>
      <c r="L849" s="44"/>
      <c r="M849" s="44"/>
      <c r="N849" s="44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5.75" customHeight="1">
      <c r="A850" s="39"/>
      <c r="B850" s="45"/>
      <c r="C850" s="46"/>
      <c r="D850" s="39"/>
      <c r="E850" s="39"/>
      <c r="F850" s="44"/>
      <c r="G850" s="39"/>
      <c r="H850" s="39"/>
      <c r="I850" s="39"/>
      <c r="J850" s="39"/>
      <c r="K850" s="44"/>
      <c r="L850" s="44"/>
      <c r="M850" s="44"/>
      <c r="N850" s="44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5.75" customHeight="1">
      <c r="A851" s="39"/>
      <c r="B851" s="45"/>
      <c r="C851" s="46"/>
      <c r="D851" s="39"/>
      <c r="E851" s="39"/>
      <c r="F851" s="44"/>
      <c r="G851" s="39"/>
      <c r="H851" s="39"/>
      <c r="I851" s="39"/>
      <c r="J851" s="39"/>
      <c r="K851" s="44"/>
      <c r="L851" s="44"/>
      <c r="M851" s="44"/>
      <c r="N851" s="44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5.75" customHeight="1">
      <c r="A852" s="39"/>
      <c r="B852" s="45"/>
      <c r="C852" s="46"/>
      <c r="D852" s="39"/>
      <c r="E852" s="39"/>
      <c r="F852" s="44"/>
      <c r="G852" s="39"/>
      <c r="H852" s="39"/>
      <c r="I852" s="39"/>
      <c r="J852" s="39"/>
      <c r="K852" s="44"/>
      <c r="L852" s="44"/>
      <c r="M852" s="44"/>
      <c r="N852" s="44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5.75" customHeight="1">
      <c r="A853" s="39"/>
      <c r="B853" s="45"/>
      <c r="C853" s="46"/>
      <c r="D853" s="39"/>
      <c r="E853" s="39"/>
      <c r="F853" s="44"/>
      <c r="G853" s="39"/>
      <c r="H853" s="39"/>
      <c r="I853" s="39"/>
      <c r="J853" s="39"/>
      <c r="K853" s="44"/>
      <c r="L853" s="44"/>
      <c r="M853" s="44"/>
      <c r="N853" s="44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5.75" customHeight="1">
      <c r="A854" s="39"/>
      <c r="B854" s="45"/>
      <c r="C854" s="46"/>
      <c r="D854" s="39"/>
      <c r="E854" s="39"/>
      <c r="F854" s="44"/>
      <c r="G854" s="39"/>
      <c r="H854" s="39"/>
      <c r="I854" s="39"/>
      <c r="J854" s="39"/>
      <c r="K854" s="44"/>
      <c r="L854" s="44"/>
      <c r="M854" s="44"/>
      <c r="N854" s="44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5.75" customHeight="1">
      <c r="A855" s="39"/>
      <c r="B855" s="45"/>
      <c r="C855" s="46"/>
      <c r="D855" s="39"/>
      <c r="E855" s="39"/>
      <c r="F855" s="44"/>
      <c r="G855" s="39"/>
      <c r="H855" s="39"/>
      <c r="I855" s="39"/>
      <c r="J855" s="39"/>
      <c r="K855" s="44"/>
      <c r="L855" s="44"/>
      <c r="M855" s="44"/>
      <c r="N855" s="44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5.75" customHeight="1">
      <c r="A856" s="39"/>
      <c r="B856" s="45"/>
      <c r="C856" s="46"/>
      <c r="D856" s="39"/>
      <c r="E856" s="39"/>
      <c r="F856" s="44"/>
      <c r="G856" s="39"/>
      <c r="H856" s="39"/>
      <c r="I856" s="39"/>
      <c r="J856" s="39"/>
      <c r="K856" s="44"/>
      <c r="L856" s="44"/>
      <c r="M856" s="44"/>
      <c r="N856" s="44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5.75" customHeight="1">
      <c r="A857" s="39"/>
      <c r="B857" s="45"/>
      <c r="C857" s="46"/>
      <c r="D857" s="39"/>
      <c r="E857" s="39"/>
      <c r="F857" s="44"/>
      <c r="G857" s="39"/>
      <c r="H857" s="39"/>
      <c r="I857" s="39"/>
      <c r="J857" s="39"/>
      <c r="K857" s="44"/>
      <c r="L857" s="44"/>
      <c r="M857" s="44"/>
      <c r="N857" s="44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5.75" customHeight="1">
      <c r="A858" s="39"/>
      <c r="B858" s="45"/>
      <c r="C858" s="46"/>
      <c r="D858" s="39"/>
      <c r="E858" s="39"/>
      <c r="F858" s="44"/>
      <c r="G858" s="39"/>
      <c r="H858" s="39"/>
      <c r="I858" s="39"/>
      <c r="J858" s="39"/>
      <c r="K858" s="44"/>
      <c r="L858" s="44"/>
      <c r="M858" s="44"/>
      <c r="N858" s="44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5.75" customHeight="1">
      <c r="A859" s="39"/>
      <c r="B859" s="45"/>
      <c r="C859" s="46"/>
      <c r="D859" s="39"/>
      <c r="E859" s="39"/>
      <c r="F859" s="44"/>
      <c r="G859" s="39"/>
      <c r="H859" s="39"/>
      <c r="I859" s="39"/>
      <c r="J859" s="39"/>
      <c r="K859" s="44"/>
      <c r="L859" s="44"/>
      <c r="M859" s="44"/>
      <c r="N859" s="44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5.75" customHeight="1">
      <c r="A860" s="39"/>
      <c r="B860" s="45"/>
      <c r="C860" s="46"/>
      <c r="D860" s="39"/>
      <c r="E860" s="39"/>
      <c r="F860" s="44"/>
      <c r="G860" s="39"/>
      <c r="H860" s="39"/>
      <c r="I860" s="39"/>
      <c r="J860" s="39"/>
      <c r="K860" s="44"/>
      <c r="L860" s="44"/>
      <c r="M860" s="44"/>
      <c r="N860" s="44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5.75" customHeight="1">
      <c r="A861" s="39"/>
      <c r="B861" s="45"/>
      <c r="C861" s="46"/>
      <c r="D861" s="39"/>
      <c r="E861" s="39"/>
      <c r="F861" s="44"/>
      <c r="G861" s="39"/>
      <c r="H861" s="39"/>
      <c r="I861" s="39"/>
      <c r="J861" s="39"/>
      <c r="K861" s="44"/>
      <c r="L861" s="44"/>
      <c r="M861" s="44"/>
      <c r="N861" s="44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5.75" customHeight="1">
      <c r="A862" s="39"/>
      <c r="B862" s="45"/>
      <c r="C862" s="46"/>
      <c r="D862" s="39"/>
      <c r="E862" s="39"/>
      <c r="F862" s="44"/>
      <c r="G862" s="39"/>
      <c r="H862" s="39"/>
      <c r="I862" s="39"/>
      <c r="J862" s="39"/>
      <c r="K862" s="44"/>
      <c r="L862" s="44"/>
      <c r="M862" s="44"/>
      <c r="N862" s="44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5.75" customHeight="1">
      <c r="A863" s="39"/>
      <c r="B863" s="45"/>
      <c r="C863" s="46"/>
      <c r="D863" s="39"/>
      <c r="E863" s="39"/>
      <c r="F863" s="44"/>
      <c r="G863" s="39"/>
      <c r="H863" s="39"/>
      <c r="I863" s="39"/>
      <c r="J863" s="39"/>
      <c r="K863" s="44"/>
      <c r="L863" s="44"/>
      <c r="M863" s="44"/>
      <c r="N863" s="44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5.75" customHeight="1">
      <c r="A864" s="39"/>
      <c r="B864" s="45"/>
      <c r="C864" s="46"/>
      <c r="D864" s="39"/>
      <c r="E864" s="39"/>
      <c r="F864" s="44"/>
      <c r="G864" s="39"/>
      <c r="H864" s="39"/>
      <c r="I864" s="39"/>
      <c r="J864" s="39"/>
      <c r="K864" s="44"/>
      <c r="L864" s="44"/>
      <c r="M864" s="44"/>
      <c r="N864" s="44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5.75" customHeight="1">
      <c r="A865" s="39"/>
      <c r="B865" s="45"/>
      <c r="C865" s="46"/>
      <c r="D865" s="39"/>
      <c r="E865" s="39"/>
      <c r="F865" s="44"/>
      <c r="G865" s="39"/>
      <c r="H865" s="39"/>
      <c r="I865" s="39"/>
      <c r="J865" s="39"/>
      <c r="K865" s="44"/>
      <c r="L865" s="44"/>
      <c r="M865" s="44"/>
      <c r="N865" s="44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5.75" customHeight="1">
      <c r="A866" s="39"/>
      <c r="B866" s="45"/>
      <c r="C866" s="46"/>
      <c r="D866" s="39"/>
      <c r="E866" s="39"/>
      <c r="F866" s="44"/>
      <c r="G866" s="39"/>
      <c r="H866" s="39"/>
      <c r="I866" s="39"/>
      <c r="J866" s="39"/>
      <c r="K866" s="44"/>
      <c r="L866" s="44"/>
      <c r="M866" s="44"/>
      <c r="N866" s="44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5.75" customHeight="1">
      <c r="A867" s="39"/>
      <c r="B867" s="45"/>
      <c r="C867" s="46"/>
      <c r="D867" s="39"/>
      <c r="E867" s="39"/>
      <c r="F867" s="44"/>
      <c r="G867" s="39"/>
      <c r="H867" s="39"/>
      <c r="I867" s="39"/>
      <c r="J867" s="39"/>
      <c r="K867" s="44"/>
      <c r="L867" s="44"/>
      <c r="M867" s="44"/>
      <c r="N867" s="44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5.75" customHeight="1">
      <c r="A868" s="39"/>
      <c r="B868" s="45"/>
      <c r="C868" s="46"/>
      <c r="D868" s="39"/>
      <c r="E868" s="39"/>
      <c r="F868" s="44"/>
      <c r="G868" s="39"/>
      <c r="H868" s="39"/>
      <c r="I868" s="39"/>
      <c r="J868" s="39"/>
      <c r="K868" s="44"/>
      <c r="L868" s="44"/>
      <c r="M868" s="44"/>
      <c r="N868" s="44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5.75" customHeight="1">
      <c r="A869" s="39"/>
      <c r="B869" s="45"/>
      <c r="C869" s="46"/>
      <c r="D869" s="39"/>
      <c r="E869" s="39"/>
      <c r="F869" s="44"/>
      <c r="G869" s="39"/>
      <c r="H869" s="39"/>
      <c r="I869" s="39"/>
      <c r="J869" s="39"/>
      <c r="K869" s="44"/>
      <c r="L869" s="44"/>
      <c r="M869" s="44"/>
      <c r="N869" s="44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5.75" customHeight="1">
      <c r="A870" s="39"/>
      <c r="B870" s="45"/>
      <c r="C870" s="46"/>
      <c r="D870" s="39"/>
      <c r="E870" s="39"/>
      <c r="F870" s="44"/>
      <c r="G870" s="39"/>
      <c r="H870" s="39"/>
      <c r="I870" s="39"/>
      <c r="J870" s="39"/>
      <c r="K870" s="44"/>
      <c r="L870" s="44"/>
      <c r="M870" s="44"/>
      <c r="N870" s="44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5.75" customHeight="1">
      <c r="A871" s="39"/>
      <c r="B871" s="45"/>
      <c r="C871" s="46"/>
      <c r="D871" s="39"/>
      <c r="E871" s="39"/>
      <c r="F871" s="44"/>
      <c r="G871" s="39"/>
      <c r="H871" s="39"/>
      <c r="I871" s="39"/>
      <c r="J871" s="39"/>
      <c r="K871" s="44"/>
      <c r="L871" s="44"/>
      <c r="M871" s="44"/>
      <c r="N871" s="44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5.75" customHeight="1">
      <c r="A872" s="39"/>
      <c r="B872" s="45"/>
      <c r="C872" s="46"/>
      <c r="D872" s="39"/>
      <c r="E872" s="39"/>
      <c r="F872" s="44"/>
      <c r="G872" s="39"/>
      <c r="H872" s="39"/>
      <c r="I872" s="39"/>
      <c r="J872" s="39"/>
      <c r="K872" s="44"/>
      <c r="L872" s="44"/>
      <c r="M872" s="44"/>
      <c r="N872" s="44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5.75" customHeight="1">
      <c r="A873" s="39"/>
      <c r="B873" s="45"/>
      <c r="C873" s="46"/>
      <c r="D873" s="39"/>
      <c r="E873" s="39"/>
      <c r="F873" s="44"/>
      <c r="G873" s="39"/>
      <c r="H873" s="39"/>
      <c r="I873" s="39"/>
      <c r="J873" s="39"/>
      <c r="K873" s="44"/>
      <c r="L873" s="44"/>
      <c r="M873" s="44"/>
      <c r="N873" s="44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5.75" customHeight="1">
      <c r="A874" s="39"/>
      <c r="B874" s="45"/>
      <c r="C874" s="46"/>
      <c r="D874" s="39"/>
      <c r="E874" s="39"/>
      <c r="F874" s="44"/>
      <c r="G874" s="39"/>
      <c r="H874" s="39"/>
      <c r="I874" s="39"/>
      <c r="J874" s="39"/>
      <c r="K874" s="44"/>
      <c r="L874" s="44"/>
      <c r="M874" s="44"/>
      <c r="N874" s="44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5.75" customHeight="1">
      <c r="A875" s="39"/>
      <c r="B875" s="45"/>
      <c r="C875" s="46"/>
      <c r="D875" s="39"/>
      <c r="E875" s="39"/>
      <c r="F875" s="44"/>
      <c r="G875" s="39"/>
      <c r="H875" s="39"/>
      <c r="I875" s="39"/>
      <c r="J875" s="39"/>
      <c r="K875" s="44"/>
      <c r="L875" s="44"/>
      <c r="M875" s="44"/>
      <c r="N875" s="44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5.75" customHeight="1">
      <c r="A876" s="39"/>
      <c r="B876" s="45"/>
      <c r="C876" s="46"/>
      <c r="D876" s="39"/>
      <c r="E876" s="39"/>
      <c r="F876" s="44"/>
      <c r="G876" s="39"/>
      <c r="H876" s="39"/>
      <c r="I876" s="39"/>
      <c r="J876" s="39"/>
      <c r="K876" s="44"/>
      <c r="L876" s="44"/>
      <c r="M876" s="44"/>
      <c r="N876" s="44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5.75" customHeight="1">
      <c r="A877" s="39"/>
      <c r="B877" s="45"/>
      <c r="C877" s="46"/>
      <c r="D877" s="39"/>
      <c r="E877" s="39"/>
      <c r="F877" s="44"/>
      <c r="G877" s="39"/>
      <c r="H877" s="39"/>
      <c r="I877" s="39"/>
      <c r="J877" s="39"/>
      <c r="K877" s="44"/>
      <c r="L877" s="44"/>
      <c r="M877" s="44"/>
      <c r="N877" s="44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5.75" customHeight="1">
      <c r="A878" s="39"/>
      <c r="B878" s="45"/>
      <c r="C878" s="46"/>
      <c r="D878" s="39"/>
      <c r="E878" s="39"/>
      <c r="F878" s="44"/>
      <c r="G878" s="39"/>
      <c r="H878" s="39"/>
      <c r="I878" s="39"/>
      <c r="J878" s="39"/>
      <c r="K878" s="44"/>
      <c r="L878" s="44"/>
      <c r="M878" s="44"/>
      <c r="N878" s="44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5.75" customHeight="1">
      <c r="A879" s="39"/>
      <c r="B879" s="45"/>
      <c r="C879" s="46"/>
      <c r="D879" s="39"/>
      <c r="E879" s="39"/>
      <c r="F879" s="44"/>
      <c r="G879" s="39"/>
      <c r="H879" s="39"/>
      <c r="I879" s="39"/>
      <c r="J879" s="39"/>
      <c r="K879" s="44"/>
      <c r="L879" s="44"/>
      <c r="M879" s="44"/>
      <c r="N879" s="44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5.75" customHeight="1">
      <c r="A880" s="39"/>
      <c r="B880" s="45"/>
      <c r="C880" s="46"/>
      <c r="D880" s="39"/>
      <c r="E880" s="39"/>
      <c r="F880" s="44"/>
      <c r="G880" s="39"/>
      <c r="H880" s="39"/>
      <c r="I880" s="39"/>
      <c r="J880" s="39"/>
      <c r="K880" s="44"/>
      <c r="L880" s="44"/>
      <c r="M880" s="44"/>
      <c r="N880" s="44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5.75" customHeight="1">
      <c r="A881" s="39"/>
      <c r="B881" s="45"/>
      <c r="C881" s="46"/>
      <c r="D881" s="39"/>
      <c r="E881" s="39"/>
      <c r="F881" s="44"/>
      <c r="G881" s="39"/>
      <c r="H881" s="39"/>
      <c r="I881" s="39"/>
      <c r="J881" s="39"/>
      <c r="K881" s="44"/>
      <c r="L881" s="44"/>
      <c r="M881" s="44"/>
      <c r="N881" s="44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5.75" customHeight="1">
      <c r="A882" s="39"/>
      <c r="B882" s="45"/>
      <c r="C882" s="46"/>
      <c r="D882" s="39"/>
      <c r="E882" s="39"/>
      <c r="F882" s="44"/>
      <c r="G882" s="39"/>
      <c r="H882" s="39"/>
      <c r="I882" s="39"/>
      <c r="J882" s="39"/>
      <c r="K882" s="44"/>
      <c r="L882" s="44"/>
      <c r="M882" s="44"/>
      <c r="N882" s="44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5.75" customHeight="1">
      <c r="A883" s="39"/>
      <c r="B883" s="45"/>
      <c r="C883" s="46"/>
      <c r="D883" s="39"/>
      <c r="E883" s="39"/>
      <c r="F883" s="44"/>
      <c r="G883" s="39"/>
      <c r="H883" s="39"/>
      <c r="I883" s="39"/>
      <c r="J883" s="39"/>
      <c r="K883" s="44"/>
      <c r="L883" s="44"/>
      <c r="M883" s="44"/>
      <c r="N883" s="44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5.75" customHeight="1">
      <c r="A884" s="39"/>
      <c r="B884" s="45"/>
      <c r="C884" s="46"/>
      <c r="D884" s="39"/>
      <c r="E884" s="39"/>
      <c r="F884" s="44"/>
      <c r="G884" s="39"/>
      <c r="H884" s="39"/>
      <c r="I884" s="39"/>
      <c r="J884" s="39"/>
      <c r="K884" s="44"/>
      <c r="L884" s="44"/>
      <c r="M884" s="44"/>
      <c r="N884" s="44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5.75" customHeight="1">
      <c r="A885" s="39"/>
      <c r="B885" s="45"/>
      <c r="C885" s="46"/>
      <c r="D885" s="39"/>
      <c r="E885" s="39"/>
      <c r="F885" s="44"/>
      <c r="G885" s="39"/>
      <c r="H885" s="39"/>
      <c r="I885" s="39"/>
      <c r="J885" s="39"/>
      <c r="K885" s="44"/>
      <c r="L885" s="44"/>
      <c r="M885" s="44"/>
      <c r="N885" s="44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5.75" customHeight="1">
      <c r="A886" s="39"/>
      <c r="B886" s="45"/>
      <c r="C886" s="46"/>
      <c r="D886" s="39"/>
      <c r="E886" s="39"/>
      <c r="F886" s="44"/>
      <c r="G886" s="39"/>
      <c r="H886" s="39"/>
      <c r="I886" s="39"/>
      <c r="J886" s="39"/>
      <c r="K886" s="44"/>
      <c r="L886" s="44"/>
      <c r="M886" s="44"/>
      <c r="N886" s="44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5.75" customHeight="1">
      <c r="A887" s="39"/>
      <c r="B887" s="45"/>
      <c r="C887" s="46"/>
      <c r="D887" s="39"/>
      <c r="E887" s="39"/>
      <c r="F887" s="44"/>
      <c r="G887" s="39"/>
      <c r="H887" s="39"/>
      <c r="I887" s="39"/>
      <c r="J887" s="39"/>
      <c r="K887" s="44"/>
      <c r="L887" s="44"/>
      <c r="M887" s="44"/>
      <c r="N887" s="44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5.75" customHeight="1">
      <c r="A888" s="39"/>
      <c r="B888" s="45"/>
      <c r="C888" s="46"/>
      <c r="D888" s="39"/>
      <c r="E888" s="39"/>
      <c r="F888" s="44"/>
      <c r="G888" s="39"/>
      <c r="H888" s="39"/>
      <c r="I888" s="39"/>
      <c r="J888" s="39"/>
      <c r="K888" s="44"/>
      <c r="L888" s="44"/>
      <c r="M888" s="44"/>
      <c r="N888" s="44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5.75" customHeight="1">
      <c r="A889" s="39"/>
      <c r="B889" s="45"/>
      <c r="C889" s="46"/>
      <c r="D889" s="39"/>
      <c r="E889" s="39"/>
      <c r="F889" s="44"/>
      <c r="G889" s="39"/>
      <c r="H889" s="39"/>
      <c r="I889" s="39"/>
      <c r="J889" s="39"/>
      <c r="K889" s="44"/>
      <c r="L889" s="44"/>
      <c r="M889" s="44"/>
      <c r="N889" s="44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5.75" customHeight="1">
      <c r="A890" s="39"/>
      <c r="B890" s="45"/>
      <c r="C890" s="46"/>
      <c r="D890" s="39"/>
      <c r="E890" s="39"/>
      <c r="F890" s="44"/>
      <c r="G890" s="39"/>
      <c r="H890" s="39"/>
      <c r="I890" s="39"/>
      <c r="J890" s="39"/>
      <c r="K890" s="44"/>
      <c r="L890" s="44"/>
      <c r="M890" s="44"/>
      <c r="N890" s="44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5.75" customHeight="1">
      <c r="A891" s="39"/>
      <c r="B891" s="45"/>
      <c r="C891" s="46"/>
      <c r="D891" s="39"/>
      <c r="E891" s="39"/>
      <c r="F891" s="44"/>
      <c r="G891" s="39"/>
      <c r="H891" s="39"/>
      <c r="I891" s="39"/>
      <c r="J891" s="39"/>
      <c r="K891" s="44"/>
      <c r="L891" s="44"/>
      <c r="M891" s="44"/>
      <c r="N891" s="44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5.75" customHeight="1">
      <c r="A892" s="39"/>
      <c r="B892" s="45"/>
      <c r="C892" s="46"/>
      <c r="D892" s="39"/>
      <c r="E892" s="39"/>
      <c r="F892" s="44"/>
      <c r="G892" s="39"/>
      <c r="H892" s="39"/>
      <c r="I892" s="39"/>
      <c r="J892" s="39"/>
      <c r="K892" s="44"/>
      <c r="L892" s="44"/>
      <c r="M892" s="44"/>
      <c r="N892" s="44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5.75" customHeight="1">
      <c r="A893" s="39"/>
      <c r="B893" s="45"/>
      <c r="C893" s="46"/>
      <c r="D893" s="39"/>
      <c r="E893" s="39"/>
      <c r="F893" s="44"/>
      <c r="G893" s="39"/>
      <c r="H893" s="39"/>
      <c r="I893" s="39"/>
      <c r="J893" s="39"/>
      <c r="K893" s="44"/>
      <c r="L893" s="44"/>
      <c r="M893" s="44"/>
      <c r="N893" s="44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5.75" customHeight="1">
      <c r="A894" s="39"/>
      <c r="B894" s="45"/>
      <c r="C894" s="46"/>
      <c r="D894" s="39"/>
      <c r="E894" s="39"/>
      <c r="F894" s="44"/>
      <c r="G894" s="39"/>
      <c r="H894" s="39"/>
      <c r="I894" s="39"/>
      <c r="J894" s="39"/>
      <c r="K894" s="44"/>
      <c r="L894" s="44"/>
      <c r="M894" s="44"/>
      <c r="N894" s="44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5.75" customHeight="1">
      <c r="A895" s="39"/>
      <c r="B895" s="45"/>
      <c r="C895" s="46"/>
      <c r="D895" s="39"/>
      <c r="E895" s="39"/>
      <c r="F895" s="44"/>
      <c r="G895" s="39"/>
      <c r="H895" s="39"/>
      <c r="I895" s="39"/>
      <c r="J895" s="39"/>
      <c r="K895" s="44"/>
      <c r="L895" s="44"/>
      <c r="M895" s="44"/>
      <c r="N895" s="44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5.75" customHeight="1">
      <c r="A896" s="39"/>
      <c r="B896" s="45"/>
      <c r="C896" s="46"/>
      <c r="D896" s="39"/>
      <c r="E896" s="39"/>
      <c r="F896" s="44"/>
      <c r="G896" s="39"/>
      <c r="H896" s="39"/>
      <c r="I896" s="39"/>
      <c r="J896" s="39"/>
      <c r="K896" s="44"/>
      <c r="L896" s="44"/>
      <c r="M896" s="44"/>
      <c r="N896" s="44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5.75" customHeight="1">
      <c r="A897" s="39"/>
      <c r="B897" s="45"/>
      <c r="C897" s="46"/>
      <c r="D897" s="39"/>
      <c r="E897" s="39"/>
      <c r="F897" s="44"/>
      <c r="G897" s="39"/>
      <c r="H897" s="39"/>
      <c r="I897" s="39"/>
      <c r="J897" s="39"/>
      <c r="K897" s="44"/>
      <c r="L897" s="44"/>
      <c r="M897" s="44"/>
      <c r="N897" s="44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5.75" customHeight="1">
      <c r="A898" s="39"/>
      <c r="B898" s="45"/>
      <c r="C898" s="46"/>
      <c r="D898" s="39"/>
      <c r="E898" s="39"/>
      <c r="F898" s="44"/>
      <c r="G898" s="39"/>
      <c r="H898" s="39"/>
      <c r="I898" s="39"/>
      <c r="J898" s="39"/>
      <c r="K898" s="44"/>
      <c r="L898" s="44"/>
      <c r="M898" s="44"/>
      <c r="N898" s="44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5.75" customHeight="1">
      <c r="A899" s="39"/>
      <c r="B899" s="45"/>
      <c r="C899" s="46"/>
      <c r="D899" s="39"/>
      <c r="E899" s="39"/>
      <c r="F899" s="44"/>
      <c r="G899" s="39"/>
      <c r="H899" s="39"/>
      <c r="I899" s="39"/>
      <c r="J899" s="39"/>
      <c r="K899" s="44"/>
      <c r="L899" s="44"/>
      <c r="M899" s="44"/>
      <c r="N899" s="44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5.75" customHeight="1">
      <c r="A900" s="39"/>
      <c r="B900" s="45"/>
      <c r="C900" s="46"/>
      <c r="D900" s="39"/>
      <c r="E900" s="39"/>
      <c r="F900" s="44"/>
      <c r="G900" s="39"/>
      <c r="H900" s="39"/>
      <c r="I900" s="39"/>
      <c r="J900" s="39"/>
      <c r="K900" s="44"/>
      <c r="L900" s="44"/>
      <c r="M900" s="44"/>
      <c r="N900" s="44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5.75" customHeight="1">
      <c r="A901" s="39"/>
      <c r="B901" s="45"/>
      <c r="C901" s="46"/>
      <c r="D901" s="39"/>
      <c r="E901" s="39"/>
      <c r="F901" s="44"/>
      <c r="G901" s="39"/>
      <c r="H901" s="39"/>
      <c r="I901" s="39"/>
      <c r="J901" s="39"/>
      <c r="K901" s="44"/>
      <c r="L901" s="44"/>
      <c r="M901" s="44"/>
      <c r="N901" s="44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5.75" customHeight="1">
      <c r="A902" s="39"/>
      <c r="B902" s="45"/>
      <c r="C902" s="46"/>
      <c r="D902" s="39"/>
      <c r="E902" s="39"/>
      <c r="F902" s="44"/>
      <c r="G902" s="39"/>
      <c r="H902" s="39"/>
      <c r="I902" s="39"/>
      <c r="J902" s="39"/>
      <c r="K902" s="44"/>
      <c r="L902" s="44"/>
      <c r="M902" s="44"/>
      <c r="N902" s="44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5.75" customHeight="1">
      <c r="A903" s="39"/>
      <c r="B903" s="45"/>
      <c r="C903" s="46"/>
      <c r="D903" s="39"/>
      <c r="E903" s="39"/>
      <c r="F903" s="44"/>
      <c r="G903" s="39"/>
      <c r="H903" s="39"/>
      <c r="I903" s="39"/>
      <c r="J903" s="39"/>
      <c r="K903" s="44"/>
      <c r="L903" s="44"/>
      <c r="M903" s="44"/>
      <c r="N903" s="44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5.75" customHeight="1">
      <c r="A904" s="39"/>
      <c r="B904" s="45"/>
      <c r="C904" s="46"/>
      <c r="D904" s="39"/>
      <c r="E904" s="39"/>
      <c r="F904" s="44"/>
      <c r="G904" s="39"/>
      <c r="H904" s="39"/>
      <c r="I904" s="39"/>
      <c r="J904" s="39"/>
      <c r="K904" s="44"/>
      <c r="L904" s="44"/>
      <c r="M904" s="44"/>
      <c r="N904" s="44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5.75" customHeight="1">
      <c r="A905" s="39"/>
      <c r="B905" s="45"/>
      <c r="C905" s="46"/>
      <c r="D905" s="39"/>
      <c r="E905" s="39"/>
      <c r="F905" s="44"/>
      <c r="G905" s="39"/>
      <c r="H905" s="39"/>
      <c r="I905" s="39"/>
      <c r="J905" s="39"/>
      <c r="K905" s="44"/>
      <c r="L905" s="44"/>
      <c r="M905" s="44"/>
      <c r="N905" s="44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5.75" customHeight="1">
      <c r="A906" s="39"/>
      <c r="B906" s="45"/>
      <c r="C906" s="46"/>
      <c r="D906" s="39"/>
      <c r="E906" s="39"/>
      <c r="F906" s="44"/>
      <c r="G906" s="39"/>
      <c r="H906" s="39"/>
      <c r="I906" s="39"/>
      <c r="J906" s="39"/>
      <c r="K906" s="44"/>
      <c r="L906" s="44"/>
      <c r="M906" s="44"/>
      <c r="N906" s="44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5.75" customHeight="1">
      <c r="A907" s="39"/>
      <c r="B907" s="45"/>
      <c r="C907" s="46"/>
      <c r="D907" s="39"/>
      <c r="E907" s="39"/>
      <c r="F907" s="44"/>
      <c r="G907" s="39"/>
      <c r="H907" s="39"/>
      <c r="I907" s="39"/>
      <c r="J907" s="39"/>
      <c r="K907" s="44"/>
      <c r="L907" s="44"/>
      <c r="M907" s="44"/>
      <c r="N907" s="44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5.75" customHeight="1">
      <c r="A908" s="39"/>
      <c r="B908" s="45"/>
      <c r="C908" s="46"/>
      <c r="D908" s="39"/>
      <c r="E908" s="39"/>
      <c r="F908" s="44"/>
      <c r="G908" s="39"/>
      <c r="H908" s="39"/>
      <c r="I908" s="39"/>
      <c r="J908" s="39"/>
      <c r="K908" s="44"/>
      <c r="L908" s="44"/>
      <c r="M908" s="44"/>
      <c r="N908" s="44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5.75" customHeight="1">
      <c r="A909" s="39"/>
      <c r="B909" s="45"/>
      <c r="C909" s="46"/>
      <c r="D909" s="39"/>
      <c r="E909" s="39"/>
      <c r="F909" s="44"/>
      <c r="G909" s="39"/>
      <c r="H909" s="39"/>
      <c r="I909" s="39"/>
      <c r="J909" s="39"/>
      <c r="K909" s="44"/>
      <c r="L909" s="44"/>
      <c r="M909" s="44"/>
      <c r="N909" s="44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5.75" customHeight="1">
      <c r="A910" s="39"/>
      <c r="B910" s="45"/>
      <c r="C910" s="46"/>
      <c r="D910" s="39"/>
      <c r="E910" s="39"/>
      <c r="F910" s="44"/>
      <c r="G910" s="39"/>
      <c r="H910" s="39"/>
      <c r="I910" s="39"/>
      <c r="J910" s="39"/>
      <c r="K910" s="44"/>
      <c r="L910" s="44"/>
      <c r="M910" s="44"/>
      <c r="N910" s="44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5.75" customHeight="1">
      <c r="A911" s="39"/>
      <c r="B911" s="45"/>
      <c r="C911" s="46"/>
      <c r="D911" s="39"/>
      <c r="E911" s="39"/>
      <c r="F911" s="44"/>
      <c r="G911" s="39"/>
      <c r="H911" s="39"/>
      <c r="I911" s="39"/>
      <c r="J911" s="39"/>
      <c r="K911" s="44"/>
      <c r="L911" s="44"/>
      <c r="M911" s="44"/>
      <c r="N911" s="44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5.75" customHeight="1">
      <c r="A912" s="39"/>
      <c r="B912" s="45"/>
      <c r="C912" s="46"/>
      <c r="D912" s="39"/>
      <c r="E912" s="39"/>
      <c r="F912" s="44"/>
      <c r="G912" s="39"/>
      <c r="H912" s="39"/>
      <c r="I912" s="39"/>
      <c r="J912" s="39"/>
      <c r="K912" s="44"/>
      <c r="L912" s="44"/>
      <c r="M912" s="44"/>
      <c r="N912" s="44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5.75" customHeight="1">
      <c r="A913" s="39"/>
      <c r="B913" s="45"/>
      <c r="C913" s="46"/>
      <c r="D913" s="39"/>
      <c r="E913" s="39"/>
      <c r="F913" s="44"/>
      <c r="G913" s="39"/>
      <c r="H913" s="39"/>
      <c r="I913" s="39"/>
      <c r="J913" s="39"/>
      <c r="K913" s="44"/>
      <c r="L913" s="44"/>
      <c r="M913" s="44"/>
      <c r="N913" s="44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5.75" customHeight="1">
      <c r="A914" s="39"/>
      <c r="B914" s="45"/>
      <c r="C914" s="46"/>
      <c r="D914" s="39"/>
      <c r="E914" s="39"/>
      <c r="F914" s="44"/>
      <c r="G914" s="39"/>
      <c r="H914" s="39"/>
      <c r="I914" s="39"/>
      <c r="J914" s="39"/>
      <c r="K914" s="44"/>
      <c r="L914" s="44"/>
      <c r="M914" s="44"/>
      <c r="N914" s="44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5.75" customHeight="1">
      <c r="A915" s="39"/>
      <c r="B915" s="45"/>
      <c r="C915" s="46"/>
      <c r="D915" s="39"/>
      <c r="E915" s="39"/>
      <c r="F915" s="44"/>
      <c r="G915" s="39"/>
      <c r="H915" s="39"/>
      <c r="I915" s="39"/>
      <c r="J915" s="39"/>
      <c r="K915" s="44"/>
      <c r="L915" s="44"/>
      <c r="M915" s="44"/>
      <c r="N915" s="44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5.75" customHeight="1">
      <c r="A916" s="39"/>
      <c r="B916" s="45"/>
      <c r="C916" s="46"/>
      <c r="D916" s="39"/>
      <c r="E916" s="39"/>
      <c r="F916" s="44"/>
      <c r="G916" s="39"/>
      <c r="H916" s="39"/>
      <c r="I916" s="39"/>
      <c r="J916" s="39"/>
      <c r="K916" s="44"/>
      <c r="L916" s="44"/>
      <c r="M916" s="44"/>
      <c r="N916" s="44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5.75" customHeight="1">
      <c r="A917" s="39"/>
      <c r="B917" s="45"/>
      <c r="C917" s="46"/>
      <c r="D917" s="39"/>
      <c r="E917" s="39"/>
      <c r="F917" s="44"/>
      <c r="G917" s="39"/>
      <c r="H917" s="39"/>
      <c r="I917" s="39"/>
      <c r="J917" s="39"/>
      <c r="K917" s="44"/>
      <c r="L917" s="44"/>
      <c r="M917" s="44"/>
      <c r="N917" s="44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5.75" customHeight="1">
      <c r="A918" s="39"/>
      <c r="B918" s="45"/>
      <c r="C918" s="46"/>
      <c r="D918" s="39"/>
      <c r="E918" s="39"/>
      <c r="F918" s="44"/>
      <c r="G918" s="39"/>
      <c r="H918" s="39"/>
      <c r="I918" s="39"/>
      <c r="J918" s="39"/>
      <c r="K918" s="44"/>
      <c r="L918" s="44"/>
      <c r="M918" s="44"/>
      <c r="N918" s="44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5.75" customHeight="1">
      <c r="A919" s="39"/>
      <c r="B919" s="45"/>
      <c r="C919" s="46"/>
      <c r="D919" s="39"/>
      <c r="E919" s="39"/>
      <c r="F919" s="44"/>
      <c r="G919" s="39"/>
      <c r="H919" s="39"/>
      <c r="I919" s="39"/>
      <c r="J919" s="39"/>
      <c r="K919" s="44"/>
      <c r="L919" s="44"/>
      <c r="M919" s="44"/>
      <c r="N919" s="44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5.75" customHeight="1">
      <c r="A920" s="39"/>
      <c r="B920" s="45"/>
      <c r="C920" s="46"/>
      <c r="D920" s="39"/>
      <c r="E920" s="39"/>
      <c r="F920" s="44"/>
      <c r="G920" s="39"/>
      <c r="H920" s="39"/>
      <c r="I920" s="39"/>
      <c r="J920" s="39"/>
      <c r="K920" s="44"/>
      <c r="L920" s="44"/>
      <c r="M920" s="44"/>
      <c r="N920" s="44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5.75" customHeight="1">
      <c r="A921" s="39"/>
      <c r="B921" s="45"/>
      <c r="C921" s="46"/>
      <c r="D921" s="39"/>
      <c r="E921" s="39"/>
      <c r="F921" s="44"/>
      <c r="G921" s="39"/>
      <c r="H921" s="39"/>
      <c r="I921" s="39"/>
      <c r="J921" s="39"/>
      <c r="K921" s="44"/>
      <c r="L921" s="44"/>
      <c r="M921" s="44"/>
      <c r="N921" s="44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5.75" customHeight="1">
      <c r="A922" s="39"/>
      <c r="B922" s="45"/>
      <c r="C922" s="46"/>
      <c r="D922" s="39"/>
      <c r="E922" s="39"/>
      <c r="F922" s="44"/>
      <c r="G922" s="39"/>
      <c r="H922" s="39"/>
      <c r="I922" s="39"/>
      <c r="J922" s="39"/>
      <c r="K922" s="44"/>
      <c r="L922" s="44"/>
      <c r="M922" s="44"/>
      <c r="N922" s="44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5.75" customHeight="1">
      <c r="A923" s="39"/>
      <c r="B923" s="45"/>
      <c r="C923" s="46"/>
      <c r="D923" s="39"/>
      <c r="E923" s="39"/>
      <c r="F923" s="44"/>
      <c r="G923" s="39"/>
      <c r="H923" s="39"/>
      <c r="I923" s="39"/>
      <c r="J923" s="39"/>
      <c r="K923" s="44"/>
      <c r="L923" s="44"/>
      <c r="M923" s="44"/>
      <c r="N923" s="44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5.75" customHeight="1">
      <c r="A924" s="39"/>
      <c r="B924" s="45"/>
      <c r="C924" s="46"/>
      <c r="D924" s="39"/>
      <c r="E924" s="39"/>
      <c r="F924" s="44"/>
      <c r="G924" s="39"/>
      <c r="H924" s="39"/>
      <c r="I924" s="39"/>
      <c r="J924" s="39"/>
      <c r="K924" s="44"/>
      <c r="L924" s="44"/>
      <c r="M924" s="44"/>
      <c r="N924" s="44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5.75" customHeight="1">
      <c r="A925" s="39"/>
      <c r="B925" s="45"/>
      <c r="C925" s="46"/>
      <c r="D925" s="39"/>
      <c r="E925" s="39"/>
      <c r="F925" s="44"/>
      <c r="G925" s="39"/>
      <c r="H925" s="39"/>
      <c r="I925" s="39"/>
      <c r="J925" s="39"/>
      <c r="K925" s="44"/>
      <c r="L925" s="44"/>
      <c r="M925" s="44"/>
      <c r="N925" s="44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5.75" customHeight="1">
      <c r="A926" s="39"/>
      <c r="B926" s="45"/>
      <c r="C926" s="46"/>
      <c r="D926" s="39"/>
      <c r="E926" s="39"/>
      <c r="F926" s="44"/>
      <c r="G926" s="39"/>
      <c r="H926" s="39"/>
      <c r="I926" s="39"/>
      <c r="J926" s="39"/>
      <c r="K926" s="44"/>
      <c r="L926" s="44"/>
      <c r="M926" s="44"/>
      <c r="N926" s="44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5.75" customHeight="1">
      <c r="A927" s="39"/>
      <c r="B927" s="45"/>
      <c r="C927" s="46"/>
      <c r="D927" s="39"/>
      <c r="E927" s="39"/>
      <c r="F927" s="44"/>
      <c r="G927" s="39"/>
      <c r="H927" s="39"/>
      <c r="I927" s="39"/>
      <c r="J927" s="39"/>
      <c r="K927" s="44"/>
      <c r="L927" s="44"/>
      <c r="M927" s="44"/>
      <c r="N927" s="44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5.75" customHeight="1">
      <c r="A928" s="39"/>
      <c r="B928" s="45"/>
      <c r="C928" s="46"/>
      <c r="D928" s="39"/>
      <c r="E928" s="39"/>
      <c r="F928" s="44"/>
      <c r="G928" s="39"/>
      <c r="H928" s="39"/>
      <c r="I928" s="39"/>
      <c r="J928" s="39"/>
      <c r="K928" s="44"/>
      <c r="L928" s="44"/>
      <c r="M928" s="44"/>
      <c r="N928" s="44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5.75" customHeight="1">
      <c r="A929" s="39"/>
      <c r="B929" s="45"/>
      <c r="C929" s="46"/>
      <c r="D929" s="39"/>
      <c r="E929" s="39"/>
      <c r="F929" s="44"/>
      <c r="G929" s="39"/>
      <c r="H929" s="39"/>
      <c r="I929" s="39"/>
      <c r="J929" s="39"/>
      <c r="K929" s="44"/>
      <c r="L929" s="44"/>
      <c r="M929" s="44"/>
      <c r="N929" s="44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5.75" customHeight="1">
      <c r="A930" s="39"/>
      <c r="B930" s="45"/>
      <c r="C930" s="46"/>
      <c r="D930" s="39"/>
      <c r="E930" s="39"/>
      <c r="F930" s="44"/>
      <c r="G930" s="39"/>
      <c r="H930" s="39"/>
      <c r="I930" s="39"/>
      <c r="J930" s="39"/>
      <c r="K930" s="44"/>
      <c r="L930" s="44"/>
      <c r="M930" s="44"/>
      <c r="N930" s="44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5.75" customHeight="1">
      <c r="A931" s="39"/>
      <c r="B931" s="45"/>
      <c r="C931" s="46"/>
      <c r="D931" s="39"/>
      <c r="E931" s="39"/>
      <c r="F931" s="44"/>
      <c r="G931" s="39"/>
      <c r="H931" s="39"/>
      <c r="I931" s="39"/>
      <c r="J931" s="39"/>
      <c r="K931" s="44"/>
      <c r="L931" s="44"/>
      <c r="M931" s="44"/>
      <c r="N931" s="44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5.75" customHeight="1">
      <c r="A932" s="39"/>
      <c r="B932" s="45"/>
      <c r="C932" s="46"/>
      <c r="D932" s="39"/>
      <c r="E932" s="39"/>
      <c r="F932" s="44"/>
      <c r="G932" s="39"/>
      <c r="H932" s="39"/>
      <c r="I932" s="39"/>
      <c r="J932" s="39"/>
      <c r="K932" s="44"/>
      <c r="L932" s="44"/>
      <c r="M932" s="44"/>
      <c r="N932" s="44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5.75" customHeight="1">
      <c r="A933" s="39"/>
      <c r="B933" s="45"/>
      <c r="C933" s="46"/>
      <c r="D933" s="39"/>
      <c r="E933" s="39"/>
      <c r="F933" s="44"/>
      <c r="G933" s="39"/>
      <c r="H933" s="39"/>
      <c r="I933" s="39"/>
      <c r="J933" s="39"/>
      <c r="K933" s="44"/>
      <c r="L933" s="44"/>
      <c r="M933" s="44"/>
      <c r="N933" s="44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5.75" customHeight="1">
      <c r="A934" s="39"/>
      <c r="B934" s="45"/>
      <c r="C934" s="46"/>
      <c r="D934" s="39"/>
      <c r="E934" s="39"/>
      <c r="F934" s="44"/>
      <c r="G934" s="39"/>
      <c r="H934" s="39"/>
      <c r="I934" s="39"/>
      <c r="J934" s="39"/>
      <c r="K934" s="44"/>
      <c r="L934" s="44"/>
      <c r="M934" s="44"/>
      <c r="N934" s="44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5.75" customHeight="1">
      <c r="A935" s="39"/>
      <c r="B935" s="45"/>
      <c r="C935" s="46"/>
      <c r="D935" s="39"/>
      <c r="E935" s="39"/>
      <c r="F935" s="44"/>
      <c r="G935" s="39"/>
      <c r="H935" s="39"/>
      <c r="I935" s="39"/>
      <c r="J935" s="39"/>
      <c r="K935" s="44"/>
      <c r="L935" s="44"/>
      <c r="M935" s="44"/>
      <c r="N935" s="44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5.75" customHeight="1">
      <c r="A936" s="39"/>
      <c r="B936" s="45"/>
      <c r="C936" s="46"/>
      <c r="D936" s="39"/>
      <c r="E936" s="39"/>
      <c r="F936" s="44"/>
      <c r="G936" s="39"/>
      <c r="H936" s="39"/>
      <c r="I936" s="39"/>
      <c r="J936" s="39"/>
      <c r="K936" s="44"/>
      <c r="L936" s="44"/>
      <c r="M936" s="44"/>
      <c r="N936" s="44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5.75" customHeight="1">
      <c r="A937" s="39"/>
      <c r="B937" s="45"/>
      <c r="C937" s="46"/>
      <c r="D937" s="39"/>
      <c r="E937" s="39"/>
      <c r="F937" s="44"/>
      <c r="G937" s="39"/>
      <c r="H937" s="39"/>
      <c r="I937" s="39"/>
      <c r="J937" s="39"/>
      <c r="K937" s="44"/>
      <c r="L937" s="44"/>
      <c r="M937" s="44"/>
      <c r="N937" s="44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5.75" customHeight="1">
      <c r="A938" s="39"/>
      <c r="B938" s="45"/>
      <c r="C938" s="46"/>
      <c r="D938" s="39"/>
      <c r="E938" s="39"/>
      <c r="F938" s="44"/>
      <c r="G938" s="39"/>
      <c r="H938" s="39"/>
      <c r="I938" s="39"/>
      <c r="J938" s="39"/>
      <c r="K938" s="44"/>
      <c r="L938" s="44"/>
      <c r="M938" s="44"/>
      <c r="N938" s="44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5.75" customHeight="1">
      <c r="A939" s="39"/>
      <c r="B939" s="45"/>
      <c r="C939" s="46"/>
      <c r="D939" s="39"/>
      <c r="E939" s="39"/>
      <c r="F939" s="44"/>
      <c r="G939" s="39"/>
      <c r="H939" s="39"/>
      <c r="I939" s="39"/>
      <c r="J939" s="39"/>
      <c r="K939" s="44"/>
      <c r="L939" s="44"/>
      <c r="M939" s="44"/>
      <c r="N939" s="44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5.75" customHeight="1">
      <c r="A940" s="39"/>
      <c r="B940" s="45"/>
      <c r="C940" s="46"/>
      <c r="D940" s="39"/>
      <c r="E940" s="39"/>
      <c r="F940" s="44"/>
      <c r="G940" s="39"/>
      <c r="H940" s="39"/>
      <c r="I940" s="39"/>
      <c r="J940" s="39"/>
      <c r="K940" s="44"/>
      <c r="L940" s="44"/>
      <c r="M940" s="44"/>
      <c r="N940" s="44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5.75" customHeight="1">
      <c r="A941" s="39"/>
      <c r="B941" s="45"/>
      <c r="C941" s="46"/>
      <c r="D941" s="39"/>
      <c r="E941" s="39"/>
      <c r="F941" s="44"/>
      <c r="G941" s="39"/>
      <c r="H941" s="39"/>
      <c r="I941" s="39"/>
      <c r="J941" s="39"/>
      <c r="K941" s="44"/>
      <c r="L941" s="44"/>
      <c r="M941" s="44"/>
      <c r="N941" s="44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5.75" customHeight="1">
      <c r="A942" s="39"/>
      <c r="B942" s="45"/>
      <c r="C942" s="46"/>
      <c r="D942" s="39"/>
      <c r="E942" s="39"/>
      <c r="F942" s="44"/>
      <c r="G942" s="39"/>
      <c r="H942" s="39"/>
      <c r="I942" s="39"/>
      <c r="J942" s="39"/>
      <c r="K942" s="44"/>
      <c r="L942" s="44"/>
      <c r="M942" s="44"/>
      <c r="N942" s="44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5.75" customHeight="1">
      <c r="A943" s="39"/>
      <c r="B943" s="45"/>
      <c r="C943" s="46"/>
      <c r="D943" s="39"/>
      <c r="E943" s="39"/>
      <c r="F943" s="44"/>
      <c r="G943" s="39"/>
      <c r="H943" s="39"/>
      <c r="I943" s="39"/>
      <c r="J943" s="39"/>
      <c r="K943" s="44"/>
      <c r="L943" s="44"/>
      <c r="M943" s="44"/>
      <c r="N943" s="44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5.75" customHeight="1">
      <c r="A944" s="39"/>
      <c r="B944" s="45"/>
      <c r="C944" s="46"/>
      <c r="D944" s="39"/>
      <c r="E944" s="39"/>
      <c r="F944" s="44"/>
      <c r="G944" s="39"/>
      <c r="H944" s="39"/>
      <c r="I944" s="39"/>
      <c r="J944" s="39"/>
      <c r="K944" s="44"/>
      <c r="L944" s="44"/>
      <c r="M944" s="44"/>
      <c r="N944" s="44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5.75" customHeight="1">
      <c r="A945" s="39"/>
      <c r="B945" s="45"/>
      <c r="C945" s="46"/>
      <c r="D945" s="39"/>
      <c r="E945" s="39"/>
      <c r="F945" s="44"/>
      <c r="G945" s="39"/>
      <c r="H945" s="39"/>
      <c r="I945" s="39"/>
      <c r="J945" s="39"/>
      <c r="K945" s="44"/>
      <c r="L945" s="44"/>
      <c r="M945" s="44"/>
      <c r="N945" s="44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5.75" customHeight="1">
      <c r="A946" s="39"/>
      <c r="B946" s="45"/>
      <c r="C946" s="46"/>
      <c r="D946" s="39"/>
      <c r="E946" s="39"/>
      <c r="F946" s="44"/>
      <c r="G946" s="39"/>
      <c r="H946" s="39"/>
      <c r="I946" s="39"/>
      <c r="J946" s="39"/>
      <c r="K946" s="44"/>
      <c r="L946" s="44"/>
      <c r="M946" s="44"/>
      <c r="N946" s="44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5.75" customHeight="1">
      <c r="A947" s="39"/>
      <c r="B947" s="45"/>
      <c r="C947" s="46"/>
      <c r="D947" s="39"/>
      <c r="E947" s="39"/>
      <c r="F947" s="44"/>
      <c r="G947" s="39"/>
      <c r="H947" s="39"/>
      <c r="I947" s="39"/>
      <c r="J947" s="39"/>
      <c r="K947" s="44"/>
      <c r="L947" s="44"/>
      <c r="M947" s="44"/>
      <c r="N947" s="44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5.75" customHeight="1">
      <c r="A948" s="39"/>
      <c r="B948" s="45"/>
      <c r="C948" s="46"/>
      <c r="D948" s="39"/>
      <c r="E948" s="39"/>
      <c r="F948" s="44"/>
      <c r="G948" s="39"/>
      <c r="H948" s="39"/>
      <c r="I948" s="39"/>
      <c r="J948" s="39"/>
      <c r="K948" s="44"/>
      <c r="L948" s="44"/>
      <c r="M948" s="44"/>
      <c r="N948" s="44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5.75" customHeight="1">
      <c r="A949" s="39"/>
      <c r="B949" s="45"/>
      <c r="C949" s="46"/>
      <c r="D949" s="39"/>
      <c r="E949" s="39"/>
      <c r="F949" s="44"/>
      <c r="G949" s="39"/>
      <c r="H949" s="39"/>
      <c r="I949" s="39"/>
      <c r="J949" s="39"/>
      <c r="K949" s="44"/>
      <c r="L949" s="44"/>
      <c r="M949" s="44"/>
      <c r="N949" s="44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5.75" customHeight="1">
      <c r="A950" s="39"/>
      <c r="B950" s="45"/>
      <c r="C950" s="46"/>
      <c r="D950" s="39"/>
      <c r="E950" s="39"/>
      <c r="F950" s="44"/>
      <c r="G950" s="39"/>
      <c r="H950" s="39"/>
      <c r="I950" s="39"/>
      <c r="J950" s="39"/>
      <c r="K950" s="44"/>
      <c r="L950" s="44"/>
      <c r="M950" s="44"/>
      <c r="N950" s="44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5.75" customHeight="1">
      <c r="A951" s="39"/>
      <c r="B951" s="45"/>
      <c r="C951" s="46"/>
      <c r="D951" s="39"/>
      <c r="E951" s="39"/>
      <c r="F951" s="44"/>
      <c r="G951" s="39"/>
      <c r="H951" s="39"/>
      <c r="I951" s="39"/>
      <c r="J951" s="39"/>
      <c r="K951" s="44"/>
      <c r="L951" s="44"/>
      <c r="M951" s="44"/>
      <c r="N951" s="44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5.75" customHeight="1">
      <c r="A952" s="39"/>
      <c r="B952" s="45"/>
      <c r="C952" s="46"/>
      <c r="D952" s="39"/>
      <c r="E952" s="39"/>
      <c r="F952" s="44"/>
      <c r="G952" s="39"/>
      <c r="H952" s="39"/>
      <c r="I952" s="39"/>
      <c r="J952" s="39"/>
      <c r="K952" s="44"/>
      <c r="L952" s="44"/>
      <c r="M952" s="44"/>
      <c r="N952" s="44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5.75" customHeight="1">
      <c r="A953" s="39"/>
      <c r="B953" s="45"/>
      <c r="C953" s="46"/>
      <c r="D953" s="39"/>
      <c r="E953" s="39"/>
      <c r="F953" s="44"/>
      <c r="G953" s="39"/>
      <c r="H953" s="39"/>
      <c r="I953" s="39"/>
      <c r="J953" s="39"/>
      <c r="K953" s="44"/>
      <c r="L953" s="44"/>
      <c r="M953" s="44"/>
      <c r="N953" s="44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5.75" customHeight="1">
      <c r="A954" s="39"/>
      <c r="B954" s="45"/>
      <c r="C954" s="46"/>
      <c r="D954" s="39"/>
      <c r="E954" s="39"/>
      <c r="F954" s="44"/>
      <c r="G954" s="39"/>
      <c r="H954" s="39"/>
      <c r="I954" s="39"/>
      <c r="J954" s="39"/>
      <c r="K954" s="44"/>
      <c r="L954" s="44"/>
      <c r="M954" s="44"/>
      <c r="N954" s="44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5.75" customHeight="1">
      <c r="A955" s="39"/>
      <c r="B955" s="45"/>
      <c r="C955" s="46"/>
      <c r="D955" s="39"/>
      <c r="E955" s="39"/>
      <c r="F955" s="44"/>
      <c r="G955" s="39"/>
      <c r="H955" s="39"/>
      <c r="I955" s="39"/>
      <c r="J955" s="39"/>
      <c r="K955" s="44"/>
      <c r="L955" s="44"/>
      <c r="M955" s="44"/>
      <c r="N955" s="44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5.75" customHeight="1">
      <c r="A956" s="39"/>
      <c r="B956" s="45"/>
      <c r="C956" s="46"/>
      <c r="D956" s="39"/>
      <c r="E956" s="39"/>
      <c r="F956" s="44"/>
      <c r="G956" s="39"/>
      <c r="H956" s="39"/>
      <c r="I956" s="39"/>
      <c r="J956" s="39"/>
      <c r="K956" s="44"/>
      <c r="L956" s="44"/>
      <c r="M956" s="44"/>
      <c r="N956" s="44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5.75" customHeight="1">
      <c r="A957" s="39"/>
      <c r="B957" s="45"/>
      <c r="C957" s="46"/>
      <c r="D957" s="39"/>
      <c r="E957" s="39"/>
      <c r="F957" s="44"/>
      <c r="G957" s="39"/>
      <c r="H957" s="39"/>
      <c r="I957" s="39"/>
      <c r="J957" s="39"/>
      <c r="K957" s="44"/>
      <c r="L957" s="44"/>
      <c r="M957" s="44"/>
      <c r="N957" s="44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5.75" customHeight="1">
      <c r="A958" s="39"/>
      <c r="B958" s="45"/>
      <c r="C958" s="46"/>
      <c r="D958" s="39"/>
      <c r="E958" s="39"/>
      <c r="F958" s="44"/>
      <c r="G958" s="39"/>
      <c r="H958" s="39"/>
      <c r="I958" s="39"/>
      <c r="J958" s="39"/>
      <c r="K958" s="44"/>
      <c r="L958" s="44"/>
      <c r="M958" s="44"/>
      <c r="N958" s="44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5.75" customHeight="1">
      <c r="A959" s="39"/>
      <c r="B959" s="45"/>
      <c r="C959" s="46"/>
      <c r="D959" s="39"/>
      <c r="E959" s="39"/>
      <c r="F959" s="44"/>
      <c r="G959" s="39"/>
      <c r="H959" s="39"/>
      <c r="I959" s="39"/>
      <c r="J959" s="39"/>
      <c r="K959" s="44"/>
      <c r="L959" s="44"/>
      <c r="M959" s="44"/>
      <c r="N959" s="44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5.75" customHeight="1">
      <c r="A960" s="39"/>
      <c r="B960" s="45"/>
      <c r="C960" s="46"/>
      <c r="D960" s="39"/>
      <c r="E960" s="39"/>
      <c r="F960" s="44"/>
      <c r="G960" s="39"/>
      <c r="H960" s="39"/>
      <c r="I960" s="39"/>
      <c r="J960" s="39"/>
      <c r="K960" s="44"/>
      <c r="L960" s="44"/>
      <c r="M960" s="44"/>
      <c r="N960" s="44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5.75" customHeight="1">
      <c r="A961" s="39"/>
      <c r="B961" s="45"/>
      <c r="C961" s="46"/>
      <c r="D961" s="39"/>
      <c r="E961" s="39"/>
      <c r="F961" s="44"/>
      <c r="G961" s="39"/>
      <c r="H961" s="39"/>
      <c r="I961" s="39"/>
      <c r="J961" s="39"/>
      <c r="K961" s="44"/>
      <c r="L961" s="44"/>
      <c r="M961" s="44"/>
      <c r="N961" s="44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5.75" customHeight="1">
      <c r="A962" s="39"/>
      <c r="B962" s="45"/>
      <c r="C962" s="46"/>
      <c r="D962" s="39"/>
      <c r="E962" s="39"/>
      <c r="F962" s="44"/>
      <c r="G962" s="39"/>
      <c r="H962" s="39"/>
      <c r="I962" s="39"/>
      <c r="J962" s="39"/>
      <c r="K962" s="44"/>
      <c r="L962" s="44"/>
      <c r="M962" s="44"/>
      <c r="N962" s="44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5.75" customHeight="1">
      <c r="A963" s="39"/>
      <c r="B963" s="45"/>
      <c r="C963" s="46"/>
      <c r="D963" s="39"/>
      <c r="E963" s="39"/>
      <c r="F963" s="44"/>
      <c r="G963" s="39"/>
      <c r="H963" s="39"/>
      <c r="I963" s="39"/>
      <c r="J963" s="39"/>
      <c r="K963" s="44"/>
      <c r="L963" s="44"/>
      <c r="M963" s="44"/>
      <c r="N963" s="44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5.75" customHeight="1">
      <c r="A964" s="39"/>
      <c r="B964" s="45"/>
      <c r="C964" s="46"/>
      <c r="D964" s="39"/>
      <c r="E964" s="39"/>
      <c r="F964" s="44"/>
      <c r="G964" s="39"/>
      <c r="H964" s="39"/>
      <c r="I964" s="39"/>
      <c r="J964" s="39"/>
      <c r="K964" s="44"/>
      <c r="L964" s="44"/>
      <c r="M964" s="44"/>
      <c r="N964" s="44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5.75" customHeight="1">
      <c r="A965" s="39"/>
      <c r="B965" s="45"/>
      <c r="C965" s="46"/>
      <c r="D965" s="39"/>
      <c r="E965" s="39"/>
      <c r="F965" s="44"/>
      <c r="G965" s="39"/>
      <c r="H965" s="39"/>
      <c r="I965" s="39"/>
      <c r="J965" s="39"/>
      <c r="K965" s="44"/>
      <c r="L965" s="44"/>
      <c r="M965" s="44"/>
      <c r="N965" s="44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5.75" customHeight="1">
      <c r="A966" s="39"/>
      <c r="B966" s="45"/>
      <c r="C966" s="46"/>
      <c r="D966" s="39"/>
      <c r="E966" s="39"/>
      <c r="F966" s="44"/>
      <c r="G966" s="39"/>
      <c r="H966" s="39"/>
      <c r="I966" s="39"/>
      <c r="J966" s="39"/>
      <c r="K966" s="44"/>
      <c r="L966" s="44"/>
      <c r="M966" s="44"/>
      <c r="N966" s="44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5.75" customHeight="1">
      <c r="A967" s="39"/>
      <c r="B967" s="45"/>
      <c r="C967" s="46"/>
      <c r="D967" s="39"/>
      <c r="E967" s="39"/>
      <c r="F967" s="44"/>
      <c r="G967" s="39"/>
      <c r="H967" s="39"/>
      <c r="I967" s="39"/>
      <c r="J967" s="39"/>
      <c r="K967" s="44"/>
      <c r="L967" s="44"/>
      <c r="M967" s="44"/>
      <c r="N967" s="44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5.75" customHeight="1">
      <c r="A968" s="39"/>
      <c r="B968" s="45"/>
      <c r="C968" s="46"/>
      <c r="D968" s="39"/>
      <c r="E968" s="39"/>
      <c r="F968" s="44"/>
      <c r="G968" s="39"/>
      <c r="H968" s="39"/>
      <c r="I968" s="39"/>
      <c r="J968" s="39"/>
      <c r="K968" s="44"/>
      <c r="L968" s="44"/>
      <c r="M968" s="44"/>
      <c r="N968" s="44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5.75" customHeight="1">
      <c r="A969" s="39"/>
      <c r="B969" s="45"/>
      <c r="C969" s="46"/>
      <c r="D969" s="39"/>
      <c r="E969" s="39"/>
      <c r="F969" s="44"/>
      <c r="G969" s="39"/>
      <c r="H969" s="39"/>
      <c r="I969" s="39"/>
      <c r="J969" s="39"/>
      <c r="K969" s="44"/>
      <c r="L969" s="44"/>
      <c r="M969" s="44"/>
      <c r="N969" s="44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5.75" customHeight="1">
      <c r="A970" s="39"/>
      <c r="B970" s="45"/>
      <c r="C970" s="46"/>
      <c r="D970" s="39"/>
      <c r="E970" s="39"/>
      <c r="F970" s="44"/>
      <c r="G970" s="39"/>
      <c r="H970" s="39"/>
      <c r="I970" s="39"/>
      <c r="J970" s="39"/>
      <c r="K970" s="44"/>
      <c r="L970" s="44"/>
      <c r="M970" s="44"/>
      <c r="N970" s="44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5.75" customHeight="1">
      <c r="A971" s="39"/>
      <c r="B971" s="45"/>
      <c r="C971" s="46"/>
      <c r="D971" s="39"/>
      <c r="E971" s="39"/>
      <c r="F971" s="44"/>
      <c r="G971" s="39"/>
      <c r="H971" s="39"/>
      <c r="I971" s="39"/>
      <c r="J971" s="39"/>
      <c r="K971" s="44"/>
      <c r="L971" s="44"/>
      <c r="M971" s="44"/>
      <c r="N971" s="44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5.75" customHeight="1">
      <c r="A972" s="39"/>
      <c r="B972" s="45"/>
      <c r="C972" s="46"/>
      <c r="D972" s="39"/>
      <c r="E972" s="39"/>
      <c r="F972" s="44"/>
      <c r="G972" s="39"/>
      <c r="H972" s="39"/>
      <c r="I972" s="39"/>
      <c r="J972" s="39"/>
      <c r="K972" s="44"/>
      <c r="L972" s="44"/>
      <c r="M972" s="44"/>
      <c r="N972" s="44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5.75" customHeight="1">
      <c r="A973" s="39"/>
      <c r="B973" s="45"/>
      <c r="C973" s="46"/>
      <c r="D973" s="39"/>
      <c r="E973" s="39"/>
      <c r="F973" s="44"/>
      <c r="G973" s="39"/>
      <c r="H973" s="39"/>
      <c r="I973" s="39"/>
      <c r="J973" s="39"/>
      <c r="K973" s="44"/>
      <c r="L973" s="44"/>
      <c r="M973" s="44"/>
      <c r="N973" s="44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5.75" customHeight="1">
      <c r="A974" s="39"/>
      <c r="B974" s="45"/>
      <c r="C974" s="46"/>
      <c r="D974" s="39"/>
      <c r="E974" s="39"/>
      <c r="F974" s="44"/>
      <c r="G974" s="39"/>
      <c r="H974" s="39"/>
      <c r="I974" s="39"/>
      <c r="J974" s="39"/>
      <c r="K974" s="44"/>
      <c r="L974" s="44"/>
      <c r="M974" s="44"/>
      <c r="N974" s="44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5.75" customHeight="1">
      <c r="A975" s="39"/>
      <c r="B975" s="45"/>
      <c r="C975" s="46"/>
      <c r="D975" s="39"/>
      <c r="E975" s="39"/>
      <c r="F975" s="44"/>
      <c r="G975" s="39"/>
      <c r="H975" s="39"/>
      <c r="I975" s="39"/>
      <c r="J975" s="39"/>
      <c r="K975" s="44"/>
      <c r="L975" s="44"/>
      <c r="M975" s="44"/>
      <c r="N975" s="44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5.75" customHeight="1">
      <c r="A976" s="39"/>
      <c r="B976" s="45"/>
      <c r="C976" s="46"/>
      <c r="D976" s="39"/>
      <c r="E976" s="39"/>
      <c r="F976" s="44"/>
      <c r="G976" s="39"/>
      <c r="H976" s="39"/>
      <c r="I976" s="39"/>
      <c r="J976" s="39"/>
      <c r="K976" s="44"/>
      <c r="L976" s="44"/>
      <c r="M976" s="44"/>
      <c r="N976" s="44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5.75" customHeight="1">
      <c r="A977" s="39"/>
      <c r="B977" s="45"/>
      <c r="C977" s="46"/>
      <c r="D977" s="39"/>
      <c r="E977" s="39"/>
      <c r="F977" s="44"/>
      <c r="G977" s="39"/>
      <c r="H977" s="39"/>
      <c r="I977" s="39"/>
      <c r="J977" s="39"/>
      <c r="K977" s="44"/>
      <c r="L977" s="44"/>
      <c r="M977" s="44"/>
      <c r="N977" s="44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5.75" customHeight="1">
      <c r="A978" s="39"/>
      <c r="B978" s="45"/>
      <c r="C978" s="46"/>
      <c r="D978" s="39"/>
      <c r="E978" s="39"/>
      <c r="F978" s="44"/>
      <c r="G978" s="39"/>
      <c r="H978" s="39"/>
      <c r="I978" s="39"/>
      <c r="J978" s="39"/>
      <c r="K978" s="44"/>
      <c r="L978" s="44"/>
      <c r="M978" s="44"/>
      <c r="N978" s="44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5.75" customHeight="1">
      <c r="A979" s="39"/>
      <c r="B979" s="45"/>
      <c r="C979" s="46"/>
      <c r="D979" s="39"/>
      <c r="E979" s="39"/>
      <c r="F979" s="44"/>
      <c r="G979" s="39"/>
      <c r="H979" s="39"/>
      <c r="I979" s="39"/>
      <c r="J979" s="39"/>
      <c r="K979" s="44"/>
      <c r="L979" s="44"/>
      <c r="M979" s="44"/>
      <c r="N979" s="44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5.75" customHeight="1">
      <c r="A980" s="39"/>
      <c r="B980" s="45"/>
      <c r="C980" s="46"/>
      <c r="D980" s="39"/>
      <c r="E980" s="39"/>
      <c r="F980" s="44"/>
      <c r="G980" s="39"/>
      <c r="H980" s="39"/>
      <c r="I980" s="39"/>
      <c r="J980" s="39"/>
      <c r="K980" s="44"/>
      <c r="L980" s="44"/>
      <c r="M980" s="44"/>
      <c r="N980" s="44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5.75" customHeight="1">
      <c r="A981" s="39"/>
      <c r="B981" s="45"/>
      <c r="C981" s="46"/>
      <c r="D981" s="39"/>
      <c r="E981" s="39"/>
      <c r="F981" s="44"/>
      <c r="G981" s="39"/>
      <c r="H981" s="39"/>
      <c r="I981" s="39"/>
      <c r="J981" s="39"/>
      <c r="K981" s="44"/>
      <c r="L981" s="44"/>
      <c r="M981" s="44"/>
      <c r="N981" s="44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5.75" customHeight="1">
      <c r="A982" s="39"/>
      <c r="B982" s="45"/>
      <c r="C982" s="46"/>
      <c r="D982" s="39"/>
      <c r="E982" s="39"/>
      <c r="F982" s="44"/>
      <c r="G982" s="39"/>
      <c r="H982" s="39"/>
      <c r="I982" s="39"/>
      <c r="J982" s="39"/>
      <c r="K982" s="44"/>
      <c r="L982" s="44"/>
      <c r="M982" s="44"/>
      <c r="N982" s="44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5.75" customHeight="1">
      <c r="A983" s="39"/>
      <c r="B983" s="45"/>
      <c r="C983" s="46"/>
      <c r="D983" s="39"/>
      <c r="E983" s="39"/>
      <c r="F983" s="44"/>
      <c r="G983" s="39"/>
      <c r="H983" s="39"/>
      <c r="I983" s="39"/>
      <c r="J983" s="39"/>
      <c r="K983" s="44"/>
      <c r="L983" s="44"/>
      <c r="M983" s="44"/>
      <c r="N983" s="44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5.75" customHeight="1">
      <c r="A984" s="39"/>
      <c r="B984" s="45"/>
      <c r="C984" s="46"/>
      <c r="D984" s="39"/>
      <c r="E984" s="39"/>
      <c r="F984" s="44"/>
      <c r="G984" s="39"/>
      <c r="H984" s="39"/>
      <c r="I984" s="39"/>
      <c r="J984" s="39"/>
      <c r="K984" s="44"/>
      <c r="L984" s="44"/>
      <c r="M984" s="44"/>
      <c r="N984" s="44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5.75" customHeight="1">
      <c r="A985" s="39"/>
      <c r="B985" s="45"/>
      <c r="C985" s="46"/>
      <c r="D985" s="39"/>
      <c r="E985" s="39"/>
      <c r="F985" s="44"/>
      <c r="G985" s="39"/>
      <c r="H985" s="39"/>
      <c r="I985" s="39"/>
      <c r="J985" s="39"/>
      <c r="K985" s="44"/>
      <c r="L985" s="44"/>
      <c r="M985" s="44"/>
      <c r="N985" s="44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5.75" customHeight="1">
      <c r="A986" s="39"/>
      <c r="B986" s="45"/>
      <c r="C986" s="46"/>
      <c r="D986" s="39"/>
      <c r="E986" s="39"/>
      <c r="F986" s="44"/>
      <c r="G986" s="39"/>
      <c r="H986" s="39"/>
      <c r="I986" s="39"/>
      <c r="J986" s="39"/>
      <c r="K986" s="44"/>
      <c r="L986" s="44"/>
      <c r="M986" s="44"/>
      <c r="N986" s="44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5.75" customHeight="1">
      <c r="A987" s="39"/>
      <c r="B987" s="45"/>
      <c r="C987" s="46"/>
      <c r="D987" s="39"/>
      <c r="E987" s="39"/>
      <c r="F987" s="44"/>
      <c r="G987" s="39"/>
      <c r="H987" s="39"/>
      <c r="I987" s="39"/>
      <c r="J987" s="39"/>
      <c r="K987" s="44"/>
      <c r="L987" s="44"/>
      <c r="M987" s="44"/>
      <c r="N987" s="44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5.75" customHeight="1">
      <c r="A988" s="39"/>
      <c r="B988" s="45"/>
      <c r="C988" s="46"/>
      <c r="D988" s="39"/>
      <c r="E988" s="39"/>
      <c r="F988" s="44"/>
      <c r="G988" s="39"/>
      <c r="H988" s="39"/>
      <c r="I988" s="39"/>
      <c r="J988" s="39"/>
      <c r="K988" s="44"/>
      <c r="L988" s="44"/>
      <c r="M988" s="44"/>
      <c r="N988" s="44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5.75" customHeight="1">
      <c r="A989" s="39"/>
      <c r="B989" s="45"/>
      <c r="C989" s="46"/>
      <c r="D989" s="39"/>
      <c r="E989" s="39"/>
      <c r="F989" s="44"/>
      <c r="G989" s="39"/>
      <c r="H989" s="39"/>
      <c r="I989" s="39"/>
      <c r="J989" s="39"/>
      <c r="K989" s="44"/>
      <c r="L989" s="44"/>
      <c r="M989" s="44"/>
      <c r="N989" s="44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5.75" customHeight="1">
      <c r="A990" s="39"/>
      <c r="B990" s="45"/>
      <c r="C990" s="46"/>
      <c r="D990" s="39"/>
      <c r="E990" s="39"/>
      <c r="F990" s="44"/>
      <c r="G990" s="39"/>
      <c r="H990" s="39"/>
      <c r="I990" s="39"/>
      <c r="J990" s="39"/>
      <c r="K990" s="44"/>
      <c r="L990" s="44"/>
      <c r="M990" s="44"/>
      <c r="N990" s="44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5.75" customHeight="1">
      <c r="A991" s="39"/>
      <c r="B991" s="45"/>
      <c r="C991" s="46"/>
      <c r="D991" s="39"/>
      <c r="E991" s="39"/>
      <c r="F991" s="44"/>
      <c r="G991" s="39"/>
      <c r="H991" s="39"/>
      <c r="I991" s="39"/>
      <c r="J991" s="39"/>
      <c r="K991" s="44"/>
      <c r="L991" s="44"/>
      <c r="M991" s="44"/>
      <c r="N991" s="44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5.75" customHeight="1">
      <c r="A992" s="39"/>
      <c r="B992" s="45"/>
      <c r="C992" s="46"/>
      <c r="D992" s="39"/>
      <c r="E992" s="39"/>
      <c r="F992" s="44"/>
      <c r="G992" s="39"/>
      <c r="H992" s="39"/>
      <c r="I992" s="39"/>
      <c r="J992" s="39"/>
      <c r="K992" s="44"/>
      <c r="L992" s="44"/>
      <c r="M992" s="44"/>
      <c r="N992" s="44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5.75" customHeight="1">
      <c r="A993" s="39"/>
      <c r="B993" s="45"/>
      <c r="C993" s="46"/>
      <c r="D993" s="39"/>
      <c r="E993" s="39"/>
      <c r="F993" s="44"/>
      <c r="G993" s="39"/>
      <c r="H993" s="39"/>
      <c r="I993" s="39"/>
      <c r="J993" s="39"/>
      <c r="K993" s="44"/>
      <c r="L993" s="44"/>
      <c r="M993" s="44"/>
      <c r="N993" s="44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5.75" customHeight="1">
      <c r="A994" s="39"/>
      <c r="B994" s="45"/>
      <c r="C994" s="46"/>
      <c r="D994" s="39"/>
      <c r="E994" s="39"/>
      <c r="F994" s="44"/>
      <c r="G994" s="39"/>
      <c r="H994" s="39"/>
      <c r="I994" s="39"/>
      <c r="J994" s="39"/>
      <c r="K994" s="44"/>
      <c r="L994" s="44"/>
      <c r="M994" s="44"/>
      <c r="N994" s="44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5.75" customHeight="1">
      <c r="A995" s="39"/>
      <c r="B995" s="45"/>
      <c r="C995" s="46"/>
      <c r="D995" s="39"/>
      <c r="E995" s="39"/>
      <c r="F995" s="44"/>
      <c r="G995" s="39"/>
      <c r="H995" s="39"/>
      <c r="I995" s="39"/>
      <c r="J995" s="39"/>
      <c r="K995" s="44"/>
      <c r="L995" s="44"/>
      <c r="M995" s="44"/>
      <c r="N995" s="44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5.75" customHeight="1">
      <c r="A996" s="39"/>
      <c r="B996" s="45"/>
      <c r="C996" s="46"/>
      <c r="D996" s="39"/>
      <c r="E996" s="39"/>
      <c r="F996" s="44"/>
      <c r="G996" s="39"/>
      <c r="H996" s="39"/>
      <c r="I996" s="39"/>
      <c r="J996" s="39"/>
      <c r="K996" s="44"/>
      <c r="L996" s="44"/>
      <c r="M996" s="44"/>
      <c r="N996" s="44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5.75" customHeight="1">
      <c r="A997" s="39"/>
      <c r="B997" s="45"/>
      <c r="C997" s="46"/>
      <c r="D997" s="39"/>
      <c r="E997" s="39"/>
      <c r="F997" s="44"/>
      <c r="G997" s="39"/>
      <c r="H997" s="39"/>
      <c r="I997" s="39"/>
      <c r="J997" s="39"/>
      <c r="K997" s="44"/>
      <c r="L997" s="44"/>
      <c r="M997" s="44"/>
      <c r="N997" s="44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5.75" customHeight="1">
      <c r="A998" s="39"/>
      <c r="B998" s="45"/>
      <c r="C998" s="46"/>
      <c r="D998" s="39"/>
      <c r="E998" s="39"/>
      <c r="F998" s="44"/>
      <c r="G998" s="39"/>
      <c r="H998" s="39"/>
      <c r="I998" s="39"/>
      <c r="J998" s="39"/>
      <c r="K998" s="44"/>
      <c r="L998" s="44"/>
      <c r="M998" s="44"/>
      <c r="N998" s="44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5.75" customHeight="1">
      <c r="A999" s="39"/>
      <c r="B999" s="45"/>
      <c r="C999" s="46"/>
      <c r="D999" s="39"/>
      <c r="E999" s="39"/>
      <c r="F999" s="44"/>
      <c r="G999" s="39"/>
      <c r="H999" s="39"/>
      <c r="I999" s="39"/>
      <c r="J999" s="39"/>
      <c r="K999" s="44"/>
      <c r="L999" s="44"/>
      <c r="M999" s="44"/>
      <c r="N999" s="44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5.75" customHeight="1">
      <c r="A1000" s="39"/>
      <c r="B1000" s="45"/>
      <c r="C1000" s="46"/>
      <c r="D1000" s="39"/>
      <c r="E1000" s="39"/>
      <c r="F1000" s="44"/>
      <c r="G1000" s="39"/>
      <c r="H1000" s="39"/>
      <c r="I1000" s="39"/>
      <c r="J1000" s="39"/>
      <c r="K1000" s="44"/>
      <c r="L1000" s="44"/>
      <c r="M1000" s="44"/>
      <c r="N1000" s="44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">
    <mergeCell ref="H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87"/>
  <sheetViews>
    <sheetView workbookViewId="0"/>
  </sheetViews>
  <sheetFormatPr defaultRowHeight="15"/>
  <sheetData>
    <row r="2" spans="2:21" ht="15.75" customHeight="1">
      <c r="B2" s="1"/>
      <c r="C2" s="1"/>
      <c r="D2" s="1"/>
      <c r="E2" s="1"/>
      <c r="F2" s="1"/>
      <c r="G2" s="2" t="s">
        <v>0</v>
      </c>
      <c r="H2" s="292" t="s">
        <v>165</v>
      </c>
      <c r="I2" s="293"/>
      <c r="J2" s="293"/>
      <c r="K2" s="293"/>
      <c r="L2" s="293"/>
      <c r="M2" s="293"/>
      <c r="N2" s="4"/>
      <c r="O2" s="1"/>
      <c r="P2" s="1"/>
      <c r="Q2" s="1"/>
      <c r="R2" s="1"/>
      <c r="S2" s="1"/>
      <c r="T2" s="1"/>
      <c r="U2" s="1"/>
    </row>
    <row r="4" spans="2:21" ht="18" customHeight="1">
      <c r="B4" s="33" t="s">
        <v>2</v>
      </c>
      <c r="C4" s="1"/>
      <c r="D4" s="1"/>
      <c r="E4" s="1"/>
      <c r="F4" s="1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ht="15.75" customHeight="1">
      <c r="B5" s="1"/>
      <c r="C5" s="34"/>
      <c r="D5" s="1"/>
      <c r="E5" s="1"/>
      <c r="F5" s="1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 customHeight="1">
      <c r="B6" s="1"/>
      <c r="C6" s="35" t="s">
        <v>3</v>
      </c>
      <c r="D6" s="6" t="s">
        <v>4</v>
      </c>
      <c r="E6" s="7"/>
      <c r="F6" s="6" t="s">
        <v>5</v>
      </c>
      <c r="G6" s="7"/>
      <c r="H6" s="7"/>
      <c r="I6" s="7"/>
      <c r="J6" s="6" t="s">
        <v>6</v>
      </c>
      <c r="K6" s="6"/>
      <c r="L6" s="6" t="s">
        <v>7</v>
      </c>
      <c r="M6" s="6" t="s">
        <v>8</v>
      </c>
      <c r="N6" s="6"/>
      <c r="O6" s="20" t="s">
        <v>9</v>
      </c>
      <c r="P6" s="1"/>
      <c r="Q6" s="1"/>
      <c r="R6" s="1"/>
      <c r="S6" s="1"/>
      <c r="T6" s="1"/>
      <c r="U6" s="1"/>
    </row>
    <row r="7" spans="2:21" ht="16.5" customHeight="1">
      <c r="B7" s="32">
        <v>1</v>
      </c>
      <c r="C7" s="36" t="s">
        <v>10</v>
      </c>
      <c r="D7" s="23" t="s">
        <v>11</v>
      </c>
      <c r="E7" s="24" t="s">
        <v>12</v>
      </c>
      <c r="F7" s="23" t="s">
        <v>13</v>
      </c>
      <c r="G7" s="30" t="s">
        <v>14</v>
      </c>
      <c r="H7" s="31"/>
      <c r="I7" s="25">
        <v>2</v>
      </c>
      <c r="J7" s="23" t="s">
        <v>13</v>
      </c>
      <c r="K7" s="25">
        <v>0</v>
      </c>
      <c r="L7" s="26"/>
      <c r="M7" s="27"/>
      <c r="N7" s="15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4" t="s">
        <v>166</v>
      </c>
    </row>
    <row r="8" spans="2:21" ht="15.75" customHeight="1">
      <c r="B8" s="32">
        <v>2</v>
      </c>
      <c r="C8" s="36" t="s">
        <v>22</v>
      </c>
      <c r="D8" s="23" t="s">
        <v>11</v>
      </c>
      <c r="E8" s="24" t="s">
        <v>23</v>
      </c>
      <c r="F8" s="23" t="s">
        <v>13</v>
      </c>
      <c r="G8" s="30" t="s">
        <v>24</v>
      </c>
      <c r="H8" s="31"/>
      <c r="I8" s="25">
        <v>1</v>
      </c>
      <c r="J8" s="23" t="s">
        <v>13</v>
      </c>
      <c r="K8" s="25">
        <v>1</v>
      </c>
      <c r="L8" s="26"/>
      <c r="M8" s="27"/>
      <c r="N8" s="15"/>
      <c r="O8" s="16">
        <v>1</v>
      </c>
      <c r="P8" s="18" t="s">
        <v>167</v>
      </c>
      <c r="Q8" s="18" t="s">
        <v>25</v>
      </c>
      <c r="R8" s="18" t="s">
        <v>26</v>
      </c>
      <c r="S8" s="18" t="s">
        <v>168</v>
      </c>
      <c r="T8" s="18" t="s">
        <v>28</v>
      </c>
      <c r="U8" s="4" t="s">
        <v>29</v>
      </c>
    </row>
    <row r="9" spans="2:21" ht="15.75" customHeight="1">
      <c r="B9" s="32">
        <v>3</v>
      </c>
      <c r="C9" s="36" t="s">
        <v>30</v>
      </c>
      <c r="D9" s="23" t="s">
        <v>31</v>
      </c>
      <c r="E9" s="24" t="s">
        <v>32</v>
      </c>
      <c r="F9" s="23" t="s">
        <v>13</v>
      </c>
      <c r="G9" s="30" t="s">
        <v>33</v>
      </c>
      <c r="H9" s="31"/>
      <c r="I9" s="25">
        <v>1</v>
      </c>
      <c r="J9" s="23" t="s">
        <v>13</v>
      </c>
      <c r="K9" s="25">
        <v>0</v>
      </c>
      <c r="L9" s="26"/>
      <c r="M9" s="27"/>
      <c r="N9" s="15"/>
      <c r="O9" s="17">
        <v>2</v>
      </c>
      <c r="P9" s="19" t="s">
        <v>153</v>
      </c>
      <c r="Q9" s="19" t="s">
        <v>32</v>
      </c>
      <c r="R9" s="19" t="s">
        <v>41</v>
      </c>
      <c r="S9" s="19" t="s">
        <v>27</v>
      </c>
      <c r="T9" s="19" t="s">
        <v>42</v>
      </c>
      <c r="U9" s="19" t="s">
        <v>43</v>
      </c>
    </row>
    <row r="10" spans="2:21" ht="15.75" customHeight="1">
      <c r="B10" s="32">
        <v>4</v>
      </c>
      <c r="C10" s="36" t="s">
        <v>38</v>
      </c>
      <c r="D10" s="23" t="s">
        <v>39</v>
      </c>
      <c r="E10" s="24" t="s">
        <v>35</v>
      </c>
      <c r="F10" s="23" t="s">
        <v>13</v>
      </c>
      <c r="G10" s="30" t="s">
        <v>40</v>
      </c>
      <c r="H10" s="31"/>
      <c r="I10" s="25">
        <v>1</v>
      </c>
      <c r="J10" s="23" t="s">
        <v>13</v>
      </c>
      <c r="K10" s="25">
        <v>1</v>
      </c>
      <c r="L10" s="26"/>
      <c r="M10" s="27"/>
      <c r="N10" s="15"/>
      <c r="O10" s="17">
        <v>3</v>
      </c>
      <c r="P10" s="19" t="s">
        <v>169</v>
      </c>
      <c r="Q10" s="19" t="s">
        <v>170</v>
      </c>
      <c r="R10" s="19" t="s">
        <v>34</v>
      </c>
      <c r="S10" s="19" t="s">
        <v>40</v>
      </c>
      <c r="T10" s="19" t="s">
        <v>36</v>
      </c>
      <c r="U10" s="19" t="s">
        <v>37</v>
      </c>
    </row>
    <row r="11" spans="2:21" ht="15.75" customHeight="1">
      <c r="B11" s="32">
        <v>5</v>
      </c>
      <c r="C11" s="36" t="s">
        <v>44</v>
      </c>
      <c r="D11" s="23" t="s">
        <v>45</v>
      </c>
      <c r="E11" s="24" t="s">
        <v>46</v>
      </c>
      <c r="F11" s="23" t="s">
        <v>13</v>
      </c>
      <c r="G11" s="30" t="s">
        <v>34</v>
      </c>
      <c r="H11" s="31"/>
      <c r="I11" s="25">
        <v>0</v>
      </c>
      <c r="J11" s="23" t="s">
        <v>13</v>
      </c>
      <c r="K11" s="25">
        <v>3</v>
      </c>
      <c r="L11" s="26"/>
      <c r="M11" s="27"/>
      <c r="N11" s="15"/>
      <c r="O11" s="17">
        <v>4</v>
      </c>
      <c r="P11" s="19" t="s">
        <v>14</v>
      </c>
      <c r="Q11" s="19" t="s">
        <v>47</v>
      </c>
      <c r="R11" s="19" t="s">
        <v>46</v>
      </c>
      <c r="S11" s="19" t="s">
        <v>48</v>
      </c>
      <c r="T11" s="19" t="s">
        <v>159</v>
      </c>
      <c r="U11" s="19" t="s">
        <v>50</v>
      </c>
    </row>
    <row r="12" spans="2:21" ht="16.5" customHeight="1">
      <c r="B12" s="32">
        <v>6</v>
      </c>
      <c r="C12" s="36" t="s">
        <v>51</v>
      </c>
      <c r="D12" s="23" t="s">
        <v>39</v>
      </c>
      <c r="E12" s="24" t="s">
        <v>48</v>
      </c>
      <c r="F12" s="23" t="s">
        <v>13</v>
      </c>
      <c r="G12" s="30" t="s">
        <v>27</v>
      </c>
      <c r="H12" s="31"/>
      <c r="I12" s="25">
        <v>0</v>
      </c>
      <c r="J12" s="23" t="s">
        <v>13</v>
      </c>
      <c r="K12" s="25">
        <v>2</v>
      </c>
      <c r="L12" s="26"/>
      <c r="M12" s="27"/>
      <c r="N12" s="15"/>
      <c r="O12" s="1"/>
      <c r="P12" s="1"/>
      <c r="Q12" s="1"/>
      <c r="R12" s="1"/>
      <c r="S12" s="1"/>
      <c r="T12" s="1"/>
      <c r="U12" s="1"/>
    </row>
    <row r="13" spans="2:21" ht="16.5" customHeight="1">
      <c r="B13" s="32">
        <v>7</v>
      </c>
      <c r="C13" s="36" t="s">
        <v>52</v>
      </c>
      <c r="D13" s="23" t="s">
        <v>45</v>
      </c>
      <c r="E13" s="24" t="s">
        <v>26</v>
      </c>
      <c r="F13" s="23" t="s">
        <v>13</v>
      </c>
      <c r="G13" s="30" t="s">
        <v>41</v>
      </c>
      <c r="H13" s="31"/>
      <c r="I13" s="25">
        <v>2</v>
      </c>
      <c r="J13" s="23" t="s">
        <v>13</v>
      </c>
      <c r="K13" s="25">
        <v>1</v>
      </c>
      <c r="L13" s="26"/>
      <c r="M13" s="27"/>
      <c r="N13" s="15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 customHeight="1">
      <c r="B14" s="32">
        <v>8</v>
      </c>
      <c r="C14" s="36" t="s">
        <v>59</v>
      </c>
      <c r="D14" s="23" t="s">
        <v>31</v>
      </c>
      <c r="E14" s="24" t="s">
        <v>47</v>
      </c>
      <c r="F14" s="23" t="s">
        <v>13</v>
      </c>
      <c r="G14" s="30" t="s">
        <v>25</v>
      </c>
      <c r="H14" s="31"/>
      <c r="I14" s="25">
        <v>0</v>
      </c>
      <c r="J14" s="23" t="s">
        <v>13</v>
      </c>
      <c r="K14" s="25">
        <v>3</v>
      </c>
      <c r="L14" s="26"/>
      <c r="M14" s="27"/>
      <c r="N14" s="15"/>
      <c r="O14" s="16">
        <v>1</v>
      </c>
      <c r="P14" s="18" t="s">
        <v>60</v>
      </c>
      <c r="Q14" s="18" t="s">
        <v>61</v>
      </c>
      <c r="R14" s="18" t="s">
        <v>62</v>
      </c>
      <c r="S14" s="18" t="s">
        <v>63</v>
      </c>
      <c r="T14" s="18" t="s">
        <v>64</v>
      </c>
      <c r="U14" s="18" t="s">
        <v>65</v>
      </c>
    </row>
    <row r="15" spans="2:21" ht="15.75" customHeight="1">
      <c r="B15" s="32">
        <v>9</v>
      </c>
      <c r="C15" s="36" t="s">
        <v>66</v>
      </c>
      <c r="D15" s="23" t="s">
        <v>67</v>
      </c>
      <c r="E15" s="24" t="s">
        <v>42</v>
      </c>
      <c r="F15" s="23" t="s">
        <v>13</v>
      </c>
      <c r="G15" s="30" t="s">
        <v>36</v>
      </c>
      <c r="H15" s="31"/>
      <c r="I15" s="25">
        <v>2</v>
      </c>
      <c r="J15" s="23" t="s">
        <v>13</v>
      </c>
      <c r="K15" s="25">
        <v>2</v>
      </c>
      <c r="L15" s="26"/>
      <c r="M15" s="27"/>
      <c r="N15" s="15"/>
      <c r="O15" s="17">
        <v>2</v>
      </c>
      <c r="P15" s="19" t="s">
        <v>68</v>
      </c>
      <c r="Q15" s="19" t="s">
        <v>69</v>
      </c>
      <c r="R15" s="19" t="s">
        <v>77</v>
      </c>
      <c r="S15" s="19" t="s">
        <v>71</v>
      </c>
      <c r="T15" s="19" t="s">
        <v>72</v>
      </c>
      <c r="U15" s="19" t="s">
        <v>73</v>
      </c>
    </row>
    <row r="16" spans="2:21" ht="15.75" customHeight="1">
      <c r="B16" s="32">
        <v>10</v>
      </c>
      <c r="C16" s="36" t="s">
        <v>74</v>
      </c>
      <c r="D16" s="23" t="s">
        <v>67</v>
      </c>
      <c r="E16" s="24" t="s">
        <v>28</v>
      </c>
      <c r="F16" s="23" t="s">
        <v>13</v>
      </c>
      <c r="G16" s="30" t="s">
        <v>49</v>
      </c>
      <c r="H16" s="31"/>
      <c r="I16" s="25">
        <v>5</v>
      </c>
      <c r="J16" s="23" t="s">
        <v>13</v>
      </c>
      <c r="K16" s="25">
        <v>0</v>
      </c>
      <c r="L16" s="26"/>
      <c r="M16" s="27"/>
      <c r="N16" s="15"/>
      <c r="O16" s="17">
        <v>3</v>
      </c>
      <c r="P16" s="19" t="s">
        <v>83</v>
      </c>
      <c r="Q16" s="19" t="s">
        <v>84</v>
      </c>
      <c r="R16" s="19" t="s">
        <v>70</v>
      </c>
      <c r="S16" s="19" t="s">
        <v>78</v>
      </c>
      <c r="T16" s="19" t="s">
        <v>87</v>
      </c>
      <c r="U16" s="19" t="s">
        <v>80</v>
      </c>
    </row>
    <row r="17" spans="2:21" ht="15.75" customHeight="1">
      <c r="B17" s="32">
        <v>11</v>
      </c>
      <c r="C17" s="36" t="s">
        <v>81</v>
      </c>
      <c r="D17" s="23" t="s">
        <v>82</v>
      </c>
      <c r="E17" s="24" t="s">
        <v>29</v>
      </c>
      <c r="F17" s="23" t="s">
        <v>13</v>
      </c>
      <c r="G17" s="30" t="s">
        <v>43</v>
      </c>
      <c r="H17" s="31"/>
      <c r="I17" s="25">
        <v>2</v>
      </c>
      <c r="J17" s="23" t="s">
        <v>13</v>
      </c>
      <c r="K17" s="25">
        <v>1</v>
      </c>
      <c r="L17" s="26"/>
      <c r="M17" s="27"/>
      <c r="N17" s="15"/>
      <c r="O17" s="17">
        <v>4</v>
      </c>
      <c r="P17" s="19" t="s">
        <v>171</v>
      </c>
      <c r="Q17" s="19" t="s">
        <v>76</v>
      </c>
      <c r="R17" s="19" t="s">
        <v>85</v>
      </c>
      <c r="S17" s="19" t="s">
        <v>86</v>
      </c>
      <c r="T17" s="19" t="s">
        <v>79</v>
      </c>
      <c r="U17" s="19" t="s">
        <v>88</v>
      </c>
    </row>
    <row r="18" spans="2:21" ht="15.75" customHeight="1">
      <c r="B18" s="32">
        <v>12</v>
      </c>
      <c r="C18" s="36" t="s">
        <v>89</v>
      </c>
      <c r="D18" s="23" t="s">
        <v>82</v>
      </c>
      <c r="E18" s="24" t="s">
        <v>37</v>
      </c>
      <c r="F18" s="23" t="s">
        <v>13</v>
      </c>
      <c r="G18" s="30" t="s">
        <v>50</v>
      </c>
      <c r="H18" s="31"/>
      <c r="I18" s="25">
        <v>1</v>
      </c>
      <c r="J18" s="23" t="s">
        <v>13</v>
      </c>
      <c r="K18" s="25">
        <v>0</v>
      </c>
      <c r="L18" s="26"/>
      <c r="M18" s="27"/>
      <c r="N18" s="15"/>
      <c r="O18" s="1"/>
      <c r="P18" s="21"/>
      <c r="Q18" s="21"/>
      <c r="R18" s="21"/>
      <c r="S18" s="21"/>
      <c r="T18" s="21"/>
      <c r="U18" s="21"/>
    </row>
    <row r="19" spans="2:21" ht="15.75" customHeight="1">
      <c r="B19" s="32">
        <v>13</v>
      </c>
      <c r="C19" s="36" t="s">
        <v>90</v>
      </c>
      <c r="D19" s="23" t="s">
        <v>91</v>
      </c>
      <c r="E19" s="24" t="s">
        <v>84</v>
      </c>
      <c r="F19" s="23" t="s">
        <v>13</v>
      </c>
      <c r="G19" s="30" t="s">
        <v>69</v>
      </c>
      <c r="H19" s="31"/>
      <c r="I19" s="25">
        <v>1</v>
      </c>
      <c r="J19" s="23" t="s">
        <v>13</v>
      </c>
      <c r="K19" s="25">
        <v>2</v>
      </c>
      <c r="L19" s="26"/>
      <c r="M19" s="27"/>
      <c r="N19" s="15"/>
      <c r="O19" s="1"/>
      <c r="P19" s="1"/>
      <c r="Q19" s="1"/>
      <c r="R19" s="1"/>
      <c r="S19" s="1"/>
      <c r="T19" s="1"/>
      <c r="U19" s="1"/>
    </row>
    <row r="20" spans="2:21" ht="16.5" customHeight="1">
      <c r="B20" s="32">
        <v>14</v>
      </c>
      <c r="C20" s="36" t="s">
        <v>92</v>
      </c>
      <c r="D20" s="23" t="s">
        <v>91</v>
      </c>
      <c r="E20" s="24" t="s">
        <v>61</v>
      </c>
      <c r="F20" s="23" t="s">
        <v>13</v>
      </c>
      <c r="G20" s="30" t="s">
        <v>76</v>
      </c>
      <c r="H20" s="31"/>
      <c r="I20" s="25">
        <v>5</v>
      </c>
      <c r="J20" s="23" t="s">
        <v>13</v>
      </c>
      <c r="K20" s="25">
        <v>0</v>
      </c>
      <c r="L20" s="26"/>
      <c r="M20" s="27"/>
      <c r="N20" s="15"/>
      <c r="O20" s="13" t="s">
        <v>93</v>
      </c>
      <c r="P20" s="1"/>
      <c r="Q20" s="1"/>
      <c r="R20" s="1"/>
      <c r="S20" s="1"/>
      <c r="T20" s="1"/>
      <c r="U20" s="1"/>
    </row>
    <row r="21" spans="2:21" ht="16.5" customHeight="1">
      <c r="B21" s="32">
        <v>15</v>
      </c>
      <c r="C21" s="36" t="s">
        <v>94</v>
      </c>
      <c r="D21" s="23" t="s">
        <v>95</v>
      </c>
      <c r="E21" s="24" t="s">
        <v>83</v>
      </c>
      <c r="F21" s="23" t="s">
        <v>13</v>
      </c>
      <c r="G21" s="30" t="s">
        <v>75</v>
      </c>
      <c r="H21" s="31"/>
      <c r="I21" s="25">
        <v>2</v>
      </c>
      <c r="J21" s="23" t="s">
        <v>13</v>
      </c>
      <c r="K21" s="25">
        <v>0</v>
      </c>
      <c r="L21" s="26"/>
      <c r="M21" s="27"/>
      <c r="N21" s="15"/>
      <c r="O21" s="1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 customHeight="1">
      <c r="B22" s="32">
        <v>16</v>
      </c>
      <c r="C22" s="36" t="s">
        <v>96</v>
      </c>
      <c r="D22" s="23" t="s">
        <v>95</v>
      </c>
      <c r="E22" s="24" t="s">
        <v>60</v>
      </c>
      <c r="F22" s="23" t="s">
        <v>13</v>
      </c>
      <c r="G22" s="30" t="s">
        <v>68</v>
      </c>
      <c r="H22" s="31"/>
      <c r="I22" s="25">
        <v>3</v>
      </c>
      <c r="J22" s="23" t="s">
        <v>13</v>
      </c>
      <c r="K22" s="25">
        <v>1</v>
      </c>
      <c r="L22" s="26"/>
      <c r="M22" s="27"/>
      <c r="N22" s="15"/>
      <c r="O22" s="1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 customHeight="1">
      <c r="B23" s="32">
        <v>17</v>
      </c>
      <c r="C23" s="36" t="s">
        <v>97</v>
      </c>
      <c r="D23" s="23" t="s">
        <v>98</v>
      </c>
      <c r="E23" s="24" t="s">
        <v>62</v>
      </c>
      <c r="F23" s="23" t="s">
        <v>13</v>
      </c>
      <c r="G23" s="30" t="s">
        <v>77</v>
      </c>
      <c r="H23" s="31"/>
      <c r="I23" s="25">
        <v>2</v>
      </c>
      <c r="J23" s="23" t="s">
        <v>13</v>
      </c>
      <c r="K23" s="25">
        <v>1</v>
      </c>
      <c r="L23" s="26"/>
      <c r="M23" s="27"/>
      <c r="N23" s="15"/>
      <c r="O23" s="1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 customHeight="1">
      <c r="B24" s="32">
        <v>18</v>
      </c>
      <c r="C24" s="36" t="s">
        <v>99</v>
      </c>
      <c r="D24" s="23" t="s">
        <v>98</v>
      </c>
      <c r="E24" s="24" t="s">
        <v>85</v>
      </c>
      <c r="F24" s="23" t="s">
        <v>13</v>
      </c>
      <c r="G24" s="30" t="s">
        <v>70</v>
      </c>
      <c r="H24" s="31"/>
      <c r="I24" s="25">
        <v>1</v>
      </c>
      <c r="J24" s="23" t="s">
        <v>13</v>
      </c>
      <c r="K24" s="25">
        <v>2</v>
      </c>
      <c r="L24" s="26"/>
      <c r="M24" s="27"/>
      <c r="N24" s="15"/>
      <c r="O24" s="1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 customHeight="1">
      <c r="B25" s="32">
        <v>19</v>
      </c>
      <c r="C25" s="36" t="s">
        <v>100</v>
      </c>
      <c r="D25" s="23" t="s">
        <v>101</v>
      </c>
      <c r="E25" s="24" t="s">
        <v>63</v>
      </c>
      <c r="F25" s="23" t="s">
        <v>13</v>
      </c>
      <c r="G25" s="30" t="s">
        <v>78</v>
      </c>
      <c r="H25" s="31"/>
      <c r="I25" s="25">
        <v>3</v>
      </c>
      <c r="J25" s="23" t="s">
        <v>13</v>
      </c>
      <c r="K25" s="25">
        <v>0</v>
      </c>
      <c r="L25" s="26"/>
      <c r="M25" s="27"/>
      <c r="N25" s="15"/>
      <c r="O25" s="1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customHeight="1">
      <c r="B26" s="32">
        <v>20</v>
      </c>
      <c r="C26" s="36" t="s">
        <v>102</v>
      </c>
      <c r="D26" s="23" t="s">
        <v>101</v>
      </c>
      <c r="E26" s="24" t="s">
        <v>71</v>
      </c>
      <c r="F26" s="23" t="s">
        <v>13</v>
      </c>
      <c r="G26" s="30" t="s">
        <v>86</v>
      </c>
      <c r="H26" s="31"/>
      <c r="I26" s="25">
        <v>3</v>
      </c>
      <c r="J26" s="23" t="s">
        <v>13</v>
      </c>
      <c r="K26" s="25">
        <v>0</v>
      </c>
      <c r="L26" s="26"/>
      <c r="M26" s="27"/>
      <c r="N26" s="15"/>
      <c r="O26" s="1"/>
      <c r="P26" s="1"/>
      <c r="Q26" s="1"/>
      <c r="R26" s="1"/>
      <c r="S26" s="1"/>
      <c r="T26" s="1"/>
      <c r="U26" s="1"/>
    </row>
    <row r="27" spans="2:21" ht="16.5" customHeight="1">
      <c r="B27" s="32">
        <v>21</v>
      </c>
      <c r="C27" s="36" t="s">
        <v>103</v>
      </c>
      <c r="D27" s="23" t="s">
        <v>104</v>
      </c>
      <c r="E27" s="24" t="s">
        <v>80</v>
      </c>
      <c r="F27" s="23" t="s">
        <v>13</v>
      </c>
      <c r="G27" s="30" t="s">
        <v>88</v>
      </c>
      <c r="H27" s="31"/>
      <c r="I27" s="25">
        <v>1</v>
      </c>
      <c r="J27" s="23" t="s">
        <v>13</v>
      </c>
      <c r="K27" s="25">
        <v>1</v>
      </c>
      <c r="L27" s="26"/>
      <c r="M27" s="27"/>
      <c r="N27" s="15"/>
      <c r="O27" s="1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 customHeight="1">
      <c r="B28" s="32">
        <v>22</v>
      </c>
      <c r="C28" s="36" t="s">
        <v>105</v>
      </c>
      <c r="D28" s="23" t="s">
        <v>104</v>
      </c>
      <c r="E28" s="24" t="s">
        <v>65</v>
      </c>
      <c r="F28" s="23" t="s">
        <v>13</v>
      </c>
      <c r="G28" s="30" t="s">
        <v>73</v>
      </c>
      <c r="H28" s="31"/>
      <c r="I28" s="25">
        <v>1</v>
      </c>
      <c r="J28" s="23" t="s">
        <v>13</v>
      </c>
      <c r="K28" s="25">
        <v>1</v>
      </c>
      <c r="L28" s="26"/>
      <c r="M28" s="27"/>
      <c r="N28" s="15"/>
      <c r="O28" s="1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 customHeight="1">
      <c r="B29" s="32">
        <v>23</v>
      </c>
      <c r="C29" s="36" t="s">
        <v>106</v>
      </c>
      <c r="D29" s="23" t="s">
        <v>107</v>
      </c>
      <c r="E29" s="24" t="s">
        <v>64</v>
      </c>
      <c r="F29" s="23" t="s">
        <v>13</v>
      </c>
      <c r="G29" s="30" t="s">
        <v>87</v>
      </c>
      <c r="H29" s="31"/>
      <c r="I29" s="25">
        <v>3</v>
      </c>
      <c r="J29" s="23" t="s">
        <v>13</v>
      </c>
      <c r="K29" s="25">
        <v>1</v>
      </c>
      <c r="L29" s="26"/>
      <c r="M29" s="27"/>
      <c r="N29" s="15"/>
      <c r="O29" s="1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 customHeight="1">
      <c r="B30" s="32">
        <v>24</v>
      </c>
      <c r="C30" s="36" t="s">
        <v>108</v>
      </c>
      <c r="D30" s="23" t="s">
        <v>107</v>
      </c>
      <c r="E30" s="24" t="s">
        <v>79</v>
      </c>
      <c r="F30" s="23" t="s">
        <v>13</v>
      </c>
      <c r="G30" s="30" t="s">
        <v>72</v>
      </c>
      <c r="H30" s="31"/>
      <c r="I30" s="25">
        <v>1</v>
      </c>
      <c r="J30" s="23" t="s">
        <v>13</v>
      </c>
      <c r="K30" s="25">
        <v>2</v>
      </c>
      <c r="L30" s="26"/>
      <c r="M30" s="27"/>
      <c r="N30" s="15"/>
      <c r="O30" s="1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 customHeight="1">
      <c r="B31" s="32">
        <v>25</v>
      </c>
      <c r="C31" s="36" t="s">
        <v>109</v>
      </c>
      <c r="D31" s="23" t="s">
        <v>11</v>
      </c>
      <c r="E31" s="24" t="s">
        <v>24</v>
      </c>
      <c r="F31" s="23" t="s">
        <v>13</v>
      </c>
      <c r="G31" s="30" t="s">
        <v>14</v>
      </c>
      <c r="H31" s="31"/>
      <c r="I31" s="25">
        <v>2</v>
      </c>
      <c r="J31" s="23" t="s">
        <v>13</v>
      </c>
      <c r="K31" s="25">
        <v>1</v>
      </c>
      <c r="L31" s="26"/>
      <c r="M31" s="27"/>
      <c r="N31" s="15"/>
      <c r="O31" s="1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 customHeight="1">
      <c r="B32" s="32">
        <v>26</v>
      </c>
      <c r="C32" s="36" t="s">
        <v>110</v>
      </c>
      <c r="D32" s="23" t="s">
        <v>31</v>
      </c>
      <c r="E32" s="24" t="s">
        <v>25</v>
      </c>
      <c r="F32" s="23" t="s">
        <v>13</v>
      </c>
      <c r="G32" s="30" t="s">
        <v>33</v>
      </c>
      <c r="H32" s="31"/>
      <c r="I32" s="25">
        <v>2</v>
      </c>
      <c r="J32" s="23" t="s">
        <v>13</v>
      </c>
      <c r="K32" s="25">
        <v>1</v>
      </c>
      <c r="L32" s="26"/>
      <c r="M32" s="27"/>
      <c r="N32" s="15"/>
      <c r="O32" s="1"/>
      <c r="P32" s="1"/>
      <c r="Q32" s="1"/>
      <c r="R32" s="1"/>
      <c r="S32" s="1"/>
      <c r="T32" s="1"/>
      <c r="U32" s="1"/>
    </row>
    <row r="33" spans="2:14" ht="15.75" customHeight="1">
      <c r="B33" s="32">
        <v>27</v>
      </c>
      <c r="C33" s="36" t="s">
        <v>111</v>
      </c>
      <c r="D33" s="23" t="s">
        <v>31</v>
      </c>
      <c r="E33" s="24" t="s">
        <v>32</v>
      </c>
      <c r="F33" s="23" t="s">
        <v>13</v>
      </c>
      <c r="G33" s="30" t="s">
        <v>47</v>
      </c>
      <c r="H33" s="31"/>
      <c r="I33" s="25">
        <v>2</v>
      </c>
      <c r="J33" s="23" t="s">
        <v>13</v>
      </c>
      <c r="K33" s="25">
        <v>0</v>
      </c>
      <c r="L33" s="26"/>
      <c r="M33" s="27"/>
      <c r="N33" s="15"/>
    </row>
    <row r="34" spans="2:14" ht="15.75" customHeight="1">
      <c r="B34" s="32">
        <v>28</v>
      </c>
      <c r="C34" s="36" t="s">
        <v>112</v>
      </c>
      <c r="D34" s="23" t="s">
        <v>11</v>
      </c>
      <c r="E34" s="24" t="s">
        <v>12</v>
      </c>
      <c r="F34" s="23" t="s">
        <v>13</v>
      </c>
      <c r="G34" s="30" t="s">
        <v>23</v>
      </c>
      <c r="H34" s="31"/>
      <c r="I34" s="25">
        <v>3</v>
      </c>
      <c r="J34" s="23" t="s">
        <v>13</v>
      </c>
      <c r="K34" s="25">
        <v>1</v>
      </c>
      <c r="L34" s="26"/>
      <c r="M34" s="27"/>
      <c r="N34" s="15"/>
    </row>
    <row r="35" spans="2:14" ht="15.75" customHeight="1">
      <c r="B35" s="32">
        <v>29</v>
      </c>
      <c r="C35" s="36" t="s">
        <v>113</v>
      </c>
      <c r="D35" s="23" t="s">
        <v>45</v>
      </c>
      <c r="E35" s="24" t="s">
        <v>26</v>
      </c>
      <c r="F35" s="23" t="s">
        <v>13</v>
      </c>
      <c r="G35" s="30" t="s">
        <v>46</v>
      </c>
      <c r="H35" s="31"/>
      <c r="I35" s="25">
        <v>4</v>
      </c>
      <c r="J35" s="23" t="s">
        <v>13</v>
      </c>
      <c r="K35" s="25">
        <v>0</v>
      </c>
      <c r="L35" s="26"/>
      <c r="M35" s="27"/>
      <c r="N35" s="15"/>
    </row>
    <row r="36" spans="2:14" ht="15.75" customHeight="1">
      <c r="B36" s="32">
        <v>30</v>
      </c>
      <c r="C36" s="36" t="s">
        <v>114</v>
      </c>
      <c r="D36" s="23" t="s">
        <v>45</v>
      </c>
      <c r="E36" s="24" t="s">
        <v>34</v>
      </c>
      <c r="F36" s="23" t="s">
        <v>13</v>
      </c>
      <c r="G36" s="30" t="s">
        <v>41</v>
      </c>
      <c r="H36" s="31"/>
      <c r="I36" s="25">
        <v>1</v>
      </c>
      <c r="J36" s="23" t="s">
        <v>13</v>
      </c>
      <c r="K36" s="25">
        <v>1</v>
      </c>
      <c r="L36" s="26"/>
      <c r="M36" s="27"/>
      <c r="N36" s="15"/>
    </row>
    <row r="37" spans="2:14" ht="15.75" customHeight="1">
      <c r="B37" s="32">
        <v>31</v>
      </c>
      <c r="C37" s="36" t="s">
        <v>115</v>
      </c>
      <c r="D37" s="23" t="s">
        <v>39</v>
      </c>
      <c r="E37" s="24" t="s">
        <v>27</v>
      </c>
      <c r="F37" s="23" t="s">
        <v>13</v>
      </c>
      <c r="G37" s="30" t="s">
        <v>40</v>
      </c>
      <c r="H37" s="31"/>
      <c r="I37" s="25">
        <v>2</v>
      </c>
      <c r="J37" s="23" t="s">
        <v>13</v>
      </c>
      <c r="K37" s="25">
        <v>1</v>
      </c>
      <c r="L37" s="26"/>
      <c r="M37" s="27"/>
      <c r="N37" s="15"/>
    </row>
    <row r="38" spans="2:14" ht="15.75" customHeight="1">
      <c r="B38" s="32">
        <v>32</v>
      </c>
      <c r="C38" s="36" t="s">
        <v>116</v>
      </c>
      <c r="D38" s="23" t="s">
        <v>39</v>
      </c>
      <c r="E38" s="24" t="s">
        <v>35</v>
      </c>
      <c r="F38" s="23" t="s">
        <v>13</v>
      </c>
      <c r="G38" s="30" t="s">
        <v>48</v>
      </c>
      <c r="H38" s="31"/>
      <c r="I38" s="25">
        <v>2</v>
      </c>
      <c r="J38" s="23" t="s">
        <v>13</v>
      </c>
      <c r="K38" s="25">
        <v>0</v>
      </c>
      <c r="L38" s="26"/>
      <c r="M38" s="27"/>
      <c r="N38" s="15"/>
    </row>
    <row r="39" spans="2:14" ht="15.75" customHeight="1">
      <c r="B39" s="32">
        <v>33</v>
      </c>
      <c r="C39" s="36" t="s">
        <v>117</v>
      </c>
      <c r="D39" s="23" t="s">
        <v>67</v>
      </c>
      <c r="E39" s="24" t="s">
        <v>28</v>
      </c>
      <c r="F39" s="23" t="s">
        <v>13</v>
      </c>
      <c r="G39" s="30" t="s">
        <v>42</v>
      </c>
      <c r="H39" s="31"/>
      <c r="I39" s="25">
        <v>2</v>
      </c>
      <c r="J39" s="23" t="s">
        <v>13</v>
      </c>
      <c r="K39" s="25">
        <v>1</v>
      </c>
      <c r="L39" s="26"/>
      <c r="M39" s="27"/>
      <c r="N39" s="15"/>
    </row>
    <row r="40" spans="2:14" ht="15.75" customHeight="1">
      <c r="B40" s="32">
        <v>34</v>
      </c>
      <c r="C40" s="36" t="s">
        <v>118</v>
      </c>
      <c r="D40" s="23" t="s">
        <v>67</v>
      </c>
      <c r="E40" s="24" t="s">
        <v>36</v>
      </c>
      <c r="F40" s="23" t="s">
        <v>13</v>
      </c>
      <c r="G40" s="30" t="s">
        <v>49</v>
      </c>
      <c r="H40" s="31"/>
      <c r="I40" s="25">
        <v>3</v>
      </c>
      <c r="J40" s="23" t="s">
        <v>13</v>
      </c>
      <c r="K40" s="25">
        <v>0</v>
      </c>
      <c r="L40" s="26"/>
      <c r="M40" s="27"/>
      <c r="N40" s="15"/>
    </row>
    <row r="41" spans="2:14" ht="15.75" customHeight="1">
      <c r="B41" s="32">
        <v>35</v>
      </c>
      <c r="C41" s="36" t="s">
        <v>119</v>
      </c>
      <c r="D41" s="23" t="s">
        <v>82</v>
      </c>
      <c r="E41" s="24" t="s">
        <v>29</v>
      </c>
      <c r="F41" s="23" t="s">
        <v>13</v>
      </c>
      <c r="G41" s="30" t="s">
        <v>37</v>
      </c>
      <c r="H41" s="31"/>
      <c r="I41" s="25">
        <v>2</v>
      </c>
      <c r="J41" s="23" t="s">
        <v>13</v>
      </c>
      <c r="K41" s="25">
        <v>2</v>
      </c>
      <c r="L41" s="26"/>
      <c r="M41" s="27"/>
      <c r="N41" s="15"/>
    </row>
    <row r="42" spans="2:14" ht="15.75" customHeight="1">
      <c r="B42" s="32">
        <v>36</v>
      </c>
      <c r="C42" s="36" t="s">
        <v>120</v>
      </c>
      <c r="D42" s="23" t="s">
        <v>82</v>
      </c>
      <c r="E42" s="24" t="s">
        <v>50</v>
      </c>
      <c r="F42" s="23" t="s">
        <v>13</v>
      </c>
      <c r="G42" s="30" t="s">
        <v>43</v>
      </c>
      <c r="H42" s="31"/>
      <c r="I42" s="25">
        <v>0</v>
      </c>
      <c r="J42" s="23" t="s">
        <v>13</v>
      </c>
      <c r="K42" s="25">
        <v>2</v>
      </c>
      <c r="L42" s="26"/>
      <c r="M42" s="27"/>
      <c r="N42" s="15"/>
    </row>
    <row r="43" spans="2:14" ht="15.75" customHeight="1">
      <c r="B43" s="32">
        <v>37</v>
      </c>
      <c r="C43" s="36" t="s">
        <v>121</v>
      </c>
      <c r="D43" s="23" t="s">
        <v>91</v>
      </c>
      <c r="E43" s="24" t="s">
        <v>69</v>
      </c>
      <c r="F43" s="23" t="s">
        <v>13</v>
      </c>
      <c r="G43" s="30" t="s">
        <v>76</v>
      </c>
      <c r="H43" s="31"/>
      <c r="I43" s="25">
        <v>3</v>
      </c>
      <c r="J43" s="23" t="s">
        <v>13</v>
      </c>
      <c r="K43" s="25">
        <v>0</v>
      </c>
      <c r="L43" s="26"/>
      <c r="M43" s="27"/>
      <c r="N43" s="1"/>
    </row>
    <row r="44" spans="2:14" ht="15.75" customHeight="1">
      <c r="B44" s="32">
        <v>38</v>
      </c>
      <c r="C44" s="36" t="s">
        <v>122</v>
      </c>
      <c r="D44" s="23" t="s">
        <v>91</v>
      </c>
      <c r="E44" s="24" t="s">
        <v>61</v>
      </c>
      <c r="F44" s="23" t="s">
        <v>13</v>
      </c>
      <c r="G44" s="30" t="s">
        <v>84</v>
      </c>
      <c r="H44" s="31"/>
      <c r="I44" s="25">
        <v>3</v>
      </c>
      <c r="J44" s="23" t="s">
        <v>13</v>
      </c>
      <c r="K44" s="25">
        <v>1</v>
      </c>
      <c r="L44" s="26"/>
      <c r="M44" s="27"/>
      <c r="N44" s="1"/>
    </row>
    <row r="45" spans="2:14" ht="15.75" customHeight="1">
      <c r="B45" s="32">
        <v>39</v>
      </c>
      <c r="C45" s="36" t="s">
        <v>123</v>
      </c>
      <c r="D45" s="23" t="s">
        <v>95</v>
      </c>
      <c r="E45" s="24" t="s">
        <v>60</v>
      </c>
      <c r="F45" s="23" t="s">
        <v>13</v>
      </c>
      <c r="G45" s="30" t="s">
        <v>83</v>
      </c>
      <c r="H45" s="31"/>
      <c r="I45" s="25">
        <v>2</v>
      </c>
      <c r="J45" s="23" t="s">
        <v>13</v>
      </c>
      <c r="K45" s="25">
        <v>1</v>
      </c>
      <c r="L45" s="26"/>
      <c r="M45" s="27"/>
      <c r="N45" s="1"/>
    </row>
    <row r="46" spans="2:14" ht="15.75" customHeight="1">
      <c r="B46" s="32">
        <v>40</v>
      </c>
      <c r="C46" s="36" t="s">
        <v>124</v>
      </c>
      <c r="D46" s="23" t="s">
        <v>95</v>
      </c>
      <c r="E46" s="24" t="s">
        <v>75</v>
      </c>
      <c r="F46" s="23" t="s">
        <v>13</v>
      </c>
      <c r="G46" s="30" t="s">
        <v>68</v>
      </c>
      <c r="H46" s="31"/>
      <c r="I46" s="25">
        <v>0</v>
      </c>
      <c r="J46" s="23" t="s">
        <v>13</v>
      </c>
      <c r="K46" s="25">
        <v>2</v>
      </c>
      <c r="L46" s="26"/>
      <c r="M46" s="27"/>
      <c r="N46" s="1"/>
    </row>
    <row r="47" spans="2:14" ht="15.75" customHeight="1">
      <c r="B47" s="32">
        <v>41</v>
      </c>
      <c r="C47" s="36" t="s">
        <v>125</v>
      </c>
      <c r="D47" s="23" t="s">
        <v>98</v>
      </c>
      <c r="E47" s="24" t="s">
        <v>70</v>
      </c>
      <c r="F47" s="23" t="s">
        <v>13</v>
      </c>
      <c r="G47" s="30" t="s">
        <v>77</v>
      </c>
      <c r="H47" s="31"/>
      <c r="I47" s="25">
        <v>1</v>
      </c>
      <c r="J47" s="23" t="s">
        <v>13</v>
      </c>
      <c r="K47" s="25">
        <v>1</v>
      </c>
      <c r="L47" s="26"/>
      <c r="M47" s="27"/>
      <c r="N47" s="1"/>
    </row>
    <row r="48" spans="2:14" ht="15.75" customHeight="1">
      <c r="B48" s="32">
        <v>42</v>
      </c>
      <c r="C48" s="36" t="s">
        <v>126</v>
      </c>
      <c r="D48" s="23" t="s">
        <v>98</v>
      </c>
      <c r="E48" s="24" t="s">
        <v>62</v>
      </c>
      <c r="F48" s="23" t="s">
        <v>13</v>
      </c>
      <c r="G48" s="30" t="s">
        <v>85</v>
      </c>
      <c r="H48" s="31"/>
      <c r="I48" s="25">
        <v>3</v>
      </c>
      <c r="J48" s="23" t="s">
        <v>13</v>
      </c>
      <c r="K48" s="25">
        <v>0</v>
      </c>
      <c r="L48" s="26"/>
      <c r="M48" s="27"/>
      <c r="N48" s="1"/>
    </row>
    <row r="49" spans="2:13" ht="15.75" customHeight="1">
      <c r="B49" s="32">
        <v>43</v>
      </c>
      <c r="C49" s="36" t="s">
        <v>127</v>
      </c>
      <c r="D49" s="23" t="s">
        <v>101</v>
      </c>
      <c r="E49" s="24" t="s">
        <v>63</v>
      </c>
      <c r="F49" s="23" t="s">
        <v>13</v>
      </c>
      <c r="G49" s="30" t="s">
        <v>71</v>
      </c>
      <c r="H49" s="31"/>
      <c r="I49" s="25">
        <v>2</v>
      </c>
      <c r="J49" s="23" t="s">
        <v>13</v>
      </c>
      <c r="K49" s="25">
        <v>1</v>
      </c>
      <c r="L49" s="26"/>
      <c r="M49" s="27"/>
    </row>
    <row r="50" spans="2:13" ht="15.75" customHeight="1">
      <c r="B50" s="32">
        <v>44</v>
      </c>
      <c r="C50" s="36" t="s">
        <v>128</v>
      </c>
      <c r="D50" s="23" t="s">
        <v>101</v>
      </c>
      <c r="E50" s="24" t="s">
        <v>86</v>
      </c>
      <c r="F50" s="23" t="s">
        <v>13</v>
      </c>
      <c r="G50" s="30" t="s">
        <v>78</v>
      </c>
      <c r="H50" s="31"/>
      <c r="I50" s="25">
        <v>1</v>
      </c>
      <c r="J50" s="23" t="s">
        <v>13</v>
      </c>
      <c r="K50" s="25">
        <v>3</v>
      </c>
      <c r="L50" s="26"/>
      <c r="M50" s="27"/>
    </row>
    <row r="51" spans="2:13" ht="15.75" customHeight="1">
      <c r="B51" s="32">
        <v>45</v>
      </c>
      <c r="C51" s="36" t="s">
        <v>129</v>
      </c>
      <c r="D51" s="23" t="s">
        <v>104</v>
      </c>
      <c r="E51" s="24" t="s">
        <v>65</v>
      </c>
      <c r="F51" s="23" t="s">
        <v>13</v>
      </c>
      <c r="G51" s="30" t="s">
        <v>80</v>
      </c>
      <c r="H51" s="31"/>
      <c r="I51" s="25">
        <v>2</v>
      </c>
      <c r="J51" s="23" t="s">
        <v>13</v>
      </c>
      <c r="K51" s="25">
        <v>0</v>
      </c>
      <c r="L51" s="26"/>
      <c r="M51" s="27"/>
    </row>
    <row r="52" spans="2:13" ht="15.75" customHeight="1">
      <c r="B52" s="32">
        <v>46</v>
      </c>
      <c r="C52" s="36" t="s">
        <v>130</v>
      </c>
      <c r="D52" s="23" t="s">
        <v>104</v>
      </c>
      <c r="E52" s="24" t="s">
        <v>88</v>
      </c>
      <c r="F52" s="23" t="s">
        <v>13</v>
      </c>
      <c r="G52" s="30" t="s">
        <v>73</v>
      </c>
      <c r="H52" s="31"/>
      <c r="I52" s="25">
        <v>1</v>
      </c>
      <c r="J52" s="23" t="s">
        <v>13</v>
      </c>
      <c r="K52" s="25">
        <v>1</v>
      </c>
      <c r="L52" s="26"/>
      <c r="M52" s="27"/>
    </row>
    <row r="53" spans="2:13" ht="15.75" customHeight="1">
      <c r="B53" s="32">
        <v>47</v>
      </c>
      <c r="C53" s="36" t="s">
        <v>131</v>
      </c>
      <c r="D53" s="23" t="s">
        <v>107</v>
      </c>
      <c r="E53" s="24" t="s">
        <v>64</v>
      </c>
      <c r="F53" s="23" t="s">
        <v>13</v>
      </c>
      <c r="G53" s="30" t="s">
        <v>79</v>
      </c>
      <c r="H53" s="31"/>
      <c r="I53" s="25">
        <v>3</v>
      </c>
      <c r="J53" s="23" t="s">
        <v>13</v>
      </c>
      <c r="K53" s="25">
        <v>0</v>
      </c>
      <c r="L53" s="26"/>
      <c r="M53" s="27"/>
    </row>
    <row r="54" spans="2:13" ht="15.75" customHeight="1">
      <c r="B54" s="32">
        <v>48</v>
      </c>
      <c r="C54" s="36" t="s">
        <v>132</v>
      </c>
      <c r="D54" s="23" t="s">
        <v>107</v>
      </c>
      <c r="E54" s="24" t="s">
        <v>72</v>
      </c>
      <c r="F54" s="23" t="s">
        <v>13</v>
      </c>
      <c r="G54" s="30" t="s">
        <v>87</v>
      </c>
      <c r="H54" s="31"/>
      <c r="I54" s="25">
        <v>2</v>
      </c>
      <c r="J54" s="23" t="s">
        <v>13</v>
      </c>
      <c r="K54" s="25">
        <v>1</v>
      </c>
      <c r="L54" s="26"/>
      <c r="M54" s="27"/>
    </row>
    <row r="55" spans="2:13" ht="15.75" customHeight="1">
      <c r="B55" s="32">
        <v>49</v>
      </c>
      <c r="C55" s="36" t="s">
        <v>133</v>
      </c>
      <c r="D55" s="23" t="s">
        <v>45</v>
      </c>
      <c r="E55" s="24" t="s">
        <v>34</v>
      </c>
      <c r="F55" s="23" t="s">
        <v>13</v>
      </c>
      <c r="G55" s="30" t="s">
        <v>26</v>
      </c>
      <c r="H55" s="31"/>
      <c r="I55" s="25">
        <v>1</v>
      </c>
      <c r="J55" s="23" t="s">
        <v>13</v>
      </c>
      <c r="K55" s="25">
        <v>3</v>
      </c>
      <c r="L55" s="26"/>
      <c r="M55" s="27"/>
    </row>
    <row r="56" spans="2:13" ht="15.75" customHeight="1">
      <c r="B56" s="32">
        <v>50</v>
      </c>
      <c r="C56" s="36" t="s">
        <v>133</v>
      </c>
      <c r="D56" s="23" t="s">
        <v>45</v>
      </c>
      <c r="E56" s="24" t="s">
        <v>41</v>
      </c>
      <c r="F56" s="23" t="s">
        <v>13</v>
      </c>
      <c r="G56" s="30" t="s">
        <v>46</v>
      </c>
      <c r="H56" s="31"/>
      <c r="I56" s="25">
        <v>3</v>
      </c>
      <c r="J56" s="23" t="s">
        <v>13</v>
      </c>
      <c r="K56" s="25">
        <v>0</v>
      </c>
      <c r="L56" s="26"/>
      <c r="M56" s="27"/>
    </row>
    <row r="57" spans="2:13" ht="15.75" customHeight="1">
      <c r="B57" s="32">
        <v>51</v>
      </c>
      <c r="C57" s="36" t="s">
        <v>134</v>
      </c>
      <c r="D57" s="23" t="s">
        <v>31</v>
      </c>
      <c r="E57" s="24" t="s">
        <v>25</v>
      </c>
      <c r="F57" s="23" t="s">
        <v>13</v>
      </c>
      <c r="G57" s="30" t="s">
        <v>32</v>
      </c>
      <c r="H57" s="31"/>
      <c r="I57" s="25">
        <v>1</v>
      </c>
      <c r="J57" s="23" t="s">
        <v>13</v>
      </c>
      <c r="K57" s="25">
        <v>1</v>
      </c>
      <c r="L57" s="26"/>
      <c r="M57" s="27"/>
    </row>
    <row r="58" spans="2:13" ht="15.75" customHeight="1">
      <c r="B58" s="32">
        <v>52</v>
      </c>
      <c r="C58" s="36" t="s">
        <v>134</v>
      </c>
      <c r="D58" s="23" t="s">
        <v>31</v>
      </c>
      <c r="E58" s="24" t="s">
        <v>33</v>
      </c>
      <c r="F58" s="23" t="s">
        <v>13</v>
      </c>
      <c r="G58" s="30" t="s">
        <v>47</v>
      </c>
      <c r="H58" s="31"/>
      <c r="I58" s="25">
        <v>2</v>
      </c>
      <c r="J58" s="23" t="s">
        <v>13</v>
      </c>
      <c r="K58" s="25">
        <v>0</v>
      </c>
      <c r="L58" s="26"/>
      <c r="M58" s="27"/>
    </row>
    <row r="59" spans="2:13" ht="15.75" customHeight="1">
      <c r="B59" s="32">
        <v>53</v>
      </c>
      <c r="C59" s="36" t="s">
        <v>135</v>
      </c>
      <c r="D59" s="23" t="s">
        <v>11</v>
      </c>
      <c r="E59" s="24" t="s">
        <v>24</v>
      </c>
      <c r="F59" s="23" t="s">
        <v>13</v>
      </c>
      <c r="G59" s="30" t="s">
        <v>12</v>
      </c>
      <c r="H59" s="31"/>
      <c r="I59" s="25">
        <v>1</v>
      </c>
      <c r="J59" s="23" t="s">
        <v>13</v>
      </c>
      <c r="K59" s="25">
        <v>2</v>
      </c>
      <c r="L59" s="26"/>
      <c r="M59" s="27"/>
    </row>
    <row r="60" spans="2:13" ht="15.75" customHeight="1">
      <c r="B60" s="32">
        <v>54</v>
      </c>
      <c r="C60" s="36" t="s">
        <v>135</v>
      </c>
      <c r="D60" s="23" t="s">
        <v>11</v>
      </c>
      <c r="E60" s="24" t="s">
        <v>14</v>
      </c>
      <c r="F60" s="23" t="s">
        <v>13</v>
      </c>
      <c r="G60" s="30" t="s">
        <v>23</v>
      </c>
      <c r="H60" s="31"/>
      <c r="I60" s="25">
        <v>0</v>
      </c>
      <c r="J60" s="23" t="s">
        <v>13</v>
      </c>
      <c r="K60" s="25">
        <v>3</v>
      </c>
      <c r="L60" s="26"/>
      <c r="M60" s="27"/>
    </row>
    <row r="61" spans="2:13" ht="15.75" customHeight="1">
      <c r="B61" s="32">
        <v>55</v>
      </c>
      <c r="C61" s="36" t="s">
        <v>136</v>
      </c>
      <c r="D61" s="23" t="s">
        <v>67</v>
      </c>
      <c r="E61" s="24" t="s">
        <v>49</v>
      </c>
      <c r="F61" s="23" t="s">
        <v>13</v>
      </c>
      <c r="G61" s="30" t="s">
        <v>42</v>
      </c>
      <c r="H61" s="31"/>
      <c r="I61" s="25">
        <v>0</v>
      </c>
      <c r="J61" s="23" t="s">
        <v>13</v>
      </c>
      <c r="K61" s="25">
        <v>3</v>
      </c>
      <c r="L61" s="26"/>
      <c r="M61" s="27"/>
    </row>
    <row r="62" spans="2:13" ht="15.75" customHeight="1">
      <c r="B62" s="32">
        <v>56</v>
      </c>
      <c r="C62" s="36" t="s">
        <v>136</v>
      </c>
      <c r="D62" s="23" t="s">
        <v>67</v>
      </c>
      <c r="E62" s="24" t="s">
        <v>36</v>
      </c>
      <c r="F62" s="23" t="s">
        <v>13</v>
      </c>
      <c r="G62" s="30" t="s">
        <v>28</v>
      </c>
      <c r="H62" s="31"/>
      <c r="I62" s="25">
        <v>1</v>
      </c>
      <c r="J62" s="23" t="s">
        <v>13</v>
      </c>
      <c r="K62" s="25">
        <v>3</v>
      </c>
      <c r="L62" s="26"/>
      <c r="M62" s="27"/>
    </row>
    <row r="63" spans="2:13" ht="15.75" customHeight="1">
      <c r="B63" s="32">
        <v>57</v>
      </c>
      <c r="C63" s="36" t="s">
        <v>137</v>
      </c>
      <c r="D63" s="23" t="s">
        <v>82</v>
      </c>
      <c r="E63" s="24" t="s">
        <v>43</v>
      </c>
      <c r="F63" s="23" t="s">
        <v>13</v>
      </c>
      <c r="G63" s="30" t="s">
        <v>37</v>
      </c>
      <c r="H63" s="31"/>
      <c r="I63" s="25">
        <v>1</v>
      </c>
      <c r="J63" s="23" t="s">
        <v>13</v>
      </c>
      <c r="K63" s="25">
        <v>0</v>
      </c>
      <c r="L63" s="26"/>
      <c r="M63" s="27"/>
    </row>
    <row r="64" spans="2:13" ht="15.75" customHeight="1">
      <c r="B64" s="32">
        <v>58</v>
      </c>
      <c r="C64" s="36" t="s">
        <v>137</v>
      </c>
      <c r="D64" s="23" t="s">
        <v>82</v>
      </c>
      <c r="E64" s="24" t="s">
        <v>50</v>
      </c>
      <c r="F64" s="23" t="s">
        <v>13</v>
      </c>
      <c r="G64" s="30" t="s">
        <v>29</v>
      </c>
      <c r="H64" s="31"/>
      <c r="I64" s="25">
        <v>0</v>
      </c>
      <c r="J64" s="23" t="s">
        <v>13</v>
      </c>
      <c r="K64" s="25">
        <v>3</v>
      </c>
      <c r="L64" s="26"/>
      <c r="M64" s="27"/>
    </row>
    <row r="65" spans="2:14" ht="15.75" customHeight="1">
      <c r="B65" s="32">
        <v>59</v>
      </c>
      <c r="C65" s="36" t="s">
        <v>138</v>
      </c>
      <c r="D65" s="23" t="s">
        <v>39</v>
      </c>
      <c r="E65" s="24" t="s">
        <v>27</v>
      </c>
      <c r="F65" s="23" t="s">
        <v>13</v>
      </c>
      <c r="G65" s="30" t="s">
        <v>35</v>
      </c>
      <c r="H65" s="31"/>
      <c r="I65" s="25">
        <v>1</v>
      </c>
      <c r="J65" s="23" t="s">
        <v>13</v>
      </c>
      <c r="K65" s="25">
        <v>1</v>
      </c>
      <c r="L65" s="26"/>
      <c r="M65" s="27"/>
      <c r="N65" s="1"/>
    </row>
    <row r="66" spans="2:14" ht="15.75" customHeight="1">
      <c r="B66" s="32">
        <v>60</v>
      </c>
      <c r="C66" s="36" t="s">
        <v>138</v>
      </c>
      <c r="D66" s="23" t="s">
        <v>39</v>
      </c>
      <c r="E66" s="24" t="s">
        <v>40</v>
      </c>
      <c r="F66" s="23" t="s">
        <v>13</v>
      </c>
      <c r="G66" s="30" t="s">
        <v>48</v>
      </c>
      <c r="H66" s="31"/>
      <c r="I66" s="25">
        <v>2</v>
      </c>
      <c r="J66" s="23" t="s">
        <v>13</v>
      </c>
      <c r="K66" s="25">
        <v>1</v>
      </c>
      <c r="L66" s="26"/>
      <c r="M66" s="27"/>
      <c r="N66" s="1"/>
    </row>
    <row r="67" spans="2:14" ht="15.75" customHeight="1">
      <c r="B67" s="32">
        <v>61</v>
      </c>
      <c r="C67" s="36" t="s">
        <v>139</v>
      </c>
      <c r="D67" s="23" t="s">
        <v>98</v>
      </c>
      <c r="E67" s="24" t="s">
        <v>70</v>
      </c>
      <c r="F67" s="23" t="s">
        <v>13</v>
      </c>
      <c r="G67" s="30" t="s">
        <v>62</v>
      </c>
      <c r="H67" s="31"/>
      <c r="I67" s="25">
        <v>1</v>
      </c>
      <c r="J67" s="23" t="s">
        <v>13</v>
      </c>
      <c r="K67" s="25">
        <v>2</v>
      </c>
      <c r="L67" s="26"/>
      <c r="M67" s="27"/>
      <c r="N67" s="1"/>
    </row>
    <row r="68" spans="2:14" ht="15.75" customHeight="1">
      <c r="B68" s="32">
        <v>62</v>
      </c>
      <c r="C68" s="36" t="s">
        <v>139</v>
      </c>
      <c r="D68" s="23" t="s">
        <v>98</v>
      </c>
      <c r="E68" s="24" t="s">
        <v>77</v>
      </c>
      <c r="F68" s="23" t="s">
        <v>13</v>
      </c>
      <c r="G68" s="30" t="s">
        <v>85</v>
      </c>
      <c r="H68" s="31"/>
      <c r="I68" s="25">
        <v>3</v>
      </c>
      <c r="J68" s="23" t="s">
        <v>13</v>
      </c>
      <c r="K68" s="25">
        <v>0</v>
      </c>
      <c r="L68" s="26"/>
      <c r="M68" s="27"/>
      <c r="N68" s="1"/>
    </row>
    <row r="69" spans="2:14" ht="15.75" customHeight="1">
      <c r="B69" s="32">
        <v>63</v>
      </c>
      <c r="C69" s="36" t="s">
        <v>140</v>
      </c>
      <c r="D69" s="23" t="s">
        <v>95</v>
      </c>
      <c r="E69" s="24" t="s">
        <v>68</v>
      </c>
      <c r="F69" s="23" t="s">
        <v>13</v>
      </c>
      <c r="G69" s="30" t="s">
        <v>83</v>
      </c>
      <c r="H69" s="31"/>
      <c r="I69" s="25">
        <v>2</v>
      </c>
      <c r="J69" s="23" t="s">
        <v>13</v>
      </c>
      <c r="K69" s="25">
        <v>0</v>
      </c>
      <c r="L69" s="26"/>
      <c r="M69" s="27"/>
      <c r="N69" s="1"/>
    </row>
    <row r="70" spans="2:14" ht="15.75" customHeight="1">
      <c r="B70" s="32">
        <v>64</v>
      </c>
      <c r="C70" s="36" t="s">
        <v>140</v>
      </c>
      <c r="D70" s="23" t="s">
        <v>95</v>
      </c>
      <c r="E70" s="24" t="s">
        <v>75</v>
      </c>
      <c r="F70" s="23" t="s">
        <v>13</v>
      </c>
      <c r="G70" s="30" t="s">
        <v>60</v>
      </c>
      <c r="H70" s="31"/>
      <c r="I70" s="25">
        <v>0</v>
      </c>
      <c r="J70" s="23" t="s">
        <v>13</v>
      </c>
      <c r="K70" s="25">
        <v>3</v>
      </c>
      <c r="L70" s="26"/>
      <c r="M70" s="27"/>
      <c r="N70" s="1"/>
    </row>
    <row r="71" spans="2:14" ht="15.75" customHeight="1">
      <c r="B71" s="32">
        <v>65</v>
      </c>
      <c r="C71" s="36" t="s">
        <v>141</v>
      </c>
      <c r="D71" s="23" t="s">
        <v>91</v>
      </c>
      <c r="E71" s="24" t="s">
        <v>76</v>
      </c>
      <c r="F71" s="23" t="s">
        <v>13</v>
      </c>
      <c r="G71" s="30" t="s">
        <v>84</v>
      </c>
      <c r="H71" s="31"/>
      <c r="I71" s="25">
        <v>1</v>
      </c>
      <c r="J71" s="23" t="s">
        <v>13</v>
      </c>
      <c r="K71" s="25">
        <v>2</v>
      </c>
      <c r="L71" s="26"/>
      <c r="M71" s="27"/>
      <c r="N71" s="1"/>
    </row>
    <row r="72" spans="2:14" ht="15.75" customHeight="1">
      <c r="B72" s="32">
        <v>66</v>
      </c>
      <c r="C72" s="36" t="s">
        <v>141</v>
      </c>
      <c r="D72" s="23" t="s">
        <v>91</v>
      </c>
      <c r="E72" s="24" t="s">
        <v>69</v>
      </c>
      <c r="F72" s="23" t="s">
        <v>13</v>
      </c>
      <c r="G72" s="30" t="s">
        <v>61</v>
      </c>
      <c r="H72" s="31"/>
      <c r="I72" s="25">
        <v>1</v>
      </c>
      <c r="J72" s="23" t="s">
        <v>13</v>
      </c>
      <c r="K72" s="25">
        <v>1</v>
      </c>
      <c r="L72" s="26"/>
      <c r="M72" s="27"/>
      <c r="N72" s="1"/>
    </row>
    <row r="73" spans="2:14" ht="15.75" customHeight="1">
      <c r="B73" s="32">
        <v>67</v>
      </c>
      <c r="C73" s="36" t="s">
        <v>142</v>
      </c>
      <c r="D73" s="23" t="s">
        <v>104</v>
      </c>
      <c r="E73" s="24" t="s">
        <v>88</v>
      </c>
      <c r="F73" s="23" t="s">
        <v>13</v>
      </c>
      <c r="G73" s="30" t="s">
        <v>65</v>
      </c>
      <c r="H73" s="31"/>
      <c r="I73" s="25">
        <v>0</v>
      </c>
      <c r="J73" s="23" t="s">
        <v>13</v>
      </c>
      <c r="K73" s="25">
        <v>2</v>
      </c>
      <c r="L73" s="26"/>
      <c r="M73" s="27"/>
      <c r="N73" s="1"/>
    </row>
    <row r="74" spans="2:14" ht="15.75" customHeight="1">
      <c r="B74" s="32">
        <v>68</v>
      </c>
      <c r="C74" s="36" t="s">
        <v>142</v>
      </c>
      <c r="D74" s="23" t="s">
        <v>104</v>
      </c>
      <c r="E74" s="24" t="s">
        <v>73</v>
      </c>
      <c r="F74" s="23" t="s">
        <v>13</v>
      </c>
      <c r="G74" s="30" t="s">
        <v>80</v>
      </c>
      <c r="H74" s="31"/>
      <c r="I74" s="25">
        <v>2</v>
      </c>
      <c r="J74" s="23" t="s">
        <v>13</v>
      </c>
      <c r="K74" s="25">
        <v>0</v>
      </c>
      <c r="L74" s="26"/>
      <c r="M74" s="27"/>
      <c r="N74" s="1"/>
    </row>
    <row r="75" spans="2:14" ht="15.75" customHeight="1">
      <c r="B75" s="32">
        <v>69</v>
      </c>
      <c r="C75" s="36" t="s">
        <v>143</v>
      </c>
      <c r="D75" s="23" t="s">
        <v>101</v>
      </c>
      <c r="E75" s="24" t="s">
        <v>78</v>
      </c>
      <c r="F75" s="23" t="s">
        <v>13</v>
      </c>
      <c r="G75" s="30" t="s">
        <v>71</v>
      </c>
      <c r="H75" s="31"/>
      <c r="I75" s="25">
        <v>1</v>
      </c>
      <c r="J75" s="23" t="s">
        <v>13</v>
      </c>
      <c r="K75" s="25">
        <v>1</v>
      </c>
      <c r="L75" s="26"/>
      <c r="M75" s="27"/>
      <c r="N75" s="1"/>
    </row>
    <row r="76" spans="2:14" ht="15.75" customHeight="1">
      <c r="B76" s="32">
        <v>70</v>
      </c>
      <c r="C76" s="36" t="s">
        <v>143</v>
      </c>
      <c r="D76" s="23" t="s">
        <v>101</v>
      </c>
      <c r="E76" s="24" t="s">
        <v>86</v>
      </c>
      <c r="F76" s="23" t="s">
        <v>13</v>
      </c>
      <c r="G76" s="30" t="s">
        <v>63</v>
      </c>
      <c r="H76" s="31"/>
      <c r="I76" s="25">
        <v>0</v>
      </c>
      <c r="J76" s="23" t="s">
        <v>13</v>
      </c>
      <c r="K76" s="25">
        <v>4</v>
      </c>
      <c r="L76" s="26"/>
      <c r="M76" s="27"/>
      <c r="N76" s="1"/>
    </row>
    <row r="77" spans="2:14" ht="15.75" customHeight="1">
      <c r="B77" s="32">
        <v>71</v>
      </c>
      <c r="C77" s="36" t="s">
        <v>144</v>
      </c>
      <c r="D77" s="23" t="s">
        <v>107</v>
      </c>
      <c r="E77" s="24" t="s">
        <v>72</v>
      </c>
      <c r="F77" s="23" t="s">
        <v>13</v>
      </c>
      <c r="G77" s="30" t="s">
        <v>64</v>
      </c>
      <c r="H77" s="31"/>
      <c r="I77" s="25">
        <v>1</v>
      </c>
      <c r="J77" s="23" t="s">
        <v>13</v>
      </c>
      <c r="K77" s="25">
        <v>1</v>
      </c>
      <c r="L77" s="26"/>
      <c r="M77" s="27"/>
      <c r="N77" s="1"/>
    </row>
    <row r="78" spans="2:14" ht="15.75" customHeight="1">
      <c r="B78" s="32">
        <v>72</v>
      </c>
      <c r="C78" s="36" t="s">
        <v>144</v>
      </c>
      <c r="D78" s="23" t="s">
        <v>107</v>
      </c>
      <c r="E78" s="24" t="s">
        <v>87</v>
      </c>
      <c r="F78" s="23" t="s">
        <v>13</v>
      </c>
      <c r="G78" s="30" t="s">
        <v>79</v>
      </c>
      <c r="H78" s="31"/>
      <c r="I78" s="25">
        <v>1</v>
      </c>
      <c r="J78" s="23" t="s">
        <v>13</v>
      </c>
      <c r="K78" s="25">
        <v>1</v>
      </c>
      <c r="L78" s="26"/>
      <c r="M78" s="27"/>
      <c r="N78" s="1"/>
    </row>
    <row r="79" spans="2:14" ht="15.75" customHeight="1">
      <c r="B79" s="1"/>
      <c r="C79" s="1"/>
      <c r="D79" s="2" t="s">
        <v>145</v>
      </c>
      <c r="E79" s="10" t="s">
        <v>28</v>
      </c>
      <c r="F79" s="5" t="s">
        <v>13</v>
      </c>
      <c r="G79" s="10" t="s">
        <v>26</v>
      </c>
      <c r="H79" s="1"/>
      <c r="I79" s="1"/>
      <c r="J79" s="1"/>
      <c r="K79" s="1"/>
      <c r="L79" s="14"/>
      <c r="M79" s="14"/>
      <c r="N79" s="15"/>
    </row>
    <row r="80" spans="2:14" ht="15.75" customHeight="1">
      <c r="B80" s="1"/>
      <c r="C80" s="37"/>
      <c r="D80" s="2" t="s">
        <v>146</v>
      </c>
      <c r="E80" s="11" t="s">
        <v>63</v>
      </c>
      <c r="F80" s="5" t="s">
        <v>13</v>
      </c>
      <c r="G80" s="11" t="s">
        <v>61</v>
      </c>
      <c r="H80" s="1"/>
      <c r="I80" s="1"/>
      <c r="J80" s="1"/>
      <c r="K80" s="1"/>
      <c r="L80" s="9"/>
      <c r="M80" s="9"/>
      <c r="N80" s="15"/>
    </row>
    <row r="81" spans="1:14" ht="15.75" customHeight="1">
      <c r="A81" s="1"/>
      <c r="B81" s="1"/>
      <c r="C81" s="37"/>
      <c r="D81" s="1"/>
      <c r="E81" s="1"/>
      <c r="F81" s="4"/>
      <c r="G81" s="1"/>
      <c r="H81" s="1"/>
      <c r="I81" s="1"/>
      <c r="J81" s="1"/>
      <c r="K81" s="4"/>
      <c r="L81" s="4"/>
      <c r="M81" s="4"/>
      <c r="N81" s="15"/>
    </row>
    <row r="82" spans="1:14" ht="15.75" customHeight="1">
      <c r="A82" s="1"/>
      <c r="B82" s="1"/>
      <c r="C82" s="37"/>
      <c r="D82" s="1"/>
      <c r="E82" s="1"/>
      <c r="F82" s="4"/>
      <c r="G82" s="1"/>
      <c r="H82" s="1"/>
      <c r="I82" s="1"/>
      <c r="J82" s="1"/>
      <c r="K82" s="4"/>
      <c r="L82" s="12" t="s">
        <v>147</v>
      </c>
      <c r="M82" s="8"/>
      <c r="N82" s="15"/>
    </row>
    <row r="83" spans="1:14" ht="15.75" customHeight="1">
      <c r="A83" s="1"/>
      <c r="B83" s="1"/>
      <c r="C83" s="37"/>
      <c r="D83" s="1"/>
      <c r="E83" s="1"/>
      <c r="F83" s="4"/>
      <c r="G83" s="1"/>
      <c r="H83" s="1"/>
      <c r="I83" s="1"/>
      <c r="J83" s="1"/>
      <c r="K83" s="4"/>
      <c r="L83" s="4"/>
      <c r="M83" s="4"/>
      <c r="N83" s="15"/>
    </row>
    <row r="84" spans="1:14" ht="15.75" customHeight="1">
      <c r="A84" s="2"/>
      <c r="B84" s="1"/>
      <c r="C84" s="37"/>
      <c r="D84" s="1"/>
      <c r="E84" s="1"/>
      <c r="F84" s="4"/>
      <c r="G84" s="5"/>
      <c r="H84" s="1"/>
      <c r="I84" s="1"/>
      <c r="J84" s="1"/>
      <c r="K84" s="4"/>
      <c r="L84" s="1"/>
      <c r="M84" s="1"/>
      <c r="N84" s="1"/>
    </row>
    <row r="85" spans="1:14" ht="15.75" customHeight="1">
      <c r="A85" s="2"/>
      <c r="B85" s="1"/>
      <c r="C85" s="37"/>
      <c r="D85" s="1"/>
      <c r="E85" s="1"/>
      <c r="F85" s="4"/>
      <c r="G85" s="5"/>
      <c r="H85" s="1"/>
      <c r="I85" s="1"/>
      <c r="J85" s="1"/>
      <c r="K85" s="4"/>
      <c r="L85" s="1"/>
      <c r="M85" s="1"/>
      <c r="N85" s="1"/>
    </row>
    <row r="86" spans="1:14" ht="15.75" customHeight="1">
      <c r="A86" s="2"/>
      <c r="B86" s="3"/>
      <c r="C86" s="38"/>
      <c r="D86" s="1"/>
      <c r="E86" s="1"/>
      <c r="F86" s="4"/>
      <c r="G86" s="5"/>
      <c r="H86" s="1"/>
      <c r="I86" s="1"/>
      <c r="J86" s="1"/>
      <c r="K86" s="4"/>
      <c r="L86" s="1"/>
      <c r="M86" s="1"/>
      <c r="N86" s="1"/>
    </row>
    <row r="87" spans="1:14" ht="15.75" customHeight="1">
      <c r="A87" s="2"/>
      <c r="B87" s="3"/>
      <c r="C87" s="38"/>
      <c r="D87" s="1"/>
      <c r="E87" s="1"/>
      <c r="F87" s="4"/>
      <c r="G87" s="5"/>
      <c r="H87" s="1"/>
      <c r="I87" s="1"/>
      <c r="J87" s="1"/>
      <c r="K87" s="4"/>
      <c r="L87" s="1"/>
      <c r="M87" s="1"/>
      <c r="N87" s="1"/>
    </row>
  </sheetData>
  <mergeCells count="1">
    <mergeCell ref="H2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U87"/>
  <sheetViews>
    <sheetView workbookViewId="0"/>
  </sheetViews>
  <sheetFormatPr defaultRowHeight="15"/>
  <sheetData>
    <row r="2" spans="2:21" ht="15.75" customHeight="1">
      <c r="B2" s="1"/>
      <c r="C2" s="1"/>
      <c r="D2" s="1"/>
      <c r="E2" s="1"/>
      <c r="F2" s="1"/>
      <c r="G2" s="2" t="s">
        <v>0</v>
      </c>
      <c r="H2" s="292" t="s">
        <v>172</v>
      </c>
      <c r="I2" s="293"/>
      <c r="J2" s="293"/>
      <c r="K2" s="293"/>
      <c r="L2" s="293"/>
      <c r="M2" s="293"/>
      <c r="N2" s="4"/>
      <c r="O2" s="1"/>
      <c r="P2" s="1"/>
      <c r="Q2" s="1"/>
      <c r="R2" s="1"/>
      <c r="S2" s="1"/>
      <c r="T2" s="1"/>
      <c r="U2" s="1"/>
    </row>
    <row r="4" spans="2:21" ht="18" customHeight="1">
      <c r="B4" s="33" t="s">
        <v>2</v>
      </c>
      <c r="C4" s="1"/>
      <c r="D4" s="1"/>
      <c r="E4" s="1"/>
      <c r="F4" s="1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ht="15.75" customHeight="1">
      <c r="B5" s="1"/>
      <c r="C5" s="34"/>
      <c r="D5" s="1"/>
      <c r="E5" s="1"/>
      <c r="F5" s="1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 customHeight="1">
      <c r="B6" s="1"/>
      <c r="C6" s="35" t="s">
        <v>3</v>
      </c>
      <c r="D6" s="6" t="s">
        <v>4</v>
      </c>
      <c r="E6" s="7"/>
      <c r="F6" s="6" t="s">
        <v>5</v>
      </c>
      <c r="G6" s="7"/>
      <c r="H6" s="7"/>
      <c r="I6" s="7"/>
      <c r="J6" s="6" t="s">
        <v>6</v>
      </c>
      <c r="K6" s="6"/>
      <c r="L6" s="6" t="s">
        <v>7</v>
      </c>
      <c r="M6" s="6" t="s">
        <v>8</v>
      </c>
      <c r="N6" s="6"/>
      <c r="O6" s="20" t="s">
        <v>9</v>
      </c>
      <c r="P6" s="1"/>
      <c r="Q6" s="1"/>
      <c r="R6" s="1"/>
      <c r="S6" s="1"/>
      <c r="T6" s="1"/>
      <c r="U6" s="1"/>
    </row>
    <row r="7" spans="2:21" ht="16.5" customHeight="1">
      <c r="B7" s="32">
        <v>1</v>
      </c>
      <c r="C7" s="36" t="s">
        <v>10</v>
      </c>
      <c r="D7" s="23" t="s">
        <v>11</v>
      </c>
      <c r="E7" s="24" t="s">
        <v>12</v>
      </c>
      <c r="F7" s="23" t="s">
        <v>13</v>
      </c>
      <c r="G7" s="30" t="s">
        <v>14</v>
      </c>
      <c r="H7" s="31"/>
      <c r="I7" s="25">
        <v>2</v>
      </c>
      <c r="J7" s="23" t="s">
        <v>13</v>
      </c>
      <c r="K7" s="25">
        <v>0</v>
      </c>
      <c r="L7" s="26"/>
      <c r="M7" s="27"/>
      <c r="N7" s="15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 customHeight="1">
      <c r="B8" s="32">
        <v>2</v>
      </c>
      <c r="C8" s="36" t="s">
        <v>22</v>
      </c>
      <c r="D8" s="23" t="s">
        <v>11</v>
      </c>
      <c r="E8" s="24" t="s">
        <v>23</v>
      </c>
      <c r="F8" s="23" t="s">
        <v>13</v>
      </c>
      <c r="G8" s="30" t="s">
        <v>24</v>
      </c>
      <c r="H8" s="31"/>
      <c r="I8" s="25">
        <v>1</v>
      </c>
      <c r="J8" s="23" t="s">
        <v>13</v>
      </c>
      <c r="K8" s="25">
        <v>3</v>
      </c>
      <c r="L8" s="26"/>
      <c r="M8" s="27"/>
      <c r="N8" s="15"/>
      <c r="O8" s="16">
        <v>1</v>
      </c>
      <c r="P8" s="18" t="s">
        <v>169</v>
      </c>
      <c r="Q8" s="18" t="s">
        <v>173</v>
      </c>
      <c r="R8" s="18" t="s">
        <v>26</v>
      </c>
      <c r="S8" s="18" t="s">
        <v>27</v>
      </c>
      <c r="T8" s="18" t="s">
        <v>28</v>
      </c>
      <c r="U8" s="18" t="s">
        <v>43</v>
      </c>
    </row>
    <row r="9" spans="2:21" ht="15.75" customHeight="1">
      <c r="B9" s="32">
        <v>3</v>
      </c>
      <c r="C9" s="36" t="s">
        <v>30</v>
      </c>
      <c r="D9" s="23" t="s">
        <v>31</v>
      </c>
      <c r="E9" s="24" t="s">
        <v>32</v>
      </c>
      <c r="F9" s="23" t="s">
        <v>13</v>
      </c>
      <c r="G9" s="30" t="s">
        <v>33</v>
      </c>
      <c r="H9" s="31"/>
      <c r="I9" s="25">
        <v>2</v>
      </c>
      <c r="J9" s="23" t="s">
        <v>13</v>
      </c>
      <c r="K9" s="25">
        <v>2</v>
      </c>
      <c r="L9" s="26"/>
      <c r="M9" s="27"/>
      <c r="N9" s="15"/>
      <c r="O9" s="17">
        <v>2</v>
      </c>
      <c r="P9" s="19" t="s">
        <v>174</v>
      </c>
      <c r="Q9" s="19" t="s">
        <v>25</v>
      </c>
      <c r="R9" s="19" t="s">
        <v>41</v>
      </c>
      <c r="S9" s="19" t="s">
        <v>35</v>
      </c>
      <c r="T9" s="19" t="s">
        <v>36</v>
      </c>
      <c r="U9" s="19" t="s">
        <v>29</v>
      </c>
    </row>
    <row r="10" spans="2:21" ht="15.75" customHeight="1">
      <c r="B10" s="32">
        <v>4</v>
      </c>
      <c r="C10" s="36" t="s">
        <v>38</v>
      </c>
      <c r="D10" s="23" t="s">
        <v>39</v>
      </c>
      <c r="E10" s="24" t="s">
        <v>35</v>
      </c>
      <c r="F10" s="23" t="s">
        <v>13</v>
      </c>
      <c r="G10" s="30" t="s">
        <v>40</v>
      </c>
      <c r="H10" s="31"/>
      <c r="I10" s="25">
        <v>2</v>
      </c>
      <c r="J10" s="23" t="s">
        <v>13</v>
      </c>
      <c r="K10" s="25">
        <v>1</v>
      </c>
      <c r="L10" s="26"/>
      <c r="M10" s="27"/>
      <c r="N10" s="15"/>
      <c r="O10" s="17">
        <v>3</v>
      </c>
      <c r="P10" s="19" t="s">
        <v>14</v>
      </c>
      <c r="Q10" s="19" t="s">
        <v>32</v>
      </c>
      <c r="R10" s="19" t="s">
        <v>34</v>
      </c>
      <c r="S10" s="19" t="s">
        <v>175</v>
      </c>
      <c r="T10" s="19" t="s">
        <v>42</v>
      </c>
      <c r="U10" s="19" t="s">
        <v>37</v>
      </c>
    </row>
    <row r="11" spans="2:21" ht="15.75" customHeight="1">
      <c r="B11" s="32">
        <v>5</v>
      </c>
      <c r="C11" s="36" t="s">
        <v>44</v>
      </c>
      <c r="D11" s="23" t="s">
        <v>45</v>
      </c>
      <c r="E11" s="24" t="s">
        <v>46</v>
      </c>
      <c r="F11" s="23" t="s">
        <v>13</v>
      </c>
      <c r="G11" s="30" t="s">
        <v>34</v>
      </c>
      <c r="H11" s="31"/>
      <c r="I11" s="25">
        <v>1</v>
      </c>
      <c r="J11" s="23" t="s">
        <v>13</v>
      </c>
      <c r="K11" s="25">
        <v>1</v>
      </c>
      <c r="L11" s="26"/>
      <c r="M11" s="27"/>
      <c r="N11" s="15"/>
      <c r="O11" s="17">
        <v>4</v>
      </c>
      <c r="P11" s="19" t="s">
        <v>23</v>
      </c>
      <c r="Q11" s="19" t="s">
        <v>47</v>
      </c>
      <c r="R11" s="19" t="s">
        <v>46</v>
      </c>
      <c r="S11" s="19" t="s">
        <v>48</v>
      </c>
      <c r="T11" s="19" t="s">
        <v>159</v>
      </c>
      <c r="U11" s="19" t="s">
        <v>50</v>
      </c>
    </row>
    <row r="12" spans="2:21" ht="16.5" customHeight="1">
      <c r="B12" s="32">
        <v>6</v>
      </c>
      <c r="C12" s="36" t="s">
        <v>51</v>
      </c>
      <c r="D12" s="23" t="s">
        <v>39</v>
      </c>
      <c r="E12" s="24" t="s">
        <v>48</v>
      </c>
      <c r="F12" s="23" t="s">
        <v>13</v>
      </c>
      <c r="G12" s="30" t="s">
        <v>27</v>
      </c>
      <c r="H12" s="31"/>
      <c r="I12" s="25">
        <v>1</v>
      </c>
      <c r="J12" s="23" t="s">
        <v>13</v>
      </c>
      <c r="K12" s="25">
        <v>3</v>
      </c>
      <c r="L12" s="26"/>
      <c r="M12" s="27"/>
      <c r="N12" s="15"/>
      <c r="O12" s="1"/>
      <c r="P12" s="1"/>
      <c r="Q12" s="1"/>
      <c r="R12" s="1"/>
      <c r="S12" s="1"/>
      <c r="T12" s="1"/>
      <c r="U12" s="1"/>
    </row>
    <row r="13" spans="2:21" ht="16.5" customHeight="1">
      <c r="B13" s="32">
        <v>7</v>
      </c>
      <c r="C13" s="36" t="s">
        <v>52</v>
      </c>
      <c r="D13" s="23" t="s">
        <v>45</v>
      </c>
      <c r="E13" s="24" t="s">
        <v>26</v>
      </c>
      <c r="F13" s="23" t="s">
        <v>13</v>
      </c>
      <c r="G13" s="30" t="s">
        <v>41</v>
      </c>
      <c r="H13" s="31"/>
      <c r="I13" s="25">
        <v>1</v>
      </c>
      <c r="J13" s="23" t="s">
        <v>13</v>
      </c>
      <c r="K13" s="25">
        <v>1</v>
      </c>
      <c r="L13" s="26"/>
      <c r="M13" s="27"/>
      <c r="N13" s="15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 customHeight="1">
      <c r="B14" s="32">
        <v>8</v>
      </c>
      <c r="C14" s="36" t="s">
        <v>59</v>
      </c>
      <c r="D14" s="23" t="s">
        <v>31</v>
      </c>
      <c r="E14" s="24" t="s">
        <v>47</v>
      </c>
      <c r="F14" s="23" t="s">
        <v>13</v>
      </c>
      <c r="G14" s="30" t="s">
        <v>25</v>
      </c>
      <c r="H14" s="31"/>
      <c r="I14" s="25">
        <v>1</v>
      </c>
      <c r="J14" s="23" t="s">
        <v>13</v>
      </c>
      <c r="K14" s="25">
        <v>3</v>
      </c>
      <c r="L14" s="26"/>
      <c r="M14" s="27"/>
      <c r="N14" s="15"/>
      <c r="O14" s="16">
        <v>1</v>
      </c>
      <c r="P14" s="18" t="s">
        <v>60</v>
      </c>
      <c r="Q14" s="18" t="s">
        <v>61</v>
      </c>
      <c r="R14" s="18" t="s">
        <v>62</v>
      </c>
      <c r="S14" s="18" t="s">
        <v>160</v>
      </c>
      <c r="T14" s="18" t="s">
        <v>64</v>
      </c>
      <c r="U14" s="18" t="s">
        <v>65</v>
      </c>
    </row>
    <row r="15" spans="2:21" ht="15.75" customHeight="1">
      <c r="B15" s="32">
        <v>9</v>
      </c>
      <c r="C15" s="36" t="s">
        <v>66</v>
      </c>
      <c r="D15" s="23" t="s">
        <v>67</v>
      </c>
      <c r="E15" s="24" t="s">
        <v>42</v>
      </c>
      <c r="F15" s="23" t="s">
        <v>13</v>
      </c>
      <c r="G15" s="30" t="s">
        <v>36</v>
      </c>
      <c r="H15" s="31"/>
      <c r="I15" s="25">
        <v>1</v>
      </c>
      <c r="J15" s="23" t="s">
        <v>13</v>
      </c>
      <c r="K15" s="25">
        <v>1</v>
      </c>
      <c r="L15" s="26"/>
      <c r="M15" s="27"/>
      <c r="N15" s="15"/>
      <c r="O15" s="17">
        <v>2</v>
      </c>
      <c r="P15" s="19" t="s">
        <v>68</v>
      </c>
      <c r="Q15" s="19" t="s">
        <v>176</v>
      </c>
      <c r="R15" s="19" t="s">
        <v>77</v>
      </c>
      <c r="S15" s="19" t="s">
        <v>71</v>
      </c>
      <c r="T15" s="19" t="s">
        <v>72</v>
      </c>
      <c r="U15" s="19" t="s">
        <v>73</v>
      </c>
    </row>
    <row r="16" spans="2:21" ht="15.75" customHeight="1">
      <c r="B16" s="32">
        <v>10</v>
      </c>
      <c r="C16" s="36" t="s">
        <v>74</v>
      </c>
      <c r="D16" s="23" t="s">
        <v>67</v>
      </c>
      <c r="E16" s="24" t="s">
        <v>28</v>
      </c>
      <c r="F16" s="23" t="s">
        <v>13</v>
      </c>
      <c r="G16" s="30" t="s">
        <v>49</v>
      </c>
      <c r="H16" s="31"/>
      <c r="I16" s="25">
        <v>4</v>
      </c>
      <c r="J16" s="23" t="s">
        <v>13</v>
      </c>
      <c r="K16" s="25">
        <v>0</v>
      </c>
      <c r="L16" s="26"/>
      <c r="M16" s="27"/>
      <c r="N16" s="15"/>
      <c r="O16" s="17">
        <v>3</v>
      </c>
      <c r="P16" s="19" t="s">
        <v>83</v>
      </c>
      <c r="Q16" s="19" t="s">
        <v>76</v>
      </c>
      <c r="R16" s="19" t="s">
        <v>70</v>
      </c>
      <c r="S16" s="19" t="s">
        <v>78</v>
      </c>
      <c r="T16" s="19" t="s">
        <v>79</v>
      </c>
      <c r="U16" s="19" t="s">
        <v>88</v>
      </c>
    </row>
    <row r="17" spans="2:21" ht="15.75" customHeight="1">
      <c r="B17" s="32">
        <v>11</v>
      </c>
      <c r="C17" s="36" t="s">
        <v>81</v>
      </c>
      <c r="D17" s="23" t="s">
        <v>82</v>
      </c>
      <c r="E17" s="24" t="s">
        <v>29</v>
      </c>
      <c r="F17" s="23" t="s">
        <v>13</v>
      </c>
      <c r="G17" s="30" t="s">
        <v>43</v>
      </c>
      <c r="H17" s="31"/>
      <c r="I17" s="25">
        <v>2</v>
      </c>
      <c r="J17" s="23" t="s">
        <v>13</v>
      </c>
      <c r="K17" s="25">
        <v>3</v>
      </c>
      <c r="L17" s="26"/>
      <c r="M17" s="27"/>
      <c r="N17" s="15"/>
      <c r="O17" s="17">
        <v>4</v>
      </c>
      <c r="P17" s="19" t="s">
        <v>75</v>
      </c>
      <c r="Q17" s="19" t="s">
        <v>177</v>
      </c>
      <c r="R17" s="19" t="s">
        <v>85</v>
      </c>
      <c r="S17" s="19" t="s">
        <v>86</v>
      </c>
      <c r="T17" s="19" t="s">
        <v>178</v>
      </c>
      <c r="U17" s="19" t="s">
        <v>80</v>
      </c>
    </row>
    <row r="18" spans="2:21" ht="15.75" customHeight="1">
      <c r="B18" s="32">
        <v>12</v>
      </c>
      <c r="C18" s="36" t="s">
        <v>89</v>
      </c>
      <c r="D18" s="23" t="s">
        <v>82</v>
      </c>
      <c r="E18" s="24" t="s">
        <v>37</v>
      </c>
      <c r="F18" s="23" t="s">
        <v>13</v>
      </c>
      <c r="G18" s="30" t="s">
        <v>50</v>
      </c>
      <c r="H18" s="31"/>
      <c r="I18" s="25">
        <v>2</v>
      </c>
      <c r="J18" s="23" t="s">
        <v>13</v>
      </c>
      <c r="K18" s="25">
        <v>2</v>
      </c>
      <c r="L18" s="26"/>
      <c r="M18" s="27"/>
      <c r="N18" s="15"/>
      <c r="O18" s="1"/>
      <c r="P18" s="21"/>
      <c r="Q18" s="21"/>
      <c r="R18" s="21"/>
      <c r="S18" s="21"/>
      <c r="T18" s="21"/>
      <c r="U18" s="21"/>
    </row>
    <row r="19" spans="2:21" ht="15.75" customHeight="1">
      <c r="B19" s="32">
        <v>13</v>
      </c>
      <c r="C19" s="36" t="s">
        <v>90</v>
      </c>
      <c r="D19" s="23" t="s">
        <v>91</v>
      </c>
      <c r="E19" s="24" t="s">
        <v>84</v>
      </c>
      <c r="F19" s="23" t="s">
        <v>13</v>
      </c>
      <c r="G19" s="30" t="s">
        <v>69</v>
      </c>
      <c r="H19" s="31"/>
      <c r="I19" s="25">
        <v>0</v>
      </c>
      <c r="J19" s="23" t="s">
        <v>13</v>
      </c>
      <c r="K19" s="25">
        <v>0</v>
      </c>
      <c r="L19" s="26"/>
      <c r="M19" s="27"/>
      <c r="N19" s="15"/>
      <c r="O19" s="1"/>
      <c r="P19" s="1"/>
      <c r="Q19" s="1"/>
      <c r="R19" s="1"/>
      <c r="S19" s="1"/>
      <c r="T19" s="1"/>
      <c r="U19" s="1"/>
    </row>
    <row r="20" spans="2:21" ht="16.5" customHeight="1">
      <c r="B20" s="32">
        <v>14</v>
      </c>
      <c r="C20" s="36" t="s">
        <v>92</v>
      </c>
      <c r="D20" s="23" t="s">
        <v>91</v>
      </c>
      <c r="E20" s="24" t="s">
        <v>61</v>
      </c>
      <c r="F20" s="23" t="s">
        <v>13</v>
      </c>
      <c r="G20" s="30" t="s">
        <v>76</v>
      </c>
      <c r="H20" s="31"/>
      <c r="I20" s="25">
        <v>4</v>
      </c>
      <c r="J20" s="23" t="s">
        <v>13</v>
      </c>
      <c r="K20" s="25">
        <v>1</v>
      </c>
      <c r="L20" s="26"/>
      <c r="M20" s="27"/>
      <c r="N20" s="15"/>
      <c r="O20" s="13" t="s">
        <v>93</v>
      </c>
      <c r="P20" s="1"/>
      <c r="Q20" s="1"/>
      <c r="R20" s="1"/>
      <c r="S20" s="1"/>
      <c r="T20" s="1"/>
      <c r="U20" s="1"/>
    </row>
    <row r="21" spans="2:21" ht="16.5" customHeight="1">
      <c r="B21" s="32">
        <v>15</v>
      </c>
      <c r="C21" s="36" t="s">
        <v>94</v>
      </c>
      <c r="D21" s="23" t="s">
        <v>95</v>
      </c>
      <c r="E21" s="24" t="s">
        <v>83</v>
      </c>
      <c r="F21" s="23" t="s">
        <v>13</v>
      </c>
      <c r="G21" s="30" t="s">
        <v>75</v>
      </c>
      <c r="H21" s="31"/>
      <c r="I21" s="25">
        <v>2</v>
      </c>
      <c r="J21" s="23" t="s">
        <v>13</v>
      </c>
      <c r="K21" s="25">
        <v>0</v>
      </c>
      <c r="L21" s="26"/>
      <c r="M21" s="27"/>
      <c r="N21" s="15"/>
      <c r="O21" s="1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 customHeight="1">
      <c r="B22" s="32">
        <v>16</v>
      </c>
      <c r="C22" s="36" t="s">
        <v>96</v>
      </c>
      <c r="D22" s="23" t="s">
        <v>95</v>
      </c>
      <c r="E22" s="24" t="s">
        <v>60</v>
      </c>
      <c r="F22" s="23" t="s">
        <v>13</v>
      </c>
      <c r="G22" s="30" t="s">
        <v>68</v>
      </c>
      <c r="H22" s="31"/>
      <c r="I22" s="25">
        <v>1</v>
      </c>
      <c r="J22" s="23" t="s">
        <v>13</v>
      </c>
      <c r="K22" s="25">
        <v>1</v>
      </c>
      <c r="L22" s="26"/>
      <c r="M22" s="27"/>
      <c r="N22" s="15"/>
      <c r="O22" s="1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 customHeight="1">
      <c r="B23" s="32">
        <v>17</v>
      </c>
      <c r="C23" s="36" t="s">
        <v>97</v>
      </c>
      <c r="D23" s="23" t="s">
        <v>98</v>
      </c>
      <c r="E23" s="24" t="s">
        <v>62</v>
      </c>
      <c r="F23" s="23" t="s">
        <v>13</v>
      </c>
      <c r="G23" s="30" t="s">
        <v>77</v>
      </c>
      <c r="H23" s="31"/>
      <c r="I23" s="25">
        <v>3</v>
      </c>
      <c r="J23" s="23" t="s">
        <v>13</v>
      </c>
      <c r="K23" s="25">
        <v>1</v>
      </c>
      <c r="L23" s="26"/>
      <c r="M23" s="27"/>
      <c r="N23" s="15"/>
      <c r="O23" s="1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 customHeight="1">
      <c r="B24" s="32">
        <v>18</v>
      </c>
      <c r="C24" s="36" t="s">
        <v>99</v>
      </c>
      <c r="D24" s="23" t="s">
        <v>98</v>
      </c>
      <c r="E24" s="24" t="s">
        <v>85</v>
      </c>
      <c r="F24" s="23" t="s">
        <v>13</v>
      </c>
      <c r="G24" s="30" t="s">
        <v>70</v>
      </c>
      <c r="H24" s="31"/>
      <c r="I24" s="25">
        <v>1</v>
      </c>
      <c r="J24" s="23" t="s">
        <v>13</v>
      </c>
      <c r="K24" s="25">
        <v>2</v>
      </c>
      <c r="L24" s="26"/>
      <c r="M24" s="27"/>
      <c r="N24" s="15"/>
      <c r="O24" s="1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 customHeight="1">
      <c r="B25" s="32">
        <v>19</v>
      </c>
      <c r="C25" s="36" t="s">
        <v>100</v>
      </c>
      <c r="D25" s="23" t="s">
        <v>101</v>
      </c>
      <c r="E25" s="24" t="s">
        <v>63</v>
      </c>
      <c r="F25" s="23" t="s">
        <v>13</v>
      </c>
      <c r="G25" s="30" t="s">
        <v>78</v>
      </c>
      <c r="H25" s="31"/>
      <c r="I25" s="25">
        <v>3</v>
      </c>
      <c r="J25" s="23" t="s">
        <v>13</v>
      </c>
      <c r="K25" s="25">
        <v>2</v>
      </c>
      <c r="L25" s="26"/>
      <c r="M25" s="27"/>
      <c r="N25" s="15"/>
      <c r="O25" s="1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customHeight="1">
      <c r="B26" s="32">
        <v>20</v>
      </c>
      <c r="C26" s="36" t="s">
        <v>102</v>
      </c>
      <c r="D26" s="23" t="s">
        <v>101</v>
      </c>
      <c r="E26" s="24" t="s">
        <v>71</v>
      </c>
      <c r="F26" s="23" t="s">
        <v>13</v>
      </c>
      <c r="G26" s="30" t="s">
        <v>86</v>
      </c>
      <c r="H26" s="31"/>
      <c r="I26" s="25">
        <v>3</v>
      </c>
      <c r="J26" s="23" t="s">
        <v>13</v>
      </c>
      <c r="K26" s="25">
        <v>1</v>
      </c>
      <c r="L26" s="26"/>
      <c r="M26" s="27"/>
      <c r="N26" s="15"/>
      <c r="O26" s="1"/>
      <c r="P26" s="1"/>
      <c r="Q26" s="1"/>
      <c r="R26" s="1"/>
      <c r="S26" s="1"/>
      <c r="T26" s="1"/>
      <c r="U26" s="1"/>
    </row>
    <row r="27" spans="2:21" ht="16.5" customHeight="1">
      <c r="B27" s="32">
        <v>21</v>
      </c>
      <c r="C27" s="36" t="s">
        <v>103</v>
      </c>
      <c r="D27" s="23" t="s">
        <v>104</v>
      </c>
      <c r="E27" s="24" t="s">
        <v>80</v>
      </c>
      <c r="F27" s="23" t="s">
        <v>13</v>
      </c>
      <c r="G27" s="30" t="s">
        <v>88</v>
      </c>
      <c r="H27" s="31"/>
      <c r="I27" s="25">
        <v>0</v>
      </c>
      <c r="J27" s="23" t="s">
        <v>13</v>
      </c>
      <c r="K27" s="25">
        <v>1</v>
      </c>
      <c r="L27" s="26"/>
      <c r="M27" s="27"/>
      <c r="N27" s="15"/>
      <c r="O27" s="1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 customHeight="1">
      <c r="B28" s="32">
        <v>22</v>
      </c>
      <c r="C28" s="36" t="s">
        <v>105</v>
      </c>
      <c r="D28" s="23" t="s">
        <v>104</v>
      </c>
      <c r="E28" s="24" t="s">
        <v>65</v>
      </c>
      <c r="F28" s="23" t="s">
        <v>13</v>
      </c>
      <c r="G28" s="30" t="s">
        <v>73</v>
      </c>
      <c r="H28" s="31"/>
      <c r="I28" s="25">
        <v>2</v>
      </c>
      <c r="J28" s="23" t="s">
        <v>13</v>
      </c>
      <c r="K28" s="25">
        <v>2</v>
      </c>
      <c r="L28" s="26"/>
      <c r="M28" s="27"/>
      <c r="N28" s="15"/>
      <c r="O28" s="1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 customHeight="1">
      <c r="B29" s="32">
        <v>23</v>
      </c>
      <c r="C29" s="36" t="s">
        <v>106</v>
      </c>
      <c r="D29" s="23" t="s">
        <v>107</v>
      </c>
      <c r="E29" s="24" t="s">
        <v>64</v>
      </c>
      <c r="F29" s="23" t="s">
        <v>13</v>
      </c>
      <c r="G29" s="30" t="s">
        <v>87</v>
      </c>
      <c r="H29" s="31"/>
      <c r="I29" s="25">
        <v>5</v>
      </c>
      <c r="J29" s="23" t="s">
        <v>13</v>
      </c>
      <c r="K29" s="25">
        <v>1</v>
      </c>
      <c r="L29" s="26"/>
      <c r="M29" s="27"/>
      <c r="N29" s="15"/>
      <c r="O29" s="1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 customHeight="1">
      <c r="B30" s="32">
        <v>24</v>
      </c>
      <c r="C30" s="36" t="s">
        <v>108</v>
      </c>
      <c r="D30" s="23" t="s">
        <v>107</v>
      </c>
      <c r="E30" s="24" t="s">
        <v>79</v>
      </c>
      <c r="F30" s="23" t="s">
        <v>13</v>
      </c>
      <c r="G30" s="30" t="s">
        <v>72</v>
      </c>
      <c r="H30" s="31"/>
      <c r="I30" s="25">
        <v>1</v>
      </c>
      <c r="J30" s="23" t="s">
        <v>13</v>
      </c>
      <c r="K30" s="25">
        <v>3</v>
      </c>
      <c r="L30" s="26"/>
      <c r="M30" s="27"/>
      <c r="N30" s="15"/>
      <c r="O30" s="1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 customHeight="1">
      <c r="B31" s="32">
        <v>25</v>
      </c>
      <c r="C31" s="36" t="s">
        <v>109</v>
      </c>
      <c r="D31" s="23" t="s">
        <v>11</v>
      </c>
      <c r="E31" s="24" t="s">
        <v>24</v>
      </c>
      <c r="F31" s="23" t="s">
        <v>13</v>
      </c>
      <c r="G31" s="30" t="s">
        <v>14</v>
      </c>
      <c r="H31" s="31"/>
      <c r="I31" s="25">
        <v>2</v>
      </c>
      <c r="J31" s="23" t="s">
        <v>13</v>
      </c>
      <c r="K31" s="25">
        <v>1</v>
      </c>
      <c r="L31" s="26"/>
      <c r="M31" s="27"/>
      <c r="N31" s="15"/>
      <c r="O31" s="1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 customHeight="1">
      <c r="B32" s="32">
        <v>26</v>
      </c>
      <c r="C32" s="36" t="s">
        <v>110</v>
      </c>
      <c r="D32" s="23" t="s">
        <v>31</v>
      </c>
      <c r="E32" s="24" t="s">
        <v>25</v>
      </c>
      <c r="F32" s="23" t="s">
        <v>13</v>
      </c>
      <c r="G32" s="30" t="s">
        <v>33</v>
      </c>
      <c r="H32" s="31"/>
      <c r="I32" s="25">
        <v>1</v>
      </c>
      <c r="J32" s="23" t="s">
        <v>13</v>
      </c>
      <c r="K32" s="25">
        <v>2</v>
      </c>
      <c r="L32" s="26"/>
      <c r="M32" s="27"/>
      <c r="N32" s="15"/>
      <c r="O32" s="1"/>
      <c r="P32" s="1"/>
      <c r="Q32" s="1"/>
      <c r="R32" s="1"/>
      <c r="S32" s="1"/>
      <c r="T32" s="1"/>
      <c r="U32" s="1"/>
    </row>
    <row r="33" spans="2:14" ht="15.75" customHeight="1">
      <c r="B33" s="32">
        <v>27</v>
      </c>
      <c r="C33" s="36" t="s">
        <v>111</v>
      </c>
      <c r="D33" s="23" t="s">
        <v>31</v>
      </c>
      <c r="E33" s="24" t="s">
        <v>32</v>
      </c>
      <c r="F33" s="23" t="s">
        <v>13</v>
      </c>
      <c r="G33" s="30" t="s">
        <v>47</v>
      </c>
      <c r="H33" s="31"/>
      <c r="I33" s="25">
        <v>2</v>
      </c>
      <c r="J33" s="23" t="s">
        <v>13</v>
      </c>
      <c r="K33" s="25">
        <v>0</v>
      </c>
      <c r="L33" s="26"/>
      <c r="M33" s="27"/>
      <c r="N33" s="15"/>
    </row>
    <row r="34" spans="2:14" ht="15.75" customHeight="1">
      <c r="B34" s="32">
        <v>28</v>
      </c>
      <c r="C34" s="36" t="s">
        <v>112</v>
      </c>
      <c r="D34" s="23" t="s">
        <v>11</v>
      </c>
      <c r="E34" s="24" t="s">
        <v>12</v>
      </c>
      <c r="F34" s="23" t="s">
        <v>13</v>
      </c>
      <c r="G34" s="30" t="s">
        <v>23</v>
      </c>
      <c r="H34" s="31"/>
      <c r="I34" s="25">
        <v>2</v>
      </c>
      <c r="J34" s="23" t="s">
        <v>13</v>
      </c>
      <c r="K34" s="25">
        <v>0</v>
      </c>
      <c r="L34" s="26"/>
      <c r="M34" s="27"/>
      <c r="N34" s="15"/>
    </row>
    <row r="35" spans="2:14" ht="15.75" customHeight="1">
      <c r="B35" s="32">
        <v>29</v>
      </c>
      <c r="C35" s="36" t="s">
        <v>113</v>
      </c>
      <c r="D35" s="23" t="s">
        <v>45</v>
      </c>
      <c r="E35" s="24" t="s">
        <v>26</v>
      </c>
      <c r="F35" s="23" t="s">
        <v>13</v>
      </c>
      <c r="G35" s="30" t="s">
        <v>46</v>
      </c>
      <c r="H35" s="31"/>
      <c r="I35" s="25">
        <v>4</v>
      </c>
      <c r="J35" s="23" t="s">
        <v>13</v>
      </c>
      <c r="K35" s="25">
        <v>0</v>
      </c>
      <c r="L35" s="26"/>
      <c r="M35" s="27"/>
      <c r="N35" s="15"/>
    </row>
    <row r="36" spans="2:14" ht="15.75" customHeight="1">
      <c r="B36" s="32">
        <v>30</v>
      </c>
      <c r="C36" s="36" t="s">
        <v>114</v>
      </c>
      <c r="D36" s="23" t="s">
        <v>45</v>
      </c>
      <c r="E36" s="24" t="s">
        <v>34</v>
      </c>
      <c r="F36" s="23" t="s">
        <v>13</v>
      </c>
      <c r="G36" s="30" t="s">
        <v>41</v>
      </c>
      <c r="H36" s="31"/>
      <c r="I36" s="25">
        <v>0</v>
      </c>
      <c r="J36" s="23" t="s">
        <v>13</v>
      </c>
      <c r="K36" s="25">
        <v>0</v>
      </c>
      <c r="L36" s="26"/>
      <c r="M36" s="27"/>
      <c r="N36" s="15"/>
    </row>
    <row r="37" spans="2:14" ht="15.75" customHeight="1">
      <c r="B37" s="32">
        <v>31</v>
      </c>
      <c r="C37" s="36" t="s">
        <v>115</v>
      </c>
      <c r="D37" s="23" t="s">
        <v>39</v>
      </c>
      <c r="E37" s="24" t="s">
        <v>27</v>
      </c>
      <c r="F37" s="23" t="s">
        <v>13</v>
      </c>
      <c r="G37" s="30" t="s">
        <v>40</v>
      </c>
      <c r="H37" s="31"/>
      <c r="I37" s="25">
        <v>1</v>
      </c>
      <c r="J37" s="23" t="s">
        <v>13</v>
      </c>
      <c r="K37" s="25">
        <v>1</v>
      </c>
      <c r="L37" s="26"/>
      <c r="M37" s="27"/>
      <c r="N37" s="15"/>
    </row>
    <row r="38" spans="2:14" ht="15.75" customHeight="1">
      <c r="B38" s="32">
        <v>32</v>
      </c>
      <c r="C38" s="36" t="s">
        <v>116</v>
      </c>
      <c r="D38" s="23" t="s">
        <v>39</v>
      </c>
      <c r="E38" s="24" t="s">
        <v>35</v>
      </c>
      <c r="F38" s="23" t="s">
        <v>13</v>
      </c>
      <c r="G38" s="30" t="s">
        <v>48</v>
      </c>
      <c r="H38" s="31"/>
      <c r="I38" s="25">
        <v>1</v>
      </c>
      <c r="J38" s="23" t="s">
        <v>13</v>
      </c>
      <c r="K38" s="25">
        <v>1</v>
      </c>
      <c r="L38" s="26"/>
      <c r="M38" s="27"/>
      <c r="N38" s="15"/>
    </row>
    <row r="39" spans="2:14" ht="15.75" customHeight="1">
      <c r="B39" s="32">
        <v>33</v>
      </c>
      <c r="C39" s="36" t="s">
        <v>117</v>
      </c>
      <c r="D39" s="23" t="s">
        <v>67</v>
      </c>
      <c r="E39" s="24" t="s">
        <v>28</v>
      </c>
      <c r="F39" s="23" t="s">
        <v>13</v>
      </c>
      <c r="G39" s="30" t="s">
        <v>42</v>
      </c>
      <c r="H39" s="31"/>
      <c r="I39" s="25">
        <v>2</v>
      </c>
      <c r="J39" s="23" t="s">
        <v>13</v>
      </c>
      <c r="K39" s="25">
        <v>0</v>
      </c>
      <c r="L39" s="26"/>
      <c r="M39" s="27"/>
      <c r="N39" s="15"/>
    </row>
    <row r="40" spans="2:14" ht="15.75" customHeight="1">
      <c r="B40" s="32">
        <v>34</v>
      </c>
      <c r="C40" s="36" t="s">
        <v>118</v>
      </c>
      <c r="D40" s="23" t="s">
        <v>67</v>
      </c>
      <c r="E40" s="24" t="s">
        <v>36</v>
      </c>
      <c r="F40" s="23" t="s">
        <v>13</v>
      </c>
      <c r="G40" s="30" t="s">
        <v>49</v>
      </c>
      <c r="H40" s="31"/>
      <c r="I40" s="25">
        <v>5</v>
      </c>
      <c r="J40" s="23" t="s">
        <v>13</v>
      </c>
      <c r="K40" s="25">
        <v>0</v>
      </c>
      <c r="L40" s="26"/>
      <c r="M40" s="27"/>
      <c r="N40" s="15"/>
    </row>
    <row r="41" spans="2:14" ht="15.75" customHeight="1">
      <c r="B41" s="32">
        <v>35</v>
      </c>
      <c r="C41" s="36" t="s">
        <v>119</v>
      </c>
      <c r="D41" s="23" t="s">
        <v>82</v>
      </c>
      <c r="E41" s="24" t="s">
        <v>29</v>
      </c>
      <c r="F41" s="23" t="s">
        <v>13</v>
      </c>
      <c r="G41" s="30" t="s">
        <v>37</v>
      </c>
      <c r="H41" s="31"/>
      <c r="I41" s="25">
        <v>2</v>
      </c>
      <c r="J41" s="23" t="s">
        <v>13</v>
      </c>
      <c r="K41" s="25">
        <v>2</v>
      </c>
      <c r="L41" s="26"/>
      <c r="M41" s="27"/>
      <c r="N41" s="15"/>
    </row>
    <row r="42" spans="2:14" ht="15.75" customHeight="1">
      <c r="B42" s="32">
        <v>36</v>
      </c>
      <c r="C42" s="36" t="s">
        <v>120</v>
      </c>
      <c r="D42" s="23" t="s">
        <v>82</v>
      </c>
      <c r="E42" s="24" t="s">
        <v>50</v>
      </c>
      <c r="F42" s="23" t="s">
        <v>13</v>
      </c>
      <c r="G42" s="30" t="s">
        <v>43</v>
      </c>
      <c r="H42" s="31"/>
      <c r="I42" s="25">
        <v>1</v>
      </c>
      <c r="J42" s="23" t="s">
        <v>13</v>
      </c>
      <c r="K42" s="25">
        <v>3</v>
      </c>
      <c r="L42" s="26"/>
      <c r="M42" s="27"/>
      <c r="N42" s="15"/>
    </row>
    <row r="43" spans="2:14" ht="15.75" customHeight="1">
      <c r="B43" s="32">
        <v>37</v>
      </c>
      <c r="C43" s="36" t="s">
        <v>121</v>
      </c>
      <c r="D43" s="23" t="s">
        <v>91</v>
      </c>
      <c r="E43" s="24" t="s">
        <v>69</v>
      </c>
      <c r="F43" s="23" t="s">
        <v>13</v>
      </c>
      <c r="G43" s="30" t="s">
        <v>76</v>
      </c>
      <c r="H43" s="31"/>
      <c r="I43" s="25">
        <v>1</v>
      </c>
      <c r="J43" s="23" t="s">
        <v>13</v>
      </c>
      <c r="K43" s="25">
        <v>1</v>
      </c>
      <c r="L43" s="26"/>
      <c r="M43" s="27"/>
      <c r="N43" s="1"/>
    </row>
    <row r="44" spans="2:14" ht="15.75" customHeight="1">
      <c r="B44" s="32">
        <v>38</v>
      </c>
      <c r="C44" s="36" t="s">
        <v>122</v>
      </c>
      <c r="D44" s="23" t="s">
        <v>91</v>
      </c>
      <c r="E44" s="24" t="s">
        <v>61</v>
      </c>
      <c r="F44" s="23" t="s">
        <v>13</v>
      </c>
      <c r="G44" s="30" t="s">
        <v>84</v>
      </c>
      <c r="H44" s="31"/>
      <c r="I44" s="25">
        <v>4</v>
      </c>
      <c r="J44" s="23" t="s">
        <v>13</v>
      </c>
      <c r="K44" s="25">
        <v>0</v>
      </c>
      <c r="L44" s="26"/>
      <c r="M44" s="27"/>
      <c r="N44" s="1"/>
    </row>
    <row r="45" spans="2:14" ht="15.75" customHeight="1">
      <c r="B45" s="32">
        <v>39</v>
      </c>
      <c r="C45" s="36" t="s">
        <v>123</v>
      </c>
      <c r="D45" s="23" t="s">
        <v>95</v>
      </c>
      <c r="E45" s="24" t="s">
        <v>60</v>
      </c>
      <c r="F45" s="23" t="s">
        <v>13</v>
      </c>
      <c r="G45" s="30" t="s">
        <v>83</v>
      </c>
      <c r="H45" s="31"/>
      <c r="I45" s="25">
        <v>2</v>
      </c>
      <c r="J45" s="23" t="s">
        <v>13</v>
      </c>
      <c r="K45" s="25">
        <v>1</v>
      </c>
      <c r="L45" s="26"/>
      <c r="M45" s="27"/>
      <c r="N45" s="1"/>
    </row>
    <row r="46" spans="2:14" ht="15.75" customHeight="1">
      <c r="B46" s="32">
        <v>40</v>
      </c>
      <c r="C46" s="36" t="s">
        <v>124</v>
      </c>
      <c r="D46" s="23" t="s">
        <v>95</v>
      </c>
      <c r="E46" s="24" t="s">
        <v>75</v>
      </c>
      <c r="F46" s="23" t="s">
        <v>13</v>
      </c>
      <c r="G46" s="30" t="s">
        <v>68</v>
      </c>
      <c r="H46" s="31"/>
      <c r="I46" s="25">
        <v>0</v>
      </c>
      <c r="J46" s="23" t="s">
        <v>13</v>
      </c>
      <c r="K46" s="25">
        <v>0</v>
      </c>
      <c r="L46" s="26"/>
      <c r="M46" s="27"/>
      <c r="N46" s="1"/>
    </row>
    <row r="47" spans="2:14" ht="15.75" customHeight="1">
      <c r="B47" s="32">
        <v>41</v>
      </c>
      <c r="C47" s="36" t="s">
        <v>125</v>
      </c>
      <c r="D47" s="23" t="s">
        <v>98</v>
      </c>
      <c r="E47" s="24" t="s">
        <v>70</v>
      </c>
      <c r="F47" s="23" t="s">
        <v>13</v>
      </c>
      <c r="G47" s="30" t="s">
        <v>77</v>
      </c>
      <c r="H47" s="31"/>
      <c r="I47" s="25">
        <v>1</v>
      </c>
      <c r="J47" s="23" t="s">
        <v>13</v>
      </c>
      <c r="K47" s="25">
        <v>1</v>
      </c>
      <c r="L47" s="26"/>
      <c r="M47" s="27"/>
      <c r="N47" s="1"/>
    </row>
    <row r="48" spans="2:14" ht="15.75" customHeight="1">
      <c r="B48" s="32">
        <v>42</v>
      </c>
      <c r="C48" s="36" t="s">
        <v>126</v>
      </c>
      <c r="D48" s="23" t="s">
        <v>98</v>
      </c>
      <c r="E48" s="24" t="s">
        <v>62</v>
      </c>
      <c r="F48" s="23" t="s">
        <v>13</v>
      </c>
      <c r="G48" s="30" t="s">
        <v>85</v>
      </c>
      <c r="H48" s="31"/>
      <c r="I48" s="25">
        <v>3</v>
      </c>
      <c r="J48" s="23" t="s">
        <v>13</v>
      </c>
      <c r="K48" s="25">
        <v>0</v>
      </c>
      <c r="L48" s="26"/>
      <c r="M48" s="27"/>
      <c r="N48" s="1"/>
    </row>
    <row r="49" spans="2:13" ht="15.75" customHeight="1">
      <c r="B49" s="32">
        <v>43</v>
      </c>
      <c r="C49" s="36" t="s">
        <v>127</v>
      </c>
      <c r="D49" s="23" t="s">
        <v>101</v>
      </c>
      <c r="E49" s="24" t="s">
        <v>63</v>
      </c>
      <c r="F49" s="23" t="s">
        <v>13</v>
      </c>
      <c r="G49" s="30" t="s">
        <v>71</v>
      </c>
      <c r="H49" s="31"/>
      <c r="I49" s="25">
        <v>2</v>
      </c>
      <c r="J49" s="23" t="s">
        <v>13</v>
      </c>
      <c r="K49" s="25">
        <v>1</v>
      </c>
      <c r="L49" s="26"/>
      <c r="M49" s="27"/>
    </row>
    <row r="50" spans="2:13" ht="15.75" customHeight="1">
      <c r="B50" s="32">
        <v>44</v>
      </c>
      <c r="C50" s="36" t="s">
        <v>128</v>
      </c>
      <c r="D50" s="23" t="s">
        <v>101</v>
      </c>
      <c r="E50" s="24" t="s">
        <v>86</v>
      </c>
      <c r="F50" s="23" t="s">
        <v>13</v>
      </c>
      <c r="G50" s="30" t="s">
        <v>78</v>
      </c>
      <c r="H50" s="31"/>
      <c r="I50" s="25">
        <v>1</v>
      </c>
      <c r="J50" s="23" t="s">
        <v>13</v>
      </c>
      <c r="K50" s="25">
        <v>2</v>
      </c>
      <c r="L50" s="26"/>
      <c r="M50" s="27"/>
    </row>
    <row r="51" spans="2:13" ht="15.75" customHeight="1">
      <c r="B51" s="32">
        <v>45</v>
      </c>
      <c r="C51" s="36" t="s">
        <v>129</v>
      </c>
      <c r="D51" s="23" t="s">
        <v>104</v>
      </c>
      <c r="E51" s="24" t="s">
        <v>65</v>
      </c>
      <c r="F51" s="23" t="s">
        <v>13</v>
      </c>
      <c r="G51" s="30" t="s">
        <v>80</v>
      </c>
      <c r="H51" s="31"/>
      <c r="I51" s="25">
        <v>1</v>
      </c>
      <c r="J51" s="23" t="s">
        <v>13</v>
      </c>
      <c r="K51" s="25">
        <v>1</v>
      </c>
      <c r="L51" s="26"/>
      <c r="M51" s="27"/>
    </row>
    <row r="52" spans="2:13" ht="15.75" customHeight="1">
      <c r="B52" s="32">
        <v>46</v>
      </c>
      <c r="C52" s="36" t="s">
        <v>130</v>
      </c>
      <c r="D52" s="23" t="s">
        <v>104</v>
      </c>
      <c r="E52" s="24" t="s">
        <v>88</v>
      </c>
      <c r="F52" s="23" t="s">
        <v>13</v>
      </c>
      <c r="G52" s="30" t="s">
        <v>73</v>
      </c>
      <c r="H52" s="31"/>
      <c r="I52" s="25">
        <v>1</v>
      </c>
      <c r="J52" s="23" t="s">
        <v>13</v>
      </c>
      <c r="K52" s="25">
        <v>1</v>
      </c>
      <c r="L52" s="26"/>
      <c r="M52" s="27"/>
    </row>
    <row r="53" spans="2:13" ht="15.75" customHeight="1">
      <c r="B53" s="32">
        <v>47</v>
      </c>
      <c r="C53" s="36" t="s">
        <v>131</v>
      </c>
      <c r="D53" s="23" t="s">
        <v>107</v>
      </c>
      <c r="E53" s="24" t="s">
        <v>64</v>
      </c>
      <c r="F53" s="23" t="s">
        <v>13</v>
      </c>
      <c r="G53" s="30" t="s">
        <v>79</v>
      </c>
      <c r="H53" s="31"/>
      <c r="I53" s="25">
        <v>3</v>
      </c>
      <c r="J53" s="23" t="s">
        <v>13</v>
      </c>
      <c r="K53" s="25">
        <v>1</v>
      </c>
      <c r="L53" s="26"/>
      <c r="M53" s="27"/>
    </row>
    <row r="54" spans="2:13" ht="15.75" customHeight="1">
      <c r="B54" s="32">
        <v>48</v>
      </c>
      <c r="C54" s="36" t="s">
        <v>132</v>
      </c>
      <c r="D54" s="23" t="s">
        <v>107</v>
      </c>
      <c r="E54" s="24" t="s">
        <v>72</v>
      </c>
      <c r="F54" s="23" t="s">
        <v>13</v>
      </c>
      <c r="G54" s="30" t="s">
        <v>87</v>
      </c>
      <c r="H54" s="31"/>
      <c r="I54" s="25">
        <v>2</v>
      </c>
      <c r="J54" s="23" t="s">
        <v>13</v>
      </c>
      <c r="K54" s="25">
        <v>0</v>
      </c>
      <c r="L54" s="26"/>
      <c r="M54" s="27"/>
    </row>
    <row r="55" spans="2:13" ht="15.75" customHeight="1">
      <c r="B55" s="32">
        <v>49</v>
      </c>
      <c r="C55" s="36" t="s">
        <v>133</v>
      </c>
      <c r="D55" s="23" t="s">
        <v>45</v>
      </c>
      <c r="E55" s="24" t="s">
        <v>34</v>
      </c>
      <c r="F55" s="23" t="s">
        <v>13</v>
      </c>
      <c r="G55" s="30" t="s">
        <v>26</v>
      </c>
      <c r="H55" s="31"/>
      <c r="I55" s="25">
        <v>1</v>
      </c>
      <c r="J55" s="23" t="s">
        <v>13</v>
      </c>
      <c r="K55" s="25">
        <v>3</v>
      </c>
      <c r="L55" s="26"/>
      <c r="M55" s="27"/>
    </row>
    <row r="56" spans="2:13" ht="15.75" customHeight="1">
      <c r="B56" s="32">
        <v>50</v>
      </c>
      <c r="C56" s="36" t="s">
        <v>133</v>
      </c>
      <c r="D56" s="23" t="s">
        <v>45</v>
      </c>
      <c r="E56" s="24" t="s">
        <v>41</v>
      </c>
      <c r="F56" s="23" t="s">
        <v>13</v>
      </c>
      <c r="G56" s="30" t="s">
        <v>46</v>
      </c>
      <c r="H56" s="31"/>
      <c r="I56" s="25">
        <v>3</v>
      </c>
      <c r="J56" s="23" t="s">
        <v>13</v>
      </c>
      <c r="K56" s="25">
        <v>0</v>
      </c>
      <c r="L56" s="26"/>
      <c r="M56" s="27"/>
    </row>
    <row r="57" spans="2:13" ht="15.75" customHeight="1">
      <c r="B57" s="32">
        <v>51</v>
      </c>
      <c r="C57" s="36" t="s">
        <v>134</v>
      </c>
      <c r="D57" s="23" t="s">
        <v>31</v>
      </c>
      <c r="E57" s="24" t="s">
        <v>25</v>
      </c>
      <c r="F57" s="23" t="s">
        <v>13</v>
      </c>
      <c r="G57" s="30" t="s">
        <v>32</v>
      </c>
      <c r="H57" s="31"/>
      <c r="I57" s="25">
        <v>1</v>
      </c>
      <c r="J57" s="23" t="s">
        <v>13</v>
      </c>
      <c r="K57" s="25">
        <v>0</v>
      </c>
      <c r="L57" s="26"/>
      <c r="M57" s="27"/>
    </row>
    <row r="58" spans="2:13" ht="15.75" customHeight="1">
      <c r="B58" s="32">
        <v>52</v>
      </c>
      <c r="C58" s="36" t="s">
        <v>134</v>
      </c>
      <c r="D58" s="23" t="s">
        <v>31</v>
      </c>
      <c r="E58" s="24" t="s">
        <v>33</v>
      </c>
      <c r="F58" s="23" t="s">
        <v>13</v>
      </c>
      <c r="G58" s="30" t="s">
        <v>47</v>
      </c>
      <c r="H58" s="31"/>
      <c r="I58" s="25">
        <v>2</v>
      </c>
      <c r="J58" s="23" t="s">
        <v>13</v>
      </c>
      <c r="K58" s="25">
        <v>1</v>
      </c>
      <c r="L58" s="26"/>
      <c r="M58" s="27"/>
    </row>
    <row r="59" spans="2:13" ht="15.75" customHeight="1">
      <c r="B59" s="32">
        <v>53</v>
      </c>
      <c r="C59" s="36" t="s">
        <v>135</v>
      </c>
      <c r="D59" s="23" t="s">
        <v>11</v>
      </c>
      <c r="E59" s="24" t="s">
        <v>24</v>
      </c>
      <c r="F59" s="23" t="s">
        <v>13</v>
      </c>
      <c r="G59" s="30" t="s">
        <v>12</v>
      </c>
      <c r="H59" s="31"/>
      <c r="I59" s="25">
        <v>2</v>
      </c>
      <c r="J59" s="23" t="s">
        <v>13</v>
      </c>
      <c r="K59" s="25">
        <v>1</v>
      </c>
      <c r="L59" s="26"/>
      <c r="M59" s="27"/>
    </row>
    <row r="60" spans="2:13" ht="15.75" customHeight="1">
      <c r="B60" s="32">
        <v>54</v>
      </c>
      <c r="C60" s="36" t="s">
        <v>135</v>
      </c>
      <c r="D60" s="23" t="s">
        <v>11</v>
      </c>
      <c r="E60" s="24" t="s">
        <v>14</v>
      </c>
      <c r="F60" s="23" t="s">
        <v>13</v>
      </c>
      <c r="G60" s="30" t="s">
        <v>23</v>
      </c>
      <c r="H60" s="31"/>
      <c r="I60" s="25">
        <v>0</v>
      </c>
      <c r="J60" s="23" t="s">
        <v>13</v>
      </c>
      <c r="K60" s="25">
        <v>0</v>
      </c>
      <c r="L60" s="26"/>
      <c r="M60" s="27"/>
    </row>
    <row r="61" spans="2:13" ht="15.75" customHeight="1">
      <c r="B61" s="32">
        <v>55</v>
      </c>
      <c r="C61" s="36" t="s">
        <v>136</v>
      </c>
      <c r="D61" s="23" t="s">
        <v>67</v>
      </c>
      <c r="E61" s="24" t="s">
        <v>49</v>
      </c>
      <c r="F61" s="23" t="s">
        <v>13</v>
      </c>
      <c r="G61" s="30" t="s">
        <v>42</v>
      </c>
      <c r="H61" s="31"/>
      <c r="I61" s="25">
        <v>0</v>
      </c>
      <c r="J61" s="23" t="s">
        <v>13</v>
      </c>
      <c r="K61" s="25">
        <v>2</v>
      </c>
      <c r="L61" s="26"/>
      <c r="M61" s="27"/>
    </row>
    <row r="62" spans="2:13" ht="15.75" customHeight="1">
      <c r="B62" s="32">
        <v>56</v>
      </c>
      <c r="C62" s="36" t="s">
        <v>136</v>
      </c>
      <c r="D62" s="23" t="s">
        <v>67</v>
      </c>
      <c r="E62" s="24" t="s">
        <v>36</v>
      </c>
      <c r="F62" s="23" t="s">
        <v>13</v>
      </c>
      <c r="G62" s="30" t="s">
        <v>28</v>
      </c>
      <c r="H62" s="31"/>
      <c r="I62" s="25">
        <v>1</v>
      </c>
      <c r="J62" s="23" t="s">
        <v>13</v>
      </c>
      <c r="K62" s="25">
        <v>3</v>
      </c>
      <c r="L62" s="26"/>
      <c r="M62" s="27"/>
    </row>
    <row r="63" spans="2:13" ht="15.75" customHeight="1">
      <c r="B63" s="32">
        <v>57</v>
      </c>
      <c r="C63" s="36" t="s">
        <v>137</v>
      </c>
      <c r="D63" s="23" t="s">
        <v>82</v>
      </c>
      <c r="E63" s="24" t="s">
        <v>43</v>
      </c>
      <c r="F63" s="23" t="s">
        <v>13</v>
      </c>
      <c r="G63" s="30" t="s">
        <v>37</v>
      </c>
      <c r="H63" s="31"/>
      <c r="I63" s="25">
        <v>2</v>
      </c>
      <c r="J63" s="23" t="s">
        <v>13</v>
      </c>
      <c r="K63" s="25">
        <v>2</v>
      </c>
      <c r="L63" s="26"/>
      <c r="M63" s="27"/>
    </row>
    <row r="64" spans="2:13" ht="15.75" customHeight="1">
      <c r="B64" s="32">
        <v>58</v>
      </c>
      <c r="C64" s="36" t="s">
        <v>137</v>
      </c>
      <c r="D64" s="23" t="s">
        <v>82</v>
      </c>
      <c r="E64" s="24" t="s">
        <v>50</v>
      </c>
      <c r="F64" s="23" t="s">
        <v>13</v>
      </c>
      <c r="G64" s="30" t="s">
        <v>29</v>
      </c>
      <c r="H64" s="31"/>
      <c r="I64" s="25">
        <v>0</v>
      </c>
      <c r="J64" s="23" t="s">
        <v>13</v>
      </c>
      <c r="K64" s="25">
        <v>2</v>
      </c>
      <c r="L64" s="26"/>
      <c r="M64" s="27"/>
    </row>
    <row r="65" spans="2:14" ht="15.75" customHeight="1">
      <c r="B65" s="32">
        <v>59</v>
      </c>
      <c r="C65" s="36" t="s">
        <v>138</v>
      </c>
      <c r="D65" s="23" t="s">
        <v>39</v>
      </c>
      <c r="E65" s="24" t="s">
        <v>27</v>
      </c>
      <c r="F65" s="23" t="s">
        <v>13</v>
      </c>
      <c r="G65" s="30" t="s">
        <v>35</v>
      </c>
      <c r="H65" s="31"/>
      <c r="I65" s="25">
        <v>2</v>
      </c>
      <c r="J65" s="23" t="s">
        <v>13</v>
      </c>
      <c r="K65" s="25">
        <v>1</v>
      </c>
      <c r="L65" s="26"/>
      <c r="M65" s="27"/>
      <c r="N65" s="1"/>
    </row>
    <row r="66" spans="2:14" ht="15.75" customHeight="1">
      <c r="B66" s="32">
        <v>60</v>
      </c>
      <c r="C66" s="36" t="s">
        <v>138</v>
      </c>
      <c r="D66" s="23" t="s">
        <v>39</v>
      </c>
      <c r="E66" s="24" t="s">
        <v>40</v>
      </c>
      <c r="F66" s="23" t="s">
        <v>13</v>
      </c>
      <c r="G66" s="30" t="s">
        <v>48</v>
      </c>
      <c r="H66" s="31"/>
      <c r="I66" s="25">
        <v>1</v>
      </c>
      <c r="J66" s="23" t="s">
        <v>13</v>
      </c>
      <c r="K66" s="25">
        <v>1</v>
      </c>
      <c r="L66" s="26"/>
      <c r="M66" s="27"/>
      <c r="N66" s="1"/>
    </row>
    <row r="67" spans="2:14" ht="15.75" customHeight="1">
      <c r="B67" s="32">
        <v>61</v>
      </c>
      <c r="C67" s="36" t="s">
        <v>139</v>
      </c>
      <c r="D67" s="23" t="s">
        <v>98</v>
      </c>
      <c r="E67" s="24" t="s">
        <v>70</v>
      </c>
      <c r="F67" s="23" t="s">
        <v>13</v>
      </c>
      <c r="G67" s="30" t="s">
        <v>62</v>
      </c>
      <c r="H67" s="31"/>
      <c r="I67" s="25">
        <v>1</v>
      </c>
      <c r="J67" s="23" t="s">
        <v>13</v>
      </c>
      <c r="K67" s="25">
        <v>3</v>
      </c>
      <c r="L67" s="26"/>
      <c r="M67" s="27"/>
      <c r="N67" s="1"/>
    </row>
    <row r="68" spans="2:14" ht="15.75" customHeight="1">
      <c r="B68" s="32">
        <v>62</v>
      </c>
      <c r="C68" s="36" t="s">
        <v>139</v>
      </c>
      <c r="D68" s="23" t="s">
        <v>98</v>
      </c>
      <c r="E68" s="24" t="s">
        <v>77</v>
      </c>
      <c r="F68" s="23" t="s">
        <v>13</v>
      </c>
      <c r="G68" s="30" t="s">
        <v>85</v>
      </c>
      <c r="H68" s="31"/>
      <c r="I68" s="25">
        <v>2</v>
      </c>
      <c r="J68" s="23" t="s">
        <v>13</v>
      </c>
      <c r="K68" s="25">
        <v>0</v>
      </c>
      <c r="L68" s="26"/>
      <c r="M68" s="27"/>
      <c r="N68" s="1"/>
    </row>
    <row r="69" spans="2:14" ht="15.75" customHeight="1">
      <c r="B69" s="32">
        <v>63</v>
      </c>
      <c r="C69" s="36" t="s">
        <v>140</v>
      </c>
      <c r="D69" s="23" t="s">
        <v>95</v>
      </c>
      <c r="E69" s="24" t="s">
        <v>68</v>
      </c>
      <c r="F69" s="23" t="s">
        <v>13</v>
      </c>
      <c r="G69" s="30" t="s">
        <v>83</v>
      </c>
      <c r="H69" s="31"/>
      <c r="I69" s="25">
        <v>3</v>
      </c>
      <c r="J69" s="23" t="s">
        <v>13</v>
      </c>
      <c r="K69" s="25">
        <v>2</v>
      </c>
      <c r="L69" s="26"/>
      <c r="M69" s="27"/>
      <c r="N69" s="1"/>
    </row>
    <row r="70" spans="2:14" ht="15.75" customHeight="1">
      <c r="B70" s="32">
        <v>64</v>
      </c>
      <c r="C70" s="36" t="s">
        <v>140</v>
      </c>
      <c r="D70" s="23" t="s">
        <v>95</v>
      </c>
      <c r="E70" s="24" t="s">
        <v>75</v>
      </c>
      <c r="F70" s="23" t="s">
        <v>13</v>
      </c>
      <c r="G70" s="30" t="s">
        <v>60</v>
      </c>
      <c r="H70" s="31"/>
      <c r="I70" s="25">
        <v>0</v>
      </c>
      <c r="J70" s="23" t="s">
        <v>13</v>
      </c>
      <c r="K70" s="25">
        <v>2</v>
      </c>
      <c r="L70" s="26"/>
      <c r="M70" s="27"/>
      <c r="N70" s="1"/>
    </row>
    <row r="71" spans="2:14" ht="15.75" customHeight="1">
      <c r="B71" s="32">
        <v>65</v>
      </c>
      <c r="C71" s="36" t="s">
        <v>141</v>
      </c>
      <c r="D71" s="23" t="s">
        <v>91</v>
      </c>
      <c r="E71" s="24" t="s">
        <v>76</v>
      </c>
      <c r="F71" s="23" t="s">
        <v>13</v>
      </c>
      <c r="G71" s="30" t="s">
        <v>84</v>
      </c>
      <c r="H71" s="31"/>
      <c r="I71" s="25">
        <v>0</v>
      </c>
      <c r="J71" s="23" t="s">
        <v>13</v>
      </c>
      <c r="K71" s="25">
        <v>0</v>
      </c>
      <c r="L71" s="26"/>
      <c r="M71" s="27"/>
      <c r="N71" s="1"/>
    </row>
    <row r="72" spans="2:14" ht="15.75" customHeight="1">
      <c r="B72" s="32">
        <v>66</v>
      </c>
      <c r="C72" s="36" t="s">
        <v>141</v>
      </c>
      <c r="D72" s="23" t="s">
        <v>91</v>
      </c>
      <c r="E72" s="24" t="s">
        <v>69</v>
      </c>
      <c r="F72" s="23" t="s">
        <v>13</v>
      </c>
      <c r="G72" s="30" t="s">
        <v>61</v>
      </c>
      <c r="H72" s="31"/>
      <c r="I72" s="25">
        <v>1</v>
      </c>
      <c r="J72" s="23" t="s">
        <v>13</v>
      </c>
      <c r="K72" s="25">
        <v>1</v>
      </c>
      <c r="L72" s="26"/>
      <c r="M72" s="27"/>
      <c r="N72" s="1"/>
    </row>
    <row r="73" spans="2:14" ht="15.75" customHeight="1">
      <c r="B73" s="32">
        <v>67</v>
      </c>
      <c r="C73" s="36" t="s">
        <v>142</v>
      </c>
      <c r="D73" s="23" t="s">
        <v>104</v>
      </c>
      <c r="E73" s="24" t="s">
        <v>88</v>
      </c>
      <c r="F73" s="23" t="s">
        <v>13</v>
      </c>
      <c r="G73" s="30" t="s">
        <v>65</v>
      </c>
      <c r="H73" s="31"/>
      <c r="I73" s="25">
        <v>1</v>
      </c>
      <c r="J73" s="23" t="s">
        <v>13</v>
      </c>
      <c r="K73" s="25">
        <v>4</v>
      </c>
      <c r="L73" s="26"/>
      <c r="M73" s="27"/>
      <c r="N73" s="1"/>
    </row>
    <row r="74" spans="2:14" ht="15.75" customHeight="1">
      <c r="B74" s="32">
        <v>68</v>
      </c>
      <c r="C74" s="36" t="s">
        <v>142</v>
      </c>
      <c r="D74" s="23" t="s">
        <v>104</v>
      </c>
      <c r="E74" s="24" t="s">
        <v>73</v>
      </c>
      <c r="F74" s="23" t="s">
        <v>13</v>
      </c>
      <c r="G74" s="30" t="s">
        <v>80</v>
      </c>
      <c r="H74" s="31"/>
      <c r="I74" s="25">
        <v>2</v>
      </c>
      <c r="J74" s="23" t="s">
        <v>13</v>
      </c>
      <c r="K74" s="25">
        <v>1</v>
      </c>
      <c r="L74" s="26"/>
      <c r="M74" s="27"/>
      <c r="N74" s="1"/>
    </row>
    <row r="75" spans="2:14" ht="15.75" customHeight="1">
      <c r="B75" s="32">
        <v>69</v>
      </c>
      <c r="C75" s="36" t="s">
        <v>143</v>
      </c>
      <c r="D75" s="23" t="s">
        <v>101</v>
      </c>
      <c r="E75" s="24" t="s">
        <v>78</v>
      </c>
      <c r="F75" s="23" t="s">
        <v>13</v>
      </c>
      <c r="G75" s="30" t="s">
        <v>71</v>
      </c>
      <c r="H75" s="31"/>
      <c r="I75" s="25">
        <v>0</v>
      </c>
      <c r="J75" s="23" t="s">
        <v>13</v>
      </c>
      <c r="K75" s="25">
        <v>2</v>
      </c>
      <c r="L75" s="26"/>
      <c r="M75" s="27"/>
      <c r="N75" s="1"/>
    </row>
    <row r="76" spans="2:14" ht="15.75" customHeight="1">
      <c r="B76" s="32">
        <v>70</v>
      </c>
      <c r="C76" s="36" t="s">
        <v>143</v>
      </c>
      <c r="D76" s="23" t="s">
        <v>101</v>
      </c>
      <c r="E76" s="24" t="s">
        <v>86</v>
      </c>
      <c r="F76" s="23" t="s">
        <v>13</v>
      </c>
      <c r="G76" s="30" t="s">
        <v>63</v>
      </c>
      <c r="H76" s="31"/>
      <c r="I76" s="25">
        <v>0</v>
      </c>
      <c r="J76" s="23" t="s">
        <v>13</v>
      </c>
      <c r="K76" s="25">
        <v>4</v>
      </c>
      <c r="L76" s="26"/>
      <c r="M76" s="27"/>
      <c r="N76" s="1"/>
    </row>
    <row r="77" spans="2:14" ht="15.75" customHeight="1">
      <c r="B77" s="32">
        <v>71</v>
      </c>
      <c r="C77" s="36" t="s">
        <v>144</v>
      </c>
      <c r="D77" s="23" t="s">
        <v>107</v>
      </c>
      <c r="E77" s="24" t="s">
        <v>72</v>
      </c>
      <c r="F77" s="23" t="s">
        <v>13</v>
      </c>
      <c r="G77" s="30" t="s">
        <v>64</v>
      </c>
      <c r="H77" s="31"/>
      <c r="I77" s="25">
        <v>1</v>
      </c>
      <c r="J77" s="23" t="s">
        <v>13</v>
      </c>
      <c r="K77" s="25">
        <v>2</v>
      </c>
      <c r="L77" s="26"/>
      <c r="M77" s="27"/>
      <c r="N77" s="1"/>
    </row>
    <row r="78" spans="2:14" ht="15.75" customHeight="1">
      <c r="B78" s="32">
        <v>72</v>
      </c>
      <c r="C78" s="36" t="s">
        <v>144</v>
      </c>
      <c r="D78" s="23" t="s">
        <v>107</v>
      </c>
      <c r="E78" s="24" t="s">
        <v>87</v>
      </c>
      <c r="F78" s="23" t="s">
        <v>13</v>
      </c>
      <c r="G78" s="30" t="s">
        <v>79</v>
      </c>
      <c r="H78" s="31"/>
      <c r="I78" s="25">
        <v>0</v>
      </c>
      <c r="J78" s="23" t="s">
        <v>13</v>
      </c>
      <c r="K78" s="25">
        <v>0</v>
      </c>
      <c r="L78" s="26"/>
      <c r="M78" s="27"/>
      <c r="N78" s="1"/>
    </row>
    <row r="79" spans="2:14" ht="15.75" customHeight="1">
      <c r="B79" s="1"/>
      <c r="C79" s="1"/>
      <c r="D79" s="2" t="s">
        <v>145</v>
      </c>
      <c r="E79" s="10" t="s">
        <v>28</v>
      </c>
      <c r="F79" s="5" t="s">
        <v>13</v>
      </c>
      <c r="G79" s="10" t="s">
        <v>26</v>
      </c>
      <c r="H79" s="1"/>
      <c r="I79" s="1"/>
      <c r="J79" s="1"/>
      <c r="K79" s="1"/>
      <c r="L79" s="14"/>
      <c r="M79" s="14"/>
      <c r="N79" s="15"/>
    </row>
    <row r="80" spans="2:14" ht="15.75" customHeight="1">
      <c r="B80" s="1"/>
      <c r="C80" s="37"/>
      <c r="D80" s="2" t="s">
        <v>146</v>
      </c>
      <c r="E80" s="11" t="s">
        <v>160</v>
      </c>
      <c r="F80" s="5" t="s">
        <v>13</v>
      </c>
      <c r="G80" s="11" t="s">
        <v>61</v>
      </c>
      <c r="H80" s="1"/>
      <c r="I80" s="1"/>
      <c r="J80" s="1"/>
      <c r="K80" s="1"/>
      <c r="L80" s="9"/>
      <c r="M80" s="9"/>
      <c r="N80" s="15"/>
    </row>
    <row r="81" spans="1:14" ht="15.75" customHeight="1">
      <c r="A81" s="1"/>
      <c r="B81" s="1"/>
      <c r="C81" s="37"/>
      <c r="D81" s="1"/>
      <c r="E81" s="1"/>
      <c r="F81" s="4"/>
      <c r="G81" s="1"/>
      <c r="H81" s="1"/>
      <c r="I81" s="1"/>
      <c r="J81" s="1"/>
      <c r="K81" s="4"/>
      <c r="L81" s="4"/>
      <c r="M81" s="4"/>
      <c r="N81" s="15"/>
    </row>
    <row r="82" spans="1:14" ht="15.75" customHeight="1">
      <c r="A82" s="1"/>
      <c r="B82" s="1"/>
      <c r="C82" s="37"/>
      <c r="D82" s="1"/>
      <c r="E82" s="1"/>
      <c r="F82" s="4"/>
      <c r="G82" s="1"/>
      <c r="H82" s="1"/>
      <c r="I82" s="1"/>
      <c r="J82" s="1"/>
      <c r="K82" s="4"/>
      <c r="L82" s="12" t="s">
        <v>147</v>
      </c>
      <c r="M82" s="8"/>
      <c r="N82" s="15"/>
    </row>
    <row r="83" spans="1:14" ht="15.75" customHeight="1">
      <c r="A83" s="1"/>
      <c r="B83" s="1"/>
      <c r="C83" s="37"/>
      <c r="D83" s="1"/>
      <c r="E83" s="1"/>
      <c r="F83" s="4"/>
      <c r="G83" s="1"/>
      <c r="H83" s="1"/>
      <c r="I83" s="1"/>
      <c r="J83" s="1"/>
      <c r="K83" s="4"/>
      <c r="L83" s="4"/>
      <c r="M83" s="4"/>
      <c r="N83" s="15"/>
    </row>
    <row r="84" spans="1:14" ht="15.75" customHeight="1">
      <c r="A84" s="2"/>
      <c r="B84" s="1"/>
      <c r="C84" s="37"/>
      <c r="D84" s="1"/>
      <c r="E84" s="1"/>
      <c r="F84" s="4"/>
      <c r="G84" s="5"/>
      <c r="H84" s="1"/>
      <c r="I84" s="1"/>
      <c r="J84" s="1"/>
      <c r="K84" s="4"/>
      <c r="L84" s="1"/>
      <c r="M84" s="1"/>
      <c r="N84" s="1"/>
    </row>
    <row r="85" spans="1:14" ht="15.75" customHeight="1">
      <c r="A85" s="2"/>
      <c r="B85" s="1"/>
      <c r="C85" s="37"/>
      <c r="D85" s="1"/>
      <c r="E85" s="1"/>
      <c r="F85" s="4"/>
      <c r="G85" s="5"/>
      <c r="H85" s="1"/>
      <c r="I85" s="1"/>
      <c r="J85" s="1"/>
      <c r="K85" s="4"/>
      <c r="L85" s="1"/>
      <c r="M85" s="1"/>
      <c r="N85" s="1"/>
    </row>
    <row r="86" spans="1:14" ht="15.75" customHeight="1">
      <c r="A86" s="2"/>
      <c r="B86" s="3"/>
      <c r="C86" s="38"/>
      <c r="D86" s="1"/>
      <c r="E86" s="1"/>
      <c r="F86" s="4"/>
      <c r="G86" s="5"/>
      <c r="H86" s="1"/>
      <c r="I86" s="1"/>
      <c r="J86" s="1"/>
      <c r="K86" s="4"/>
      <c r="L86" s="1"/>
      <c r="M86" s="1"/>
      <c r="N86" s="1"/>
    </row>
    <row r="87" spans="1:14" ht="15.75" customHeight="1">
      <c r="A87" s="2"/>
      <c r="B87" s="3"/>
      <c r="C87" s="38"/>
      <c r="D87" s="1"/>
      <c r="E87" s="1"/>
      <c r="F87" s="4"/>
      <c r="G87" s="5"/>
      <c r="H87" s="1"/>
      <c r="I87" s="1"/>
      <c r="J87" s="1"/>
      <c r="K87" s="4"/>
      <c r="L87" s="1"/>
      <c r="M87" s="1"/>
      <c r="N87" s="1"/>
    </row>
  </sheetData>
  <mergeCells count="1">
    <mergeCell ref="H2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RowHeight="15"/>
  <sheetData>
    <row r="1" spans="1:26" ht="15.75" customHeight="1">
      <c r="A1" s="39"/>
      <c r="B1" s="45"/>
      <c r="C1" s="46"/>
      <c r="D1" s="39"/>
      <c r="E1" s="39"/>
      <c r="F1" s="44"/>
      <c r="G1" s="39"/>
      <c r="H1" s="39"/>
      <c r="I1" s="39"/>
      <c r="J1" s="39"/>
      <c r="K1" s="44"/>
      <c r="L1" s="44"/>
      <c r="M1" s="44"/>
      <c r="N1" s="44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5.75" customHeight="1">
      <c r="A2" s="39"/>
      <c r="B2" s="45"/>
      <c r="C2" s="46"/>
      <c r="D2" s="39"/>
      <c r="E2" s="39"/>
      <c r="F2" s="44"/>
      <c r="G2" s="45" t="s">
        <v>0</v>
      </c>
      <c r="H2" s="294" t="s">
        <v>179</v>
      </c>
      <c r="I2" s="295"/>
      <c r="J2" s="295"/>
      <c r="K2" s="295"/>
      <c r="L2" s="295"/>
      <c r="M2" s="295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5.75" customHeight="1">
      <c r="A3" s="39"/>
      <c r="B3" s="45"/>
      <c r="C3" s="46"/>
      <c r="D3" s="39"/>
      <c r="E3" s="39"/>
      <c r="F3" s="44"/>
      <c r="G3" s="39"/>
      <c r="H3" s="39"/>
      <c r="I3" s="39"/>
      <c r="J3" s="39"/>
      <c r="K3" s="44"/>
      <c r="L3" s="44"/>
      <c r="M3" s="44"/>
      <c r="N3" s="44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8" customHeight="1">
      <c r="A4" s="39"/>
      <c r="B4" s="47" t="s">
        <v>2</v>
      </c>
      <c r="C4" s="46"/>
      <c r="D4" s="39"/>
      <c r="E4" s="39"/>
      <c r="F4" s="44"/>
      <c r="G4" s="45"/>
      <c r="H4" s="45"/>
      <c r="I4" s="45"/>
      <c r="J4" s="45"/>
      <c r="K4" s="44"/>
      <c r="L4" s="44"/>
      <c r="M4" s="44"/>
      <c r="N4" s="44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.75" customHeight="1">
      <c r="A5" s="39"/>
      <c r="B5" s="45"/>
      <c r="C5" s="48"/>
      <c r="D5" s="39"/>
      <c r="E5" s="39"/>
      <c r="F5" s="44"/>
      <c r="G5" s="45"/>
      <c r="H5" s="45"/>
      <c r="I5" s="45"/>
      <c r="J5" s="45"/>
      <c r="K5" s="44"/>
      <c r="L5" s="44"/>
      <c r="M5" s="44"/>
      <c r="N5" s="44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8.75" customHeight="1">
      <c r="A6" s="39"/>
      <c r="B6" s="45"/>
      <c r="C6" s="49" t="s">
        <v>3</v>
      </c>
      <c r="D6" s="50" t="s">
        <v>4</v>
      </c>
      <c r="E6" s="43"/>
      <c r="F6" s="50" t="s">
        <v>5</v>
      </c>
      <c r="G6" s="43"/>
      <c r="H6" s="43"/>
      <c r="I6" s="43"/>
      <c r="J6" s="50" t="s">
        <v>6</v>
      </c>
      <c r="K6" s="50"/>
      <c r="L6" s="50" t="s">
        <v>7</v>
      </c>
      <c r="M6" s="50" t="s">
        <v>8</v>
      </c>
      <c r="N6" s="50"/>
      <c r="O6" s="51" t="s">
        <v>9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6.5" customHeight="1">
      <c r="A7" s="39"/>
      <c r="B7" s="52">
        <v>1</v>
      </c>
      <c r="C7" s="53" t="s">
        <v>10</v>
      </c>
      <c r="D7" s="54" t="s">
        <v>11</v>
      </c>
      <c r="E7" s="55" t="s">
        <v>12</v>
      </c>
      <c r="F7" s="54" t="s">
        <v>13</v>
      </c>
      <c r="G7" s="56" t="s">
        <v>14</v>
      </c>
      <c r="H7" s="57"/>
      <c r="I7" s="58">
        <v>2</v>
      </c>
      <c r="J7" s="54" t="s">
        <v>13</v>
      </c>
      <c r="K7" s="58">
        <v>1</v>
      </c>
      <c r="L7" s="58"/>
      <c r="M7" s="59"/>
      <c r="N7" s="60"/>
      <c r="O7" s="61" t="s">
        <v>15</v>
      </c>
      <c r="P7" s="62" t="s">
        <v>16</v>
      </c>
      <c r="Q7" s="62" t="s">
        <v>17</v>
      </c>
      <c r="R7" s="62" t="s">
        <v>18</v>
      </c>
      <c r="S7" s="62" t="s">
        <v>19</v>
      </c>
      <c r="T7" s="62" t="s">
        <v>20</v>
      </c>
      <c r="U7" s="62" t="s">
        <v>21</v>
      </c>
      <c r="V7" s="39"/>
      <c r="W7" s="39"/>
      <c r="X7" s="39"/>
      <c r="Y7" s="39"/>
      <c r="Z7" s="39"/>
    </row>
    <row r="8" spans="1:26" ht="15.75" customHeight="1">
      <c r="A8" s="39"/>
      <c r="B8" s="52">
        <v>2</v>
      </c>
      <c r="C8" s="53" t="s">
        <v>22</v>
      </c>
      <c r="D8" s="54" t="s">
        <v>11</v>
      </c>
      <c r="E8" s="55" t="s">
        <v>23</v>
      </c>
      <c r="F8" s="54" t="s">
        <v>13</v>
      </c>
      <c r="G8" s="56" t="s">
        <v>24</v>
      </c>
      <c r="H8" s="57"/>
      <c r="I8" s="58">
        <v>0</v>
      </c>
      <c r="J8" s="54" t="s">
        <v>13</v>
      </c>
      <c r="K8" s="58">
        <v>2</v>
      </c>
      <c r="L8" s="58"/>
      <c r="M8" s="59"/>
      <c r="N8" s="60"/>
      <c r="O8" s="63">
        <v>1</v>
      </c>
      <c r="P8" s="64" t="s">
        <v>12</v>
      </c>
      <c r="Q8" s="64" t="s">
        <v>32</v>
      </c>
      <c r="R8" s="64" t="s">
        <v>26</v>
      </c>
      <c r="S8" s="64" t="s">
        <v>180</v>
      </c>
      <c r="T8" s="64" t="s">
        <v>28</v>
      </c>
      <c r="U8" s="64" t="s">
        <v>29</v>
      </c>
      <c r="V8" s="39"/>
      <c r="W8" s="39"/>
      <c r="X8" s="39"/>
      <c r="Y8" s="39"/>
      <c r="Z8" s="39"/>
    </row>
    <row r="9" spans="1:26" ht="15.75" customHeight="1">
      <c r="A9" s="39"/>
      <c r="B9" s="52">
        <v>3</v>
      </c>
      <c r="C9" s="53" t="s">
        <v>30</v>
      </c>
      <c r="D9" s="54" t="s">
        <v>31</v>
      </c>
      <c r="E9" s="55" t="s">
        <v>32</v>
      </c>
      <c r="F9" s="54" t="s">
        <v>13</v>
      </c>
      <c r="G9" s="56" t="s">
        <v>33</v>
      </c>
      <c r="H9" s="57"/>
      <c r="I9" s="58">
        <v>2</v>
      </c>
      <c r="J9" s="54" t="s">
        <v>13</v>
      </c>
      <c r="K9" s="58">
        <v>1</v>
      </c>
      <c r="L9" s="58"/>
      <c r="M9" s="59"/>
      <c r="N9" s="60"/>
      <c r="O9" s="65">
        <v>2</v>
      </c>
      <c r="P9" s="66" t="s">
        <v>14</v>
      </c>
      <c r="Q9" s="66" t="s">
        <v>25</v>
      </c>
      <c r="R9" s="66" t="s">
        <v>41</v>
      </c>
      <c r="S9" s="66" t="s">
        <v>35</v>
      </c>
      <c r="T9" s="66" t="s">
        <v>36</v>
      </c>
      <c r="U9" s="66" t="s">
        <v>43</v>
      </c>
      <c r="V9" s="39"/>
      <c r="W9" s="39"/>
      <c r="X9" s="39"/>
      <c r="Y9" s="39"/>
      <c r="Z9" s="39"/>
    </row>
    <row r="10" spans="1:26" ht="15.75" customHeight="1">
      <c r="A10" s="39"/>
      <c r="B10" s="52">
        <v>4</v>
      </c>
      <c r="C10" s="53" t="s">
        <v>38</v>
      </c>
      <c r="D10" s="54" t="s">
        <v>39</v>
      </c>
      <c r="E10" s="55" t="s">
        <v>35</v>
      </c>
      <c r="F10" s="54" t="s">
        <v>13</v>
      </c>
      <c r="G10" s="56" t="s">
        <v>40</v>
      </c>
      <c r="H10" s="57"/>
      <c r="I10" s="58">
        <v>1</v>
      </c>
      <c r="J10" s="54" t="s">
        <v>13</v>
      </c>
      <c r="K10" s="58">
        <v>0</v>
      </c>
      <c r="L10" s="58"/>
      <c r="M10" s="59"/>
      <c r="N10" s="60"/>
      <c r="O10" s="65">
        <v>3</v>
      </c>
      <c r="P10" s="66" t="s">
        <v>169</v>
      </c>
      <c r="Q10" s="66" t="s">
        <v>181</v>
      </c>
      <c r="R10" s="66" t="s">
        <v>34</v>
      </c>
      <c r="S10" s="66" t="s">
        <v>27</v>
      </c>
      <c r="T10" s="66" t="s">
        <v>42</v>
      </c>
      <c r="U10" s="66" t="s">
        <v>37</v>
      </c>
      <c r="V10" s="39"/>
      <c r="W10" s="39"/>
      <c r="X10" s="39"/>
      <c r="Y10" s="39"/>
      <c r="Z10" s="39"/>
    </row>
    <row r="11" spans="1:26" ht="15.75" customHeight="1">
      <c r="A11" s="39"/>
      <c r="B11" s="52">
        <v>5</v>
      </c>
      <c r="C11" s="53" t="s">
        <v>44</v>
      </c>
      <c r="D11" s="54" t="s">
        <v>45</v>
      </c>
      <c r="E11" s="55" t="s">
        <v>46</v>
      </c>
      <c r="F11" s="54" t="s">
        <v>13</v>
      </c>
      <c r="G11" s="56" t="s">
        <v>34</v>
      </c>
      <c r="H11" s="57"/>
      <c r="I11" s="58">
        <v>0</v>
      </c>
      <c r="J11" s="54" t="s">
        <v>13</v>
      </c>
      <c r="K11" s="58">
        <v>2</v>
      </c>
      <c r="L11" s="58"/>
      <c r="M11" s="59"/>
      <c r="N11" s="60"/>
      <c r="O11" s="65">
        <v>4</v>
      </c>
      <c r="P11" s="66" t="s">
        <v>23</v>
      </c>
      <c r="Q11" s="66" t="s">
        <v>47</v>
      </c>
      <c r="R11" s="66" t="s">
        <v>46</v>
      </c>
      <c r="S11" s="66" t="s">
        <v>48</v>
      </c>
      <c r="T11" s="66" t="s">
        <v>49</v>
      </c>
      <c r="U11" s="66" t="s">
        <v>50</v>
      </c>
      <c r="V11" s="39"/>
      <c r="W11" s="39"/>
      <c r="X11" s="39"/>
      <c r="Y11" s="39"/>
      <c r="Z11" s="39"/>
    </row>
    <row r="12" spans="1:26" ht="16.5" customHeight="1">
      <c r="A12" s="39"/>
      <c r="B12" s="52">
        <v>6</v>
      </c>
      <c r="C12" s="53" t="s">
        <v>51</v>
      </c>
      <c r="D12" s="54" t="s">
        <v>39</v>
      </c>
      <c r="E12" s="55" t="s">
        <v>48</v>
      </c>
      <c r="F12" s="54" t="s">
        <v>13</v>
      </c>
      <c r="G12" s="56" t="s">
        <v>27</v>
      </c>
      <c r="H12" s="57"/>
      <c r="I12" s="58">
        <v>1</v>
      </c>
      <c r="J12" s="54" t="s">
        <v>13</v>
      </c>
      <c r="K12" s="58">
        <v>1</v>
      </c>
      <c r="L12" s="58"/>
      <c r="M12" s="59"/>
      <c r="N12" s="60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6.5" customHeight="1">
      <c r="A13" s="39"/>
      <c r="B13" s="52">
        <v>7</v>
      </c>
      <c r="C13" s="53" t="s">
        <v>52</v>
      </c>
      <c r="D13" s="54" t="s">
        <v>45</v>
      </c>
      <c r="E13" s="55" t="s">
        <v>26</v>
      </c>
      <c r="F13" s="54" t="s">
        <v>13</v>
      </c>
      <c r="G13" s="56" t="s">
        <v>41</v>
      </c>
      <c r="H13" s="57"/>
      <c r="I13" s="58">
        <v>2</v>
      </c>
      <c r="J13" s="54" t="s">
        <v>13</v>
      </c>
      <c r="K13" s="58">
        <v>1</v>
      </c>
      <c r="L13" s="58"/>
      <c r="M13" s="59"/>
      <c r="N13" s="60"/>
      <c r="O13" s="61" t="s">
        <v>15</v>
      </c>
      <c r="P13" s="62" t="s">
        <v>53</v>
      </c>
      <c r="Q13" s="62" t="s">
        <v>54</v>
      </c>
      <c r="R13" s="62" t="s">
        <v>55</v>
      </c>
      <c r="S13" s="62" t="s">
        <v>56</v>
      </c>
      <c r="T13" s="62" t="s">
        <v>57</v>
      </c>
      <c r="U13" s="62" t="s">
        <v>58</v>
      </c>
      <c r="V13" s="39"/>
      <c r="W13" s="39"/>
      <c r="X13" s="39"/>
      <c r="Y13" s="39"/>
      <c r="Z13" s="39"/>
    </row>
    <row r="14" spans="1:26" ht="15.75" customHeight="1">
      <c r="A14" s="39"/>
      <c r="B14" s="52">
        <v>8</v>
      </c>
      <c r="C14" s="53" t="s">
        <v>59</v>
      </c>
      <c r="D14" s="54" t="s">
        <v>31</v>
      </c>
      <c r="E14" s="55" t="s">
        <v>47</v>
      </c>
      <c r="F14" s="54" t="s">
        <v>13</v>
      </c>
      <c r="G14" s="56" t="s">
        <v>25</v>
      </c>
      <c r="H14" s="57"/>
      <c r="I14" s="58">
        <v>0</v>
      </c>
      <c r="J14" s="54" t="s">
        <v>13</v>
      </c>
      <c r="K14" s="58">
        <v>2</v>
      </c>
      <c r="L14" s="58"/>
      <c r="M14" s="59"/>
      <c r="N14" s="60"/>
      <c r="O14" s="63">
        <v>1</v>
      </c>
      <c r="P14" s="64" t="s">
        <v>60</v>
      </c>
      <c r="Q14" s="64" t="s">
        <v>61</v>
      </c>
      <c r="R14" s="64" t="s">
        <v>62</v>
      </c>
      <c r="S14" s="64" t="s">
        <v>63</v>
      </c>
      <c r="T14" s="64" t="s">
        <v>64</v>
      </c>
      <c r="U14" s="64" t="s">
        <v>80</v>
      </c>
      <c r="V14" s="39"/>
      <c r="W14" s="39"/>
      <c r="X14" s="39"/>
      <c r="Y14" s="39"/>
      <c r="Z14" s="39"/>
    </row>
    <row r="15" spans="1:26" ht="15.75" customHeight="1">
      <c r="A15" s="39"/>
      <c r="B15" s="52">
        <v>9</v>
      </c>
      <c r="C15" s="53" t="s">
        <v>66</v>
      </c>
      <c r="D15" s="54" t="s">
        <v>67</v>
      </c>
      <c r="E15" s="55" t="s">
        <v>42</v>
      </c>
      <c r="F15" s="54" t="s">
        <v>13</v>
      </c>
      <c r="G15" s="56" t="s">
        <v>36</v>
      </c>
      <c r="H15" s="57"/>
      <c r="I15" s="58">
        <v>1</v>
      </c>
      <c r="J15" s="54" t="s">
        <v>13</v>
      </c>
      <c r="K15" s="58">
        <v>2</v>
      </c>
      <c r="L15" s="58"/>
      <c r="M15" s="59"/>
      <c r="N15" s="60"/>
      <c r="O15" s="65">
        <v>2</v>
      </c>
      <c r="P15" s="66" t="s">
        <v>83</v>
      </c>
      <c r="Q15" s="66" t="s">
        <v>69</v>
      </c>
      <c r="R15" s="66" t="s">
        <v>77</v>
      </c>
      <c r="S15" s="66" t="s">
        <v>78</v>
      </c>
      <c r="T15" s="66" t="s">
        <v>72</v>
      </c>
      <c r="U15" s="66" t="s">
        <v>65</v>
      </c>
      <c r="V15" s="39"/>
      <c r="W15" s="39"/>
      <c r="X15" s="39"/>
      <c r="Y15" s="39"/>
      <c r="Z15" s="39"/>
    </row>
    <row r="16" spans="1:26" ht="15.75" customHeight="1">
      <c r="A16" s="39"/>
      <c r="B16" s="52">
        <v>10</v>
      </c>
      <c r="C16" s="53" t="s">
        <v>74</v>
      </c>
      <c r="D16" s="54" t="s">
        <v>67</v>
      </c>
      <c r="E16" s="55" t="s">
        <v>28</v>
      </c>
      <c r="F16" s="54" t="s">
        <v>13</v>
      </c>
      <c r="G16" s="56" t="s">
        <v>49</v>
      </c>
      <c r="H16" s="57"/>
      <c r="I16" s="58">
        <v>4</v>
      </c>
      <c r="J16" s="54" t="s">
        <v>13</v>
      </c>
      <c r="K16" s="58">
        <v>0</v>
      </c>
      <c r="L16" s="58"/>
      <c r="M16" s="59"/>
      <c r="N16" s="60"/>
      <c r="O16" s="65">
        <v>3</v>
      </c>
      <c r="P16" s="66" t="s">
        <v>68</v>
      </c>
      <c r="Q16" s="66" t="s">
        <v>84</v>
      </c>
      <c r="R16" s="66" t="s">
        <v>70</v>
      </c>
      <c r="S16" s="66" t="s">
        <v>71</v>
      </c>
      <c r="T16" s="66" t="s">
        <v>87</v>
      </c>
      <c r="U16" s="66" t="s">
        <v>73</v>
      </c>
      <c r="V16" s="39"/>
      <c r="W16" s="39"/>
      <c r="X16" s="39"/>
      <c r="Y16" s="39"/>
      <c r="Z16" s="39"/>
    </row>
    <row r="17" spans="1:26" ht="15.75" customHeight="1">
      <c r="A17" s="39"/>
      <c r="B17" s="52">
        <v>11</v>
      </c>
      <c r="C17" s="53" t="s">
        <v>81</v>
      </c>
      <c r="D17" s="54" t="s">
        <v>82</v>
      </c>
      <c r="E17" s="55" t="s">
        <v>29</v>
      </c>
      <c r="F17" s="54" t="s">
        <v>13</v>
      </c>
      <c r="G17" s="56" t="s">
        <v>43</v>
      </c>
      <c r="H17" s="57"/>
      <c r="I17" s="58">
        <v>3</v>
      </c>
      <c r="J17" s="54" t="s">
        <v>13</v>
      </c>
      <c r="K17" s="58">
        <v>1</v>
      </c>
      <c r="L17" s="58"/>
      <c r="M17" s="59"/>
      <c r="N17" s="60"/>
      <c r="O17" s="65">
        <v>4</v>
      </c>
      <c r="P17" s="66" t="s">
        <v>75</v>
      </c>
      <c r="Q17" s="66" t="s">
        <v>76</v>
      </c>
      <c r="R17" s="66" t="s">
        <v>85</v>
      </c>
      <c r="S17" s="66" t="s">
        <v>86</v>
      </c>
      <c r="T17" s="66" t="s">
        <v>79</v>
      </c>
      <c r="U17" s="66" t="s">
        <v>88</v>
      </c>
      <c r="V17" s="39"/>
      <c r="W17" s="39"/>
      <c r="X17" s="39"/>
      <c r="Y17" s="39"/>
      <c r="Z17" s="39"/>
    </row>
    <row r="18" spans="1:26" ht="15.75" customHeight="1">
      <c r="A18" s="39"/>
      <c r="B18" s="52">
        <v>12</v>
      </c>
      <c r="C18" s="53" t="s">
        <v>89</v>
      </c>
      <c r="D18" s="54" t="s">
        <v>82</v>
      </c>
      <c r="E18" s="55" t="s">
        <v>37</v>
      </c>
      <c r="F18" s="54" t="s">
        <v>13</v>
      </c>
      <c r="G18" s="56" t="s">
        <v>50</v>
      </c>
      <c r="H18" s="57"/>
      <c r="I18" s="58">
        <v>1</v>
      </c>
      <c r="J18" s="54" t="s">
        <v>13</v>
      </c>
      <c r="K18" s="58">
        <v>2</v>
      </c>
      <c r="L18" s="58"/>
      <c r="M18" s="59"/>
      <c r="N18" s="60"/>
      <c r="O18" s="39"/>
      <c r="P18" s="67"/>
      <c r="Q18" s="67"/>
      <c r="R18" s="67"/>
      <c r="S18" s="67"/>
      <c r="T18" s="67"/>
      <c r="U18" s="67"/>
      <c r="V18" s="39"/>
      <c r="W18" s="39"/>
      <c r="X18" s="39"/>
      <c r="Y18" s="39"/>
      <c r="Z18" s="39"/>
    </row>
    <row r="19" spans="1:26" ht="15.75" customHeight="1">
      <c r="A19" s="39"/>
      <c r="B19" s="52">
        <v>13</v>
      </c>
      <c r="C19" s="53" t="s">
        <v>90</v>
      </c>
      <c r="D19" s="54" t="s">
        <v>91</v>
      </c>
      <c r="E19" s="55" t="s">
        <v>84</v>
      </c>
      <c r="F19" s="54" t="s">
        <v>13</v>
      </c>
      <c r="G19" s="56" t="s">
        <v>69</v>
      </c>
      <c r="H19" s="57"/>
      <c r="I19" s="58">
        <v>1</v>
      </c>
      <c r="J19" s="54" t="s">
        <v>13</v>
      </c>
      <c r="K19" s="58">
        <v>3</v>
      </c>
      <c r="L19" s="58"/>
      <c r="M19" s="59"/>
      <c r="N19" s="60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6.5" customHeight="1">
      <c r="A20" s="39"/>
      <c r="B20" s="52">
        <v>14</v>
      </c>
      <c r="C20" s="53" t="s">
        <v>92</v>
      </c>
      <c r="D20" s="54" t="s">
        <v>91</v>
      </c>
      <c r="E20" s="55" t="s">
        <v>61</v>
      </c>
      <c r="F20" s="54" t="s">
        <v>13</v>
      </c>
      <c r="G20" s="56" t="s">
        <v>76</v>
      </c>
      <c r="H20" s="57"/>
      <c r="I20" s="58">
        <v>3</v>
      </c>
      <c r="J20" s="54" t="s">
        <v>13</v>
      </c>
      <c r="K20" s="58">
        <v>0</v>
      </c>
      <c r="L20" s="58"/>
      <c r="M20" s="59"/>
      <c r="N20" s="60"/>
      <c r="O20" s="68" t="s">
        <v>93</v>
      </c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6.5" customHeight="1">
      <c r="A21" s="39"/>
      <c r="B21" s="52">
        <v>15</v>
      </c>
      <c r="C21" s="53" t="s">
        <v>94</v>
      </c>
      <c r="D21" s="54" t="s">
        <v>95</v>
      </c>
      <c r="E21" s="55" t="s">
        <v>83</v>
      </c>
      <c r="F21" s="54" t="s">
        <v>13</v>
      </c>
      <c r="G21" s="56" t="s">
        <v>75</v>
      </c>
      <c r="H21" s="57"/>
      <c r="I21" s="58">
        <v>2</v>
      </c>
      <c r="J21" s="54" t="s">
        <v>13</v>
      </c>
      <c r="K21" s="58">
        <v>0</v>
      </c>
      <c r="L21" s="58"/>
      <c r="M21" s="59"/>
      <c r="N21" s="60"/>
      <c r="O21" s="39"/>
      <c r="P21" s="61" t="s">
        <v>16</v>
      </c>
      <c r="Q21" s="62" t="s">
        <v>17</v>
      </c>
      <c r="R21" s="62" t="s">
        <v>18</v>
      </c>
      <c r="S21" s="62" t="s">
        <v>19</v>
      </c>
      <c r="T21" s="62" t="s">
        <v>20</v>
      </c>
      <c r="U21" s="62" t="s">
        <v>21</v>
      </c>
      <c r="V21" s="39"/>
      <c r="W21" s="39"/>
      <c r="X21" s="39"/>
      <c r="Y21" s="39"/>
      <c r="Z21" s="39"/>
    </row>
    <row r="22" spans="1:26" ht="15.75" customHeight="1">
      <c r="A22" s="39"/>
      <c r="B22" s="52">
        <v>16</v>
      </c>
      <c r="C22" s="53" t="s">
        <v>96</v>
      </c>
      <c r="D22" s="54" t="s">
        <v>95</v>
      </c>
      <c r="E22" s="55" t="s">
        <v>60</v>
      </c>
      <c r="F22" s="54" t="s">
        <v>13</v>
      </c>
      <c r="G22" s="56" t="s">
        <v>68</v>
      </c>
      <c r="H22" s="57"/>
      <c r="I22" s="58">
        <v>2</v>
      </c>
      <c r="J22" s="54" t="s">
        <v>13</v>
      </c>
      <c r="K22" s="58">
        <v>1</v>
      </c>
      <c r="L22" s="58"/>
      <c r="M22" s="59"/>
      <c r="N22" s="60"/>
      <c r="O22" s="39"/>
      <c r="P22" s="69" t="s">
        <v>12</v>
      </c>
      <c r="Q22" s="69" t="s">
        <v>32</v>
      </c>
      <c r="R22" s="69" t="s">
        <v>46</v>
      </c>
      <c r="S22" s="69" t="s">
        <v>35</v>
      </c>
      <c r="T22" s="69" t="s">
        <v>42</v>
      </c>
      <c r="U22" s="69" t="s">
        <v>29</v>
      </c>
      <c r="V22" s="39"/>
      <c r="W22" s="39"/>
      <c r="X22" s="39"/>
      <c r="Y22" s="39"/>
      <c r="Z22" s="39"/>
    </row>
    <row r="23" spans="1:26" ht="15.75" customHeight="1">
      <c r="A23" s="39"/>
      <c r="B23" s="52">
        <v>17</v>
      </c>
      <c r="C23" s="53" t="s">
        <v>97</v>
      </c>
      <c r="D23" s="54" t="s">
        <v>98</v>
      </c>
      <c r="E23" s="55" t="s">
        <v>62</v>
      </c>
      <c r="F23" s="54" t="s">
        <v>13</v>
      </c>
      <c r="G23" s="56" t="s">
        <v>77</v>
      </c>
      <c r="H23" s="57"/>
      <c r="I23" s="58">
        <v>2</v>
      </c>
      <c r="J23" s="54" t="s">
        <v>13</v>
      </c>
      <c r="K23" s="58">
        <v>1</v>
      </c>
      <c r="L23" s="58"/>
      <c r="M23" s="59"/>
      <c r="N23" s="60"/>
      <c r="O23" s="39"/>
      <c r="P23" s="67" t="s">
        <v>14</v>
      </c>
      <c r="Q23" s="67" t="s">
        <v>33</v>
      </c>
      <c r="R23" s="67" t="s">
        <v>34</v>
      </c>
      <c r="S23" s="67" t="s">
        <v>40</v>
      </c>
      <c r="T23" s="67" t="s">
        <v>36</v>
      </c>
      <c r="U23" s="67" t="s">
        <v>43</v>
      </c>
      <c r="V23" s="39"/>
      <c r="W23" s="39"/>
      <c r="X23" s="39"/>
      <c r="Y23" s="39"/>
      <c r="Z23" s="39"/>
    </row>
    <row r="24" spans="1:26" ht="15.75" customHeight="1">
      <c r="A24" s="39"/>
      <c r="B24" s="52">
        <v>18</v>
      </c>
      <c r="C24" s="53" t="s">
        <v>99</v>
      </c>
      <c r="D24" s="54" t="s">
        <v>98</v>
      </c>
      <c r="E24" s="55" t="s">
        <v>85</v>
      </c>
      <c r="F24" s="54" t="s">
        <v>13</v>
      </c>
      <c r="G24" s="56" t="s">
        <v>70</v>
      </c>
      <c r="H24" s="57"/>
      <c r="I24" s="58">
        <v>2</v>
      </c>
      <c r="J24" s="54" t="s">
        <v>13</v>
      </c>
      <c r="K24" s="58">
        <v>2</v>
      </c>
      <c r="L24" s="58"/>
      <c r="M24" s="59"/>
      <c r="N24" s="60"/>
      <c r="O24" s="39"/>
      <c r="P24" s="67" t="s">
        <v>23</v>
      </c>
      <c r="Q24" s="67" t="s">
        <v>47</v>
      </c>
      <c r="R24" s="67" t="s">
        <v>26</v>
      </c>
      <c r="S24" s="67" t="s">
        <v>48</v>
      </c>
      <c r="T24" s="67" t="s">
        <v>28</v>
      </c>
      <c r="U24" s="67" t="s">
        <v>37</v>
      </c>
      <c r="V24" s="39"/>
      <c r="W24" s="39"/>
      <c r="X24" s="39"/>
      <c r="Y24" s="39"/>
      <c r="Z24" s="39"/>
    </row>
    <row r="25" spans="1:26" ht="15.75" customHeight="1">
      <c r="A25" s="39"/>
      <c r="B25" s="52">
        <v>19</v>
      </c>
      <c r="C25" s="53" t="s">
        <v>100</v>
      </c>
      <c r="D25" s="54" t="s">
        <v>101</v>
      </c>
      <c r="E25" s="55" t="s">
        <v>63</v>
      </c>
      <c r="F25" s="54" t="s">
        <v>13</v>
      </c>
      <c r="G25" s="56" t="s">
        <v>78</v>
      </c>
      <c r="H25" s="57"/>
      <c r="I25" s="58">
        <v>3</v>
      </c>
      <c r="J25" s="54" t="s">
        <v>13</v>
      </c>
      <c r="K25" s="58">
        <v>0</v>
      </c>
      <c r="L25" s="58"/>
      <c r="M25" s="59"/>
      <c r="N25" s="60"/>
      <c r="O25" s="39"/>
      <c r="P25" s="67" t="s">
        <v>24</v>
      </c>
      <c r="Q25" s="67" t="s">
        <v>25</v>
      </c>
      <c r="R25" s="67" t="s">
        <v>41</v>
      </c>
      <c r="S25" s="67" t="s">
        <v>27</v>
      </c>
      <c r="T25" s="67" t="s">
        <v>49</v>
      </c>
      <c r="U25" s="67" t="s">
        <v>50</v>
      </c>
      <c r="V25" s="39"/>
      <c r="W25" s="39"/>
      <c r="X25" s="39"/>
      <c r="Y25" s="39"/>
      <c r="Z25" s="39"/>
    </row>
    <row r="26" spans="1:26" ht="16.5" customHeight="1">
      <c r="A26" s="39"/>
      <c r="B26" s="52">
        <v>20</v>
      </c>
      <c r="C26" s="53" t="s">
        <v>102</v>
      </c>
      <c r="D26" s="54" t="s">
        <v>101</v>
      </c>
      <c r="E26" s="55" t="s">
        <v>71</v>
      </c>
      <c r="F26" s="54" t="s">
        <v>13</v>
      </c>
      <c r="G26" s="56" t="s">
        <v>86</v>
      </c>
      <c r="H26" s="57"/>
      <c r="I26" s="58">
        <v>1</v>
      </c>
      <c r="J26" s="54" t="s">
        <v>13</v>
      </c>
      <c r="K26" s="58">
        <v>0</v>
      </c>
      <c r="L26" s="58"/>
      <c r="M26" s="59"/>
      <c r="N26" s="60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6.5" customHeight="1">
      <c r="A27" s="39"/>
      <c r="B27" s="52">
        <v>21</v>
      </c>
      <c r="C27" s="53" t="s">
        <v>103</v>
      </c>
      <c r="D27" s="54" t="s">
        <v>104</v>
      </c>
      <c r="E27" s="55" t="s">
        <v>80</v>
      </c>
      <c r="F27" s="54" t="s">
        <v>13</v>
      </c>
      <c r="G27" s="56" t="s">
        <v>88</v>
      </c>
      <c r="H27" s="57"/>
      <c r="I27" s="58">
        <v>2</v>
      </c>
      <c r="J27" s="54" t="s">
        <v>13</v>
      </c>
      <c r="K27" s="58">
        <v>0</v>
      </c>
      <c r="L27" s="58"/>
      <c r="M27" s="59"/>
      <c r="N27" s="60"/>
      <c r="O27" s="39"/>
      <c r="P27" s="61" t="s">
        <v>53</v>
      </c>
      <c r="Q27" s="62" t="s">
        <v>54</v>
      </c>
      <c r="R27" s="62" t="s">
        <v>55</v>
      </c>
      <c r="S27" s="62" t="s">
        <v>56</v>
      </c>
      <c r="T27" s="62" t="s">
        <v>57</v>
      </c>
      <c r="U27" s="62" t="s">
        <v>58</v>
      </c>
      <c r="V27" s="39"/>
      <c r="W27" s="39"/>
      <c r="X27" s="39"/>
      <c r="Y27" s="39"/>
      <c r="Z27" s="39"/>
    </row>
    <row r="28" spans="1:26" ht="15.75" customHeight="1">
      <c r="A28" s="39"/>
      <c r="B28" s="52">
        <v>22</v>
      </c>
      <c r="C28" s="53" t="s">
        <v>105</v>
      </c>
      <c r="D28" s="54" t="s">
        <v>104</v>
      </c>
      <c r="E28" s="55" t="s">
        <v>65</v>
      </c>
      <c r="F28" s="54" t="s">
        <v>13</v>
      </c>
      <c r="G28" s="56" t="s">
        <v>73</v>
      </c>
      <c r="H28" s="57"/>
      <c r="I28" s="58">
        <v>2</v>
      </c>
      <c r="J28" s="54" t="s">
        <v>13</v>
      </c>
      <c r="K28" s="58">
        <v>0</v>
      </c>
      <c r="L28" s="58"/>
      <c r="M28" s="59"/>
      <c r="N28" s="60"/>
      <c r="O28" s="39"/>
      <c r="P28" s="69" t="s">
        <v>83</v>
      </c>
      <c r="Q28" s="69" t="s">
        <v>84</v>
      </c>
      <c r="R28" s="69" t="s">
        <v>62</v>
      </c>
      <c r="S28" s="69" t="s">
        <v>63</v>
      </c>
      <c r="T28" s="69" t="s">
        <v>64</v>
      </c>
      <c r="U28" s="69" t="s">
        <v>80</v>
      </c>
      <c r="V28" s="39"/>
      <c r="W28" s="39"/>
      <c r="X28" s="39"/>
      <c r="Y28" s="39"/>
      <c r="Z28" s="39"/>
    </row>
    <row r="29" spans="1:26" ht="15.75" customHeight="1">
      <c r="A29" s="39"/>
      <c r="B29" s="52">
        <v>23</v>
      </c>
      <c r="C29" s="53" t="s">
        <v>106</v>
      </c>
      <c r="D29" s="54" t="s">
        <v>107</v>
      </c>
      <c r="E29" s="55" t="s">
        <v>64</v>
      </c>
      <c r="F29" s="54" t="s">
        <v>13</v>
      </c>
      <c r="G29" s="56" t="s">
        <v>87</v>
      </c>
      <c r="H29" s="57"/>
      <c r="I29" s="58">
        <v>3</v>
      </c>
      <c r="J29" s="54" t="s">
        <v>13</v>
      </c>
      <c r="K29" s="58">
        <v>0</v>
      </c>
      <c r="L29" s="58"/>
      <c r="M29" s="59"/>
      <c r="N29" s="60"/>
      <c r="O29" s="39"/>
      <c r="P29" s="67" t="s">
        <v>75</v>
      </c>
      <c r="Q29" s="67" t="s">
        <v>69</v>
      </c>
      <c r="R29" s="67" t="s">
        <v>77</v>
      </c>
      <c r="S29" s="67" t="s">
        <v>78</v>
      </c>
      <c r="T29" s="67" t="s">
        <v>87</v>
      </c>
      <c r="U29" s="67" t="s">
        <v>88</v>
      </c>
      <c r="V29" s="39"/>
      <c r="W29" s="39"/>
      <c r="X29" s="39"/>
      <c r="Y29" s="39"/>
      <c r="Z29" s="39"/>
    </row>
    <row r="30" spans="1:26" ht="15.75" customHeight="1">
      <c r="A30" s="39"/>
      <c r="B30" s="52">
        <v>24</v>
      </c>
      <c r="C30" s="53" t="s">
        <v>108</v>
      </c>
      <c r="D30" s="54" t="s">
        <v>107</v>
      </c>
      <c r="E30" s="55" t="s">
        <v>79</v>
      </c>
      <c r="F30" s="54" t="s">
        <v>13</v>
      </c>
      <c r="G30" s="56" t="s">
        <v>72</v>
      </c>
      <c r="H30" s="57"/>
      <c r="I30" s="58">
        <v>0</v>
      </c>
      <c r="J30" s="54" t="s">
        <v>13</v>
      </c>
      <c r="K30" s="58">
        <v>3</v>
      </c>
      <c r="L30" s="58"/>
      <c r="M30" s="59"/>
      <c r="N30" s="60"/>
      <c r="O30" s="39"/>
      <c r="P30" s="67" t="s">
        <v>60</v>
      </c>
      <c r="Q30" s="67" t="s">
        <v>61</v>
      </c>
      <c r="R30" s="67" t="s">
        <v>85</v>
      </c>
      <c r="S30" s="67" t="s">
        <v>71</v>
      </c>
      <c r="T30" s="67" t="s">
        <v>79</v>
      </c>
      <c r="U30" s="67" t="s">
        <v>65</v>
      </c>
      <c r="V30" s="39"/>
      <c r="W30" s="39"/>
      <c r="X30" s="39"/>
      <c r="Y30" s="39"/>
      <c r="Z30" s="39"/>
    </row>
    <row r="31" spans="1:26" ht="15.75" customHeight="1">
      <c r="A31" s="39"/>
      <c r="B31" s="52">
        <v>25</v>
      </c>
      <c r="C31" s="53" t="s">
        <v>109</v>
      </c>
      <c r="D31" s="54" t="s">
        <v>11</v>
      </c>
      <c r="E31" s="55" t="s">
        <v>24</v>
      </c>
      <c r="F31" s="54" t="s">
        <v>13</v>
      </c>
      <c r="G31" s="56" t="s">
        <v>14</v>
      </c>
      <c r="H31" s="57"/>
      <c r="I31" s="58">
        <v>1</v>
      </c>
      <c r="J31" s="54" t="s">
        <v>13</v>
      </c>
      <c r="K31" s="58">
        <v>2</v>
      </c>
      <c r="L31" s="58"/>
      <c r="M31" s="59"/>
      <c r="N31" s="60"/>
      <c r="O31" s="39"/>
      <c r="P31" s="67" t="s">
        <v>68</v>
      </c>
      <c r="Q31" s="67" t="s">
        <v>76</v>
      </c>
      <c r="R31" s="67" t="s">
        <v>70</v>
      </c>
      <c r="S31" s="67" t="s">
        <v>86</v>
      </c>
      <c r="T31" s="67" t="s">
        <v>72</v>
      </c>
      <c r="U31" s="67" t="s">
        <v>73</v>
      </c>
      <c r="V31" s="39"/>
      <c r="W31" s="39"/>
      <c r="X31" s="39"/>
      <c r="Y31" s="39"/>
      <c r="Z31" s="39"/>
    </row>
    <row r="32" spans="1:26" ht="15.75" customHeight="1">
      <c r="A32" s="39"/>
      <c r="B32" s="52">
        <v>26</v>
      </c>
      <c r="C32" s="53" t="s">
        <v>110</v>
      </c>
      <c r="D32" s="54" t="s">
        <v>31</v>
      </c>
      <c r="E32" s="55" t="s">
        <v>25</v>
      </c>
      <c r="F32" s="54" t="s">
        <v>13</v>
      </c>
      <c r="G32" s="56" t="s">
        <v>33</v>
      </c>
      <c r="H32" s="57"/>
      <c r="I32" s="58">
        <v>1</v>
      </c>
      <c r="J32" s="54" t="s">
        <v>13</v>
      </c>
      <c r="K32" s="58">
        <v>1</v>
      </c>
      <c r="L32" s="58"/>
      <c r="M32" s="59"/>
      <c r="N32" s="60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5.75" customHeight="1">
      <c r="A33" s="39"/>
      <c r="B33" s="52">
        <v>27</v>
      </c>
      <c r="C33" s="53" t="s">
        <v>111</v>
      </c>
      <c r="D33" s="54" t="s">
        <v>31</v>
      </c>
      <c r="E33" s="55" t="s">
        <v>32</v>
      </c>
      <c r="F33" s="54" t="s">
        <v>13</v>
      </c>
      <c r="G33" s="56" t="s">
        <v>47</v>
      </c>
      <c r="H33" s="57"/>
      <c r="I33" s="58">
        <v>2</v>
      </c>
      <c r="J33" s="54" t="s">
        <v>13</v>
      </c>
      <c r="K33" s="58">
        <v>0</v>
      </c>
      <c r="L33" s="58"/>
      <c r="M33" s="59"/>
      <c r="N33" s="60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5.75" customHeight="1">
      <c r="A34" s="39"/>
      <c r="B34" s="52">
        <v>28</v>
      </c>
      <c r="C34" s="53" t="s">
        <v>112</v>
      </c>
      <c r="D34" s="54" t="s">
        <v>11</v>
      </c>
      <c r="E34" s="55" t="s">
        <v>12</v>
      </c>
      <c r="F34" s="54" t="s">
        <v>13</v>
      </c>
      <c r="G34" s="56" t="s">
        <v>23</v>
      </c>
      <c r="H34" s="57"/>
      <c r="I34" s="58">
        <v>2</v>
      </c>
      <c r="J34" s="54" t="s">
        <v>13</v>
      </c>
      <c r="K34" s="58">
        <v>0</v>
      </c>
      <c r="L34" s="58"/>
      <c r="M34" s="59"/>
      <c r="N34" s="60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5.75" customHeight="1">
      <c r="A35" s="39"/>
      <c r="B35" s="52">
        <v>29</v>
      </c>
      <c r="C35" s="53" t="s">
        <v>113</v>
      </c>
      <c r="D35" s="54" t="s">
        <v>45</v>
      </c>
      <c r="E35" s="55" t="s">
        <v>26</v>
      </c>
      <c r="F35" s="54" t="s">
        <v>13</v>
      </c>
      <c r="G35" s="56" t="s">
        <v>46</v>
      </c>
      <c r="H35" s="57"/>
      <c r="I35" s="58">
        <v>2</v>
      </c>
      <c r="J35" s="54" t="s">
        <v>13</v>
      </c>
      <c r="K35" s="58">
        <v>0</v>
      </c>
      <c r="L35" s="58"/>
      <c r="M35" s="59"/>
      <c r="N35" s="60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5.75" customHeight="1">
      <c r="A36" s="39"/>
      <c r="B36" s="52">
        <v>30</v>
      </c>
      <c r="C36" s="53" t="s">
        <v>114</v>
      </c>
      <c r="D36" s="54" t="s">
        <v>45</v>
      </c>
      <c r="E36" s="55" t="s">
        <v>34</v>
      </c>
      <c r="F36" s="54" t="s">
        <v>13</v>
      </c>
      <c r="G36" s="56" t="s">
        <v>41</v>
      </c>
      <c r="H36" s="57"/>
      <c r="I36" s="58">
        <v>1</v>
      </c>
      <c r="J36" s="54" t="s">
        <v>13</v>
      </c>
      <c r="K36" s="58">
        <v>0</v>
      </c>
      <c r="L36" s="58"/>
      <c r="M36" s="59"/>
      <c r="N36" s="60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5.75" customHeight="1">
      <c r="A37" s="39"/>
      <c r="B37" s="52">
        <v>31</v>
      </c>
      <c r="C37" s="53" t="s">
        <v>115</v>
      </c>
      <c r="D37" s="54" t="s">
        <v>39</v>
      </c>
      <c r="E37" s="55" t="s">
        <v>27</v>
      </c>
      <c r="F37" s="54" t="s">
        <v>13</v>
      </c>
      <c r="G37" s="56" t="s">
        <v>40</v>
      </c>
      <c r="H37" s="57"/>
      <c r="I37" s="58">
        <v>2</v>
      </c>
      <c r="J37" s="54" t="s">
        <v>13</v>
      </c>
      <c r="K37" s="58">
        <v>1</v>
      </c>
      <c r="L37" s="58"/>
      <c r="M37" s="59"/>
      <c r="N37" s="60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5.75" customHeight="1">
      <c r="A38" s="39"/>
      <c r="B38" s="52">
        <v>32</v>
      </c>
      <c r="C38" s="53" t="s">
        <v>116</v>
      </c>
      <c r="D38" s="54" t="s">
        <v>39</v>
      </c>
      <c r="E38" s="55" t="s">
        <v>35</v>
      </c>
      <c r="F38" s="54" t="s">
        <v>13</v>
      </c>
      <c r="G38" s="56" t="s">
        <v>48</v>
      </c>
      <c r="H38" s="57"/>
      <c r="I38" s="58">
        <v>2</v>
      </c>
      <c r="J38" s="54" t="s">
        <v>13</v>
      </c>
      <c r="K38" s="58">
        <v>1</v>
      </c>
      <c r="L38" s="58"/>
      <c r="M38" s="59"/>
      <c r="N38" s="60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5.75" customHeight="1">
      <c r="A39" s="39"/>
      <c r="B39" s="52">
        <v>33</v>
      </c>
      <c r="C39" s="53" t="s">
        <v>117</v>
      </c>
      <c r="D39" s="54" t="s">
        <v>67</v>
      </c>
      <c r="E39" s="55" t="s">
        <v>28</v>
      </c>
      <c r="F39" s="54" t="s">
        <v>13</v>
      </c>
      <c r="G39" s="56" t="s">
        <v>42</v>
      </c>
      <c r="H39" s="57"/>
      <c r="I39" s="58">
        <v>3</v>
      </c>
      <c r="J39" s="54" t="s">
        <v>13</v>
      </c>
      <c r="K39" s="58">
        <v>1</v>
      </c>
      <c r="L39" s="58"/>
      <c r="M39" s="59"/>
      <c r="N39" s="60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5.75" customHeight="1">
      <c r="A40" s="39"/>
      <c r="B40" s="52">
        <v>34</v>
      </c>
      <c r="C40" s="53" t="s">
        <v>118</v>
      </c>
      <c r="D40" s="54" t="s">
        <v>67</v>
      </c>
      <c r="E40" s="55" t="s">
        <v>36</v>
      </c>
      <c r="F40" s="54" t="s">
        <v>13</v>
      </c>
      <c r="G40" s="56" t="s">
        <v>49</v>
      </c>
      <c r="H40" s="57"/>
      <c r="I40" s="58">
        <v>3</v>
      </c>
      <c r="J40" s="54" t="s">
        <v>13</v>
      </c>
      <c r="K40" s="58">
        <v>0</v>
      </c>
      <c r="L40" s="58"/>
      <c r="M40" s="59"/>
      <c r="N40" s="60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5.75" customHeight="1">
      <c r="A41" s="39"/>
      <c r="B41" s="52">
        <v>35</v>
      </c>
      <c r="C41" s="53" t="s">
        <v>119</v>
      </c>
      <c r="D41" s="54" t="s">
        <v>82</v>
      </c>
      <c r="E41" s="55" t="s">
        <v>29</v>
      </c>
      <c r="F41" s="54" t="s">
        <v>13</v>
      </c>
      <c r="G41" s="56" t="s">
        <v>37</v>
      </c>
      <c r="H41" s="57"/>
      <c r="I41" s="58">
        <v>2</v>
      </c>
      <c r="J41" s="54" t="s">
        <v>13</v>
      </c>
      <c r="K41" s="58">
        <v>0</v>
      </c>
      <c r="L41" s="58"/>
      <c r="M41" s="59"/>
      <c r="N41" s="60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5.75" customHeight="1">
      <c r="A42" s="39"/>
      <c r="B42" s="52">
        <v>36</v>
      </c>
      <c r="C42" s="53" t="s">
        <v>120</v>
      </c>
      <c r="D42" s="54" t="s">
        <v>82</v>
      </c>
      <c r="E42" s="55" t="s">
        <v>50</v>
      </c>
      <c r="F42" s="54" t="s">
        <v>13</v>
      </c>
      <c r="G42" s="56" t="s">
        <v>43</v>
      </c>
      <c r="H42" s="57"/>
      <c r="I42" s="58">
        <v>1</v>
      </c>
      <c r="J42" s="54" t="s">
        <v>13</v>
      </c>
      <c r="K42" s="58">
        <v>2</v>
      </c>
      <c r="L42" s="58"/>
      <c r="M42" s="59"/>
      <c r="N42" s="60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5.75" customHeight="1">
      <c r="A43" s="39"/>
      <c r="B43" s="52">
        <v>37</v>
      </c>
      <c r="C43" s="53" t="s">
        <v>121</v>
      </c>
      <c r="D43" s="54" t="s">
        <v>91</v>
      </c>
      <c r="E43" s="55" t="s">
        <v>69</v>
      </c>
      <c r="F43" s="54" t="s">
        <v>13</v>
      </c>
      <c r="G43" s="56" t="s">
        <v>76</v>
      </c>
      <c r="H43" s="57"/>
      <c r="I43" s="58">
        <v>3</v>
      </c>
      <c r="J43" s="54" t="s">
        <v>13</v>
      </c>
      <c r="K43" s="58">
        <v>1</v>
      </c>
      <c r="L43" s="58"/>
      <c r="M43" s="59"/>
      <c r="N43" s="44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5.75" customHeight="1">
      <c r="A44" s="39"/>
      <c r="B44" s="52">
        <v>38</v>
      </c>
      <c r="C44" s="53" t="s">
        <v>122</v>
      </c>
      <c r="D44" s="54" t="s">
        <v>91</v>
      </c>
      <c r="E44" s="55" t="s">
        <v>61</v>
      </c>
      <c r="F44" s="54" t="s">
        <v>13</v>
      </c>
      <c r="G44" s="56" t="s">
        <v>84</v>
      </c>
      <c r="H44" s="57"/>
      <c r="I44" s="58">
        <v>3</v>
      </c>
      <c r="J44" s="54" t="s">
        <v>13</v>
      </c>
      <c r="K44" s="58">
        <v>0</v>
      </c>
      <c r="L44" s="58"/>
      <c r="M44" s="59"/>
      <c r="N44" s="44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5.75" customHeight="1">
      <c r="A45" s="39"/>
      <c r="B45" s="52">
        <v>39</v>
      </c>
      <c r="C45" s="53" t="s">
        <v>123</v>
      </c>
      <c r="D45" s="54" t="s">
        <v>95</v>
      </c>
      <c r="E45" s="55" t="s">
        <v>60</v>
      </c>
      <c r="F45" s="54" t="s">
        <v>13</v>
      </c>
      <c r="G45" s="56" t="s">
        <v>83</v>
      </c>
      <c r="H45" s="57"/>
      <c r="I45" s="58">
        <v>2</v>
      </c>
      <c r="J45" s="54" t="s">
        <v>13</v>
      </c>
      <c r="K45" s="58">
        <v>1</v>
      </c>
      <c r="L45" s="58"/>
      <c r="M45" s="59"/>
      <c r="N45" s="44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5.75" customHeight="1">
      <c r="A46" s="39"/>
      <c r="B46" s="52">
        <v>40</v>
      </c>
      <c r="C46" s="53" t="s">
        <v>124</v>
      </c>
      <c r="D46" s="54" t="s">
        <v>95</v>
      </c>
      <c r="E46" s="55" t="s">
        <v>75</v>
      </c>
      <c r="F46" s="54" t="s">
        <v>13</v>
      </c>
      <c r="G46" s="56" t="s">
        <v>68</v>
      </c>
      <c r="H46" s="57"/>
      <c r="I46" s="58">
        <v>1</v>
      </c>
      <c r="J46" s="54" t="s">
        <v>13</v>
      </c>
      <c r="K46" s="58">
        <v>2</v>
      </c>
      <c r="L46" s="58"/>
      <c r="M46" s="59"/>
      <c r="N46" s="44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5.75" customHeight="1">
      <c r="A47" s="39"/>
      <c r="B47" s="52">
        <v>41</v>
      </c>
      <c r="C47" s="53" t="s">
        <v>125</v>
      </c>
      <c r="D47" s="54" t="s">
        <v>98</v>
      </c>
      <c r="E47" s="55" t="s">
        <v>70</v>
      </c>
      <c r="F47" s="54" t="s">
        <v>13</v>
      </c>
      <c r="G47" s="56" t="s">
        <v>77</v>
      </c>
      <c r="H47" s="57"/>
      <c r="I47" s="58">
        <v>1</v>
      </c>
      <c r="J47" s="54" t="s">
        <v>13</v>
      </c>
      <c r="K47" s="58">
        <v>2</v>
      </c>
      <c r="L47" s="58"/>
      <c r="M47" s="59"/>
      <c r="N47" s="44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5.75" customHeight="1">
      <c r="A48" s="39"/>
      <c r="B48" s="52">
        <v>42</v>
      </c>
      <c r="C48" s="53" t="s">
        <v>126</v>
      </c>
      <c r="D48" s="54" t="s">
        <v>98</v>
      </c>
      <c r="E48" s="55" t="s">
        <v>62</v>
      </c>
      <c r="F48" s="54" t="s">
        <v>13</v>
      </c>
      <c r="G48" s="56" t="s">
        <v>85</v>
      </c>
      <c r="H48" s="57"/>
      <c r="I48" s="58">
        <v>2</v>
      </c>
      <c r="J48" s="54" t="s">
        <v>13</v>
      </c>
      <c r="K48" s="58">
        <v>0</v>
      </c>
      <c r="L48" s="58"/>
      <c r="M48" s="59"/>
      <c r="N48" s="44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5.75" customHeight="1">
      <c r="A49" s="39"/>
      <c r="B49" s="52">
        <v>43</v>
      </c>
      <c r="C49" s="53" t="s">
        <v>127</v>
      </c>
      <c r="D49" s="54" t="s">
        <v>101</v>
      </c>
      <c r="E49" s="55" t="s">
        <v>63</v>
      </c>
      <c r="F49" s="54" t="s">
        <v>13</v>
      </c>
      <c r="G49" s="56" t="s">
        <v>71</v>
      </c>
      <c r="H49" s="57"/>
      <c r="I49" s="58">
        <v>2</v>
      </c>
      <c r="J49" s="54" t="s">
        <v>13</v>
      </c>
      <c r="K49" s="58">
        <v>0</v>
      </c>
      <c r="L49" s="58"/>
      <c r="M49" s="59"/>
      <c r="N49" s="44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5.75" customHeight="1">
      <c r="A50" s="39"/>
      <c r="B50" s="52">
        <v>44</v>
      </c>
      <c r="C50" s="53" t="s">
        <v>128</v>
      </c>
      <c r="D50" s="54" t="s">
        <v>101</v>
      </c>
      <c r="E50" s="55" t="s">
        <v>86</v>
      </c>
      <c r="F50" s="54" t="s">
        <v>13</v>
      </c>
      <c r="G50" s="56" t="s">
        <v>78</v>
      </c>
      <c r="H50" s="57"/>
      <c r="I50" s="58">
        <v>1</v>
      </c>
      <c r="J50" s="54" t="s">
        <v>13</v>
      </c>
      <c r="K50" s="58">
        <v>3</v>
      </c>
      <c r="L50" s="58"/>
      <c r="M50" s="59"/>
      <c r="N50" s="44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5.75" customHeight="1">
      <c r="A51" s="39"/>
      <c r="B51" s="52">
        <v>45</v>
      </c>
      <c r="C51" s="53" t="s">
        <v>129</v>
      </c>
      <c r="D51" s="54" t="s">
        <v>104</v>
      </c>
      <c r="E51" s="55" t="s">
        <v>65</v>
      </c>
      <c r="F51" s="54" t="s">
        <v>13</v>
      </c>
      <c r="G51" s="56" t="s">
        <v>80</v>
      </c>
      <c r="H51" s="57"/>
      <c r="I51" s="58">
        <v>2</v>
      </c>
      <c r="J51" s="54" t="s">
        <v>13</v>
      </c>
      <c r="K51" s="58">
        <v>1</v>
      </c>
      <c r="L51" s="58"/>
      <c r="M51" s="59"/>
      <c r="N51" s="44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5.75" customHeight="1">
      <c r="A52" s="39"/>
      <c r="B52" s="52">
        <v>46</v>
      </c>
      <c r="C52" s="53" t="s">
        <v>130</v>
      </c>
      <c r="D52" s="54" t="s">
        <v>104</v>
      </c>
      <c r="E52" s="55" t="s">
        <v>88</v>
      </c>
      <c r="F52" s="54" t="s">
        <v>13</v>
      </c>
      <c r="G52" s="56" t="s">
        <v>73</v>
      </c>
      <c r="H52" s="57"/>
      <c r="I52" s="58">
        <v>1</v>
      </c>
      <c r="J52" s="54" t="s">
        <v>13</v>
      </c>
      <c r="K52" s="58">
        <v>1</v>
      </c>
      <c r="L52" s="58"/>
      <c r="M52" s="59"/>
      <c r="N52" s="44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5.75" customHeight="1">
      <c r="A53" s="39"/>
      <c r="B53" s="52">
        <v>47</v>
      </c>
      <c r="C53" s="53" t="s">
        <v>131</v>
      </c>
      <c r="D53" s="54" t="s">
        <v>107</v>
      </c>
      <c r="E53" s="55" t="s">
        <v>64</v>
      </c>
      <c r="F53" s="54" t="s">
        <v>13</v>
      </c>
      <c r="G53" s="56" t="s">
        <v>79</v>
      </c>
      <c r="H53" s="57"/>
      <c r="I53" s="58">
        <v>3</v>
      </c>
      <c r="J53" s="54" t="s">
        <v>13</v>
      </c>
      <c r="K53" s="58">
        <v>0</v>
      </c>
      <c r="L53" s="58"/>
      <c r="M53" s="59"/>
      <c r="N53" s="44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5.75" customHeight="1">
      <c r="A54" s="39"/>
      <c r="B54" s="52">
        <v>48</v>
      </c>
      <c r="C54" s="53" t="s">
        <v>132</v>
      </c>
      <c r="D54" s="54" t="s">
        <v>107</v>
      </c>
      <c r="E54" s="55" t="s">
        <v>72</v>
      </c>
      <c r="F54" s="54" t="s">
        <v>13</v>
      </c>
      <c r="G54" s="56" t="s">
        <v>87</v>
      </c>
      <c r="H54" s="57"/>
      <c r="I54" s="58">
        <v>2</v>
      </c>
      <c r="J54" s="54" t="s">
        <v>13</v>
      </c>
      <c r="K54" s="58">
        <v>1</v>
      </c>
      <c r="L54" s="58"/>
      <c r="M54" s="59"/>
      <c r="N54" s="44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5.75" customHeight="1">
      <c r="A55" s="39"/>
      <c r="B55" s="52">
        <v>49</v>
      </c>
      <c r="C55" s="53" t="s">
        <v>133</v>
      </c>
      <c r="D55" s="54" t="s">
        <v>45</v>
      </c>
      <c r="E55" s="55" t="s">
        <v>34</v>
      </c>
      <c r="F55" s="54" t="s">
        <v>13</v>
      </c>
      <c r="G55" s="56" t="s">
        <v>26</v>
      </c>
      <c r="H55" s="57"/>
      <c r="I55" s="58">
        <v>1</v>
      </c>
      <c r="J55" s="54" t="s">
        <v>13</v>
      </c>
      <c r="K55" s="58">
        <v>2</v>
      </c>
      <c r="L55" s="58"/>
      <c r="M55" s="59"/>
      <c r="N55" s="44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5.75" customHeight="1">
      <c r="A56" s="39"/>
      <c r="B56" s="52">
        <v>50</v>
      </c>
      <c r="C56" s="53" t="s">
        <v>133</v>
      </c>
      <c r="D56" s="54" t="s">
        <v>45</v>
      </c>
      <c r="E56" s="55" t="s">
        <v>41</v>
      </c>
      <c r="F56" s="54" t="s">
        <v>13</v>
      </c>
      <c r="G56" s="56" t="s">
        <v>46</v>
      </c>
      <c r="H56" s="57"/>
      <c r="I56" s="58">
        <v>2</v>
      </c>
      <c r="J56" s="54" t="s">
        <v>13</v>
      </c>
      <c r="K56" s="58">
        <v>0</v>
      </c>
      <c r="L56" s="58"/>
      <c r="M56" s="59"/>
      <c r="N56" s="44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5.75" customHeight="1">
      <c r="A57" s="39"/>
      <c r="B57" s="52">
        <v>51</v>
      </c>
      <c r="C57" s="53" t="s">
        <v>134</v>
      </c>
      <c r="D57" s="54" t="s">
        <v>31</v>
      </c>
      <c r="E57" s="55" t="s">
        <v>25</v>
      </c>
      <c r="F57" s="54" t="s">
        <v>13</v>
      </c>
      <c r="G57" s="56" t="s">
        <v>32</v>
      </c>
      <c r="H57" s="57"/>
      <c r="I57" s="58">
        <v>1</v>
      </c>
      <c r="J57" s="54" t="s">
        <v>13</v>
      </c>
      <c r="K57" s="58">
        <v>2</v>
      </c>
      <c r="L57" s="58"/>
      <c r="M57" s="59"/>
      <c r="N57" s="44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5.75" customHeight="1">
      <c r="A58" s="39"/>
      <c r="B58" s="52">
        <v>52</v>
      </c>
      <c r="C58" s="53" t="s">
        <v>134</v>
      </c>
      <c r="D58" s="54" t="s">
        <v>31</v>
      </c>
      <c r="E58" s="55" t="s">
        <v>33</v>
      </c>
      <c r="F58" s="54" t="s">
        <v>13</v>
      </c>
      <c r="G58" s="56" t="s">
        <v>47</v>
      </c>
      <c r="H58" s="57"/>
      <c r="I58" s="58">
        <v>2</v>
      </c>
      <c r="J58" s="54" t="s">
        <v>13</v>
      </c>
      <c r="K58" s="58">
        <v>0</v>
      </c>
      <c r="L58" s="58"/>
      <c r="M58" s="59"/>
      <c r="N58" s="44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5.75" customHeight="1">
      <c r="A59" s="39"/>
      <c r="B59" s="52">
        <v>53</v>
      </c>
      <c r="C59" s="53" t="s">
        <v>135</v>
      </c>
      <c r="D59" s="54" t="s">
        <v>11</v>
      </c>
      <c r="E59" s="55" t="s">
        <v>24</v>
      </c>
      <c r="F59" s="54" t="s">
        <v>13</v>
      </c>
      <c r="G59" s="56" t="s">
        <v>12</v>
      </c>
      <c r="H59" s="57"/>
      <c r="I59" s="58">
        <v>0</v>
      </c>
      <c r="J59" s="54" t="s">
        <v>13</v>
      </c>
      <c r="K59" s="58">
        <v>2</v>
      </c>
      <c r="L59" s="58"/>
      <c r="M59" s="59"/>
      <c r="N59" s="44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5.75" customHeight="1">
      <c r="A60" s="39"/>
      <c r="B60" s="52">
        <v>54</v>
      </c>
      <c r="C60" s="53" t="s">
        <v>135</v>
      </c>
      <c r="D60" s="54" t="s">
        <v>11</v>
      </c>
      <c r="E60" s="55" t="s">
        <v>14</v>
      </c>
      <c r="F60" s="54" t="s">
        <v>13</v>
      </c>
      <c r="G60" s="56" t="s">
        <v>23</v>
      </c>
      <c r="H60" s="57"/>
      <c r="I60" s="58">
        <v>2</v>
      </c>
      <c r="J60" s="54" t="s">
        <v>13</v>
      </c>
      <c r="K60" s="58">
        <v>1</v>
      </c>
      <c r="L60" s="58"/>
      <c r="M60" s="59"/>
      <c r="N60" s="44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5.75" customHeight="1">
      <c r="A61" s="39"/>
      <c r="B61" s="52">
        <v>55</v>
      </c>
      <c r="C61" s="53" t="s">
        <v>136</v>
      </c>
      <c r="D61" s="54" t="s">
        <v>67</v>
      </c>
      <c r="E61" s="55" t="s">
        <v>49</v>
      </c>
      <c r="F61" s="54" t="s">
        <v>13</v>
      </c>
      <c r="G61" s="56" t="s">
        <v>42</v>
      </c>
      <c r="H61" s="57"/>
      <c r="I61" s="58">
        <v>1</v>
      </c>
      <c r="J61" s="54" t="s">
        <v>13</v>
      </c>
      <c r="K61" s="58">
        <v>2</v>
      </c>
      <c r="L61" s="58"/>
      <c r="M61" s="59"/>
      <c r="N61" s="44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5.75" customHeight="1">
      <c r="A62" s="39"/>
      <c r="B62" s="52">
        <v>56</v>
      </c>
      <c r="C62" s="53" t="s">
        <v>136</v>
      </c>
      <c r="D62" s="54" t="s">
        <v>67</v>
      </c>
      <c r="E62" s="55" t="s">
        <v>36</v>
      </c>
      <c r="F62" s="54" t="s">
        <v>13</v>
      </c>
      <c r="G62" s="56" t="s">
        <v>28</v>
      </c>
      <c r="H62" s="57"/>
      <c r="I62" s="58">
        <v>0</v>
      </c>
      <c r="J62" s="54" t="s">
        <v>13</v>
      </c>
      <c r="K62" s="58">
        <v>2</v>
      </c>
      <c r="L62" s="58"/>
      <c r="M62" s="59"/>
      <c r="N62" s="44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5.75" customHeight="1">
      <c r="A63" s="39"/>
      <c r="B63" s="52">
        <v>57</v>
      </c>
      <c r="C63" s="53" t="s">
        <v>137</v>
      </c>
      <c r="D63" s="54" t="s">
        <v>82</v>
      </c>
      <c r="E63" s="55" t="s">
        <v>43</v>
      </c>
      <c r="F63" s="54" t="s">
        <v>13</v>
      </c>
      <c r="G63" s="56" t="s">
        <v>37</v>
      </c>
      <c r="H63" s="57"/>
      <c r="I63" s="58">
        <v>1</v>
      </c>
      <c r="J63" s="54" t="s">
        <v>13</v>
      </c>
      <c r="K63" s="58">
        <v>2</v>
      </c>
      <c r="L63" s="58"/>
      <c r="M63" s="59"/>
      <c r="N63" s="44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5.75" customHeight="1">
      <c r="A64" s="39"/>
      <c r="B64" s="52">
        <v>58</v>
      </c>
      <c r="C64" s="53" t="s">
        <v>137</v>
      </c>
      <c r="D64" s="54" t="s">
        <v>82</v>
      </c>
      <c r="E64" s="55" t="s">
        <v>50</v>
      </c>
      <c r="F64" s="54" t="s">
        <v>13</v>
      </c>
      <c r="G64" s="56" t="s">
        <v>29</v>
      </c>
      <c r="H64" s="57"/>
      <c r="I64" s="58">
        <v>1</v>
      </c>
      <c r="J64" s="54" t="s">
        <v>13</v>
      </c>
      <c r="K64" s="58">
        <v>2</v>
      </c>
      <c r="L64" s="58"/>
      <c r="M64" s="59"/>
      <c r="N64" s="44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5.75" customHeight="1">
      <c r="A65" s="39"/>
      <c r="B65" s="52">
        <v>59</v>
      </c>
      <c r="C65" s="53" t="s">
        <v>138</v>
      </c>
      <c r="D65" s="54" t="s">
        <v>39</v>
      </c>
      <c r="E65" s="55" t="s">
        <v>27</v>
      </c>
      <c r="F65" s="54" t="s">
        <v>13</v>
      </c>
      <c r="G65" s="56" t="s">
        <v>35</v>
      </c>
      <c r="H65" s="57"/>
      <c r="I65" s="58">
        <v>2</v>
      </c>
      <c r="J65" s="54" t="s">
        <v>13</v>
      </c>
      <c r="K65" s="58">
        <v>2</v>
      </c>
      <c r="L65" s="58"/>
      <c r="M65" s="59"/>
      <c r="N65" s="44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5.75" customHeight="1">
      <c r="A66" s="39"/>
      <c r="B66" s="52">
        <v>60</v>
      </c>
      <c r="C66" s="53" t="s">
        <v>138</v>
      </c>
      <c r="D66" s="54" t="s">
        <v>39</v>
      </c>
      <c r="E66" s="55" t="s">
        <v>40</v>
      </c>
      <c r="F66" s="54" t="s">
        <v>13</v>
      </c>
      <c r="G66" s="56" t="s">
        <v>48</v>
      </c>
      <c r="H66" s="57"/>
      <c r="I66" s="58">
        <v>2</v>
      </c>
      <c r="J66" s="54" t="s">
        <v>13</v>
      </c>
      <c r="K66" s="58">
        <v>1</v>
      </c>
      <c r="L66" s="58"/>
      <c r="M66" s="59"/>
      <c r="N66" s="44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5.75" customHeight="1">
      <c r="A67" s="39"/>
      <c r="B67" s="52">
        <v>61</v>
      </c>
      <c r="C67" s="53" t="s">
        <v>139</v>
      </c>
      <c r="D67" s="54" t="s">
        <v>98</v>
      </c>
      <c r="E67" s="55" t="s">
        <v>70</v>
      </c>
      <c r="F67" s="54" t="s">
        <v>13</v>
      </c>
      <c r="G67" s="56" t="s">
        <v>62</v>
      </c>
      <c r="H67" s="57"/>
      <c r="I67" s="58">
        <v>0</v>
      </c>
      <c r="J67" s="54" t="s">
        <v>13</v>
      </c>
      <c r="K67" s="58">
        <v>2</v>
      </c>
      <c r="L67" s="58"/>
      <c r="M67" s="59"/>
      <c r="N67" s="44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5.75" customHeight="1">
      <c r="A68" s="39"/>
      <c r="B68" s="52">
        <v>62</v>
      </c>
      <c r="C68" s="53" t="s">
        <v>139</v>
      </c>
      <c r="D68" s="54" t="s">
        <v>98</v>
      </c>
      <c r="E68" s="55" t="s">
        <v>77</v>
      </c>
      <c r="F68" s="54" t="s">
        <v>13</v>
      </c>
      <c r="G68" s="56" t="s">
        <v>85</v>
      </c>
      <c r="H68" s="57"/>
      <c r="I68" s="58">
        <v>2</v>
      </c>
      <c r="J68" s="54" t="s">
        <v>13</v>
      </c>
      <c r="K68" s="58">
        <v>0</v>
      </c>
      <c r="L68" s="58"/>
      <c r="M68" s="59"/>
      <c r="N68" s="44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5.75" customHeight="1">
      <c r="A69" s="39"/>
      <c r="B69" s="52">
        <v>63</v>
      </c>
      <c r="C69" s="53" t="s">
        <v>140</v>
      </c>
      <c r="D69" s="54" t="s">
        <v>95</v>
      </c>
      <c r="E69" s="55" t="s">
        <v>68</v>
      </c>
      <c r="F69" s="54" t="s">
        <v>13</v>
      </c>
      <c r="G69" s="56" t="s">
        <v>83</v>
      </c>
      <c r="H69" s="57"/>
      <c r="I69" s="58">
        <v>1</v>
      </c>
      <c r="J69" s="54" t="s">
        <v>13</v>
      </c>
      <c r="K69" s="58">
        <v>2</v>
      </c>
      <c r="L69" s="58"/>
      <c r="M69" s="59"/>
      <c r="N69" s="44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5.75" customHeight="1">
      <c r="A70" s="39"/>
      <c r="B70" s="52">
        <v>64</v>
      </c>
      <c r="C70" s="53" t="s">
        <v>140</v>
      </c>
      <c r="D70" s="54" t="s">
        <v>95</v>
      </c>
      <c r="E70" s="55" t="s">
        <v>75</v>
      </c>
      <c r="F70" s="54" t="s">
        <v>13</v>
      </c>
      <c r="G70" s="56" t="s">
        <v>60</v>
      </c>
      <c r="H70" s="57"/>
      <c r="I70" s="58">
        <v>1</v>
      </c>
      <c r="J70" s="54" t="s">
        <v>13</v>
      </c>
      <c r="K70" s="58">
        <v>2</v>
      </c>
      <c r="L70" s="58"/>
      <c r="M70" s="59"/>
      <c r="N70" s="44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5.75" customHeight="1">
      <c r="A71" s="39"/>
      <c r="B71" s="52">
        <v>65</v>
      </c>
      <c r="C71" s="53" t="s">
        <v>141</v>
      </c>
      <c r="D71" s="54" t="s">
        <v>91</v>
      </c>
      <c r="E71" s="55" t="s">
        <v>76</v>
      </c>
      <c r="F71" s="54" t="s">
        <v>13</v>
      </c>
      <c r="G71" s="56" t="s">
        <v>84</v>
      </c>
      <c r="H71" s="57"/>
      <c r="I71" s="58">
        <v>1</v>
      </c>
      <c r="J71" s="54" t="s">
        <v>13</v>
      </c>
      <c r="K71" s="58">
        <v>1</v>
      </c>
      <c r="L71" s="58"/>
      <c r="M71" s="59"/>
      <c r="N71" s="44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5.75" customHeight="1">
      <c r="A72" s="39"/>
      <c r="B72" s="52">
        <v>66</v>
      </c>
      <c r="C72" s="53" t="s">
        <v>141</v>
      </c>
      <c r="D72" s="54" t="s">
        <v>91</v>
      </c>
      <c r="E72" s="55" t="s">
        <v>69</v>
      </c>
      <c r="F72" s="54" t="s">
        <v>13</v>
      </c>
      <c r="G72" s="56" t="s">
        <v>61</v>
      </c>
      <c r="H72" s="57"/>
      <c r="I72" s="58">
        <v>1</v>
      </c>
      <c r="J72" s="54" t="s">
        <v>13</v>
      </c>
      <c r="K72" s="58">
        <v>2</v>
      </c>
      <c r="L72" s="58"/>
      <c r="M72" s="59"/>
      <c r="N72" s="44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5.75" customHeight="1">
      <c r="A73" s="39"/>
      <c r="B73" s="52">
        <v>67</v>
      </c>
      <c r="C73" s="53" t="s">
        <v>142</v>
      </c>
      <c r="D73" s="54" t="s">
        <v>104</v>
      </c>
      <c r="E73" s="55" t="s">
        <v>88</v>
      </c>
      <c r="F73" s="54" t="s">
        <v>13</v>
      </c>
      <c r="G73" s="56" t="s">
        <v>65</v>
      </c>
      <c r="H73" s="57"/>
      <c r="I73" s="58">
        <v>1</v>
      </c>
      <c r="J73" s="54" t="s">
        <v>13</v>
      </c>
      <c r="K73" s="58">
        <v>2</v>
      </c>
      <c r="L73" s="58"/>
      <c r="M73" s="59"/>
      <c r="N73" s="44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5.75" customHeight="1">
      <c r="A74" s="39"/>
      <c r="B74" s="52">
        <v>68</v>
      </c>
      <c r="C74" s="53" t="s">
        <v>142</v>
      </c>
      <c r="D74" s="54" t="s">
        <v>104</v>
      </c>
      <c r="E74" s="55" t="s">
        <v>73</v>
      </c>
      <c r="F74" s="54" t="s">
        <v>13</v>
      </c>
      <c r="G74" s="56" t="s">
        <v>80</v>
      </c>
      <c r="H74" s="57"/>
      <c r="I74" s="58">
        <v>1</v>
      </c>
      <c r="J74" s="54" t="s">
        <v>13</v>
      </c>
      <c r="K74" s="58">
        <v>1</v>
      </c>
      <c r="L74" s="58"/>
      <c r="M74" s="59"/>
      <c r="N74" s="44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5.75" customHeight="1">
      <c r="A75" s="39"/>
      <c r="B75" s="52">
        <v>69</v>
      </c>
      <c r="C75" s="53" t="s">
        <v>143</v>
      </c>
      <c r="D75" s="54" t="s">
        <v>101</v>
      </c>
      <c r="E75" s="55" t="s">
        <v>78</v>
      </c>
      <c r="F75" s="54" t="s">
        <v>13</v>
      </c>
      <c r="G75" s="56" t="s">
        <v>71</v>
      </c>
      <c r="H75" s="57"/>
      <c r="I75" s="58">
        <v>2</v>
      </c>
      <c r="J75" s="54" t="s">
        <v>13</v>
      </c>
      <c r="K75" s="58">
        <v>1</v>
      </c>
      <c r="L75" s="58"/>
      <c r="M75" s="59"/>
      <c r="N75" s="44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5.75" customHeight="1">
      <c r="A76" s="39"/>
      <c r="B76" s="52">
        <v>70</v>
      </c>
      <c r="C76" s="53" t="s">
        <v>143</v>
      </c>
      <c r="D76" s="54" t="s">
        <v>101</v>
      </c>
      <c r="E76" s="55" t="s">
        <v>86</v>
      </c>
      <c r="F76" s="54" t="s">
        <v>13</v>
      </c>
      <c r="G76" s="56" t="s">
        <v>63</v>
      </c>
      <c r="H76" s="57"/>
      <c r="I76" s="58">
        <v>0</v>
      </c>
      <c r="J76" s="54" t="s">
        <v>13</v>
      </c>
      <c r="K76" s="58">
        <v>2</v>
      </c>
      <c r="L76" s="58"/>
      <c r="M76" s="59"/>
      <c r="N76" s="44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5.75" customHeight="1">
      <c r="A77" s="39"/>
      <c r="B77" s="52">
        <v>71</v>
      </c>
      <c r="C77" s="53" t="s">
        <v>144</v>
      </c>
      <c r="D77" s="54" t="s">
        <v>107</v>
      </c>
      <c r="E77" s="55" t="s">
        <v>72</v>
      </c>
      <c r="F77" s="54" t="s">
        <v>13</v>
      </c>
      <c r="G77" s="56" t="s">
        <v>64</v>
      </c>
      <c r="H77" s="57"/>
      <c r="I77" s="58">
        <v>1</v>
      </c>
      <c r="J77" s="54" t="s">
        <v>13</v>
      </c>
      <c r="K77" s="58">
        <v>2</v>
      </c>
      <c r="L77" s="58"/>
      <c r="M77" s="59"/>
      <c r="N77" s="44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5.75" customHeight="1">
      <c r="A78" s="39"/>
      <c r="B78" s="52">
        <v>72</v>
      </c>
      <c r="C78" s="53" t="s">
        <v>144</v>
      </c>
      <c r="D78" s="54" t="s">
        <v>107</v>
      </c>
      <c r="E78" s="55" t="s">
        <v>87</v>
      </c>
      <c r="F78" s="54" t="s">
        <v>13</v>
      </c>
      <c r="G78" s="56" t="s">
        <v>79</v>
      </c>
      <c r="H78" s="57"/>
      <c r="I78" s="58">
        <v>2</v>
      </c>
      <c r="J78" s="54" t="s">
        <v>13</v>
      </c>
      <c r="K78" s="58">
        <v>0</v>
      </c>
      <c r="L78" s="58"/>
      <c r="M78" s="59"/>
      <c r="N78" s="44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5.75" customHeight="1">
      <c r="A79" s="39"/>
      <c r="B79" s="45"/>
      <c r="C79" s="46"/>
      <c r="D79" s="45" t="s">
        <v>145</v>
      </c>
      <c r="E79" s="70" t="s">
        <v>26</v>
      </c>
      <c r="F79" s="44" t="s">
        <v>13</v>
      </c>
      <c r="G79" s="70" t="s">
        <v>62</v>
      </c>
      <c r="H79" s="39"/>
      <c r="I79" s="39"/>
      <c r="J79" s="39"/>
      <c r="K79" s="44"/>
      <c r="L79" s="71"/>
      <c r="M79" s="71"/>
      <c r="N79" s="60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5.75" customHeight="1">
      <c r="A80" s="39"/>
      <c r="B80" s="45"/>
      <c r="C80" s="46"/>
      <c r="D80" s="45" t="s">
        <v>146</v>
      </c>
      <c r="E80" s="72" t="s">
        <v>28</v>
      </c>
      <c r="F80" s="44" t="s">
        <v>13</v>
      </c>
      <c r="G80" s="72" t="s">
        <v>61</v>
      </c>
      <c r="H80" s="39"/>
      <c r="I80" s="39"/>
      <c r="J80" s="39"/>
      <c r="K80" s="44"/>
      <c r="L80" s="73"/>
      <c r="M80" s="73"/>
      <c r="N80" s="60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5.75" customHeight="1">
      <c r="A81" s="39"/>
      <c r="B81" s="45"/>
      <c r="C81" s="46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60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5.75" customHeight="1">
      <c r="A82" s="39"/>
      <c r="B82" s="45"/>
      <c r="C82" s="46"/>
      <c r="D82" s="39"/>
      <c r="E82" s="39"/>
      <c r="F82" s="39"/>
      <c r="G82" s="39"/>
      <c r="H82" s="39"/>
      <c r="I82" s="39"/>
      <c r="J82" s="39"/>
      <c r="K82" s="39"/>
      <c r="L82" s="74" t="s">
        <v>147</v>
      </c>
      <c r="M82" s="75"/>
      <c r="N82" s="60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5.75" customHeight="1">
      <c r="A83" s="39"/>
      <c r="B83" s="45"/>
      <c r="C83" s="46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60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5.75" customHeight="1">
      <c r="A84" s="45"/>
      <c r="B84" s="45"/>
      <c r="C84" s="46"/>
      <c r="D84" s="39"/>
      <c r="E84" s="39"/>
      <c r="F84" s="39"/>
      <c r="G84" s="44"/>
      <c r="H84" s="39"/>
      <c r="I84" s="39"/>
      <c r="J84" s="39"/>
      <c r="K84" s="39"/>
      <c r="L84" s="44"/>
      <c r="M84" s="44"/>
      <c r="N84" s="44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5.75" customHeight="1">
      <c r="A85" s="45"/>
      <c r="B85" s="45"/>
      <c r="C85" s="46"/>
      <c r="D85" s="39"/>
      <c r="E85" s="39"/>
      <c r="F85" s="39"/>
      <c r="G85" s="44"/>
      <c r="H85" s="39"/>
      <c r="I85" s="39"/>
      <c r="J85" s="39"/>
      <c r="K85" s="39"/>
      <c r="L85" s="44"/>
      <c r="M85" s="44"/>
      <c r="N85" s="44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5.75" customHeight="1">
      <c r="A86" s="45"/>
      <c r="B86" s="76"/>
      <c r="C86" s="77"/>
      <c r="D86" s="39"/>
      <c r="E86" s="39"/>
      <c r="F86" s="39"/>
      <c r="G86" s="44"/>
      <c r="H86" s="39"/>
      <c r="I86" s="39"/>
      <c r="J86" s="39"/>
      <c r="K86" s="39"/>
      <c r="L86" s="44"/>
      <c r="M86" s="44"/>
      <c r="N86" s="44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5.75" customHeight="1">
      <c r="A87" s="45"/>
      <c r="B87" s="76"/>
      <c r="C87" s="77"/>
      <c r="D87" s="39"/>
      <c r="E87" s="39"/>
      <c r="F87" s="39"/>
      <c r="G87" s="44"/>
      <c r="H87" s="39"/>
      <c r="I87" s="39"/>
      <c r="J87" s="39"/>
      <c r="K87" s="39"/>
      <c r="L87" s="44"/>
      <c r="M87" s="44"/>
      <c r="N87" s="44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5.75" customHeight="1">
      <c r="A88" s="39"/>
      <c r="B88" s="45"/>
      <c r="C88" s="46"/>
      <c r="D88" s="39"/>
      <c r="E88" s="39"/>
      <c r="F88" s="44"/>
      <c r="G88" s="39"/>
      <c r="H88" s="39"/>
      <c r="I88" s="39"/>
      <c r="J88" s="39"/>
      <c r="K88" s="44"/>
      <c r="L88" s="44"/>
      <c r="M88" s="44"/>
      <c r="N88" s="44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5.75" customHeight="1">
      <c r="A89" s="39"/>
      <c r="B89" s="45"/>
      <c r="C89" s="46"/>
      <c r="D89" s="39"/>
      <c r="E89" s="39"/>
      <c r="F89" s="44"/>
      <c r="G89" s="39"/>
      <c r="H89" s="39"/>
      <c r="I89" s="39"/>
      <c r="J89" s="39"/>
      <c r="K89" s="44"/>
      <c r="L89" s="44"/>
      <c r="M89" s="44"/>
      <c r="N89" s="44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5.75" customHeight="1">
      <c r="A90" s="39"/>
      <c r="B90" s="45"/>
      <c r="C90" s="46"/>
      <c r="D90" s="39"/>
      <c r="E90" s="39"/>
      <c r="F90" s="44"/>
      <c r="G90" s="39"/>
      <c r="H90" s="39"/>
      <c r="I90" s="39"/>
      <c r="J90" s="39"/>
      <c r="K90" s="44"/>
      <c r="L90" s="44"/>
      <c r="M90" s="44"/>
      <c r="N90" s="44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5.75" customHeight="1">
      <c r="A91" s="39"/>
      <c r="B91" s="45"/>
      <c r="C91" s="46"/>
      <c r="D91" s="39"/>
      <c r="E91" s="39"/>
      <c r="F91" s="44"/>
      <c r="G91" s="39"/>
      <c r="H91" s="39"/>
      <c r="I91" s="39"/>
      <c r="J91" s="39"/>
      <c r="K91" s="44"/>
      <c r="L91" s="44"/>
      <c r="M91" s="44"/>
      <c r="N91" s="44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5.75" customHeight="1">
      <c r="A92" s="39"/>
      <c r="B92" s="45"/>
      <c r="C92" s="46"/>
      <c r="D92" s="39"/>
      <c r="E92" s="39"/>
      <c r="F92" s="44"/>
      <c r="G92" s="39"/>
      <c r="H92" s="39"/>
      <c r="I92" s="39"/>
      <c r="J92" s="39"/>
      <c r="K92" s="44"/>
      <c r="L92" s="44"/>
      <c r="M92" s="44"/>
      <c r="N92" s="44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5.75" customHeight="1">
      <c r="A93" s="39"/>
      <c r="B93" s="45"/>
      <c r="C93" s="46"/>
      <c r="D93" s="39"/>
      <c r="E93" s="39"/>
      <c r="F93" s="44"/>
      <c r="G93" s="39"/>
      <c r="H93" s="39"/>
      <c r="I93" s="39"/>
      <c r="J93" s="39"/>
      <c r="K93" s="44"/>
      <c r="L93" s="44"/>
      <c r="M93" s="44"/>
      <c r="N93" s="44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5.75" customHeight="1">
      <c r="A94" s="39"/>
      <c r="B94" s="45"/>
      <c r="C94" s="46"/>
      <c r="D94" s="39"/>
      <c r="E94" s="39"/>
      <c r="F94" s="44"/>
      <c r="G94" s="39"/>
      <c r="H94" s="39"/>
      <c r="I94" s="39"/>
      <c r="J94" s="39"/>
      <c r="K94" s="44"/>
      <c r="L94" s="44"/>
      <c r="M94" s="44"/>
      <c r="N94" s="44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5.75" customHeight="1">
      <c r="A95" s="39"/>
      <c r="B95" s="45"/>
      <c r="C95" s="46"/>
      <c r="D95" s="39"/>
      <c r="E95" s="39"/>
      <c r="F95" s="44"/>
      <c r="G95" s="39"/>
      <c r="H95" s="39"/>
      <c r="I95" s="39"/>
      <c r="J95" s="39"/>
      <c r="K95" s="44"/>
      <c r="L95" s="44"/>
      <c r="M95" s="44"/>
      <c r="N95" s="44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5.75" customHeight="1">
      <c r="A96" s="39"/>
      <c r="B96" s="45"/>
      <c r="C96" s="46"/>
      <c r="D96" s="39"/>
      <c r="E96" s="39"/>
      <c r="F96" s="44"/>
      <c r="G96" s="39"/>
      <c r="H96" s="39"/>
      <c r="I96" s="39"/>
      <c r="J96" s="39"/>
      <c r="K96" s="44"/>
      <c r="L96" s="44"/>
      <c r="M96" s="44"/>
      <c r="N96" s="44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5.75" customHeight="1">
      <c r="A97" s="39"/>
      <c r="B97" s="45"/>
      <c r="C97" s="46"/>
      <c r="D97" s="39"/>
      <c r="E97" s="39"/>
      <c r="F97" s="44"/>
      <c r="G97" s="39"/>
      <c r="H97" s="39"/>
      <c r="I97" s="39"/>
      <c r="J97" s="39"/>
      <c r="K97" s="44"/>
      <c r="L97" s="44"/>
      <c r="M97" s="44"/>
      <c r="N97" s="44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5.75" customHeight="1">
      <c r="A98" s="39"/>
      <c r="B98" s="45"/>
      <c r="C98" s="46"/>
      <c r="D98" s="39"/>
      <c r="E98" s="39"/>
      <c r="F98" s="44"/>
      <c r="G98" s="39"/>
      <c r="H98" s="39"/>
      <c r="I98" s="39"/>
      <c r="J98" s="39"/>
      <c r="K98" s="44"/>
      <c r="L98" s="44"/>
      <c r="M98" s="44"/>
      <c r="N98" s="44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5.75" customHeight="1">
      <c r="A99" s="39"/>
      <c r="B99" s="45"/>
      <c r="C99" s="46"/>
      <c r="D99" s="39"/>
      <c r="E99" s="39"/>
      <c r="F99" s="44"/>
      <c r="G99" s="39"/>
      <c r="H99" s="39"/>
      <c r="I99" s="39"/>
      <c r="J99" s="39"/>
      <c r="K99" s="44"/>
      <c r="L99" s="44"/>
      <c r="M99" s="44"/>
      <c r="N99" s="44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5.75" customHeight="1">
      <c r="A100" s="39"/>
      <c r="B100" s="45"/>
      <c r="C100" s="46"/>
      <c r="D100" s="39"/>
      <c r="E100" s="39"/>
      <c r="F100" s="44"/>
      <c r="G100" s="39"/>
      <c r="H100" s="39"/>
      <c r="I100" s="39"/>
      <c r="J100" s="39"/>
      <c r="K100" s="44"/>
      <c r="L100" s="44"/>
      <c r="M100" s="44"/>
      <c r="N100" s="44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5.75" customHeight="1">
      <c r="A101" s="39"/>
      <c r="B101" s="45"/>
      <c r="C101" s="46"/>
      <c r="D101" s="39"/>
      <c r="E101" s="39"/>
      <c r="F101" s="44"/>
      <c r="G101" s="39"/>
      <c r="H101" s="39"/>
      <c r="I101" s="39"/>
      <c r="J101" s="39"/>
      <c r="K101" s="44"/>
      <c r="L101" s="44"/>
      <c r="M101" s="44"/>
      <c r="N101" s="44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5.75" customHeight="1">
      <c r="A102" s="39"/>
      <c r="B102" s="45"/>
      <c r="C102" s="46"/>
      <c r="D102" s="39"/>
      <c r="E102" s="39"/>
      <c r="F102" s="44"/>
      <c r="G102" s="39"/>
      <c r="H102" s="39"/>
      <c r="I102" s="39"/>
      <c r="J102" s="39"/>
      <c r="K102" s="44"/>
      <c r="L102" s="44"/>
      <c r="M102" s="44"/>
      <c r="N102" s="44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5.75" customHeight="1">
      <c r="A103" s="39"/>
      <c r="B103" s="45"/>
      <c r="C103" s="46"/>
      <c r="D103" s="39"/>
      <c r="E103" s="39"/>
      <c r="F103" s="44"/>
      <c r="G103" s="39"/>
      <c r="H103" s="39"/>
      <c r="I103" s="39"/>
      <c r="J103" s="39"/>
      <c r="K103" s="44"/>
      <c r="L103" s="44"/>
      <c r="M103" s="44"/>
      <c r="N103" s="44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5.75" customHeight="1">
      <c r="A104" s="39"/>
      <c r="B104" s="45"/>
      <c r="C104" s="46"/>
      <c r="D104" s="39"/>
      <c r="E104" s="39"/>
      <c r="F104" s="44"/>
      <c r="G104" s="39"/>
      <c r="H104" s="39"/>
      <c r="I104" s="39"/>
      <c r="J104" s="39"/>
      <c r="K104" s="44"/>
      <c r="L104" s="44"/>
      <c r="M104" s="44"/>
      <c r="N104" s="44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5.75" customHeight="1">
      <c r="A105" s="39"/>
      <c r="B105" s="45"/>
      <c r="C105" s="46"/>
      <c r="D105" s="39"/>
      <c r="E105" s="39"/>
      <c r="F105" s="44"/>
      <c r="G105" s="39"/>
      <c r="H105" s="39"/>
      <c r="I105" s="39"/>
      <c r="J105" s="39"/>
      <c r="K105" s="44"/>
      <c r="L105" s="44"/>
      <c r="M105" s="44"/>
      <c r="N105" s="44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5.75" customHeight="1">
      <c r="A106" s="39"/>
      <c r="B106" s="45"/>
      <c r="C106" s="46"/>
      <c r="D106" s="39"/>
      <c r="E106" s="39"/>
      <c r="F106" s="44"/>
      <c r="G106" s="39"/>
      <c r="H106" s="39"/>
      <c r="I106" s="39"/>
      <c r="J106" s="39"/>
      <c r="K106" s="44"/>
      <c r="L106" s="44"/>
      <c r="M106" s="44"/>
      <c r="N106" s="44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5.75" customHeight="1">
      <c r="A107" s="39"/>
      <c r="B107" s="45"/>
      <c r="C107" s="46"/>
      <c r="D107" s="39"/>
      <c r="E107" s="39"/>
      <c r="F107" s="44"/>
      <c r="G107" s="39"/>
      <c r="H107" s="39"/>
      <c r="I107" s="39"/>
      <c r="J107" s="39"/>
      <c r="K107" s="44"/>
      <c r="L107" s="44"/>
      <c r="M107" s="44"/>
      <c r="N107" s="44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5.75" customHeight="1">
      <c r="A108" s="39"/>
      <c r="B108" s="45"/>
      <c r="C108" s="46"/>
      <c r="D108" s="39"/>
      <c r="E108" s="39"/>
      <c r="F108" s="44"/>
      <c r="G108" s="39"/>
      <c r="H108" s="39"/>
      <c r="I108" s="39"/>
      <c r="J108" s="39"/>
      <c r="K108" s="44"/>
      <c r="L108" s="44"/>
      <c r="M108" s="44"/>
      <c r="N108" s="44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5.75" customHeight="1">
      <c r="A109" s="39"/>
      <c r="B109" s="45"/>
      <c r="C109" s="46"/>
      <c r="D109" s="39"/>
      <c r="E109" s="39"/>
      <c r="F109" s="44"/>
      <c r="G109" s="39"/>
      <c r="H109" s="39"/>
      <c r="I109" s="39"/>
      <c r="J109" s="39"/>
      <c r="K109" s="44"/>
      <c r="L109" s="44"/>
      <c r="M109" s="44"/>
      <c r="N109" s="44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5.75" customHeight="1">
      <c r="A110" s="39"/>
      <c r="B110" s="45"/>
      <c r="C110" s="46"/>
      <c r="D110" s="39"/>
      <c r="E110" s="39"/>
      <c r="F110" s="44"/>
      <c r="G110" s="39"/>
      <c r="H110" s="39"/>
      <c r="I110" s="39"/>
      <c r="J110" s="39"/>
      <c r="K110" s="44"/>
      <c r="L110" s="44"/>
      <c r="M110" s="44"/>
      <c r="N110" s="44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5.75" customHeight="1">
      <c r="A111" s="39"/>
      <c r="B111" s="45"/>
      <c r="C111" s="46"/>
      <c r="D111" s="39"/>
      <c r="E111" s="39"/>
      <c r="F111" s="44"/>
      <c r="G111" s="39"/>
      <c r="H111" s="39"/>
      <c r="I111" s="39"/>
      <c r="J111" s="39"/>
      <c r="K111" s="44"/>
      <c r="L111" s="44"/>
      <c r="M111" s="44"/>
      <c r="N111" s="44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5.75" customHeight="1">
      <c r="A112" s="39"/>
      <c r="B112" s="45"/>
      <c r="C112" s="46"/>
      <c r="D112" s="39"/>
      <c r="E112" s="39"/>
      <c r="F112" s="44"/>
      <c r="G112" s="39"/>
      <c r="H112" s="39"/>
      <c r="I112" s="39"/>
      <c r="J112" s="39"/>
      <c r="K112" s="44"/>
      <c r="L112" s="44"/>
      <c r="M112" s="44"/>
      <c r="N112" s="44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5.75" customHeight="1">
      <c r="A113" s="39"/>
      <c r="B113" s="45"/>
      <c r="C113" s="46"/>
      <c r="D113" s="39"/>
      <c r="E113" s="39"/>
      <c r="F113" s="44"/>
      <c r="G113" s="39"/>
      <c r="H113" s="39"/>
      <c r="I113" s="39"/>
      <c r="J113" s="39"/>
      <c r="K113" s="44"/>
      <c r="L113" s="44"/>
      <c r="M113" s="44"/>
      <c r="N113" s="44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5.75" customHeight="1">
      <c r="A114" s="39"/>
      <c r="B114" s="45"/>
      <c r="C114" s="46"/>
      <c r="D114" s="39"/>
      <c r="E114" s="39"/>
      <c r="F114" s="44"/>
      <c r="G114" s="39"/>
      <c r="H114" s="39"/>
      <c r="I114" s="39"/>
      <c r="J114" s="39"/>
      <c r="K114" s="44"/>
      <c r="L114" s="44"/>
      <c r="M114" s="44"/>
      <c r="N114" s="44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5.75" customHeight="1">
      <c r="A115" s="39"/>
      <c r="B115" s="45"/>
      <c r="C115" s="46"/>
      <c r="D115" s="39"/>
      <c r="E115" s="39"/>
      <c r="F115" s="44"/>
      <c r="G115" s="39"/>
      <c r="H115" s="39"/>
      <c r="I115" s="39"/>
      <c r="J115" s="39"/>
      <c r="K115" s="44"/>
      <c r="L115" s="44"/>
      <c r="M115" s="44"/>
      <c r="N115" s="44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5.75" customHeight="1">
      <c r="A116" s="39"/>
      <c r="B116" s="45"/>
      <c r="C116" s="46"/>
      <c r="D116" s="39"/>
      <c r="E116" s="39"/>
      <c r="F116" s="44"/>
      <c r="G116" s="39"/>
      <c r="H116" s="39"/>
      <c r="I116" s="39"/>
      <c r="J116" s="39"/>
      <c r="K116" s="44"/>
      <c r="L116" s="44"/>
      <c r="M116" s="44"/>
      <c r="N116" s="44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5.75" customHeight="1">
      <c r="A117" s="39"/>
      <c r="B117" s="45"/>
      <c r="C117" s="46"/>
      <c r="D117" s="39"/>
      <c r="E117" s="39"/>
      <c r="F117" s="44"/>
      <c r="G117" s="39"/>
      <c r="H117" s="39"/>
      <c r="I117" s="39"/>
      <c r="J117" s="39"/>
      <c r="K117" s="44"/>
      <c r="L117" s="44"/>
      <c r="M117" s="44"/>
      <c r="N117" s="44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5.75" customHeight="1">
      <c r="A118" s="39"/>
      <c r="B118" s="45"/>
      <c r="C118" s="46"/>
      <c r="D118" s="39"/>
      <c r="E118" s="39"/>
      <c r="F118" s="44"/>
      <c r="G118" s="39"/>
      <c r="H118" s="39"/>
      <c r="I118" s="39"/>
      <c r="J118" s="39"/>
      <c r="K118" s="44"/>
      <c r="L118" s="44"/>
      <c r="M118" s="44"/>
      <c r="N118" s="44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5.75" customHeight="1">
      <c r="A119" s="39"/>
      <c r="B119" s="45"/>
      <c r="C119" s="46"/>
      <c r="D119" s="39"/>
      <c r="E119" s="39"/>
      <c r="F119" s="44"/>
      <c r="G119" s="39"/>
      <c r="H119" s="39"/>
      <c r="I119" s="39"/>
      <c r="J119" s="39"/>
      <c r="K119" s="44"/>
      <c r="L119" s="44"/>
      <c r="M119" s="44"/>
      <c r="N119" s="44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5.75" customHeight="1">
      <c r="A120" s="39"/>
      <c r="B120" s="45"/>
      <c r="C120" s="46"/>
      <c r="D120" s="39"/>
      <c r="E120" s="39"/>
      <c r="F120" s="44"/>
      <c r="G120" s="39"/>
      <c r="H120" s="39"/>
      <c r="I120" s="39"/>
      <c r="J120" s="39"/>
      <c r="K120" s="44"/>
      <c r="L120" s="44"/>
      <c r="M120" s="44"/>
      <c r="N120" s="44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5.75" customHeight="1">
      <c r="A121" s="39"/>
      <c r="B121" s="45"/>
      <c r="C121" s="46"/>
      <c r="D121" s="39"/>
      <c r="E121" s="39"/>
      <c r="F121" s="44"/>
      <c r="G121" s="39"/>
      <c r="H121" s="39"/>
      <c r="I121" s="39"/>
      <c r="J121" s="39"/>
      <c r="K121" s="44"/>
      <c r="L121" s="44"/>
      <c r="M121" s="44"/>
      <c r="N121" s="44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5.75" customHeight="1">
      <c r="A122" s="39"/>
      <c r="B122" s="45"/>
      <c r="C122" s="46"/>
      <c r="D122" s="39"/>
      <c r="E122" s="39"/>
      <c r="F122" s="44"/>
      <c r="G122" s="39"/>
      <c r="H122" s="39"/>
      <c r="I122" s="39"/>
      <c r="J122" s="39"/>
      <c r="K122" s="44"/>
      <c r="L122" s="44"/>
      <c r="M122" s="44"/>
      <c r="N122" s="44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5.75" customHeight="1">
      <c r="A123" s="39"/>
      <c r="B123" s="45"/>
      <c r="C123" s="46"/>
      <c r="D123" s="39"/>
      <c r="E123" s="39"/>
      <c r="F123" s="44"/>
      <c r="G123" s="39"/>
      <c r="H123" s="39"/>
      <c r="I123" s="39"/>
      <c r="J123" s="39"/>
      <c r="K123" s="44"/>
      <c r="L123" s="44"/>
      <c r="M123" s="44"/>
      <c r="N123" s="44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5.75" customHeight="1">
      <c r="A124" s="39"/>
      <c r="B124" s="45"/>
      <c r="C124" s="46"/>
      <c r="D124" s="39"/>
      <c r="E124" s="39"/>
      <c r="F124" s="44"/>
      <c r="G124" s="39"/>
      <c r="H124" s="39"/>
      <c r="I124" s="39"/>
      <c r="J124" s="39"/>
      <c r="K124" s="44"/>
      <c r="L124" s="44"/>
      <c r="M124" s="44"/>
      <c r="N124" s="44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5.75" customHeight="1">
      <c r="A125" s="39"/>
      <c r="B125" s="45"/>
      <c r="C125" s="46"/>
      <c r="D125" s="39"/>
      <c r="E125" s="39"/>
      <c r="F125" s="44"/>
      <c r="G125" s="39"/>
      <c r="H125" s="39"/>
      <c r="I125" s="39"/>
      <c r="J125" s="39"/>
      <c r="K125" s="44"/>
      <c r="L125" s="44"/>
      <c r="M125" s="44"/>
      <c r="N125" s="44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5.75" customHeight="1">
      <c r="A126" s="39"/>
      <c r="B126" s="45"/>
      <c r="C126" s="46"/>
      <c r="D126" s="39"/>
      <c r="E126" s="39"/>
      <c r="F126" s="44"/>
      <c r="G126" s="39"/>
      <c r="H126" s="39"/>
      <c r="I126" s="39"/>
      <c r="J126" s="39"/>
      <c r="K126" s="44"/>
      <c r="L126" s="44"/>
      <c r="M126" s="44"/>
      <c r="N126" s="44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5.75" customHeight="1">
      <c r="A127" s="39"/>
      <c r="B127" s="45"/>
      <c r="C127" s="46"/>
      <c r="D127" s="39"/>
      <c r="E127" s="39"/>
      <c r="F127" s="44"/>
      <c r="G127" s="39"/>
      <c r="H127" s="39"/>
      <c r="I127" s="39"/>
      <c r="J127" s="39"/>
      <c r="K127" s="44"/>
      <c r="L127" s="44"/>
      <c r="M127" s="44"/>
      <c r="N127" s="44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5.75" customHeight="1">
      <c r="A128" s="39"/>
      <c r="B128" s="45"/>
      <c r="C128" s="46"/>
      <c r="D128" s="39"/>
      <c r="E128" s="39"/>
      <c r="F128" s="44"/>
      <c r="G128" s="39"/>
      <c r="H128" s="39"/>
      <c r="I128" s="39"/>
      <c r="J128" s="39"/>
      <c r="K128" s="44"/>
      <c r="L128" s="44"/>
      <c r="M128" s="44"/>
      <c r="N128" s="44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5.75" customHeight="1">
      <c r="A129" s="39"/>
      <c r="B129" s="45"/>
      <c r="C129" s="46"/>
      <c r="D129" s="39"/>
      <c r="E129" s="39"/>
      <c r="F129" s="44"/>
      <c r="G129" s="39"/>
      <c r="H129" s="39"/>
      <c r="I129" s="39"/>
      <c r="J129" s="39"/>
      <c r="K129" s="44"/>
      <c r="L129" s="44"/>
      <c r="M129" s="44"/>
      <c r="N129" s="44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5.75" customHeight="1">
      <c r="A130" s="39"/>
      <c r="B130" s="45"/>
      <c r="C130" s="46"/>
      <c r="D130" s="39"/>
      <c r="E130" s="39"/>
      <c r="F130" s="44"/>
      <c r="G130" s="39"/>
      <c r="H130" s="39"/>
      <c r="I130" s="39"/>
      <c r="J130" s="39"/>
      <c r="K130" s="44"/>
      <c r="L130" s="44"/>
      <c r="M130" s="44"/>
      <c r="N130" s="44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5.75" customHeight="1">
      <c r="A131" s="39"/>
      <c r="B131" s="45"/>
      <c r="C131" s="46"/>
      <c r="D131" s="39"/>
      <c r="E131" s="39"/>
      <c r="F131" s="44"/>
      <c r="G131" s="39"/>
      <c r="H131" s="39"/>
      <c r="I131" s="39"/>
      <c r="J131" s="39"/>
      <c r="K131" s="44"/>
      <c r="L131" s="44"/>
      <c r="M131" s="44"/>
      <c r="N131" s="44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5.75" customHeight="1">
      <c r="A132" s="39"/>
      <c r="B132" s="45"/>
      <c r="C132" s="46"/>
      <c r="D132" s="39"/>
      <c r="E132" s="39"/>
      <c r="F132" s="44"/>
      <c r="G132" s="39"/>
      <c r="H132" s="39"/>
      <c r="I132" s="39"/>
      <c r="J132" s="39"/>
      <c r="K132" s="44"/>
      <c r="L132" s="44"/>
      <c r="M132" s="44"/>
      <c r="N132" s="44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5.75" customHeight="1">
      <c r="A133" s="39"/>
      <c r="B133" s="45"/>
      <c r="C133" s="46"/>
      <c r="D133" s="39"/>
      <c r="E133" s="39"/>
      <c r="F133" s="44"/>
      <c r="G133" s="39"/>
      <c r="H133" s="39"/>
      <c r="I133" s="39"/>
      <c r="J133" s="39"/>
      <c r="K133" s="44"/>
      <c r="L133" s="44"/>
      <c r="M133" s="44"/>
      <c r="N133" s="44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5.75" customHeight="1">
      <c r="A134" s="39"/>
      <c r="B134" s="45"/>
      <c r="C134" s="46"/>
      <c r="D134" s="39"/>
      <c r="E134" s="39"/>
      <c r="F134" s="44"/>
      <c r="G134" s="39"/>
      <c r="H134" s="39"/>
      <c r="I134" s="39"/>
      <c r="J134" s="39"/>
      <c r="K134" s="44"/>
      <c r="L134" s="44"/>
      <c r="M134" s="44"/>
      <c r="N134" s="44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5.75" customHeight="1">
      <c r="A135" s="39"/>
      <c r="B135" s="45"/>
      <c r="C135" s="46"/>
      <c r="D135" s="39"/>
      <c r="E135" s="39"/>
      <c r="F135" s="44"/>
      <c r="G135" s="39"/>
      <c r="H135" s="39"/>
      <c r="I135" s="39"/>
      <c r="J135" s="39"/>
      <c r="K135" s="44"/>
      <c r="L135" s="44"/>
      <c r="M135" s="44"/>
      <c r="N135" s="44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5.75" customHeight="1">
      <c r="A136" s="39"/>
      <c r="B136" s="45"/>
      <c r="C136" s="46"/>
      <c r="D136" s="39"/>
      <c r="E136" s="39"/>
      <c r="F136" s="44"/>
      <c r="G136" s="39"/>
      <c r="H136" s="39"/>
      <c r="I136" s="39"/>
      <c r="J136" s="39"/>
      <c r="K136" s="44"/>
      <c r="L136" s="44"/>
      <c r="M136" s="44"/>
      <c r="N136" s="44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5.75" customHeight="1">
      <c r="A137" s="39"/>
      <c r="B137" s="45"/>
      <c r="C137" s="46"/>
      <c r="D137" s="39"/>
      <c r="E137" s="39"/>
      <c r="F137" s="44"/>
      <c r="G137" s="39"/>
      <c r="H137" s="39"/>
      <c r="I137" s="39"/>
      <c r="J137" s="39"/>
      <c r="K137" s="44"/>
      <c r="L137" s="44"/>
      <c r="M137" s="44"/>
      <c r="N137" s="44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5.75" customHeight="1">
      <c r="A138" s="39"/>
      <c r="B138" s="45"/>
      <c r="C138" s="46"/>
      <c r="D138" s="39"/>
      <c r="E138" s="39"/>
      <c r="F138" s="44"/>
      <c r="G138" s="39"/>
      <c r="H138" s="39"/>
      <c r="I138" s="39"/>
      <c r="J138" s="39"/>
      <c r="K138" s="44"/>
      <c r="L138" s="44"/>
      <c r="M138" s="44"/>
      <c r="N138" s="44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5.75" customHeight="1">
      <c r="A139" s="39"/>
      <c r="B139" s="45"/>
      <c r="C139" s="46"/>
      <c r="D139" s="39"/>
      <c r="E139" s="39"/>
      <c r="F139" s="44"/>
      <c r="G139" s="39"/>
      <c r="H139" s="39"/>
      <c r="I139" s="39"/>
      <c r="J139" s="39"/>
      <c r="K139" s="44"/>
      <c r="L139" s="44"/>
      <c r="M139" s="44"/>
      <c r="N139" s="44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5.75" customHeight="1">
      <c r="A140" s="39"/>
      <c r="B140" s="45"/>
      <c r="C140" s="46"/>
      <c r="D140" s="39"/>
      <c r="E140" s="39"/>
      <c r="F140" s="44"/>
      <c r="G140" s="39"/>
      <c r="H140" s="39"/>
      <c r="I140" s="39"/>
      <c r="J140" s="39"/>
      <c r="K140" s="44"/>
      <c r="L140" s="44"/>
      <c r="M140" s="44"/>
      <c r="N140" s="44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5.75" customHeight="1">
      <c r="A141" s="39"/>
      <c r="B141" s="45"/>
      <c r="C141" s="46"/>
      <c r="D141" s="39"/>
      <c r="E141" s="39"/>
      <c r="F141" s="44"/>
      <c r="G141" s="39"/>
      <c r="H141" s="39"/>
      <c r="I141" s="39"/>
      <c r="J141" s="39"/>
      <c r="K141" s="44"/>
      <c r="L141" s="44"/>
      <c r="M141" s="44"/>
      <c r="N141" s="44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5.75" customHeight="1">
      <c r="A142" s="39"/>
      <c r="B142" s="45"/>
      <c r="C142" s="46"/>
      <c r="D142" s="39"/>
      <c r="E142" s="39"/>
      <c r="F142" s="44"/>
      <c r="G142" s="39"/>
      <c r="H142" s="39"/>
      <c r="I142" s="39"/>
      <c r="J142" s="39"/>
      <c r="K142" s="44"/>
      <c r="L142" s="44"/>
      <c r="M142" s="44"/>
      <c r="N142" s="44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5.75" customHeight="1">
      <c r="A143" s="39"/>
      <c r="B143" s="45"/>
      <c r="C143" s="46"/>
      <c r="D143" s="39"/>
      <c r="E143" s="39"/>
      <c r="F143" s="44"/>
      <c r="G143" s="39"/>
      <c r="H143" s="39"/>
      <c r="I143" s="39"/>
      <c r="J143" s="39"/>
      <c r="K143" s="44"/>
      <c r="L143" s="44"/>
      <c r="M143" s="44"/>
      <c r="N143" s="44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5.75" customHeight="1">
      <c r="A144" s="39"/>
      <c r="B144" s="45"/>
      <c r="C144" s="46"/>
      <c r="D144" s="39"/>
      <c r="E144" s="39"/>
      <c r="F144" s="44"/>
      <c r="G144" s="39"/>
      <c r="H144" s="39"/>
      <c r="I144" s="39"/>
      <c r="J144" s="39"/>
      <c r="K144" s="44"/>
      <c r="L144" s="44"/>
      <c r="M144" s="44"/>
      <c r="N144" s="44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5.75" customHeight="1">
      <c r="A145" s="39"/>
      <c r="B145" s="45"/>
      <c r="C145" s="46"/>
      <c r="D145" s="39"/>
      <c r="E145" s="39"/>
      <c r="F145" s="44"/>
      <c r="G145" s="39"/>
      <c r="H145" s="39"/>
      <c r="I145" s="39"/>
      <c r="J145" s="39"/>
      <c r="K145" s="44"/>
      <c r="L145" s="44"/>
      <c r="M145" s="44"/>
      <c r="N145" s="44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5.75" customHeight="1">
      <c r="A146" s="39"/>
      <c r="B146" s="45"/>
      <c r="C146" s="46"/>
      <c r="D146" s="39"/>
      <c r="E146" s="39"/>
      <c r="F146" s="44"/>
      <c r="G146" s="39"/>
      <c r="H146" s="39"/>
      <c r="I146" s="39"/>
      <c r="J146" s="39"/>
      <c r="K146" s="44"/>
      <c r="L146" s="44"/>
      <c r="M146" s="44"/>
      <c r="N146" s="44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5.75" customHeight="1">
      <c r="A147" s="39"/>
      <c r="B147" s="45"/>
      <c r="C147" s="46"/>
      <c r="D147" s="39"/>
      <c r="E147" s="39"/>
      <c r="F147" s="44"/>
      <c r="G147" s="39"/>
      <c r="H147" s="39"/>
      <c r="I147" s="39"/>
      <c r="J147" s="39"/>
      <c r="K147" s="44"/>
      <c r="L147" s="44"/>
      <c r="M147" s="44"/>
      <c r="N147" s="44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5.75" customHeight="1">
      <c r="A148" s="39"/>
      <c r="B148" s="45"/>
      <c r="C148" s="46"/>
      <c r="D148" s="39"/>
      <c r="E148" s="39"/>
      <c r="F148" s="44"/>
      <c r="G148" s="39"/>
      <c r="H148" s="39"/>
      <c r="I148" s="39"/>
      <c r="J148" s="39"/>
      <c r="K148" s="44"/>
      <c r="L148" s="44"/>
      <c r="M148" s="44"/>
      <c r="N148" s="44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5.75" customHeight="1">
      <c r="A149" s="39"/>
      <c r="B149" s="45"/>
      <c r="C149" s="46"/>
      <c r="D149" s="39"/>
      <c r="E149" s="39"/>
      <c r="F149" s="44"/>
      <c r="G149" s="39"/>
      <c r="H149" s="39"/>
      <c r="I149" s="39"/>
      <c r="J149" s="39"/>
      <c r="K149" s="44"/>
      <c r="L149" s="44"/>
      <c r="M149" s="44"/>
      <c r="N149" s="44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5.75" customHeight="1">
      <c r="A150" s="39"/>
      <c r="B150" s="45"/>
      <c r="C150" s="46"/>
      <c r="D150" s="39"/>
      <c r="E150" s="39"/>
      <c r="F150" s="44"/>
      <c r="G150" s="39"/>
      <c r="H150" s="39"/>
      <c r="I150" s="39"/>
      <c r="J150" s="39"/>
      <c r="K150" s="44"/>
      <c r="L150" s="44"/>
      <c r="M150" s="44"/>
      <c r="N150" s="44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5.75" customHeight="1">
      <c r="A151" s="39"/>
      <c r="B151" s="45"/>
      <c r="C151" s="46"/>
      <c r="D151" s="39"/>
      <c r="E151" s="39"/>
      <c r="F151" s="44"/>
      <c r="G151" s="39"/>
      <c r="H151" s="39"/>
      <c r="I151" s="39"/>
      <c r="J151" s="39"/>
      <c r="K151" s="44"/>
      <c r="L151" s="44"/>
      <c r="M151" s="44"/>
      <c r="N151" s="44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5.75" customHeight="1">
      <c r="A152" s="39"/>
      <c r="B152" s="45"/>
      <c r="C152" s="46"/>
      <c r="D152" s="39"/>
      <c r="E152" s="39"/>
      <c r="F152" s="44"/>
      <c r="G152" s="39"/>
      <c r="H152" s="39"/>
      <c r="I152" s="39"/>
      <c r="J152" s="39"/>
      <c r="K152" s="44"/>
      <c r="L152" s="44"/>
      <c r="M152" s="44"/>
      <c r="N152" s="44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5.75" customHeight="1">
      <c r="A153" s="39"/>
      <c r="B153" s="45"/>
      <c r="C153" s="46"/>
      <c r="D153" s="39"/>
      <c r="E153" s="39"/>
      <c r="F153" s="44"/>
      <c r="G153" s="39"/>
      <c r="H153" s="39"/>
      <c r="I153" s="39"/>
      <c r="J153" s="39"/>
      <c r="K153" s="44"/>
      <c r="L153" s="44"/>
      <c r="M153" s="44"/>
      <c r="N153" s="44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5.75" customHeight="1">
      <c r="A154" s="39"/>
      <c r="B154" s="45"/>
      <c r="C154" s="46"/>
      <c r="D154" s="39"/>
      <c r="E154" s="39"/>
      <c r="F154" s="44"/>
      <c r="G154" s="39"/>
      <c r="H154" s="39"/>
      <c r="I154" s="39"/>
      <c r="J154" s="39"/>
      <c r="K154" s="44"/>
      <c r="L154" s="44"/>
      <c r="M154" s="44"/>
      <c r="N154" s="44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5.75" customHeight="1">
      <c r="A155" s="39"/>
      <c r="B155" s="45"/>
      <c r="C155" s="46"/>
      <c r="D155" s="39"/>
      <c r="E155" s="39"/>
      <c r="F155" s="44"/>
      <c r="G155" s="39"/>
      <c r="H155" s="39"/>
      <c r="I155" s="39"/>
      <c r="J155" s="39"/>
      <c r="K155" s="44"/>
      <c r="L155" s="44"/>
      <c r="M155" s="44"/>
      <c r="N155" s="44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5.75" customHeight="1">
      <c r="A156" s="39"/>
      <c r="B156" s="45"/>
      <c r="C156" s="46"/>
      <c r="D156" s="39"/>
      <c r="E156" s="39"/>
      <c r="F156" s="44"/>
      <c r="G156" s="39"/>
      <c r="H156" s="39"/>
      <c r="I156" s="39"/>
      <c r="J156" s="39"/>
      <c r="K156" s="44"/>
      <c r="L156" s="44"/>
      <c r="M156" s="44"/>
      <c r="N156" s="44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5.75" customHeight="1">
      <c r="A157" s="39"/>
      <c r="B157" s="45"/>
      <c r="C157" s="46"/>
      <c r="D157" s="39"/>
      <c r="E157" s="39"/>
      <c r="F157" s="44"/>
      <c r="G157" s="39"/>
      <c r="H157" s="39"/>
      <c r="I157" s="39"/>
      <c r="J157" s="39"/>
      <c r="K157" s="44"/>
      <c r="L157" s="44"/>
      <c r="M157" s="44"/>
      <c r="N157" s="44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5.75" customHeight="1">
      <c r="A158" s="39"/>
      <c r="B158" s="45"/>
      <c r="C158" s="46"/>
      <c r="D158" s="39"/>
      <c r="E158" s="39"/>
      <c r="F158" s="44"/>
      <c r="G158" s="39"/>
      <c r="H158" s="39"/>
      <c r="I158" s="39"/>
      <c r="J158" s="39"/>
      <c r="K158" s="44"/>
      <c r="L158" s="44"/>
      <c r="M158" s="44"/>
      <c r="N158" s="44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5.75" customHeight="1">
      <c r="A159" s="39"/>
      <c r="B159" s="45"/>
      <c r="C159" s="46"/>
      <c r="D159" s="39"/>
      <c r="E159" s="39"/>
      <c r="F159" s="44"/>
      <c r="G159" s="39"/>
      <c r="H159" s="39"/>
      <c r="I159" s="39"/>
      <c r="J159" s="39"/>
      <c r="K159" s="44"/>
      <c r="L159" s="44"/>
      <c r="M159" s="44"/>
      <c r="N159" s="44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5.75" customHeight="1">
      <c r="A160" s="39"/>
      <c r="B160" s="45"/>
      <c r="C160" s="46"/>
      <c r="D160" s="39"/>
      <c r="E160" s="39"/>
      <c r="F160" s="44"/>
      <c r="G160" s="39"/>
      <c r="H160" s="39"/>
      <c r="I160" s="39"/>
      <c r="J160" s="39"/>
      <c r="K160" s="44"/>
      <c r="L160" s="44"/>
      <c r="M160" s="44"/>
      <c r="N160" s="44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5.75" customHeight="1">
      <c r="A161" s="39"/>
      <c r="B161" s="45"/>
      <c r="C161" s="46"/>
      <c r="D161" s="39"/>
      <c r="E161" s="39"/>
      <c r="F161" s="44"/>
      <c r="G161" s="39"/>
      <c r="H161" s="39"/>
      <c r="I161" s="39"/>
      <c r="J161" s="39"/>
      <c r="K161" s="44"/>
      <c r="L161" s="44"/>
      <c r="M161" s="44"/>
      <c r="N161" s="44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5.75" customHeight="1">
      <c r="A162" s="39"/>
      <c r="B162" s="45"/>
      <c r="C162" s="46"/>
      <c r="D162" s="39"/>
      <c r="E162" s="39"/>
      <c r="F162" s="44"/>
      <c r="G162" s="39"/>
      <c r="H162" s="39"/>
      <c r="I162" s="39"/>
      <c r="J162" s="39"/>
      <c r="K162" s="44"/>
      <c r="L162" s="44"/>
      <c r="M162" s="44"/>
      <c r="N162" s="44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5.75" customHeight="1">
      <c r="A163" s="39"/>
      <c r="B163" s="45"/>
      <c r="C163" s="46"/>
      <c r="D163" s="39"/>
      <c r="E163" s="39"/>
      <c r="F163" s="44"/>
      <c r="G163" s="39"/>
      <c r="H163" s="39"/>
      <c r="I163" s="39"/>
      <c r="J163" s="39"/>
      <c r="K163" s="44"/>
      <c r="L163" s="44"/>
      <c r="M163" s="44"/>
      <c r="N163" s="44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5.75" customHeight="1">
      <c r="A164" s="39"/>
      <c r="B164" s="45"/>
      <c r="C164" s="46"/>
      <c r="D164" s="39"/>
      <c r="E164" s="39"/>
      <c r="F164" s="44"/>
      <c r="G164" s="39"/>
      <c r="H164" s="39"/>
      <c r="I164" s="39"/>
      <c r="J164" s="39"/>
      <c r="K164" s="44"/>
      <c r="L164" s="44"/>
      <c r="M164" s="44"/>
      <c r="N164" s="44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5.75" customHeight="1">
      <c r="A165" s="39"/>
      <c r="B165" s="45"/>
      <c r="C165" s="46"/>
      <c r="D165" s="39"/>
      <c r="E165" s="39"/>
      <c r="F165" s="44"/>
      <c r="G165" s="39"/>
      <c r="H165" s="39"/>
      <c r="I165" s="39"/>
      <c r="J165" s="39"/>
      <c r="K165" s="44"/>
      <c r="L165" s="44"/>
      <c r="M165" s="44"/>
      <c r="N165" s="44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5.75" customHeight="1">
      <c r="A166" s="39"/>
      <c r="B166" s="45"/>
      <c r="C166" s="46"/>
      <c r="D166" s="39"/>
      <c r="E166" s="39"/>
      <c r="F166" s="44"/>
      <c r="G166" s="39"/>
      <c r="H166" s="39"/>
      <c r="I166" s="39"/>
      <c r="J166" s="39"/>
      <c r="K166" s="44"/>
      <c r="L166" s="44"/>
      <c r="M166" s="44"/>
      <c r="N166" s="44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5.75" customHeight="1">
      <c r="A167" s="39"/>
      <c r="B167" s="45"/>
      <c r="C167" s="46"/>
      <c r="D167" s="39"/>
      <c r="E167" s="39"/>
      <c r="F167" s="44"/>
      <c r="G167" s="39"/>
      <c r="H167" s="39"/>
      <c r="I167" s="39"/>
      <c r="J167" s="39"/>
      <c r="K167" s="44"/>
      <c r="L167" s="44"/>
      <c r="M167" s="44"/>
      <c r="N167" s="44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5.75" customHeight="1">
      <c r="A168" s="39"/>
      <c r="B168" s="45"/>
      <c r="C168" s="46"/>
      <c r="D168" s="39"/>
      <c r="E168" s="39"/>
      <c r="F168" s="44"/>
      <c r="G168" s="39"/>
      <c r="H168" s="39"/>
      <c r="I168" s="39"/>
      <c r="J168" s="39"/>
      <c r="K168" s="44"/>
      <c r="L168" s="44"/>
      <c r="M168" s="44"/>
      <c r="N168" s="44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5.75" customHeight="1">
      <c r="A169" s="39"/>
      <c r="B169" s="45"/>
      <c r="C169" s="46"/>
      <c r="D169" s="39"/>
      <c r="E169" s="39"/>
      <c r="F169" s="44"/>
      <c r="G169" s="39"/>
      <c r="H169" s="39"/>
      <c r="I169" s="39"/>
      <c r="J169" s="39"/>
      <c r="K169" s="44"/>
      <c r="L169" s="44"/>
      <c r="M169" s="44"/>
      <c r="N169" s="44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5.75" customHeight="1">
      <c r="A170" s="39"/>
      <c r="B170" s="45"/>
      <c r="C170" s="46"/>
      <c r="D170" s="39"/>
      <c r="E170" s="39"/>
      <c r="F170" s="44"/>
      <c r="G170" s="39"/>
      <c r="H170" s="39"/>
      <c r="I170" s="39"/>
      <c r="J170" s="39"/>
      <c r="K170" s="44"/>
      <c r="L170" s="44"/>
      <c r="M170" s="44"/>
      <c r="N170" s="44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5.75" customHeight="1">
      <c r="A171" s="39"/>
      <c r="B171" s="45"/>
      <c r="C171" s="46"/>
      <c r="D171" s="39"/>
      <c r="E171" s="39"/>
      <c r="F171" s="44"/>
      <c r="G171" s="39"/>
      <c r="H171" s="39"/>
      <c r="I171" s="39"/>
      <c r="J171" s="39"/>
      <c r="K171" s="44"/>
      <c r="L171" s="44"/>
      <c r="M171" s="44"/>
      <c r="N171" s="44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5.75" customHeight="1">
      <c r="A172" s="39"/>
      <c r="B172" s="45"/>
      <c r="C172" s="46"/>
      <c r="D172" s="39"/>
      <c r="E172" s="39"/>
      <c r="F172" s="44"/>
      <c r="G172" s="39"/>
      <c r="H172" s="39"/>
      <c r="I172" s="39"/>
      <c r="J172" s="39"/>
      <c r="K172" s="44"/>
      <c r="L172" s="44"/>
      <c r="M172" s="44"/>
      <c r="N172" s="44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5.75" customHeight="1">
      <c r="A173" s="39"/>
      <c r="B173" s="45"/>
      <c r="C173" s="46"/>
      <c r="D173" s="39"/>
      <c r="E173" s="39"/>
      <c r="F173" s="44"/>
      <c r="G173" s="39"/>
      <c r="H173" s="39"/>
      <c r="I173" s="39"/>
      <c r="J173" s="39"/>
      <c r="K173" s="44"/>
      <c r="L173" s="44"/>
      <c r="M173" s="44"/>
      <c r="N173" s="44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5.75" customHeight="1">
      <c r="A174" s="39"/>
      <c r="B174" s="45"/>
      <c r="C174" s="46"/>
      <c r="D174" s="39"/>
      <c r="E174" s="39"/>
      <c r="F174" s="44"/>
      <c r="G174" s="39"/>
      <c r="H174" s="39"/>
      <c r="I174" s="39"/>
      <c r="J174" s="39"/>
      <c r="K174" s="44"/>
      <c r="L174" s="44"/>
      <c r="M174" s="44"/>
      <c r="N174" s="44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5.75" customHeight="1">
      <c r="A175" s="39"/>
      <c r="B175" s="45"/>
      <c r="C175" s="46"/>
      <c r="D175" s="39"/>
      <c r="E175" s="39"/>
      <c r="F175" s="44"/>
      <c r="G175" s="39"/>
      <c r="H175" s="39"/>
      <c r="I175" s="39"/>
      <c r="J175" s="39"/>
      <c r="K175" s="44"/>
      <c r="L175" s="44"/>
      <c r="M175" s="44"/>
      <c r="N175" s="44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5.75" customHeight="1">
      <c r="A176" s="39"/>
      <c r="B176" s="45"/>
      <c r="C176" s="46"/>
      <c r="D176" s="39"/>
      <c r="E176" s="39"/>
      <c r="F176" s="44"/>
      <c r="G176" s="39"/>
      <c r="H176" s="39"/>
      <c r="I176" s="39"/>
      <c r="J176" s="39"/>
      <c r="K176" s="44"/>
      <c r="L176" s="44"/>
      <c r="M176" s="44"/>
      <c r="N176" s="44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5.75" customHeight="1">
      <c r="A177" s="39"/>
      <c r="B177" s="45"/>
      <c r="C177" s="46"/>
      <c r="D177" s="39"/>
      <c r="E177" s="39"/>
      <c r="F177" s="44"/>
      <c r="G177" s="39"/>
      <c r="H177" s="39"/>
      <c r="I177" s="39"/>
      <c r="J177" s="39"/>
      <c r="K177" s="44"/>
      <c r="L177" s="44"/>
      <c r="M177" s="44"/>
      <c r="N177" s="44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5.75" customHeight="1">
      <c r="A178" s="39"/>
      <c r="B178" s="45"/>
      <c r="C178" s="46"/>
      <c r="D178" s="39"/>
      <c r="E178" s="39"/>
      <c r="F178" s="44"/>
      <c r="G178" s="39"/>
      <c r="H178" s="39"/>
      <c r="I178" s="39"/>
      <c r="J178" s="39"/>
      <c r="K178" s="44"/>
      <c r="L178" s="44"/>
      <c r="M178" s="44"/>
      <c r="N178" s="44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5.75" customHeight="1">
      <c r="A179" s="39"/>
      <c r="B179" s="45"/>
      <c r="C179" s="46"/>
      <c r="D179" s="39"/>
      <c r="E179" s="39"/>
      <c r="F179" s="44"/>
      <c r="G179" s="39"/>
      <c r="H179" s="39"/>
      <c r="I179" s="39"/>
      <c r="J179" s="39"/>
      <c r="K179" s="44"/>
      <c r="L179" s="44"/>
      <c r="M179" s="44"/>
      <c r="N179" s="44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5.75" customHeight="1">
      <c r="A180" s="39"/>
      <c r="B180" s="45"/>
      <c r="C180" s="46"/>
      <c r="D180" s="39"/>
      <c r="E180" s="39"/>
      <c r="F180" s="44"/>
      <c r="G180" s="39"/>
      <c r="H180" s="39"/>
      <c r="I180" s="39"/>
      <c r="J180" s="39"/>
      <c r="K180" s="44"/>
      <c r="L180" s="44"/>
      <c r="M180" s="44"/>
      <c r="N180" s="44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5.75" customHeight="1">
      <c r="A181" s="39"/>
      <c r="B181" s="45"/>
      <c r="C181" s="46"/>
      <c r="D181" s="39"/>
      <c r="E181" s="39"/>
      <c r="F181" s="44"/>
      <c r="G181" s="39"/>
      <c r="H181" s="39"/>
      <c r="I181" s="39"/>
      <c r="J181" s="39"/>
      <c r="K181" s="44"/>
      <c r="L181" s="44"/>
      <c r="M181" s="44"/>
      <c r="N181" s="44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5.75" customHeight="1">
      <c r="A182" s="39"/>
      <c r="B182" s="45"/>
      <c r="C182" s="46"/>
      <c r="D182" s="39"/>
      <c r="E182" s="39"/>
      <c r="F182" s="44"/>
      <c r="G182" s="39"/>
      <c r="H182" s="39"/>
      <c r="I182" s="39"/>
      <c r="J182" s="39"/>
      <c r="K182" s="44"/>
      <c r="L182" s="44"/>
      <c r="M182" s="44"/>
      <c r="N182" s="44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5.75" customHeight="1">
      <c r="A183" s="39"/>
      <c r="B183" s="45"/>
      <c r="C183" s="46"/>
      <c r="D183" s="39"/>
      <c r="E183" s="39"/>
      <c r="F183" s="44"/>
      <c r="G183" s="39"/>
      <c r="H183" s="39"/>
      <c r="I183" s="39"/>
      <c r="J183" s="39"/>
      <c r="K183" s="44"/>
      <c r="L183" s="44"/>
      <c r="M183" s="44"/>
      <c r="N183" s="44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5.75" customHeight="1">
      <c r="A184" s="39"/>
      <c r="B184" s="45"/>
      <c r="C184" s="46"/>
      <c r="D184" s="39"/>
      <c r="E184" s="39"/>
      <c r="F184" s="44"/>
      <c r="G184" s="39"/>
      <c r="H184" s="39"/>
      <c r="I184" s="39"/>
      <c r="J184" s="39"/>
      <c r="K184" s="44"/>
      <c r="L184" s="44"/>
      <c r="M184" s="44"/>
      <c r="N184" s="44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5.75" customHeight="1">
      <c r="A185" s="39"/>
      <c r="B185" s="45"/>
      <c r="C185" s="46"/>
      <c r="D185" s="39"/>
      <c r="E185" s="39"/>
      <c r="F185" s="44"/>
      <c r="G185" s="39"/>
      <c r="H185" s="39"/>
      <c r="I185" s="39"/>
      <c r="J185" s="39"/>
      <c r="K185" s="44"/>
      <c r="L185" s="44"/>
      <c r="M185" s="44"/>
      <c r="N185" s="44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5.75" customHeight="1">
      <c r="A186" s="39"/>
      <c r="B186" s="45"/>
      <c r="C186" s="46"/>
      <c r="D186" s="39"/>
      <c r="E186" s="39"/>
      <c r="F186" s="44"/>
      <c r="G186" s="39"/>
      <c r="H186" s="39"/>
      <c r="I186" s="39"/>
      <c r="J186" s="39"/>
      <c r="K186" s="44"/>
      <c r="L186" s="44"/>
      <c r="M186" s="44"/>
      <c r="N186" s="44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5.75" customHeight="1">
      <c r="A187" s="39"/>
      <c r="B187" s="45"/>
      <c r="C187" s="46"/>
      <c r="D187" s="39"/>
      <c r="E187" s="39"/>
      <c r="F187" s="44"/>
      <c r="G187" s="39"/>
      <c r="H187" s="39"/>
      <c r="I187" s="39"/>
      <c r="J187" s="39"/>
      <c r="K187" s="44"/>
      <c r="L187" s="44"/>
      <c r="M187" s="44"/>
      <c r="N187" s="44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5.75" customHeight="1">
      <c r="A188" s="39"/>
      <c r="B188" s="45"/>
      <c r="C188" s="46"/>
      <c r="D188" s="39"/>
      <c r="E188" s="39"/>
      <c r="F188" s="44"/>
      <c r="G188" s="39"/>
      <c r="H188" s="39"/>
      <c r="I188" s="39"/>
      <c r="J188" s="39"/>
      <c r="K188" s="44"/>
      <c r="L188" s="44"/>
      <c r="M188" s="44"/>
      <c r="N188" s="44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5.75" customHeight="1">
      <c r="A189" s="39"/>
      <c r="B189" s="45"/>
      <c r="C189" s="46"/>
      <c r="D189" s="39"/>
      <c r="E189" s="39"/>
      <c r="F189" s="44"/>
      <c r="G189" s="39"/>
      <c r="H189" s="39"/>
      <c r="I189" s="39"/>
      <c r="J189" s="39"/>
      <c r="K189" s="44"/>
      <c r="L189" s="44"/>
      <c r="M189" s="44"/>
      <c r="N189" s="44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5.75" customHeight="1">
      <c r="A190" s="39"/>
      <c r="B190" s="45"/>
      <c r="C190" s="46"/>
      <c r="D190" s="39"/>
      <c r="E190" s="39"/>
      <c r="F190" s="44"/>
      <c r="G190" s="39"/>
      <c r="H190" s="39"/>
      <c r="I190" s="39"/>
      <c r="J190" s="39"/>
      <c r="K190" s="44"/>
      <c r="L190" s="44"/>
      <c r="M190" s="44"/>
      <c r="N190" s="44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5.75" customHeight="1">
      <c r="A191" s="39"/>
      <c r="B191" s="45"/>
      <c r="C191" s="46"/>
      <c r="D191" s="39"/>
      <c r="E191" s="39"/>
      <c r="F191" s="44"/>
      <c r="G191" s="39"/>
      <c r="H191" s="39"/>
      <c r="I191" s="39"/>
      <c r="J191" s="39"/>
      <c r="K191" s="44"/>
      <c r="L191" s="44"/>
      <c r="M191" s="44"/>
      <c r="N191" s="44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5.75" customHeight="1">
      <c r="A192" s="39"/>
      <c r="B192" s="45"/>
      <c r="C192" s="46"/>
      <c r="D192" s="39"/>
      <c r="E192" s="39"/>
      <c r="F192" s="44"/>
      <c r="G192" s="39"/>
      <c r="H192" s="39"/>
      <c r="I192" s="39"/>
      <c r="J192" s="39"/>
      <c r="K192" s="44"/>
      <c r="L192" s="44"/>
      <c r="M192" s="44"/>
      <c r="N192" s="44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5.75" customHeight="1">
      <c r="A193" s="39"/>
      <c r="B193" s="45"/>
      <c r="C193" s="46"/>
      <c r="D193" s="39"/>
      <c r="E193" s="39"/>
      <c r="F193" s="44"/>
      <c r="G193" s="39"/>
      <c r="H193" s="39"/>
      <c r="I193" s="39"/>
      <c r="J193" s="39"/>
      <c r="K193" s="44"/>
      <c r="L193" s="44"/>
      <c r="M193" s="44"/>
      <c r="N193" s="44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5.75" customHeight="1">
      <c r="A194" s="39"/>
      <c r="B194" s="45"/>
      <c r="C194" s="46"/>
      <c r="D194" s="39"/>
      <c r="E194" s="39"/>
      <c r="F194" s="44"/>
      <c r="G194" s="39"/>
      <c r="H194" s="39"/>
      <c r="I194" s="39"/>
      <c r="J194" s="39"/>
      <c r="K194" s="44"/>
      <c r="L194" s="44"/>
      <c r="M194" s="44"/>
      <c r="N194" s="44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5.75" customHeight="1">
      <c r="A195" s="39"/>
      <c r="B195" s="45"/>
      <c r="C195" s="46"/>
      <c r="D195" s="39"/>
      <c r="E195" s="39"/>
      <c r="F195" s="44"/>
      <c r="G195" s="39"/>
      <c r="H195" s="39"/>
      <c r="I195" s="39"/>
      <c r="J195" s="39"/>
      <c r="K195" s="44"/>
      <c r="L195" s="44"/>
      <c r="M195" s="44"/>
      <c r="N195" s="44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5.75" customHeight="1">
      <c r="A196" s="39"/>
      <c r="B196" s="45"/>
      <c r="C196" s="46"/>
      <c r="D196" s="39"/>
      <c r="E196" s="39"/>
      <c r="F196" s="44"/>
      <c r="G196" s="39"/>
      <c r="H196" s="39"/>
      <c r="I196" s="39"/>
      <c r="J196" s="39"/>
      <c r="K196" s="44"/>
      <c r="L196" s="44"/>
      <c r="M196" s="44"/>
      <c r="N196" s="44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5.75" customHeight="1">
      <c r="A197" s="39"/>
      <c r="B197" s="45"/>
      <c r="C197" s="46"/>
      <c r="D197" s="39"/>
      <c r="E197" s="39"/>
      <c r="F197" s="44"/>
      <c r="G197" s="39"/>
      <c r="H197" s="39"/>
      <c r="I197" s="39"/>
      <c r="J197" s="39"/>
      <c r="K197" s="44"/>
      <c r="L197" s="44"/>
      <c r="M197" s="44"/>
      <c r="N197" s="44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5.75" customHeight="1">
      <c r="A198" s="39"/>
      <c r="B198" s="45"/>
      <c r="C198" s="46"/>
      <c r="D198" s="39"/>
      <c r="E198" s="39"/>
      <c r="F198" s="44"/>
      <c r="G198" s="39"/>
      <c r="H198" s="39"/>
      <c r="I198" s="39"/>
      <c r="J198" s="39"/>
      <c r="K198" s="44"/>
      <c r="L198" s="44"/>
      <c r="M198" s="44"/>
      <c r="N198" s="44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5.75" customHeight="1">
      <c r="A199" s="39"/>
      <c r="B199" s="45"/>
      <c r="C199" s="46"/>
      <c r="D199" s="39"/>
      <c r="E199" s="39"/>
      <c r="F199" s="44"/>
      <c r="G199" s="39"/>
      <c r="H199" s="39"/>
      <c r="I199" s="39"/>
      <c r="J199" s="39"/>
      <c r="K199" s="44"/>
      <c r="L199" s="44"/>
      <c r="M199" s="44"/>
      <c r="N199" s="44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5.75" customHeight="1">
      <c r="A200" s="39"/>
      <c r="B200" s="45"/>
      <c r="C200" s="46"/>
      <c r="D200" s="39"/>
      <c r="E200" s="39"/>
      <c r="F200" s="44"/>
      <c r="G200" s="39"/>
      <c r="H200" s="39"/>
      <c r="I200" s="39"/>
      <c r="J200" s="39"/>
      <c r="K200" s="44"/>
      <c r="L200" s="44"/>
      <c r="M200" s="44"/>
      <c r="N200" s="44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5.75" customHeight="1">
      <c r="A201" s="39"/>
      <c r="B201" s="45"/>
      <c r="C201" s="46"/>
      <c r="D201" s="39"/>
      <c r="E201" s="39"/>
      <c r="F201" s="44"/>
      <c r="G201" s="39"/>
      <c r="H201" s="39"/>
      <c r="I201" s="39"/>
      <c r="J201" s="39"/>
      <c r="K201" s="44"/>
      <c r="L201" s="44"/>
      <c r="M201" s="44"/>
      <c r="N201" s="44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5.75" customHeight="1">
      <c r="A202" s="39"/>
      <c r="B202" s="45"/>
      <c r="C202" s="46"/>
      <c r="D202" s="39"/>
      <c r="E202" s="39"/>
      <c r="F202" s="44"/>
      <c r="G202" s="39"/>
      <c r="H202" s="39"/>
      <c r="I202" s="39"/>
      <c r="J202" s="39"/>
      <c r="K202" s="44"/>
      <c r="L202" s="44"/>
      <c r="M202" s="44"/>
      <c r="N202" s="44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5.75" customHeight="1">
      <c r="A203" s="39"/>
      <c r="B203" s="45"/>
      <c r="C203" s="46"/>
      <c r="D203" s="39"/>
      <c r="E203" s="39"/>
      <c r="F203" s="44"/>
      <c r="G203" s="39"/>
      <c r="H203" s="39"/>
      <c r="I203" s="39"/>
      <c r="J203" s="39"/>
      <c r="K203" s="44"/>
      <c r="L203" s="44"/>
      <c r="M203" s="44"/>
      <c r="N203" s="44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5.75" customHeight="1">
      <c r="A204" s="39"/>
      <c r="B204" s="45"/>
      <c r="C204" s="46"/>
      <c r="D204" s="39"/>
      <c r="E204" s="39"/>
      <c r="F204" s="44"/>
      <c r="G204" s="39"/>
      <c r="H204" s="39"/>
      <c r="I204" s="39"/>
      <c r="J204" s="39"/>
      <c r="K204" s="44"/>
      <c r="L204" s="44"/>
      <c r="M204" s="44"/>
      <c r="N204" s="44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5.75" customHeight="1">
      <c r="A205" s="39"/>
      <c r="B205" s="45"/>
      <c r="C205" s="46"/>
      <c r="D205" s="39"/>
      <c r="E205" s="39"/>
      <c r="F205" s="44"/>
      <c r="G205" s="39"/>
      <c r="H205" s="39"/>
      <c r="I205" s="39"/>
      <c r="J205" s="39"/>
      <c r="K205" s="44"/>
      <c r="L205" s="44"/>
      <c r="M205" s="44"/>
      <c r="N205" s="44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5.75" customHeight="1">
      <c r="A206" s="39"/>
      <c r="B206" s="45"/>
      <c r="C206" s="46"/>
      <c r="D206" s="39"/>
      <c r="E206" s="39"/>
      <c r="F206" s="44"/>
      <c r="G206" s="39"/>
      <c r="H206" s="39"/>
      <c r="I206" s="39"/>
      <c r="J206" s="39"/>
      <c r="K206" s="44"/>
      <c r="L206" s="44"/>
      <c r="M206" s="44"/>
      <c r="N206" s="44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5.75" customHeight="1">
      <c r="A207" s="39"/>
      <c r="B207" s="45"/>
      <c r="C207" s="46"/>
      <c r="D207" s="39"/>
      <c r="E207" s="39"/>
      <c r="F207" s="44"/>
      <c r="G207" s="39"/>
      <c r="H207" s="39"/>
      <c r="I207" s="39"/>
      <c r="J207" s="39"/>
      <c r="K207" s="44"/>
      <c r="L207" s="44"/>
      <c r="M207" s="44"/>
      <c r="N207" s="44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5.75" customHeight="1">
      <c r="A208" s="39"/>
      <c r="B208" s="45"/>
      <c r="C208" s="46"/>
      <c r="D208" s="39"/>
      <c r="E208" s="39"/>
      <c r="F208" s="44"/>
      <c r="G208" s="39"/>
      <c r="H208" s="39"/>
      <c r="I208" s="39"/>
      <c r="J208" s="39"/>
      <c r="K208" s="44"/>
      <c r="L208" s="44"/>
      <c r="M208" s="44"/>
      <c r="N208" s="44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5.75" customHeight="1">
      <c r="A209" s="39"/>
      <c r="B209" s="45"/>
      <c r="C209" s="46"/>
      <c r="D209" s="39"/>
      <c r="E209" s="39"/>
      <c r="F209" s="44"/>
      <c r="G209" s="39"/>
      <c r="H209" s="39"/>
      <c r="I209" s="39"/>
      <c r="J209" s="39"/>
      <c r="K209" s="44"/>
      <c r="L209" s="44"/>
      <c r="M209" s="44"/>
      <c r="N209" s="44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5.75" customHeight="1">
      <c r="A210" s="39"/>
      <c r="B210" s="45"/>
      <c r="C210" s="46"/>
      <c r="D210" s="39"/>
      <c r="E210" s="39"/>
      <c r="F210" s="44"/>
      <c r="G210" s="39"/>
      <c r="H210" s="39"/>
      <c r="I210" s="39"/>
      <c r="J210" s="39"/>
      <c r="K210" s="44"/>
      <c r="L210" s="44"/>
      <c r="M210" s="44"/>
      <c r="N210" s="44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5.75" customHeight="1">
      <c r="A211" s="39"/>
      <c r="B211" s="45"/>
      <c r="C211" s="46"/>
      <c r="D211" s="39"/>
      <c r="E211" s="39"/>
      <c r="F211" s="44"/>
      <c r="G211" s="39"/>
      <c r="H211" s="39"/>
      <c r="I211" s="39"/>
      <c r="J211" s="39"/>
      <c r="K211" s="44"/>
      <c r="L211" s="44"/>
      <c r="M211" s="44"/>
      <c r="N211" s="44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5.75" customHeight="1">
      <c r="A212" s="39"/>
      <c r="B212" s="45"/>
      <c r="C212" s="46"/>
      <c r="D212" s="39"/>
      <c r="E212" s="39"/>
      <c r="F212" s="44"/>
      <c r="G212" s="39"/>
      <c r="H212" s="39"/>
      <c r="I212" s="39"/>
      <c r="J212" s="39"/>
      <c r="K212" s="44"/>
      <c r="L212" s="44"/>
      <c r="M212" s="44"/>
      <c r="N212" s="44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5.75" customHeight="1">
      <c r="A213" s="39"/>
      <c r="B213" s="45"/>
      <c r="C213" s="46"/>
      <c r="D213" s="39"/>
      <c r="E213" s="39"/>
      <c r="F213" s="44"/>
      <c r="G213" s="39"/>
      <c r="H213" s="39"/>
      <c r="I213" s="39"/>
      <c r="J213" s="39"/>
      <c r="K213" s="44"/>
      <c r="L213" s="44"/>
      <c r="M213" s="44"/>
      <c r="N213" s="44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5.75" customHeight="1">
      <c r="A214" s="39"/>
      <c r="B214" s="45"/>
      <c r="C214" s="46"/>
      <c r="D214" s="39"/>
      <c r="E214" s="39"/>
      <c r="F214" s="44"/>
      <c r="G214" s="39"/>
      <c r="H214" s="39"/>
      <c r="I214" s="39"/>
      <c r="J214" s="39"/>
      <c r="K214" s="44"/>
      <c r="L214" s="44"/>
      <c r="M214" s="44"/>
      <c r="N214" s="44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5.75" customHeight="1">
      <c r="A215" s="39"/>
      <c r="B215" s="45"/>
      <c r="C215" s="46"/>
      <c r="D215" s="39"/>
      <c r="E215" s="39"/>
      <c r="F215" s="44"/>
      <c r="G215" s="39"/>
      <c r="H215" s="39"/>
      <c r="I215" s="39"/>
      <c r="J215" s="39"/>
      <c r="K215" s="44"/>
      <c r="L215" s="44"/>
      <c r="M215" s="44"/>
      <c r="N215" s="44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5.75" customHeight="1">
      <c r="A216" s="39"/>
      <c r="B216" s="45"/>
      <c r="C216" s="46"/>
      <c r="D216" s="39"/>
      <c r="E216" s="39"/>
      <c r="F216" s="44"/>
      <c r="G216" s="39"/>
      <c r="H216" s="39"/>
      <c r="I216" s="39"/>
      <c r="J216" s="39"/>
      <c r="K216" s="44"/>
      <c r="L216" s="44"/>
      <c r="M216" s="44"/>
      <c r="N216" s="44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5.75" customHeight="1">
      <c r="A217" s="39"/>
      <c r="B217" s="45"/>
      <c r="C217" s="46"/>
      <c r="D217" s="39"/>
      <c r="E217" s="39"/>
      <c r="F217" s="44"/>
      <c r="G217" s="39"/>
      <c r="H217" s="39"/>
      <c r="I217" s="39"/>
      <c r="J217" s="39"/>
      <c r="K217" s="44"/>
      <c r="L217" s="44"/>
      <c r="M217" s="44"/>
      <c r="N217" s="44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5.75" customHeight="1">
      <c r="A218" s="39"/>
      <c r="B218" s="45"/>
      <c r="C218" s="46"/>
      <c r="D218" s="39"/>
      <c r="E218" s="39"/>
      <c r="F218" s="44"/>
      <c r="G218" s="39"/>
      <c r="H218" s="39"/>
      <c r="I218" s="39"/>
      <c r="J218" s="39"/>
      <c r="K218" s="44"/>
      <c r="L218" s="44"/>
      <c r="M218" s="44"/>
      <c r="N218" s="44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5.75" customHeight="1">
      <c r="A219" s="39"/>
      <c r="B219" s="45"/>
      <c r="C219" s="46"/>
      <c r="D219" s="39"/>
      <c r="E219" s="39"/>
      <c r="F219" s="44"/>
      <c r="G219" s="39"/>
      <c r="H219" s="39"/>
      <c r="I219" s="39"/>
      <c r="J219" s="39"/>
      <c r="K219" s="44"/>
      <c r="L219" s="44"/>
      <c r="M219" s="44"/>
      <c r="N219" s="44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5.75" customHeight="1">
      <c r="A220" s="39"/>
      <c r="B220" s="45"/>
      <c r="C220" s="46"/>
      <c r="D220" s="39"/>
      <c r="E220" s="39"/>
      <c r="F220" s="44"/>
      <c r="G220" s="39"/>
      <c r="H220" s="39"/>
      <c r="I220" s="39"/>
      <c r="J220" s="39"/>
      <c r="K220" s="44"/>
      <c r="L220" s="44"/>
      <c r="M220" s="44"/>
      <c r="N220" s="44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5.75" customHeight="1">
      <c r="A221" s="39"/>
      <c r="B221" s="45"/>
      <c r="C221" s="46"/>
      <c r="D221" s="39"/>
      <c r="E221" s="39"/>
      <c r="F221" s="44"/>
      <c r="G221" s="39"/>
      <c r="H221" s="39"/>
      <c r="I221" s="39"/>
      <c r="J221" s="39"/>
      <c r="K221" s="44"/>
      <c r="L221" s="44"/>
      <c r="M221" s="44"/>
      <c r="N221" s="44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5.75" customHeight="1">
      <c r="A222" s="39"/>
      <c r="B222" s="45"/>
      <c r="C222" s="46"/>
      <c r="D222" s="39"/>
      <c r="E222" s="39"/>
      <c r="F222" s="44"/>
      <c r="G222" s="39"/>
      <c r="H222" s="39"/>
      <c r="I222" s="39"/>
      <c r="J222" s="39"/>
      <c r="K222" s="44"/>
      <c r="L222" s="44"/>
      <c r="M222" s="44"/>
      <c r="N222" s="44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5.75" customHeight="1">
      <c r="A223" s="39"/>
      <c r="B223" s="45"/>
      <c r="C223" s="46"/>
      <c r="D223" s="39"/>
      <c r="E223" s="39"/>
      <c r="F223" s="44"/>
      <c r="G223" s="39"/>
      <c r="H223" s="39"/>
      <c r="I223" s="39"/>
      <c r="J223" s="39"/>
      <c r="K223" s="44"/>
      <c r="L223" s="44"/>
      <c r="M223" s="44"/>
      <c r="N223" s="44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5.75" customHeight="1">
      <c r="A224" s="39"/>
      <c r="B224" s="45"/>
      <c r="C224" s="46"/>
      <c r="D224" s="39"/>
      <c r="E224" s="39"/>
      <c r="F224" s="44"/>
      <c r="G224" s="39"/>
      <c r="H224" s="39"/>
      <c r="I224" s="39"/>
      <c r="J224" s="39"/>
      <c r="K224" s="44"/>
      <c r="L224" s="44"/>
      <c r="M224" s="44"/>
      <c r="N224" s="44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5.75" customHeight="1">
      <c r="A225" s="39"/>
      <c r="B225" s="45"/>
      <c r="C225" s="46"/>
      <c r="D225" s="39"/>
      <c r="E225" s="39"/>
      <c r="F225" s="44"/>
      <c r="G225" s="39"/>
      <c r="H225" s="39"/>
      <c r="I225" s="39"/>
      <c r="J225" s="39"/>
      <c r="K225" s="44"/>
      <c r="L225" s="44"/>
      <c r="M225" s="44"/>
      <c r="N225" s="44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5.75" customHeight="1">
      <c r="A226" s="39"/>
      <c r="B226" s="45"/>
      <c r="C226" s="46"/>
      <c r="D226" s="39"/>
      <c r="E226" s="39"/>
      <c r="F226" s="44"/>
      <c r="G226" s="39"/>
      <c r="H226" s="39"/>
      <c r="I226" s="39"/>
      <c r="J226" s="39"/>
      <c r="K226" s="44"/>
      <c r="L226" s="44"/>
      <c r="M226" s="44"/>
      <c r="N226" s="44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5.75" customHeight="1">
      <c r="A227" s="39"/>
      <c r="B227" s="45"/>
      <c r="C227" s="46"/>
      <c r="D227" s="39"/>
      <c r="E227" s="39"/>
      <c r="F227" s="44"/>
      <c r="G227" s="39"/>
      <c r="H227" s="39"/>
      <c r="I227" s="39"/>
      <c r="J227" s="39"/>
      <c r="K227" s="44"/>
      <c r="L227" s="44"/>
      <c r="M227" s="44"/>
      <c r="N227" s="44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5.75" customHeight="1">
      <c r="A228" s="39"/>
      <c r="B228" s="45"/>
      <c r="C228" s="46"/>
      <c r="D228" s="39"/>
      <c r="E228" s="39"/>
      <c r="F228" s="44"/>
      <c r="G228" s="39"/>
      <c r="H228" s="39"/>
      <c r="I228" s="39"/>
      <c r="J228" s="39"/>
      <c r="K228" s="44"/>
      <c r="L228" s="44"/>
      <c r="M228" s="44"/>
      <c r="N228" s="44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5.75" customHeight="1">
      <c r="A229" s="39"/>
      <c r="B229" s="45"/>
      <c r="C229" s="46"/>
      <c r="D229" s="39"/>
      <c r="E229" s="39"/>
      <c r="F229" s="44"/>
      <c r="G229" s="39"/>
      <c r="H229" s="39"/>
      <c r="I229" s="39"/>
      <c r="J229" s="39"/>
      <c r="K229" s="44"/>
      <c r="L229" s="44"/>
      <c r="M229" s="44"/>
      <c r="N229" s="44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5.75" customHeight="1">
      <c r="A230" s="39"/>
      <c r="B230" s="45"/>
      <c r="C230" s="46"/>
      <c r="D230" s="39"/>
      <c r="E230" s="39"/>
      <c r="F230" s="44"/>
      <c r="G230" s="39"/>
      <c r="H230" s="39"/>
      <c r="I230" s="39"/>
      <c r="J230" s="39"/>
      <c r="K230" s="44"/>
      <c r="L230" s="44"/>
      <c r="M230" s="44"/>
      <c r="N230" s="44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5.75" customHeight="1">
      <c r="A231" s="39"/>
      <c r="B231" s="45"/>
      <c r="C231" s="46"/>
      <c r="D231" s="39"/>
      <c r="E231" s="39"/>
      <c r="F231" s="44"/>
      <c r="G231" s="39"/>
      <c r="H231" s="39"/>
      <c r="I231" s="39"/>
      <c r="J231" s="39"/>
      <c r="K231" s="44"/>
      <c r="L231" s="44"/>
      <c r="M231" s="44"/>
      <c r="N231" s="44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5.75" customHeight="1">
      <c r="A232" s="39"/>
      <c r="B232" s="45"/>
      <c r="C232" s="46"/>
      <c r="D232" s="39"/>
      <c r="E232" s="39"/>
      <c r="F232" s="44"/>
      <c r="G232" s="39"/>
      <c r="H232" s="39"/>
      <c r="I232" s="39"/>
      <c r="J232" s="39"/>
      <c r="K232" s="44"/>
      <c r="L232" s="44"/>
      <c r="M232" s="44"/>
      <c r="N232" s="44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5.75" customHeight="1">
      <c r="A233" s="39"/>
      <c r="B233" s="45"/>
      <c r="C233" s="46"/>
      <c r="D233" s="39"/>
      <c r="E233" s="39"/>
      <c r="F233" s="44"/>
      <c r="G233" s="39"/>
      <c r="H233" s="39"/>
      <c r="I233" s="39"/>
      <c r="J233" s="39"/>
      <c r="K233" s="44"/>
      <c r="L233" s="44"/>
      <c r="M233" s="44"/>
      <c r="N233" s="44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5.75" customHeight="1">
      <c r="A234" s="39"/>
      <c r="B234" s="45"/>
      <c r="C234" s="46"/>
      <c r="D234" s="39"/>
      <c r="E234" s="39"/>
      <c r="F234" s="44"/>
      <c r="G234" s="39"/>
      <c r="H234" s="39"/>
      <c r="I234" s="39"/>
      <c r="J234" s="39"/>
      <c r="K234" s="44"/>
      <c r="L234" s="44"/>
      <c r="M234" s="44"/>
      <c r="N234" s="44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5.75" customHeight="1">
      <c r="A235" s="39"/>
      <c r="B235" s="45"/>
      <c r="C235" s="46"/>
      <c r="D235" s="39"/>
      <c r="E235" s="39"/>
      <c r="F235" s="44"/>
      <c r="G235" s="39"/>
      <c r="H235" s="39"/>
      <c r="I235" s="39"/>
      <c r="J235" s="39"/>
      <c r="K235" s="44"/>
      <c r="L235" s="44"/>
      <c r="M235" s="44"/>
      <c r="N235" s="44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5.75" customHeight="1">
      <c r="A236" s="39"/>
      <c r="B236" s="45"/>
      <c r="C236" s="46"/>
      <c r="D236" s="39"/>
      <c r="E236" s="39"/>
      <c r="F236" s="44"/>
      <c r="G236" s="39"/>
      <c r="H236" s="39"/>
      <c r="I236" s="39"/>
      <c r="J236" s="39"/>
      <c r="K236" s="44"/>
      <c r="L236" s="44"/>
      <c r="M236" s="44"/>
      <c r="N236" s="44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5.75" customHeight="1">
      <c r="A237" s="39"/>
      <c r="B237" s="45"/>
      <c r="C237" s="46"/>
      <c r="D237" s="39"/>
      <c r="E237" s="39"/>
      <c r="F237" s="44"/>
      <c r="G237" s="39"/>
      <c r="H237" s="39"/>
      <c r="I237" s="39"/>
      <c r="J237" s="39"/>
      <c r="K237" s="44"/>
      <c r="L237" s="44"/>
      <c r="M237" s="44"/>
      <c r="N237" s="44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5.75" customHeight="1">
      <c r="A238" s="39"/>
      <c r="B238" s="45"/>
      <c r="C238" s="46"/>
      <c r="D238" s="39"/>
      <c r="E238" s="39"/>
      <c r="F238" s="44"/>
      <c r="G238" s="39"/>
      <c r="H238" s="39"/>
      <c r="I238" s="39"/>
      <c r="J238" s="39"/>
      <c r="K238" s="44"/>
      <c r="L238" s="44"/>
      <c r="M238" s="44"/>
      <c r="N238" s="44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5.75" customHeight="1">
      <c r="A239" s="39"/>
      <c r="B239" s="45"/>
      <c r="C239" s="46"/>
      <c r="D239" s="39"/>
      <c r="E239" s="39"/>
      <c r="F239" s="44"/>
      <c r="G239" s="39"/>
      <c r="H239" s="39"/>
      <c r="I239" s="39"/>
      <c r="J239" s="39"/>
      <c r="K239" s="44"/>
      <c r="L239" s="44"/>
      <c r="M239" s="44"/>
      <c r="N239" s="44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5.75" customHeight="1">
      <c r="A240" s="39"/>
      <c r="B240" s="45"/>
      <c r="C240" s="46"/>
      <c r="D240" s="39"/>
      <c r="E240" s="39"/>
      <c r="F240" s="44"/>
      <c r="G240" s="39"/>
      <c r="H240" s="39"/>
      <c r="I240" s="39"/>
      <c r="J240" s="39"/>
      <c r="K240" s="44"/>
      <c r="L240" s="44"/>
      <c r="M240" s="44"/>
      <c r="N240" s="44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5.75" customHeight="1">
      <c r="A241" s="39"/>
      <c r="B241" s="45"/>
      <c r="C241" s="46"/>
      <c r="D241" s="39"/>
      <c r="E241" s="39"/>
      <c r="F241" s="44"/>
      <c r="G241" s="39"/>
      <c r="H241" s="39"/>
      <c r="I241" s="39"/>
      <c r="J241" s="39"/>
      <c r="K241" s="44"/>
      <c r="L241" s="44"/>
      <c r="M241" s="44"/>
      <c r="N241" s="44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5.75" customHeight="1">
      <c r="A242" s="39"/>
      <c r="B242" s="45"/>
      <c r="C242" s="46"/>
      <c r="D242" s="39"/>
      <c r="E242" s="39"/>
      <c r="F242" s="44"/>
      <c r="G242" s="39"/>
      <c r="H242" s="39"/>
      <c r="I242" s="39"/>
      <c r="J242" s="39"/>
      <c r="K242" s="44"/>
      <c r="L242" s="44"/>
      <c r="M242" s="44"/>
      <c r="N242" s="44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5.75" customHeight="1">
      <c r="A243" s="39"/>
      <c r="B243" s="45"/>
      <c r="C243" s="46"/>
      <c r="D243" s="39"/>
      <c r="E243" s="39"/>
      <c r="F243" s="44"/>
      <c r="G243" s="39"/>
      <c r="H243" s="39"/>
      <c r="I243" s="39"/>
      <c r="J243" s="39"/>
      <c r="K243" s="44"/>
      <c r="L243" s="44"/>
      <c r="M243" s="44"/>
      <c r="N243" s="44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5.75" customHeight="1">
      <c r="A244" s="39"/>
      <c r="B244" s="45"/>
      <c r="C244" s="46"/>
      <c r="D244" s="39"/>
      <c r="E244" s="39"/>
      <c r="F244" s="44"/>
      <c r="G244" s="39"/>
      <c r="H244" s="39"/>
      <c r="I244" s="39"/>
      <c r="J244" s="39"/>
      <c r="K244" s="44"/>
      <c r="L244" s="44"/>
      <c r="M244" s="44"/>
      <c r="N244" s="44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5.75" customHeight="1">
      <c r="A245" s="39"/>
      <c r="B245" s="45"/>
      <c r="C245" s="46"/>
      <c r="D245" s="39"/>
      <c r="E245" s="39"/>
      <c r="F245" s="44"/>
      <c r="G245" s="39"/>
      <c r="H245" s="39"/>
      <c r="I245" s="39"/>
      <c r="J245" s="39"/>
      <c r="K245" s="44"/>
      <c r="L245" s="44"/>
      <c r="M245" s="44"/>
      <c r="N245" s="44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5.75" customHeight="1">
      <c r="A246" s="39"/>
      <c r="B246" s="45"/>
      <c r="C246" s="46"/>
      <c r="D246" s="39"/>
      <c r="E246" s="39"/>
      <c r="F246" s="44"/>
      <c r="G246" s="39"/>
      <c r="H246" s="39"/>
      <c r="I246" s="39"/>
      <c r="J246" s="39"/>
      <c r="K246" s="44"/>
      <c r="L246" s="44"/>
      <c r="M246" s="44"/>
      <c r="N246" s="44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5.75" customHeight="1">
      <c r="A247" s="39"/>
      <c r="B247" s="45"/>
      <c r="C247" s="46"/>
      <c r="D247" s="39"/>
      <c r="E247" s="39"/>
      <c r="F247" s="44"/>
      <c r="G247" s="39"/>
      <c r="H247" s="39"/>
      <c r="I247" s="39"/>
      <c r="J247" s="39"/>
      <c r="K247" s="44"/>
      <c r="L247" s="44"/>
      <c r="M247" s="44"/>
      <c r="N247" s="44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5.75" customHeight="1">
      <c r="A248" s="39"/>
      <c r="B248" s="45"/>
      <c r="C248" s="46"/>
      <c r="D248" s="39"/>
      <c r="E248" s="39"/>
      <c r="F248" s="44"/>
      <c r="G248" s="39"/>
      <c r="H248" s="39"/>
      <c r="I248" s="39"/>
      <c r="J248" s="39"/>
      <c r="K248" s="44"/>
      <c r="L248" s="44"/>
      <c r="M248" s="44"/>
      <c r="N248" s="44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5.75" customHeight="1">
      <c r="A249" s="39"/>
      <c r="B249" s="45"/>
      <c r="C249" s="46"/>
      <c r="D249" s="39"/>
      <c r="E249" s="39"/>
      <c r="F249" s="44"/>
      <c r="G249" s="39"/>
      <c r="H249" s="39"/>
      <c r="I249" s="39"/>
      <c r="J249" s="39"/>
      <c r="K249" s="44"/>
      <c r="L249" s="44"/>
      <c r="M249" s="44"/>
      <c r="N249" s="44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5.75" customHeight="1">
      <c r="A250" s="39"/>
      <c r="B250" s="45"/>
      <c r="C250" s="46"/>
      <c r="D250" s="39"/>
      <c r="E250" s="39"/>
      <c r="F250" s="44"/>
      <c r="G250" s="39"/>
      <c r="H250" s="39"/>
      <c r="I250" s="39"/>
      <c r="J250" s="39"/>
      <c r="K250" s="44"/>
      <c r="L250" s="44"/>
      <c r="M250" s="44"/>
      <c r="N250" s="44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5.75" customHeight="1">
      <c r="A251" s="39"/>
      <c r="B251" s="45"/>
      <c r="C251" s="46"/>
      <c r="D251" s="39"/>
      <c r="E251" s="39"/>
      <c r="F251" s="44"/>
      <c r="G251" s="39"/>
      <c r="H251" s="39"/>
      <c r="I251" s="39"/>
      <c r="J251" s="39"/>
      <c r="K251" s="44"/>
      <c r="L251" s="44"/>
      <c r="M251" s="44"/>
      <c r="N251" s="44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5.75" customHeight="1">
      <c r="A252" s="39"/>
      <c r="B252" s="45"/>
      <c r="C252" s="46"/>
      <c r="D252" s="39"/>
      <c r="E252" s="39"/>
      <c r="F252" s="44"/>
      <c r="G252" s="39"/>
      <c r="H252" s="39"/>
      <c r="I252" s="39"/>
      <c r="J252" s="39"/>
      <c r="K252" s="44"/>
      <c r="L252" s="44"/>
      <c r="M252" s="44"/>
      <c r="N252" s="44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5.75" customHeight="1">
      <c r="A253" s="39"/>
      <c r="B253" s="45"/>
      <c r="C253" s="46"/>
      <c r="D253" s="39"/>
      <c r="E253" s="39"/>
      <c r="F253" s="44"/>
      <c r="G253" s="39"/>
      <c r="H253" s="39"/>
      <c r="I253" s="39"/>
      <c r="J253" s="39"/>
      <c r="K253" s="44"/>
      <c r="L253" s="44"/>
      <c r="M253" s="44"/>
      <c r="N253" s="44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5.75" customHeight="1">
      <c r="A254" s="39"/>
      <c r="B254" s="45"/>
      <c r="C254" s="46"/>
      <c r="D254" s="39"/>
      <c r="E254" s="39"/>
      <c r="F254" s="44"/>
      <c r="G254" s="39"/>
      <c r="H254" s="39"/>
      <c r="I254" s="39"/>
      <c r="J254" s="39"/>
      <c r="K254" s="44"/>
      <c r="L254" s="44"/>
      <c r="M254" s="44"/>
      <c r="N254" s="44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5.75" customHeight="1">
      <c r="A255" s="39"/>
      <c r="B255" s="45"/>
      <c r="C255" s="46"/>
      <c r="D255" s="39"/>
      <c r="E255" s="39"/>
      <c r="F255" s="44"/>
      <c r="G255" s="39"/>
      <c r="H255" s="39"/>
      <c r="I255" s="39"/>
      <c r="J255" s="39"/>
      <c r="K255" s="44"/>
      <c r="L255" s="44"/>
      <c r="M255" s="44"/>
      <c r="N255" s="44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5.75" customHeight="1">
      <c r="A256" s="39"/>
      <c r="B256" s="45"/>
      <c r="C256" s="46"/>
      <c r="D256" s="39"/>
      <c r="E256" s="39"/>
      <c r="F256" s="44"/>
      <c r="G256" s="39"/>
      <c r="H256" s="39"/>
      <c r="I256" s="39"/>
      <c r="J256" s="39"/>
      <c r="K256" s="44"/>
      <c r="L256" s="44"/>
      <c r="M256" s="44"/>
      <c r="N256" s="44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5.75" customHeight="1">
      <c r="A257" s="39"/>
      <c r="B257" s="45"/>
      <c r="C257" s="46"/>
      <c r="D257" s="39"/>
      <c r="E257" s="39"/>
      <c r="F257" s="44"/>
      <c r="G257" s="39"/>
      <c r="H257" s="39"/>
      <c r="I257" s="39"/>
      <c r="J257" s="39"/>
      <c r="K257" s="44"/>
      <c r="L257" s="44"/>
      <c r="M257" s="44"/>
      <c r="N257" s="44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5.75" customHeight="1">
      <c r="A258" s="39"/>
      <c r="B258" s="45"/>
      <c r="C258" s="46"/>
      <c r="D258" s="39"/>
      <c r="E258" s="39"/>
      <c r="F258" s="44"/>
      <c r="G258" s="39"/>
      <c r="H258" s="39"/>
      <c r="I258" s="39"/>
      <c r="J258" s="39"/>
      <c r="K258" s="44"/>
      <c r="L258" s="44"/>
      <c r="M258" s="44"/>
      <c r="N258" s="44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5.75" customHeight="1">
      <c r="A259" s="39"/>
      <c r="B259" s="45"/>
      <c r="C259" s="46"/>
      <c r="D259" s="39"/>
      <c r="E259" s="39"/>
      <c r="F259" s="44"/>
      <c r="G259" s="39"/>
      <c r="H259" s="39"/>
      <c r="I259" s="39"/>
      <c r="J259" s="39"/>
      <c r="K259" s="44"/>
      <c r="L259" s="44"/>
      <c r="M259" s="44"/>
      <c r="N259" s="44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5.75" customHeight="1">
      <c r="A260" s="39"/>
      <c r="B260" s="45"/>
      <c r="C260" s="46"/>
      <c r="D260" s="39"/>
      <c r="E260" s="39"/>
      <c r="F260" s="44"/>
      <c r="G260" s="39"/>
      <c r="H260" s="39"/>
      <c r="I260" s="39"/>
      <c r="J260" s="39"/>
      <c r="K260" s="44"/>
      <c r="L260" s="44"/>
      <c r="M260" s="44"/>
      <c r="N260" s="44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5.75" customHeight="1">
      <c r="A261" s="39"/>
      <c r="B261" s="45"/>
      <c r="C261" s="46"/>
      <c r="D261" s="39"/>
      <c r="E261" s="39"/>
      <c r="F261" s="44"/>
      <c r="G261" s="39"/>
      <c r="H261" s="39"/>
      <c r="I261" s="39"/>
      <c r="J261" s="39"/>
      <c r="K261" s="44"/>
      <c r="L261" s="44"/>
      <c r="M261" s="44"/>
      <c r="N261" s="44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5.75" customHeight="1">
      <c r="A262" s="39"/>
      <c r="B262" s="45"/>
      <c r="C262" s="46"/>
      <c r="D262" s="39"/>
      <c r="E262" s="39"/>
      <c r="F262" s="44"/>
      <c r="G262" s="39"/>
      <c r="H262" s="39"/>
      <c r="I262" s="39"/>
      <c r="J262" s="39"/>
      <c r="K262" s="44"/>
      <c r="L262" s="44"/>
      <c r="M262" s="44"/>
      <c r="N262" s="44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5.75" customHeight="1">
      <c r="A263" s="39"/>
      <c r="B263" s="45"/>
      <c r="C263" s="46"/>
      <c r="D263" s="39"/>
      <c r="E263" s="39"/>
      <c r="F263" s="44"/>
      <c r="G263" s="39"/>
      <c r="H263" s="39"/>
      <c r="I263" s="39"/>
      <c r="J263" s="39"/>
      <c r="K263" s="44"/>
      <c r="L263" s="44"/>
      <c r="M263" s="44"/>
      <c r="N263" s="44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5.75" customHeight="1">
      <c r="A264" s="39"/>
      <c r="B264" s="45"/>
      <c r="C264" s="46"/>
      <c r="D264" s="39"/>
      <c r="E264" s="39"/>
      <c r="F264" s="44"/>
      <c r="G264" s="39"/>
      <c r="H264" s="39"/>
      <c r="I264" s="39"/>
      <c r="J264" s="39"/>
      <c r="K264" s="44"/>
      <c r="L264" s="44"/>
      <c r="M264" s="44"/>
      <c r="N264" s="44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5.75" customHeight="1">
      <c r="A265" s="39"/>
      <c r="B265" s="45"/>
      <c r="C265" s="46"/>
      <c r="D265" s="39"/>
      <c r="E265" s="39"/>
      <c r="F265" s="44"/>
      <c r="G265" s="39"/>
      <c r="H265" s="39"/>
      <c r="I265" s="39"/>
      <c r="J265" s="39"/>
      <c r="K265" s="44"/>
      <c r="L265" s="44"/>
      <c r="M265" s="44"/>
      <c r="N265" s="44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5.75" customHeight="1">
      <c r="A266" s="39"/>
      <c r="B266" s="45"/>
      <c r="C266" s="46"/>
      <c r="D266" s="39"/>
      <c r="E266" s="39"/>
      <c r="F266" s="44"/>
      <c r="G266" s="39"/>
      <c r="H266" s="39"/>
      <c r="I266" s="39"/>
      <c r="J266" s="39"/>
      <c r="K266" s="44"/>
      <c r="L266" s="44"/>
      <c r="M266" s="44"/>
      <c r="N266" s="44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5.75" customHeight="1">
      <c r="A267" s="39"/>
      <c r="B267" s="45"/>
      <c r="C267" s="46"/>
      <c r="D267" s="39"/>
      <c r="E267" s="39"/>
      <c r="F267" s="44"/>
      <c r="G267" s="39"/>
      <c r="H267" s="39"/>
      <c r="I267" s="39"/>
      <c r="J267" s="39"/>
      <c r="K267" s="44"/>
      <c r="L267" s="44"/>
      <c r="M267" s="44"/>
      <c r="N267" s="44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5.75" customHeight="1">
      <c r="A268" s="39"/>
      <c r="B268" s="45"/>
      <c r="C268" s="46"/>
      <c r="D268" s="39"/>
      <c r="E268" s="39"/>
      <c r="F268" s="44"/>
      <c r="G268" s="39"/>
      <c r="H268" s="39"/>
      <c r="I268" s="39"/>
      <c r="J268" s="39"/>
      <c r="K268" s="44"/>
      <c r="L268" s="44"/>
      <c r="M268" s="44"/>
      <c r="N268" s="44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5.75" customHeight="1">
      <c r="A269" s="39"/>
      <c r="B269" s="45"/>
      <c r="C269" s="46"/>
      <c r="D269" s="39"/>
      <c r="E269" s="39"/>
      <c r="F269" s="44"/>
      <c r="G269" s="39"/>
      <c r="H269" s="39"/>
      <c r="I269" s="39"/>
      <c r="J269" s="39"/>
      <c r="K269" s="44"/>
      <c r="L269" s="44"/>
      <c r="M269" s="44"/>
      <c r="N269" s="44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5.75" customHeight="1">
      <c r="A270" s="39"/>
      <c r="B270" s="45"/>
      <c r="C270" s="46"/>
      <c r="D270" s="39"/>
      <c r="E270" s="39"/>
      <c r="F270" s="44"/>
      <c r="G270" s="39"/>
      <c r="H270" s="39"/>
      <c r="I270" s="39"/>
      <c r="J270" s="39"/>
      <c r="K270" s="44"/>
      <c r="L270" s="44"/>
      <c r="M270" s="44"/>
      <c r="N270" s="44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5.75" customHeight="1">
      <c r="A271" s="39"/>
      <c r="B271" s="45"/>
      <c r="C271" s="46"/>
      <c r="D271" s="39"/>
      <c r="E271" s="39"/>
      <c r="F271" s="44"/>
      <c r="G271" s="39"/>
      <c r="H271" s="39"/>
      <c r="I271" s="39"/>
      <c r="J271" s="39"/>
      <c r="K271" s="44"/>
      <c r="L271" s="44"/>
      <c r="M271" s="44"/>
      <c r="N271" s="44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5.75" customHeight="1">
      <c r="A272" s="39"/>
      <c r="B272" s="45"/>
      <c r="C272" s="46"/>
      <c r="D272" s="39"/>
      <c r="E272" s="39"/>
      <c r="F272" s="44"/>
      <c r="G272" s="39"/>
      <c r="H272" s="39"/>
      <c r="I272" s="39"/>
      <c r="J272" s="39"/>
      <c r="K272" s="44"/>
      <c r="L272" s="44"/>
      <c r="M272" s="44"/>
      <c r="N272" s="44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5.75" customHeight="1">
      <c r="A273" s="39"/>
      <c r="B273" s="45"/>
      <c r="C273" s="46"/>
      <c r="D273" s="39"/>
      <c r="E273" s="39"/>
      <c r="F273" s="44"/>
      <c r="G273" s="39"/>
      <c r="H273" s="39"/>
      <c r="I273" s="39"/>
      <c r="J273" s="39"/>
      <c r="K273" s="44"/>
      <c r="L273" s="44"/>
      <c r="M273" s="44"/>
      <c r="N273" s="44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5.75" customHeight="1">
      <c r="A274" s="39"/>
      <c r="B274" s="45"/>
      <c r="C274" s="46"/>
      <c r="D274" s="39"/>
      <c r="E274" s="39"/>
      <c r="F274" s="44"/>
      <c r="G274" s="39"/>
      <c r="H274" s="39"/>
      <c r="I274" s="39"/>
      <c r="J274" s="39"/>
      <c r="K274" s="44"/>
      <c r="L274" s="44"/>
      <c r="M274" s="44"/>
      <c r="N274" s="44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5.75" customHeight="1">
      <c r="A275" s="39"/>
      <c r="B275" s="45"/>
      <c r="C275" s="46"/>
      <c r="D275" s="39"/>
      <c r="E275" s="39"/>
      <c r="F275" s="44"/>
      <c r="G275" s="39"/>
      <c r="H275" s="39"/>
      <c r="I275" s="39"/>
      <c r="J275" s="39"/>
      <c r="K275" s="44"/>
      <c r="L275" s="44"/>
      <c r="M275" s="44"/>
      <c r="N275" s="44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5.75" customHeight="1">
      <c r="A276" s="39"/>
      <c r="B276" s="45"/>
      <c r="C276" s="46"/>
      <c r="D276" s="39"/>
      <c r="E276" s="39"/>
      <c r="F276" s="44"/>
      <c r="G276" s="39"/>
      <c r="H276" s="39"/>
      <c r="I276" s="39"/>
      <c r="J276" s="39"/>
      <c r="K276" s="44"/>
      <c r="L276" s="44"/>
      <c r="M276" s="44"/>
      <c r="N276" s="44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5.75" customHeight="1">
      <c r="A277" s="39"/>
      <c r="B277" s="45"/>
      <c r="C277" s="46"/>
      <c r="D277" s="39"/>
      <c r="E277" s="39"/>
      <c r="F277" s="44"/>
      <c r="G277" s="39"/>
      <c r="H277" s="39"/>
      <c r="I277" s="39"/>
      <c r="J277" s="39"/>
      <c r="K277" s="44"/>
      <c r="L277" s="44"/>
      <c r="M277" s="44"/>
      <c r="N277" s="44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5.75" customHeight="1">
      <c r="A278" s="39"/>
      <c r="B278" s="45"/>
      <c r="C278" s="46"/>
      <c r="D278" s="39"/>
      <c r="E278" s="39"/>
      <c r="F278" s="44"/>
      <c r="G278" s="39"/>
      <c r="H278" s="39"/>
      <c r="I278" s="39"/>
      <c r="J278" s="39"/>
      <c r="K278" s="44"/>
      <c r="L278" s="44"/>
      <c r="M278" s="44"/>
      <c r="N278" s="44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5.75" customHeight="1">
      <c r="A279" s="39"/>
      <c r="B279" s="45"/>
      <c r="C279" s="46"/>
      <c r="D279" s="39"/>
      <c r="E279" s="39"/>
      <c r="F279" s="44"/>
      <c r="G279" s="39"/>
      <c r="H279" s="39"/>
      <c r="I279" s="39"/>
      <c r="J279" s="39"/>
      <c r="K279" s="44"/>
      <c r="L279" s="44"/>
      <c r="M279" s="44"/>
      <c r="N279" s="44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5.75" customHeight="1">
      <c r="A280" s="39"/>
      <c r="B280" s="45"/>
      <c r="C280" s="46"/>
      <c r="D280" s="39"/>
      <c r="E280" s="39"/>
      <c r="F280" s="44"/>
      <c r="G280" s="39"/>
      <c r="H280" s="39"/>
      <c r="I280" s="39"/>
      <c r="J280" s="39"/>
      <c r="K280" s="44"/>
      <c r="L280" s="44"/>
      <c r="M280" s="44"/>
      <c r="N280" s="44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5.75" customHeight="1">
      <c r="A281" s="39"/>
      <c r="B281" s="45"/>
      <c r="C281" s="46"/>
      <c r="D281" s="39"/>
      <c r="E281" s="39"/>
      <c r="F281" s="44"/>
      <c r="G281" s="39"/>
      <c r="H281" s="39"/>
      <c r="I281" s="39"/>
      <c r="J281" s="39"/>
      <c r="K281" s="44"/>
      <c r="L281" s="44"/>
      <c r="M281" s="44"/>
      <c r="N281" s="44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5.75" customHeight="1">
      <c r="A282" s="39"/>
      <c r="B282" s="45"/>
      <c r="C282" s="46"/>
      <c r="D282" s="39"/>
      <c r="E282" s="39"/>
      <c r="F282" s="44"/>
      <c r="G282" s="39"/>
      <c r="H282" s="39"/>
      <c r="I282" s="39"/>
      <c r="J282" s="39"/>
      <c r="K282" s="44"/>
      <c r="L282" s="44"/>
      <c r="M282" s="44"/>
      <c r="N282" s="44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5.75" customHeight="1">
      <c r="A283" s="39"/>
      <c r="B283" s="45"/>
      <c r="C283" s="46"/>
      <c r="D283" s="39"/>
      <c r="E283" s="39"/>
      <c r="F283" s="44"/>
      <c r="G283" s="39"/>
      <c r="H283" s="39"/>
      <c r="I283" s="39"/>
      <c r="J283" s="39"/>
      <c r="K283" s="44"/>
      <c r="L283" s="44"/>
      <c r="M283" s="44"/>
      <c r="N283" s="44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5.75" customHeight="1">
      <c r="A284" s="39"/>
      <c r="B284" s="45"/>
      <c r="C284" s="46"/>
      <c r="D284" s="39"/>
      <c r="E284" s="39"/>
      <c r="F284" s="44"/>
      <c r="G284" s="39"/>
      <c r="H284" s="39"/>
      <c r="I284" s="39"/>
      <c r="J284" s="39"/>
      <c r="K284" s="44"/>
      <c r="L284" s="44"/>
      <c r="M284" s="44"/>
      <c r="N284" s="44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5.75" customHeight="1">
      <c r="A285" s="39"/>
      <c r="B285" s="45"/>
      <c r="C285" s="46"/>
      <c r="D285" s="39"/>
      <c r="E285" s="39"/>
      <c r="F285" s="44"/>
      <c r="G285" s="39"/>
      <c r="H285" s="39"/>
      <c r="I285" s="39"/>
      <c r="J285" s="39"/>
      <c r="K285" s="44"/>
      <c r="L285" s="44"/>
      <c r="M285" s="44"/>
      <c r="N285" s="44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5.75" customHeight="1">
      <c r="A286" s="39"/>
      <c r="B286" s="45"/>
      <c r="C286" s="46"/>
      <c r="D286" s="39"/>
      <c r="E286" s="39"/>
      <c r="F286" s="44"/>
      <c r="G286" s="39"/>
      <c r="H286" s="39"/>
      <c r="I286" s="39"/>
      <c r="J286" s="39"/>
      <c r="K286" s="44"/>
      <c r="L286" s="44"/>
      <c r="M286" s="44"/>
      <c r="N286" s="44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5.75" customHeight="1">
      <c r="A287" s="39"/>
      <c r="B287" s="45"/>
      <c r="C287" s="46"/>
      <c r="D287" s="39"/>
      <c r="E287" s="39"/>
      <c r="F287" s="44"/>
      <c r="G287" s="39"/>
      <c r="H287" s="39"/>
      <c r="I287" s="39"/>
      <c r="J287" s="39"/>
      <c r="K287" s="44"/>
      <c r="L287" s="44"/>
      <c r="M287" s="44"/>
      <c r="N287" s="44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5.75" customHeight="1">
      <c r="A288" s="39"/>
      <c r="B288" s="45"/>
      <c r="C288" s="46"/>
      <c r="D288" s="39"/>
      <c r="E288" s="39"/>
      <c r="F288" s="44"/>
      <c r="G288" s="39"/>
      <c r="H288" s="39"/>
      <c r="I288" s="39"/>
      <c r="J288" s="39"/>
      <c r="K288" s="44"/>
      <c r="L288" s="44"/>
      <c r="M288" s="44"/>
      <c r="N288" s="44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5.75" customHeight="1">
      <c r="A289" s="39"/>
      <c r="B289" s="45"/>
      <c r="C289" s="46"/>
      <c r="D289" s="39"/>
      <c r="E289" s="39"/>
      <c r="F289" s="44"/>
      <c r="G289" s="39"/>
      <c r="H289" s="39"/>
      <c r="I289" s="39"/>
      <c r="J289" s="39"/>
      <c r="K289" s="44"/>
      <c r="L289" s="44"/>
      <c r="M289" s="44"/>
      <c r="N289" s="44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5.75" customHeight="1">
      <c r="A290" s="39"/>
      <c r="B290" s="45"/>
      <c r="C290" s="46"/>
      <c r="D290" s="39"/>
      <c r="E290" s="39"/>
      <c r="F290" s="44"/>
      <c r="G290" s="39"/>
      <c r="H290" s="39"/>
      <c r="I290" s="39"/>
      <c r="J290" s="39"/>
      <c r="K290" s="44"/>
      <c r="L290" s="44"/>
      <c r="M290" s="44"/>
      <c r="N290" s="44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5.75" customHeight="1">
      <c r="A291" s="39"/>
      <c r="B291" s="45"/>
      <c r="C291" s="46"/>
      <c r="D291" s="39"/>
      <c r="E291" s="39"/>
      <c r="F291" s="44"/>
      <c r="G291" s="39"/>
      <c r="H291" s="39"/>
      <c r="I291" s="39"/>
      <c r="J291" s="39"/>
      <c r="K291" s="44"/>
      <c r="L291" s="44"/>
      <c r="M291" s="44"/>
      <c r="N291" s="44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5.75" customHeight="1">
      <c r="A292" s="39"/>
      <c r="B292" s="45"/>
      <c r="C292" s="46"/>
      <c r="D292" s="39"/>
      <c r="E292" s="39"/>
      <c r="F292" s="44"/>
      <c r="G292" s="39"/>
      <c r="H292" s="39"/>
      <c r="I292" s="39"/>
      <c r="J292" s="39"/>
      <c r="K292" s="44"/>
      <c r="L292" s="44"/>
      <c r="M292" s="44"/>
      <c r="N292" s="44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5.75" customHeight="1">
      <c r="A293" s="39"/>
      <c r="B293" s="45"/>
      <c r="C293" s="46"/>
      <c r="D293" s="39"/>
      <c r="E293" s="39"/>
      <c r="F293" s="44"/>
      <c r="G293" s="39"/>
      <c r="H293" s="39"/>
      <c r="I293" s="39"/>
      <c r="J293" s="39"/>
      <c r="K293" s="44"/>
      <c r="L293" s="44"/>
      <c r="M293" s="44"/>
      <c r="N293" s="44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5.75" customHeight="1">
      <c r="A294" s="39"/>
      <c r="B294" s="45"/>
      <c r="C294" s="46"/>
      <c r="D294" s="39"/>
      <c r="E294" s="39"/>
      <c r="F294" s="44"/>
      <c r="G294" s="39"/>
      <c r="H294" s="39"/>
      <c r="I294" s="39"/>
      <c r="J294" s="39"/>
      <c r="K294" s="44"/>
      <c r="L294" s="44"/>
      <c r="M294" s="44"/>
      <c r="N294" s="44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5.75" customHeight="1">
      <c r="A295" s="39"/>
      <c r="B295" s="45"/>
      <c r="C295" s="46"/>
      <c r="D295" s="39"/>
      <c r="E295" s="39"/>
      <c r="F295" s="44"/>
      <c r="G295" s="39"/>
      <c r="H295" s="39"/>
      <c r="I295" s="39"/>
      <c r="J295" s="39"/>
      <c r="K295" s="44"/>
      <c r="L295" s="44"/>
      <c r="M295" s="44"/>
      <c r="N295" s="44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5.75" customHeight="1">
      <c r="A296" s="39"/>
      <c r="B296" s="45"/>
      <c r="C296" s="46"/>
      <c r="D296" s="39"/>
      <c r="E296" s="39"/>
      <c r="F296" s="44"/>
      <c r="G296" s="39"/>
      <c r="H296" s="39"/>
      <c r="I296" s="39"/>
      <c r="J296" s="39"/>
      <c r="K296" s="44"/>
      <c r="L296" s="44"/>
      <c r="M296" s="44"/>
      <c r="N296" s="44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5.75" customHeight="1">
      <c r="A297" s="39"/>
      <c r="B297" s="45"/>
      <c r="C297" s="46"/>
      <c r="D297" s="39"/>
      <c r="E297" s="39"/>
      <c r="F297" s="44"/>
      <c r="G297" s="39"/>
      <c r="H297" s="39"/>
      <c r="I297" s="39"/>
      <c r="J297" s="39"/>
      <c r="K297" s="44"/>
      <c r="L297" s="44"/>
      <c r="M297" s="44"/>
      <c r="N297" s="44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5.75" customHeight="1">
      <c r="A298" s="39"/>
      <c r="B298" s="45"/>
      <c r="C298" s="46"/>
      <c r="D298" s="39"/>
      <c r="E298" s="39"/>
      <c r="F298" s="44"/>
      <c r="G298" s="39"/>
      <c r="H298" s="39"/>
      <c r="I298" s="39"/>
      <c r="J298" s="39"/>
      <c r="K298" s="44"/>
      <c r="L298" s="44"/>
      <c r="M298" s="44"/>
      <c r="N298" s="44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5.75" customHeight="1">
      <c r="A299" s="39"/>
      <c r="B299" s="45"/>
      <c r="C299" s="46"/>
      <c r="D299" s="39"/>
      <c r="E299" s="39"/>
      <c r="F299" s="44"/>
      <c r="G299" s="39"/>
      <c r="H299" s="39"/>
      <c r="I299" s="39"/>
      <c r="J299" s="39"/>
      <c r="K299" s="44"/>
      <c r="L299" s="44"/>
      <c r="M299" s="44"/>
      <c r="N299" s="44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5.75" customHeight="1">
      <c r="A300" s="39"/>
      <c r="B300" s="45"/>
      <c r="C300" s="46"/>
      <c r="D300" s="39"/>
      <c r="E300" s="39"/>
      <c r="F300" s="44"/>
      <c r="G300" s="39"/>
      <c r="H300" s="39"/>
      <c r="I300" s="39"/>
      <c r="J300" s="39"/>
      <c r="K300" s="44"/>
      <c r="L300" s="44"/>
      <c r="M300" s="44"/>
      <c r="N300" s="44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5.75" customHeight="1">
      <c r="A301" s="39"/>
      <c r="B301" s="45"/>
      <c r="C301" s="46"/>
      <c r="D301" s="39"/>
      <c r="E301" s="39"/>
      <c r="F301" s="44"/>
      <c r="G301" s="39"/>
      <c r="H301" s="39"/>
      <c r="I301" s="39"/>
      <c r="J301" s="39"/>
      <c r="K301" s="44"/>
      <c r="L301" s="44"/>
      <c r="M301" s="44"/>
      <c r="N301" s="44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5.75" customHeight="1">
      <c r="A302" s="39"/>
      <c r="B302" s="45"/>
      <c r="C302" s="46"/>
      <c r="D302" s="39"/>
      <c r="E302" s="39"/>
      <c r="F302" s="44"/>
      <c r="G302" s="39"/>
      <c r="H302" s="39"/>
      <c r="I302" s="39"/>
      <c r="J302" s="39"/>
      <c r="K302" s="44"/>
      <c r="L302" s="44"/>
      <c r="M302" s="44"/>
      <c r="N302" s="44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5.75" customHeight="1">
      <c r="A303" s="39"/>
      <c r="B303" s="45"/>
      <c r="C303" s="46"/>
      <c r="D303" s="39"/>
      <c r="E303" s="39"/>
      <c r="F303" s="44"/>
      <c r="G303" s="39"/>
      <c r="H303" s="39"/>
      <c r="I303" s="39"/>
      <c r="J303" s="39"/>
      <c r="K303" s="44"/>
      <c r="L303" s="44"/>
      <c r="M303" s="44"/>
      <c r="N303" s="44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5.75" customHeight="1">
      <c r="A304" s="39"/>
      <c r="B304" s="45"/>
      <c r="C304" s="46"/>
      <c r="D304" s="39"/>
      <c r="E304" s="39"/>
      <c r="F304" s="44"/>
      <c r="G304" s="39"/>
      <c r="H304" s="39"/>
      <c r="I304" s="39"/>
      <c r="J304" s="39"/>
      <c r="K304" s="44"/>
      <c r="L304" s="44"/>
      <c r="M304" s="44"/>
      <c r="N304" s="44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5.75" customHeight="1">
      <c r="A305" s="39"/>
      <c r="B305" s="45"/>
      <c r="C305" s="46"/>
      <c r="D305" s="39"/>
      <c r="E305" s="39"/>
      <c r="F305" s="44"/>
      <c r="G305" s="39"/>
      <c r="H305" s="39"/>
      <c r="I305" s="39"/>
      <c r="J305" s="39"/>
      <c r="K305" s="44"/>
      <c r="L305" s="44"/>
      <c r="M305" s="44"/>
      <c r="N305" s="44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5.75" customHeight="1">
      <c r="A306" s="39"/>
      <c r="B306" s="45"/>
      <c r="C306" s="46"/>
      <c r="D306" s="39"/>
      <c r="E306" s="39"/>
      <c r="F306" s="44"/>
      <c r="G306" s="39"/>
      <c r="H306" s="39"/>
      <c r="I306" s="39"/>
      <c r="J306" s="39"/>
      <c r="K306" s="44"/>
      <c r="L306" s="44"/>
      <c r="M306" s="44"/>
      <c r="N306" s="44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5.75" customHeight="1">
      <c r="A307" s="39"/>
      <c r="B307" s="45"/>
      <c r="C307" s="46"/>
      <c r="D307" s="39"/>
      <c r="E307" s="39"/>
      <c r="F307" s="44"/>
      <c r="G307" s="39"/>
      <c r="H307" s="39"/>
      <c r="I307" s="39"/>
      <c r="J307" s="39"/>
      <c r="K307" s="44"/>
      <c r="L307" s="44"/>
      <c r="M307" s="44"/>
      <c r="N307" s="44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5.75" customHeight="1">
      <c r="A308" s="39"/>
      <c r="B308" s="45"/>
      <c r="C308" s="46"/>
      <c r="D308" s="39"/>
      <c r="E308" s="39"/>
      <c r="F308" s="44"/>
      <c r="G308" s="39"/>
      <c r="H308" s="39"/>
      <c r="I308" s="39"/>
      <c r="J308" s="39"/>
      <c r="K308" s="44"/>
      <c r="L308" s="44"/>
      <c r="M308" s="44"/>
      <c r="N308" s="44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5.75" customHeight="1">
      <c r="A309" s="39"/>
      <c r="B309" s="45"/>
      <c r="C309" s="46"/>
      <c r="D309" s="39"/>
      <c r="E309" s="39"/>
      <c r="F309" s="44"/>
      <c r="G309" s="39"/>
      <c r="H309" s="39"/>
      <c r="I309" s="39"/>
      <c r="J309" s="39"/>
      <c r="K309" s="44"/>
      <c r="L309" s="44"/>
      <c r="M309" s="44"/>
      <c r="N309" s="44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5.75" customHeight="1">
      <c r="A310" s="39"/>
      <c r="B310" s="45"/>
      <c r="C310" s="46"/>
      <c r="D310" s="39"/>
      <c r="E310" s="39"/>
      <c r="F310" s="44"/>
      <c r="G310" s="39"/>
      <c r="H310" s="39"/>
      <c r="I310" s="39"/>
      <c r="J310" s="39"/>
      <c r="K310" s="44"/>
      <c r="L310" s="44"/>
      <c r="M310" s="44"/>
      <c r="N310" s="44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5.75" customHeight="1">
      <c r="A311" s="39"/>
      <c r="B311" s="45"/>
      <c r="C311" s="46"/>
      <c r="D311" s="39"/>
      <c r="E311" s="39"/>
      <c r="F311" s="44"/>
      <c r="G311" s="39"/>
      <c r="H311" s="39"/>
      <c r="I311" s="39"/>
      <c r="J311" s="39"/>
      <c r="K311" s="44"/>
      <c r="L311" s="44"/>
      <c r="M311" s="44"/>
      <c r="N311" s="44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5.75" customHeight="1">
      <c r="A312" s="39"/>
      <c r="B312" s="45"/>
      <c r="C312" s="46"/>
      <c r="D312" s="39"/>
      <c r="E312" s="39"/>
      <c r="F312" s="44"/>
      <c r="G312" s="39"/>
      <c r="H312" s="39"/>
      <c r="I312" s="39"/>
      <c r="J312" s="39"/>
      <c r="K312" s="44"/>
      <c r="L312" s="44"/>
      <c r="M312" s="44"/>
      <c r="N312" s="44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5.75" customHeight="1">
      <c r="A313" s="39"/>
      <c r="B313" s="45"/>
      <c r="C313" s="46"/>
      <c r="D313" s="39"/>
      <c r="E313" s="39"/>
      <c r="F313" s="44"/>
      <c r="G313" s="39"/>
      <c r="H313" s="39"/>
      <c r="I313" s="39"/>
      <c r="J313" s="39"/>
      <c r="K313" s="44"/>
      <c r="L313" s="44"/>
      <c r="M313" s="44"/>
      <c r="N313" s="44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5.75" customHeight="1">
      <c r="A314" s="39"/>
      <c r="B314" s="45"/>
      <c r="C314" s="46"/>
      <c r="D314" s="39"/>
      <c r="E314" s="39"/>
      <c r="F314" s="44"/>
      <c r="G314" s="39"/>
      <c r="H314" s="39"/>
      <c r="I314" s="39"/>
      <c r="J314" s="39"/>
      <c r="K314" s="44"/>
      <c r="L314" s="44"/>
      <c r="M314" s="44"/>
      <c r="N314" s="44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5.75" customHeight="1">
      <c r="A315" s="39"/>
      <c r="B315" s="45"/>
      <c r="C315" s="46"/>
      <c r="D315" s="39"/>
      <c r="E315" s="39"/>
      <c r="F315" s="44"/>
      <c r="G315" s="39"/>
      <c r="H315" s="39"/>
      <c r="I315" s="39"/>
      <c r="J315" s="39"/>
      <c r="K315" s="44"/>
      <c r="L315" s="44"/>
      <c r="M315" s="44"/>
      <c r="N315" s="44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5.75" customHeight="1">
      <c r="A316" s="39"/>
      <c r="B316" s="45"/>
      <c r="C316" s="46"/>
      <c r="D316" s="39"/>
      <c r="E316" s="39"/>
      <c r="F316" s="44"/>
      <c r="G316" s="39"/>
      <c r="H316" s="39"/>
      <c r="I316" s="39"/>
      <c r="J316" s="39"/>
      <c r="K316" s="44"/>
      <c r="L316" s="44"/>
      <c r="M316" s="44"/>
      <c r="N316" s="44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5.75" customHeight="1">
      <c r="A317" s="39"/>
      <c r="B317" s="45"/>
      <c r="C317" s="46"/>
      <c r="D317" s="39"/>
      <c r="E317" s="39"/>
      <c r="F317" s="44"/>
      <c r="G317" s="39"/>
      <c r="H317" s="39"/>
      <c r="I317" s="39"/>
      <c r="J317" s="39"/>
      <c r="K317" s="44"/>
      <c r="L317" s="44"/>
      <c r="M317" s="44"/>
      <c r="N317" s="44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5.75" customHeight="1">
      <c r="A318" s="39"/>
      <c r="B318" s="45"/>
      <c r="C318" s="46"/>
      <c r="D318" s="39"/>
      <c r="E318" s="39"/>
      <c r="F318" s="44"/>
      <c r="G318" s="39"/>
      <c r="H318" s="39"/>
      <c r="I318" s="39"/>
      <c r="J318" s="39"/>
      <c r="K318" s="44"/>
      <c r="L318" s="44"/>
      <c r="M318" s="44"/>
      <c r="N318" s="44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5.75" customHeight="1">
      <c r="A319" s="39"/>
      <c r="B319" s="45"/>
      <c r="C319" s="46"/>
      <c r="D319" s="39"/>
      <c r="E319" s="39"/>
      <c r="F319" s="44"/>
      <c r="G319" s="39"/>
      <c r="H319" s="39"/>
      <c r="I319" s="39"/>
      <c r="J319" s="39"/>
      <c r="K319" s="44"/>
      <c r="L319" s="44"/>
      <c r="M319" s="44"/>
      <c r="N319" s="44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5.75" customHeight="1">
      <c r="A320" s="39"/>
      <c r="B320" s="45"/>
      <c r="C320" s="46"/>
      <c r="D320" s="39"/>
      <c r="E320" s="39"/>
      <c r="F320" s="44"/>
      <c r="G320" s="39"/>
      <c r="H320" s="39"/>
      <c r="I320" s="39"/>
      <c r="J320" s="39"/>
      <c r="K320" s="44"/>
      <c r="L320" s="44"/>
      <c r="M320" s="44"/>
      <c r="N320" s="44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5.75" customHeight="1">
      <c r="A321" s="39"/>
      <c r="B321" s="45"/>
      <c r="C321" s="46"/>
      <c r="D321" s="39"/>
      <c r="E321" s="39"/>
      <c r="F321" s="44"/>
      <c r="G321" s="39"/>
      <c r="H321" s="39"/>
      <c r="I321" s="39"/>
      <c r="J321" s="39"/>
      <c r="K321" s="44"/>
      <c r="L321" s="44"/>
      <c r="M321" s="44"/>
      <c r="N321" s="44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5.75" customHeight="1">
      <c r="A322" s="39"/>
      <c r="B322" s="45"/>
      <c r="C322" s="46"/>
      <c r="D322" s="39"/>
      <c r="E322" s="39"/>
      <c r="F322" s="44"/>
      <c r="G322" s="39"/>
      <c r="H322" s="39"/>
      <c r="I322" s="39"/>
      <c r="J322" s="39"/>
      <c r="K322" s="44"/>
      <c r="L322" s="44"/>
      <c r="M322" s="44"/>
      <c r="N322" s="44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5.75" customHeight="1">
      <c r="A323" s="39"/>
      <c r="B323" s="45"/>
      <c r="C323" s="46"/>
      <c r="D323" s="39"/>
      <c r="E323" s="39"/>
      <c r="F323" s="44"/>
      <c r="G323" s="39"/>
      <c r="H323" s="39"/>
      <c r="I323" s="39"/>
      <c r="J323" s="39"/>
      <c r="K323" s="44"/>
      <c r="L323" s="44"/>
      <c r="M323" s="44"/>
      <c r="N323" s="44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5.75" customHeight="1">
      <c r="A324" s="39"/>
      <c r="B324" s="45"/>
      <c r="C324" s="46"/>
      <c r="D324" s="39"/>
      <c r="E324" s="39"/>
      <c r="F324" s="44"/>
      <c r="G324" s="39"/>
      <c r="H324" s="39"/>
      <c r="I324" s="39"/>
      <c r="J324" s="39"/>
      <c r="K324" s="44"/>
      <c r="L324" s="44"/>
      <c r="M324" s="44"/>
      <c r="N324" s="44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5.75" customHeight="1">
      <c r="A325" s="39"/>
      <c r="B325" s="45"/>
      <c r="C325" s="46"/>
      <c r="D325" s="39"/>
      <c r="E325" s="39"/>
      <c r="F325" s="44"/>
      <c r="G325" s="39"/>
      <c r="H325" s="39"/>
      <c r="I325" s="39"/>
      <c r="J325" s="39"/>
      <c r="K325" s="44"/>
      <c r="L325" s="44"/>
      <c r="M325" s="44"/>
      <c r="N325" s="44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5.75" customHeight="1">
      <c r="A326" s="39"/>
      <c r="B326" s="45"/>
      <c r="C326" s="46"/>
      <c r="D326" s="39"/>
      <c r="E326" s="39"/>
      <c r="F326" s="44"/>
      <c r="G326" s="39"/>
      <c r="H326" s="39"/>
      <c r="I326" s="39"/>
      <c r="J326" s="39"/>
      <c r="K326" s="44"/>
      <c r="L326" s="44"/>
      <c r="M326" s="44"/>
      <c r="N326" s="44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5.75" customHeight="1">
      <c r="A327" s="39"/>
      <c r="B327" s="45"/>
      <c r="C327" s="46"/>
      <c r="D327" s="39"/>
      <c r="E327" s="39"/>
      <c r="F327" s="44"/>
      <c r="G327" s="39"/>
      <c r="H327" s="39"/>
      <c r="I327" s="39"/>
      <c r="J327" s="39"/>
      <c r="K327" s="44"/>
      <c r="L327" s="44"/>
      <c r="M327" s="44"/>
      <c r="N327" s="44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5.75" customHeight="1">
      <c r="A328" s="39"/>
      <c r="B328" s="45"/>
      <c r="C328" s="46"/>
      <c r="D328" s="39"/>
      <c r="E328" s="39"/>
      <c r="F328" s="44"/>
      <c r="G328" s="39"/>
      <c r="H328" s="39"/>
      <c r="I328" s="39"/>
      <c r="J328" s="39"/>
      <c r="K328" s="44"/>
      <c r="L328" s="44"/>
      <c r="M328" s="44"/>
      <c r="N328" s="44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5.75" customHeight="1">
      <c r="A329" s="39"/>
      <c r="B329" s="45"/>
      <c r="C329" s="46"/>
      <c r="D329" s="39"/>
      <c r="E329" s="39"/>
      <c r="F329" s="44"/>
      <c r="G329" s="39"/>
      <c r="H329" s="39"/>
      <c r="I329" s="39"/>
      <c r="J329" s="39"/>
      <c r="K329" s="44"/>
      <c r="L329" s="44"/>
      <c r="M329" s="44"/>
      <c r="N329" s="44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5.75" customHeight="1">
      <c r="A330" s="39"/>
      <c r="B330" s="45"/>
      <c r="C330" s="46"/>
      <c r="D330" s="39"/>
      <c r="E330" s="39"/>
      <c r="F330" s="44"/>
      <c r="G330" s="39"/>
      <c r="H330" s="39"/>
      <c r="I330" s="39"/>
      <c r="J330" s="39"/>
      <c r="K330" s="44"/>
      <c r="L330" s="44"/>
      <c r="M330" s="44"/>
      <c r="N330" s="44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5.75" customHeight="1">
      <c r="A331" s="39"/>
      <c r="B331" s="45"/>
      <c r="C331" s="46"/>
      <c r="D331" s="39"/>
      <c r="E331" s="39"/>
      <c r="F331" s="44"/>
      <c r="G331" s="39"/>
      <c r="H331" s="39"/>
      <c r="I331" s="39"/>
      <c r="J331" s="39"/>
      <c r="K331" s="44"/>
      <c r="L331" s="44"/>
      <c r="M331" s="44"/>
      <c r="N331" s="44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5.75" customHeight="1">
      <c r="A332" s="39"/>
      <c r="B332" s="45"/>
      <c r="C332" s="46"/>
      <c r="D332" s="39"/>
      <c r="E332" s="39"/>
      <c r="F332" s="44"/>
      <c r="G332" s="39"/>
      <c r="H332" s="39"/>
      <c r="I332" s="39"/>
      <c r="J332" s="39"/>
      <c r="K332" s="44"/>
      <c r="L332" s="44"/>
      <c r="M332" s="44"/>
      <c r="N332" s="44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5.75" customHeight="1">
      <c r="A333" s="39"/>
      <c r="B333" s="45"/>
      <c r="C333" s="46"/>
      <c r="D333" s="39"/>
      <c r="E333" s="39"/>
      <c r="F333" s="44"/>
      <c r="G333" s="39"/>
      <c r="H333" s="39"/>
      <c r="I333" s="39"/>
      <c r="J333" s="39"/>
      <c r="K333" s="44"/>
      <c r="L333" s="44"/>
      <c r="M333" s="44"/>
      <c r="N333" s="44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5.75" customHeight="1">
      <c r="A334" s="39"/>
      <c r="B334" s="45"/>
      <c r="C334" s="46"/>
      <c r="D334" s="39"/>
      <c r="E334" s="39"/>
      <c r="F334" s="44"/>
      <c r="G334" s="39"/>
      <c r="H334" s="39"/>
      <c r="I334" s="39"/>
      <c r="J334" s="39"/>
      <c r="K334" s="44"/>
      <c r="L334" s="44"/>
      <c r="M334" s="44"/>
      <c r="N334" s="44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5.75" customHeight="1">
      <c r="A335" s="39"/>
      <c r="B335" s="45"/>
      <c r="C335" s="46"/>
      <c r="D335" s="39"/>
      <c r="E335" s="39"/>
      <c r="F335" s="44"/>
      <c r="G335" s="39"/>
      <c r="H335" s="39"/>
      <c r="I335" s="39"/>
      <c r="J335" s="39"/>
      <c r="K335" s="44"/>
      <c r="L335" s="44"/>
      <c r="M335" s="44"/>
      <c r="N335" s="44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5.75" customHeight="1">
      <c r="A336" s="39"/>
      <c r="B336" s="45"/>
      <c r="C336" s="46"/>
      <c r="D336" s="39"/>
      <c r="E336" s="39"/>
      <c r="F336" s="44"/>
      <c r="G336" s="39"/>
      <c r="H336" s="39"/>
      <c r="I336" s="39"/>
      <c r="J336" s="39"/>
      <c r="K336" s="44"/>
      <c r="L336" s="44"/>
      <c r="M336" s="44"/>
      <c r="N336" s="44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5.75" customHeight="1">
      <c r="A337" s="39"/>
      <c r="B337" s="45"/>
      <c r="C337" s="46"/>
      <c r="D337" s="39"/>
      <c r="E337" s="39"/>
      <c r="F337" s="44"/>
      <c r="G337" s="39"/>
      <c r="H337" s="39"/>
      <c r="I337" s="39"/>
      <c r="J337" s="39"/>
      <c r="K337" s="44"/>
      <c r="L337" s="44"/>
      <c r="M337" s="44"/>
      <c r="N337" s="44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5.75" customHeight="1">
      <c r="A338" s="39"/>
      <c r="B338" s="45"/>
      <c r="C338" s="46"/>
      <c r="D338" s="39"/>
      <c r="E338" s="39"/>
      <c r="F338" s="44"/>
      <c r="G338" s="39"/>
      <c r="H338" s="39"/>
      <c r="I338" s="39"/>
      <c r="J338" s="39"/>
      <c r="K338" s="44"/>
      <c r="L338" s="44"/>
      <c r="M338" s="44"/>
      <c r="N338" s="44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5.75" customHeight="1">
      <c r="A339" s="39"/>
      <c r="B339" s="45"/>
      <c r="C339" s="46"/>
      <c r="D339" s="39"/>
      <c r="E339" s="39"/>
      <c r="F339" s="44"/>
      <c r="G339" s="39"/>
      <c r="H339" s="39"/>
      <c r="I339" s="39"/>
      <c r="J339" s="39"/>
      <c r="K339" s="44"/>
      <c r="L339" s="44"/>
      <c r="M339" s="44"/>
      <c r="N339" s="44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5.75" customHeight="1">
      <c r="A340" s="39"/>
      <c r="B340" s="45"/>
      <c r="C340" s="46"/>
      <c r="D340" s="39"/>
      <c r="E340" s="39"/>
      <c r="F340" s="44"/>
      <c r="G340" s="39"/>
      <c r="H340" s="39"/>
      <c r="I340" s="39"/>
      <c r="J340" s="39"/>
      <c r="K340" s="44"/>
      <c r="L340" s="44"/>
      <c r="M340" s="44"/>
      <c r="N340" s="44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5.75" customHeight="1">
      <c r="A341" s="39"/>
      <c r="B341" s="45"/>
      <c r="C341" s="46"/>
      <c r="D341" s="39"/>
      <c r="E341" s="39"/>
      <c r="F341" s="44"/>
      <c r="G341" s="39"/>
      <c r="H341" s="39"/>
      <c r="I341" s="39"/>
      <c r="J341" s="39"/>
      <c r="K341" s="44"/>
      <c r="L341" s="44"/>
      <c r="M341" s="44"/>
      <c r="N341" s="44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5.75" customHeight="1">
      <c r="A342" s="39"/>
      <c r="B342" s="45"/>
      <c r="C342" s="46"/>
      <c r="D342" s="39"/>
      <c r="E342" s="39"/>
      <c r="F342" s="44"/>
      <c r="G342" s="39"/>
      <c r="H342" s="39"/>
      <c r="I342" s="39"/>
      <c r="J342" s="39"/>
      <c r="K342" s="44"/>
      <c r="L342" s="44"/>
      <c r="M342" s="44"/>
      <c r="N342" s="44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5.75" customHeight="1">
      <c r="A343" s="39"/>
      <c r="B343" s="45"/>
      <c r="C343" s="46"/>
      <c r="D343" s="39"/>
      <c r="E343" s="39"/>
      <c r="F343" s="44"/>
      <c r="G343" s="39"/>
      <c r="H343" s="39"/>
      <c r="I343" s="39"/>
      <c r="J343" s="39"/>
      <c r="K343" s="44"/>
      <c r="L343" s="44"/>
      <c r="M343" s="44"/>
      <c r="N343" s="44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5.75" customHeight="1">
      <c r="A344" s="39"/>
      <c r="B344" s="45"/>
      <c r="C344" s="46"/>
      <c r="D344" s="39"/>
      <c r="E344" s="39"/>
      <c r="F344" s="44"/>
      <c r="G344" s="39"/>
      <c r="H344" s="39"/>
      <c r="I344" s="39"/>
      <c r="J344" s="39"/>
      <c r="K344" s="44"/>
      <c r="L344" s="44"/>
      <c r="M344" s="44"/>
      <c r="N344" s="44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5.75" customHeight="1">
      <c r="A345" s="39"/>
      <c r="B345" s="45"/>
      <c r="C345" s="46"/>
      <c r="D345" s="39"/>
      <c r="E345" s="39"/>
      <c r="F345" s="44"/>
      <c r="G345" s="39"/>
      <c r="H345" s="39"/>
      <c r="I345" s="39"/>
      <c r="J345" s="39"/>
      <c r="K345" s="44"/>
      <c r="L345" s="44"/>
      <c r="M345" s="44"/>
      <c r="N345" s="44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5.75" customHeight="1">
      <c r="A346" s="39"/>
      <c r="B346" s="45"/>
      <c r="C346" s="46"/>
      <c r="D346" s="39"/>
      <c r="E346" s="39"/>
      <c r="F346" s="44"/>
      <c r="G346" s="39"/>
      <c r="H346" s="39"/>
      <c r="I346" s="39"/>
      <c r="J346" s="39"/>
      <c r="K346" s="44"/>
      <c r="L346" s="44"/>
      <c r="M346" s="44"/>
      <c r="N346" s="44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5.75" customHeight="1">
      <c r="A347" s="39"/>
      <c r="B347" s="45"/>
      <c r="C347" s="46"/>
      <c r="D347" s="39"/>
      <c r="E347" s="39"/>
      <c r="F347" s="44"/>
      <c r="G347" s="39"/>
      <c r="H347" s="39"/>
      <c r="I347" s="39"/>
      <c r="J347" s="39"/>
      <c r="K347" s="44"/>
      <c r="L347" s="44"/>
      <c r="M347" s="44"/>
      <c r="N347" s="44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5.75" customHeight="1">
      <c r="A348" s="39"/>
      <c r="B348" s="45"/>
      <c r="C348" s="46"/>
      <c r="D348" s="39"/>
      <c r="E348" s="39"/>
      <c r="F348" s="44"/>
      <c r="G348" s="39"/>
      <c r="H348" s="39"/>
      <c r="I348" s="39"/>
      <c r="J348" s="39"/>
      <c r="K348" s="44"/>
      <c r="L348" s="44"/>
      <c r="M348" s="44"/>
      <c r="N348" s="44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5.75" customHeight="1">
      <c r="A349" s="39"/>
      <c r="B349" s="45"/>
      <c r="C349" s="46"/>
      <c r="D349" s="39"/>
      <c r="E349" s="39"/>
      <c r="F349" s="44"/>
      <c r="G349" s="39"/>
      <c r="H349" s="39"/>
      <c r="I349" s="39"/>
      <c r="J349" s="39"/>
      <c r="K349" s="44"/>
      <c r="L349" s="44"/>
      <c r="M349" s="44"/>
      <c r="N349" s="44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5.75" customHeight="1">
      <c r="A350" s="39"/>
      <c r="B350" s="45"/>
      <c r="C350" s="46"/>
      <c r="D350" s="39"/>
      <c r="E350" s="39"/>
      <c r="F350" s="44"/>
      <c r="G350" s="39"/>
      <c r="H350" s="39"/>
      <c r="I350" s="39"/>
      <c r="J350" s="39"/>
      <c r="K350" s="44"/>
      <c r="L350" s="44"/>
      <c r="M350" s="44"/>
      <c r="N350" s="44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5.75" customHeight="1">
      <c r="A351" s="39"/>
      <c r="B351" s="45"/>
      <c r="C351" s="46"/>
      <c r="D351" s="39"/>
      <c r="E351" s="39"/>
      <c r="F351" s="44"/>
      <c r="G351" s="39"/>
      <c r="H351" s="39"/>
      <c r="I351" s="39"/>
      <c r="J351" s="39"/>
      <c r="K351" s="44"/>
      <c r="L351" s="44"/>
      <c r="M351" s="44"/>
      <c r="N351" s="44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5.75" customHeight="1">
      <c r="A352" s="39"/>
      <c r="B352" s="45"/>
      <c r="C352" s="46"/>
      <c r="D352" s="39"/>
      <c r="E352" s="39"/>
      <c r="F352" s="44"/>
      <c r="G352" s="39"/>
      <c r="H352" s="39"/>
      <c r="I352" s="39"/>
      <c r="J352" s="39"/>
      <c r="K352" s="44"/>
      <c r="L352" s="44"/>
      <c r="M352" s="44"/>
      <c r="N352" s="44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5.75" customHeight="1">
      <c r="A353" s="39"/>
      <c r="B353" s="45"/>
      <c r="C353" s="46"/>
      <c r="D353" s="39"/>
      <c r="E353" s="39"/>
      <c r="F353" s="44"/>
      <c r="G353" s="39"/>
      <c r="H353" s="39"/>
      <c r="I353" s="39"/>
      <c r="J353" s="39"/>
      <c r="K353" s="44"/>
      <c r="L353" s="44"/>
      <c r="M353" s="44"/>
      <c r="N353" s="44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5.75" customHeight="1">
      <c r="A354" s="39"/>
      <c r="B354" s="45"/>
      <c r="C354" s="46"/>
      <c r="D354" s="39"/>
      <c r="E354" s="39"/>
      <c r="F354" s="44"/>
      <c r="G354" s="39"/>
      <c r="H354" s="39"/>
      <c r="I354" s="39"/>
      <c r="J354" s="39"/>
      <c r="K354" s="44"/>
      <c r="L354" s="44"/>
      <c r="M354" s="44"/>
      <c r="N354" s="44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5.75" customHeight="1">
      <c r="A355" s="39"/>
      <c r="B355" s="45"/>
      <c r="C355" s="46"/>
      <c r="D355" s="39"/>
      <c r="E355" s="39"/>
      <c r="F355" s="44"/>
      <c r="G355" s="39"/>
      <c r="H355" s="39"/>
      <c r="I355" s="39"/>
      <c r="J355" s="39"/>
      <c r="K355" s="44"/>
      <c r="L355" s="44"/>
      <c r="M355" s="44"/>
      <c r="N355" s="44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5.75" customHeight="1">
      <c r="A356" s="39"/>
      <c r="B356" s="45"/>
      <c r="C356" s="46"/>
      <c r="D356" s="39"/>
      <c r="E356" s="39"/>
      <c r="F356" s="44"/>
      <c r="G356" s="39"/>
      <c r="H356" s="39"/>
      <c r="I356" s="39"/>
      <c r="J356" s="39"/>
      <c r="K356" s="44"/>
      <c r="L356" s="44"/>
      <c r="M356" s="44"/>
      <c r="N356" s="44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5.75" customHeight="1">
      <c r="A357" s="39"/>
      <c r="B357" s="45"/>
      <c r="C357" s="46"/>
      <c r="D357" s="39"/>
      <c r="E357" s="39"/>
      <c r="F357" s="44"/>
      <c r="G357" s="39"/>
      <c r="H357" s="39"/>
      <c r="I357" s="39"/>
      <c r="J357" s="39"/>
      <c r="K357" s="44"/>
      <c r="L357" s="44"/>
      <c r="M357" s="44"/>
      <c r="N357" s="44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5.75" customHeight="1">
      <c r="A358" s="39"/>
      <c r="B358" s="45"/>
      <c r="C358" s="46"/>
      <c r="D358" s="39"/>
      <c r="E358" s="39"/>
      <c r="F358" s="44"/>
      <c r="G358" s="39"/>
      <c r="H358" s="39"/>
      <c r="I358" s="39"/>
      <c r="J358" s="39"/>
      <c r="K358" s="44"/>
      <c r="L358" s="44"/>
      <c r="M358" s="44"/>
      <c r="N358" s="44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5.75" customHeight="1">
      <c r="A359" s="39"/>
      <c r="B359" s="45"/>
      <c r="C359" s="46"/>
      <c r="D359" s="39"/>
      <c r="E359" s="39"/>
      <c r="F359" s="44"/>
      <c r="G359" s="39"/>
      <c r="H359" s="39"/>
      <c r="I359" s="39"/>
      <c r="J359" s="39"/>
      <c r="K359" s="44"/>
      <c r="L359" s="44"/>
      <c r="M359" s="44"/>
      <c r="N359" s="44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5.75" customHeight="1">
      <c r="A360" s="39"/>
      <c r="B360" s="45"/>
      <c r="C360" s="46"/>
      <c r="D360" s="39"/>
      <c r="E360" s="39"/>
      <c r="F360" s="44"/>
      <c r="G360" s="39"/>
      <c r="H360" s="39"/>
      <c r="I360" s="39"/>
      <c r="J360" s="39"/>
      <c r="K360" s="44"/>
      <c r="L360" s="44"/>
      <c r="M360" s="44"/>
      <c r="N360" s="44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5.75" customHeight="1">
      <c r="A361" s="39"/>
      <c r="B361" s="45"/>
      <c r="C361" s="46"/>
      <c r="D361" s="39"/>
      <c r="E361" s="39"/>
      <c r="F361" s="44"/>
      <c r="G361" s="39"/>
      <c r="H361" s="39"/>
      <c r="I361" s="39"/>
      <c r="J361" s="39"/>
      <c r="K361" s="44"/>
      <c r="L361" s="44"/>
      <c r="M361" s="44"/>
      <c r="N361" s="44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5.75" customHeight="1">
      <c r="A362" s="39"/>
      <c r="B362" s="45"/>
      <c r="C362" s="46"/>
      <c r="D362" s="39"/>
      <c r="E362" s="39"/>
      <c r="F362" s="44"/>
      <c r="G362" s="39"/>
      <c r="H362" s="39"/>
      <c r="I362" s="39"/>
      <c r="J362" s="39"/>
      <c r="K362" s="44"/>
      <c r="L362" s="44"/>
      <c r="M362" s="44"/>
      <c r="N362" s="44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5.75" customHeight="1">
      <c r="A363" s="39"/>
      <c r="B363" s="45"/>
      <c r="C363" s="46"/>
      <c r="D363" s="39"/>
      <c r="E363" s="39"/>
      <c r="F363" s="44"/>
      <c r="G363" s="39"/>
      <c r="H363" s="39"/>
      <c r="I363" s="39"/>
      <c r="J363" s="39"/>
      <c r="K363" s="44"/>
      <c r="L363" s="44"/>
      <c r="M363" s="44"/>
      <c r="N363" s="44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5.75" customHeight="1">
      <c r="A364" s="39"/>
      <c r="B364" s="45"/>
      <c r="C364" s="46"/>
      <c r="D364" s="39"/>
      <c r="E364" s="39"/>
      <c r="F364" s="44"/>
      <c r="G364" s="39"/>
      <c r="H364" s="39"/>
      <c r="I364" s="39"/>
      <c r="J364" s="39"/>
      <c r="K364" s="44"/>
      <c r="L364" s="44"/>
      <c r="M364" s="44"/>
      <c r="N364" s="44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5.75" customHeight="1">
      <c r="A365" s="39"/>
      <c r="B365" s="45"/>
      <c r="C365" s="46"/>
      <c r="D365" s="39"/>
      <c r="E365" s="39"/>
      <c r="F365" s="44"/>
      <c r="G365" s="39"/>
      <c r="H365" s="39"/>
      <c r="I365" s="39"/>
      <c r="J365" s="39"/>
      <c r="K365" s="44"/>
      <c r="L365" s="44"/>
      <c r="M365" s="44"/>
      <c r="N365" s="44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5.75" customHeight="1">
      <c r="A366" s="39"/>
      <c r="B366" s="45"/>
      <c r="C366" s="46"/>
      <c r="D366" s="39"/>
      <c r="E366" s="39"/>
      <c r="F366" s="44"/>
      <c r="G366" s="39"/>
      <c r="H366" s="39"/>
      <c r="I366" s="39"/>
      <c r="J366" s="39"/>
      <c r="K366" s="44"/>
      <c r="L366" s="44"/>
      <c r="M366" s="44"/>
      <c r="N366" s="44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5.75" customHeight="1">
      <c r="A367" s="39"/>
      <c r="B367" s="45"/>
      <c r="C367" s="46"/>
      <c r="D367" s="39"/>
      <c r="E367" s="39"/>
      <c r="F367" s="44"/>
      <c r="G367" s="39"/>
      <c r="H367" s="39"/>
      <c r="I367" s="39"/>
      <c r="J367" s="39"/>
      <c r="K367" s="44"/>
      <c r="L367" s="44"/>
      <c r="M367" s="44"/>
      <c r="N367" s="44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5.75" customHeight="1">
      <c r="A368" s="39"/>
      <c r="B368" s="45"/>
      <c r="C368" s="46"/>
      <c r="D368" s="39"/>
      <c r="E368" s="39"/>
      <c r="F368" s="44"/>
      <c r="G368" s="39"/>
      <c r="H368" s="39"/>
      <c r="I368" s="39"/>
      <c r="J368" s="39"/>
      <c r="K368" s="44"/>
      <c r="L368" s="44"/>
      <c r="M368" s="44"/>
      <c r="N368" s="44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5.75" customHeight="1">
      <c r="A369" s="39"/>
      <c r="B369" s="45"/>
      <c r="C369" s="46"/>
      <c r="D369" s="39"/>
      <c r="E369" s="39"/>
      <c r="F369" s="44"/>
      <c r="G369" s="39"/>
      <c r="H369" s="39"/>
      <c r="I369" s="39"/>
      <c r="J369" s="39"/>
      <c r="K369" s="44"/>
      <c r="L369" s="44"/>
      <c r="M369" s="44"/>
      <c r="N369" s="44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5.75" customHeight="1">
      <c r="A370" s="39"/>
      <c r="B370" s="45"/>
      <c r="C370" s="46"/>
      <c r="D370" s="39"/>
      <c r="E370" s="39"/>
      <c r="F370" s="44"/>
      <c r="G370" s="39"/>
      <c r="H370" s="39"/>
      <c r="I370" s="39"/>
      <c r="J370" s="39"/>
      <c r="K370" s="44"/>
      <c r="L370" s="44"/>
      <c r="M370" s="44"/>
      <c r="N370" s="44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5.75" customHeight="1">
      <c r="A371" s="39"/>
      <c r="B371" s="45"/>
      <c r="C371" s="46"/>
      <c r="D371" s="39"/>
      <c r="E371" s="39"/>
      <c r="F371" s="44"/>
      <c r="G371" s="39"/>
      <c r="H371" s="39"/>
      <c r="I371" s="39"/>
      <c r="J371" s="39"/>
      <c r="K371" s="44"/>
      <c r="L371" s="44"/>
      <c r="M371" s="44"/>
      <c r="N371" s="44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5.75" customHeight="1">
      <c r="A372" s="39"/>
      <c r="B372" s="45"/>
      <c r="C372" s="46"/>
      <c r="D372" s="39"/>
      <c r="E372" s="39"/>
      <c r="F372" s="44"/>
      <c r="G372" s="39"/>
      <c r="H372" s="39"/>
      <c r="I372" s="39"/>
      <c r="J372" s="39"/>
      <c r="K372" s="44"/>
      <c r="L372" s="44"/>
      <c r="M372" s="44"/>
      <c r="N372" s="44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5.75" customHeight="1">
      <c r="A373" s="39"/>
      <c r="B373" s="45"/>
      <c r="C373" s="46"/>
      <c r="D373" s="39"/>
      <c r="E373" s="39"/>
      <c r="F373" s="44"/>
      <c r="G373" s="39"/>
      <c r="H373" s="39"/>
      <c r="I373" s="39"/>
      <c r="J373" s="39"/>
      <c r="K373" s="44"/>
      <c r="L373" s="44"/>
      <c r="M373" s="44"/>
      <c r="N373" s="44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5.75" customHeight="1">
      <c r="A374" s="39"/>
      <c r="B374" s="45"/>
      <c r="C374" s="46"/>
      <c r="D374" s="39"/>
      <c r="E374" s="39"/>
      <c r="F374" s="44"/>
      <c r="G374" s="39"/>
      <c r="H374" s="39"/>
      <c r="I374" s="39"/>
      <c r="J374" s="39"/>
      <c r="K374" s="44"/>
      <c r="L374" s="44"/>
      <c r="M374" s="44"/>
      <c r="N374" s="44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5.75" customHeight="1">
      <c r="A375" s="39"/>
      <c r="B375" s="45"/>
      <c r="C375" s="46"/>
      <c r="D375" s="39"/>
      <c r="E375" s="39"/>
      <c r="F375" s="44"/>
      <c r="G375" s="39"/>
      <c r="H375" s="39"/>
      <c r="I375" s="39"/>
      <c r="J375" s="39"/>
      <c r="K375" s="44"/>
      <c r="L375" s="44"/>
      <c r="M375" s="44"/>
      <c r="N375" s="44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5.75" customHeight="1">
      <c r="A376" s="39"/>
      <c r="B376" s="45"/>
      <c r="C376" s="46"/>
      <c r="D376" s="39"/>
      <c r="E376" s="39"/>
      <c r="F376" s="44"/>
      <c r="G376" s="39"/>
      <c r="H376" s="39"/>
      <c r="I376" s="39"/>
      <c r="J376" s="39"/>
      <c r="K376" s="44"/>
      <c r="L376" s="44"/>
      <c r="M376" s="44"/>
      <c r="N376" s="44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5.75" customHeight="1">
      <c r="A377" s="39"/>
      <c r="B377" s="45"/>
      <c r="C377" s="46"/>
      <c r="D377" s="39"/>
      <c r="E377" s="39"/>
      <c r="F377" s="44"/>
      <c r="G377" s="39"/>
      <c r="H377" s="39"/>
      <c r="I377" s="39"/>
      <c r="J377" s="39"/>
      <c r="K377" s="44"/>
      <c r="L377" s="44"/>
      <c r="M377" s="44"/>
      <c r="N377" s="44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5.75" customHeight="1">
      <c r="A378" s="39"/>
      <c r="B378" s="45"/>
      <c r="C378" s="46"/>
      <c r="D378" s="39"/>
      <c r="E378" s="39"/>
      <c r="F378" s="44"/>
      <c r="G378" s="39"/>
      <c r="H378" s="39"/>
      <c r="I378" s="39"/>
      <c r="J378" s="39"/>
      <c r="K378" s="44"/>
      <c r="L378" s="44"/>
      <c r="M378" s="44"/>
      <c r="N378" s="44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5.75" customHeight="1">
      <c r="A379" s="39"/>
      <c r="B379" s="45"/>
      <c r="C379" s="46"/>
      <c r="D379" s="39"/>
      <c r="E379" s="39"/>
      <c r="F379" s="44"/>
      <c r="G379" s="39"/>
      <c r="H379" s="39"/>
      <c r="I379" s="39"/>
      <c r="J379" s="39"/>
      <c r="K379" s="44"/>
      <c r="L379" s="44"/>
      <c r="M379" s="44"/>
      <c r="N379" s="44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5.75" customHeight="1">
      <c r="A380" s="39"/>
      <c r="B380" s="45"/>
      <c r="C380" s="46"/>
      <c r="D380" s="39"/>
      <c r="E380" s="39"/>
      <c r="F380" s="44"/>
      <c r="G380" s="39"/>
      <c r="H380" s="39"/>
      <c r="I380" s="39"/>
      <c r="J380" s="39"/>
      <c r="K380" s="44"/>
      <c r="L380" s="44"/>
      <c r="M380" s="44"/>
      <c r="N380" s="44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5.75" customHeight="1">
      <c r="A381" s="39"/>
      <c r="B381" s="45"/>
      <c r="C381" s="46"/>
      <c r="D381" s="39"/>
      <c r="E381" s="39"/>
      <c r="F381" s="44"/>
      <c r="G381" s="39"/>
      <c r="H381" s="39"/>
      <c r="I381" s="39"/>
      <c r="J381" s="39"/>
      <c r="K381" s="44"/>
      <c r="L381" s="44"/>
      <c r="M381" s="44"/>
      <c r="N381" s="44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5.75" customHeight="1">
      <c r="A382" s="39"/>
      <c r="B382" s="45"/>
      <c r="C382" s="46"/>
      <c r="D382" s="39"/>
      <c r="E382" s="39"/>
      <c r="F382" s="44"/>
      <c r="G382" s="39"/>
      <c r="H382" s="39"/>
      <c r="I382" s="39"/>
      <c r="J382" s="39"/>
      <c r="K382" s="44"/>
      <c r="L382" s="44"/>
      <c r="M382" s="44"/>
      <c r="N382" s="44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5.75" customHeight="1">
      <c r="A383" s="39"/>
      <c r="B383" s="45"/>
      <c r="C383" s="46"/>
      <c r="D383" s="39"/>
      <c r="E383" s="39"/>
      <c r="F383" s="44"/>
      <c r="G383" s="39"/>
      <c r="H383" s="39"/>
      <c r="I383" s="39"/>
      <c r="J383" s="39"/>
      <c r="K383" s="44"/>
      <c r="L383" s="44"/>
      <c r="M383" s="44"/>
      <c r="N383" s="44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5.75" customHeight="1">
      <c r="A384" s="39"/>
      <c r="B384" s="45"/>
      <c r="C384" s="46"/>
      <c r="D384" s="39"/>
      <c r="E384" s="39"/>
      <c r="F384" s="44"/>
      <c r="G384" s="39"/>
      <c r="H384" s="39"/>
      <c r="I384" s="39"/>
      <c r="J384" s="39"/>
      <c r="K384" s="44"/>
      <c r="L384" s="44"/>
      <c r="M384" s="44"/>
      <c r="N384" s="44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5.75" customHeight="1">
      <c r="A385" s="39"/>
      <c r="B385" s="45"/>
      <c r="C385" s="46"/>
      <c r="D385" s="39"/>
      <c r="E385" s="39"/>
      <c r="F385" s="44"/>
      <c r="G385" s="39"/>
      <c r="H385" s="39"/>
      <c r="I385" s="39"/>
      <c r="J385" s="39"/>
      <c r="K385" s="44"/>
      <c r="L385" s="44"/>
      <c r="M385" s="44"/>
      <c r="N385" s="44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5.75" customHeight="1">
      <c r="A386" s="39"/>
      <c r="B386" s="45"/>
      <c r="C386" s="46"/>
      <c r="D386" s="39"/>
      <c r="E386" s="39"/>
      <c r="F386" s="44"/>
      <c r="G386" s="39"/>
      <c r="H386" s="39"/>
      <c r="I386" s="39"/>
      <c r="J386" s="39"/>
      <c r="K386" s="44"/>
      <c r="L386" s="44"/>
      <c r="M386" s="44"/>
      <c r="N386" s="44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5.75" customHeight="1">
      <c r="A387" s="39"/>
      <c r="B387" s="45"/>
      <c r="C387" s="46"/>
      <c r="D387" s="39"/>
      <c r="E387" s="39"/>
      <c r="F387" s="44"/>
      <c r="G387" s="39"/>
      <c r="H387" s="39"/>
      <c r="I387" s="39"/>
      <c r="J387" s="39"/>
      <c r="K387" s="44"/>
      <c r="L387" s="44"/>
      <c r="M387" s="44"/>
      <c r="N387" s="44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5.75" customHeight="1">
      <c r="A388" s="39"/>
      <c r="B388" s="45"/>
      <c r="C388" s="46"/>
      <c r="D388" s="39"/>
      <c r="E388" s="39"/>
      <c r="F388" s="44"/>
      <c r="G388" s="39"/>
      <c r="H388" s="39"/>
      <c r="I388" s="39"/>
      <c r="J388" s="39"/>
      <c r="K388" s="44"/>
      <c r="L388" s="44"/>
      <c r="M388" s="44"/>
      <c r="N388" s="44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5.75" customHeight="1">
      <c r="A389" s="39"/>
      <c r="B389" s="45"/>
      <c r="C389" s="46"/>
      <c r="D389" s="39"/>
      <c r="E389" s="39"/>
      <c r="F389" s="44"/>
      <c r="G389" s="39"/>
      <c r="H389" s="39"/>
      <c r="I389" s="39"/>
      <c r="J389" s="39"/>
      <c r="K389" s="44"/>
      <c r="L389" s="44"/>
      <c r="M389" s="44"/>
      <c r="N389" s="44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5.75" customHeight="1">
      <c r="A390" s="39"/>
      <c r="B390" s="45"/>
      <c r="C390" s="46"/>
      <c r="D390" s="39"/>
      <c r="E390" s="39"/>
      <c r="F390" s="44"/>
      <c r="G390" s="39"/>
      <c r="H390" s="39"/>
      <c r="I390" s="39"/>
      <c r="J390" s="39"/>
      <c r="K390" s="44"/>
      <c r="L390" s="44"/>
      <c r="M390" s="44"/>
      <c r="N390" s="44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5.75" customHeight="1">
      <c r="A391" s="39"/>
      <c r="B391" s="45"/>
      <c r="C391" s="46"/>
      <c r="D391" s="39"/>
      <c r="E391" s="39"/>
      <c r="F391" s="44"/>
      <c r="G391" s="39"/>
      <c r="H391" s="39"/>
      <c r="I391" s="39"/>
      <c r="J391" s="39"/>
      <c r="K391" s="44"/>
      <c r="L391" s="44"/>
      <c r="M391" s="44"/>
      <c r="N391" s="44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5.75" customHeight="1">
      <c r="A392" s="39"/>
      <c r="B392" s="45"/>
      <c r="C392" s="46"/>
      <c r="D392" s="39"/>
      <c r="E392" s="39"/>
      <c r="F392" s="44"/>
      <c r="G392" s="39"/>
      <c r="H392" s="39"/>
      <c r="I392" s="39"/>
      <c r="J392" s="39"/>
      <c r="K392" s="44"/>
      <c r="L392" s="44"/>
      <c r="M392" s="44"/>
      <c r="N392" s="44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5.75" customHeight="1">
      <c r="A393" s="39"/>
      <c r="B393" s="45"/>
      <c r="C393" s="46"/>
      <c r="D393" s="39"/>
      <c r="E393" s="39"/>
      <c r="F393" s="44"/>
      <c r="G393" s="39"/>
      <c r="H393" s="39"/>
      <c r="I393" s="39"/>
      <c r="J393" s="39"/>
      <c r="K393" s="44"/>
      <c r="L393" s="44"/>
      <c r="M393" s="44"/>
      <c r="N393" s="44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5.75" customHeight="1">
      <c r="A394" s="39"/>
      <c r="B394" s="45"/>
      <c r="C394" s="46"/>
      <c r="D394" s="39"/>
      <c r="E394" s="39"/>
      <c r="F394" s="44"/>
      <c r="G394" s="39"/>
      <c r="H394" s="39"/>
      <c r="I394" s="39"/>
      <c r="J394" s="39"/>
      <c r="K394" s="44"/>
      <c r="L394" s="44"/>
      <c r="M394" s="44"/>
      <c r="N394" s="44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5.75" customHeight="1">
      <c r="A395" s="39"/>
      <c r="B395" s="45"/>
      <c r="C395" s="46"/>
      <c r="D395" s="39"/>
      <c r="E395" s="39"/>
      <c r="F395" s="44"/>
      <c r="G395" s="39"/>
      <c r="H395" s="39"/>
      <c r="I395" s="39"/>
      <c r="J395" s="39"/>
      <c r="K395" s="44"/>
      <c r="L395" s="44"/>
      <c r="M395" s="44"/>
      <c r="N395" s="44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5.75" customHeight="1">
      <c r="A396" s="39"/>
      <c r="B396" s="45"/>
      <c r="C396" s="46"/>
      <c r="D396" s="39"/>
      <c r="E396" s="39"/>
      <c r="F396" s="44"/>
      <c r="G396" s="39"/>
      <c r="H396" s="39"/>
      <c r="I396" s="39"/>
      <c r="J396" s="39"/>
      <c r="K396" s="44"/>
      <c r="L396" s="44"/>
      <c r="M396" s="44"/>
      <c r="N396" s="44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5.75" customHeight="1">
      <c r="A397" s="39"/>
      <c r="B397" s="45"/>
      <c r="C397" s="46"/>
      <c r="D397" s="39"/>
      <c r="E397" s="39"/>
      <c r="F397" s="44"/>
      <c r="G397" s="39"/>
      <c r="H397" s="39"/>
      <c r="I397" s="39"/>
      <c r="J397" s="39"/>
      <c r="K397" s="44"/>
      <c r="L397" s="44"/>
      <c r="M397" s="44"/>
      <c r="N397" s="44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5.75" customHeight="1">
      <c r="A398" s="39"/>
      <c r="B398" s="45"/>
      <c r="C398" s="46"/>
      <c r="D398" s="39"/>
      <c r="E398" s="39"/>
      <c r="F398" s="44"/>
      <c r="G398" s="39"/>
      <c r="H398" s="39"/>
      <c r="I398" s="39"/>
      <c r="J398" s="39"/>
      <c r="K398" s="44"/>
      <c r="L398" s="44"/>
      <c r="M398" s="44"/>
      <c r="N398" s="44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5.75" customHeight="1">
      <c r="A399" s="39"/>
      <c r="B399" s="45"/>
      <c r="C399" s="46"/>
      <c r="D399" s="39"/>
      <c r="E399" s="39"/>
      <c r="F399" s="44"/>
      <c r="G399" s="39"/>
      <c r="H399" s="39"/>
      <c r="I399" s="39"/>
      <c r="J399" s="39"/>
      <c r="K399" s="44"/>
      <c r="L399" s="44"/>
      <c r="M399" s="44"/>
      <c r="N399" s="44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5.75" customHeight="1">
      <c r="A400" s="39"/>
      <c r="B400" s="45"/>
      <c r="C400" s="46"/>
      <c r="D400" s="39"/>
      <c r="E400" s="39"/>
      <c r="F400" s="44"/>
      <c r="G400" s="39"/>
      <c r="H400" s="39"/>
      <c r="I400" s="39"/>
      <c r="J400" s="39"/>
      <c r="K400" s="44"/>
      <c r="L400" s="44"/>
      <c r="M400" s="44"/>
      <c r="N400" s="44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5.75" customHeight="1">
      <c r="A401" s="39"/>
      <c r="B401" s="45"/>
      <c r="C401" s="46"/>
      <c r="D401" s="39"/>
      <c r="E401" s="39"/>
      <c r="F401" s="44"/>
      <c r="G401" s="39"/>
      <c r="H401" s="39"/>
      <c r="I401" s="39"/>
      <c r="J401" s="39"/>
      <c r="K401" s="44"/>
      <c r="L401" s="44"/>
      <c r="M401" s="44"/>
      <c r="N401" s="44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5.75" customHeight="1">
      <c r="A402" s="39"/>
      <c r="B402" s="45"/>
      <c r="C402" s="46"/>
      <c r="D402" s="39"/>
      <c r="E402" s="39"/>
      <c r="F402" s="44"/>
      <c r="G402" s="39"/>
      <c r="H402" s="39"/>
      <c r="I402" s="39"/>
      <c r="J402" s="39"/>
      <c r="K402" s="44"/>
      <c r="L402" s="44"/>
      <c r="M402" s="44"/>
      <c r="N402" s="44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5.75" customHeight="1">
      <c r="A403" s="39"/>
      <c r="B403" s="45"/>
      <c r="C403" s="46"/>
      <c r="D403" s="39"/>
      <c r="E403" s="39"/>
      <c r="F403" s="44"/>
      <c r="G403" s="39"/>
      <c r="H403" s="39"/>
      <c r="I403" s="39"/>
      <c r="J403" s="39"/>
      <c r="K403" s="44"/>
      <c r="L403" s="44"/>
      <c r="M403" s="44"/>
      <c r="N403" s="44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5.75" customHeight="1">
      <c r="A404" s="39"/>
      <c r="B404" s="45"/>
      <c r="C404" s="46"/>
      <c r="D404" s="39"/>
      <c r="E404" s="39"/>
      <c r="F404" s="44"/>
      <c r="G404" s="39"/>
      <c r="H404" s="39"/>
      <c r="I404" s="39"/>
      <c r="J404" s="39"/>
      <c r="K404" s="44"/>
      <c r="L404" s="44"/>
      <c r="M404" s="44"/>
      <c r="N404" s="44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5.75" customHeight="1">
      <c r="A405" s="39"/>
      <c r="B405" s="45"/>
      <c r="C405" s="46"/>
      <c r="D405" s="39"/>
      <c r="E405" s="39"/>
      <c r="F405" s="44"/>
      <c r="G405" s="39"/>
      <c r="H405" s="39"/>
      <c r="I405" s="39"/>
      <c r="J405" s="39"/>
      <c r="K405" s="44"/>
      <c r="L405" s="44"/>
      <c r="M405" s="44"/>
      <c r="N405" s="44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5.75" customHeight="1">
      <c r="A406" s="39"/>
      <c r="B406" s="45"/>
      <c r="C406" s="46"/>
      <c r="D406" s="39"/>
      <c r="E406" s="39"/>
      <c r="F406" s="44"/>
      <c r="G406" s="39"/>
      <c r="H406" s="39"/>
      <c r="I406" s="39"/>
      <c r="J406" s="39"/>
      <c r="K406" s="44"/>
      <c r="L406" s="44"/>
      <c r="M406" s="44"/>
      <c r="N406" s="44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5.75" customHeight="1">
      <c r="A407" s="39"/>
      <c r="B407" s="45"/>
      <c r="C407" s="46"/>
      <c r="D407" s="39"/>
      <c r="E407" s="39"/>
      <c r="F407" s="44"/>
      <c r="G407" s="39"/>
      <c r="H407" s="39"/>
      <c r="I407" s="39"/>
      <c r="J407" s="39"/>
      <c r="K407" s="44"/>
      <c r="L407" s="44"/>
      <c r="M407" s="44"/>
      <c r="N407" s="44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5.75" customHeight="1">
      <c r="A408" s="39"/>
      <c r="B408" s="45"/>
      <c r="C408" s="46"/>
      <c r="D408" s="39"/>
      <c r="E408" s="39"/>
      <c r="F408" s="44"/>
      <c r="G408" s="39"/>
      <c r="H408" s="39"/>
      <c r="I408" s="39"/>
      <c r="J408" s="39"/>
      <c r="K408" s="44"/>
      <c r="L408" s="44"/>
      <c r="M408" s="44"/>
      <c r="N408" s="44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5.75" customHeight="1">
      <c r="A409" s="39"/>
      <c r="B409" s="45"/>
      <c r="C409" s="46"/>
      <c r="D409" s="39"/>
      <c r="E409" s="39"/>
      <c r="F409" s="44"/>
      <c r="G409" s="39"/>
      <c r="H409" s="39"/>
      <c r="I409" s="39"/>
      <c r="J409" s="39"/>
      <c r="K409" s="44"/>
      <c r="L409" s="44"/>
      <c r="M409" s="44"/>
      <c r="N409" s="44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5.75" customHeight="1">
      <c r="A410" s="39"/>
      <c r="B410" s="45"/>
      <c r="C410" s="46"/>
      <c r="D410" s="39"/>
      <c r="E410" s="39"/>
      <c r="F410" s="44"/>
      <c r="G410" s="39"/>
      <c r="H410" s="39"/>
      <c r="I410" s="39"/>
      <c r="J410" s="39"/>
      <c r="K410" s="44"/>
      <c r="L410" s="44"/>
      <c r="M410" s="44"/>
      <c r="N410" s="44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5.75" customHeight="1">
      <c r="A411" s="39"/>
      <c r="B411" s="45"/>
      <c r="C411" s="46"/>
      <c r="D411" s="39"/>
      <c r="E411" s="39"/>
      <c r="F411" s="44"/>
      <c r="G411" s="39"/>
      <c r="H411" s="39"/>
      <c r="I411" s="39"/>
      <c r="J411" s="39"/>
      <c r="K411" s="44"/>
      <c r="L411" s="44"/>
      <c r="M411" s="44"/>
      <c r="N411" s="44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5.75" customHeight="1">
      <c r="A412" s="39"/>
      <c r="B412" s="45"/>
      <c r="C412" s="46"/>
      <c r="D412" s="39"/>
      <c r="E412" s="39"/>
      <c r="F412" s="44"/>
      <c r="G412" s="39"/>
      <c r="H412" s="39"/>
      <c r="I412" s="39"/>
      <c r="J412" s="39"/>
      <c r="K412" s="44"/>
      <c r="L412" s="44"/>
      <c r="M412" s="44"/>
      <c r="N412" s="44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5.75" customHeight="1">
      <c r="A413" s="39"/>
      <c r="B413" s="45"/>
      <c r="C413" s="46"/>
      <c r="D413" s="39"/>
      <c r="E413" s="39"/>
      <c r="F413" s="44"/>
      <c r="G413" s="39"/>
      <c r="H413" s="39"/>
      <c r="I413" s="39"/>
      <c r="J413" s="39"/>
      <c r="K413" s="44"/>
      <c r="L413" s="44"/>
      <c r="M413" s="44"/>
      <c r="N413" s="44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5.75" customHeight="1">
      <c r="A414" s="39"/>
      <c r="B414" s="45"/>
      <c r="C414" s="46"/>
      <c r="D414" s="39"/>
      <c r="E414" s="39"/>
      <c r="F414" s="44"/>
      <c r="G414" s="39"/>
      <c r="H414" s="39"/>
      <c r="I414" s="39"/>
      <c r="J414" s="39"/>
      <c r="K414" s="44"/>
      <c r="L414" s="44"/>
      <c r="M414" s="44"/>
      <c r="N414" s="44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5.75" customHeight="1">
      <c r="A415" s="39"/>
      <c r="B415" s="45"/>
      <c r="C415" s="46"/>
      <c r="D415" s="39"/>
      <c r="E415" s="39"/>
      <c r="F415" s="44"/>
      <c r="G415" s="39"/>
      <c r="H415" s="39"/>
      <c r="I415" s="39"/>
      <c r="J415" s="39"/>
      <c r="K415" s="44"/>
      <c r="L415" s="44"/>
      <c r="M415" s="44"/>
      <c r="N415" s="44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5.75" customHeight="1">
      <c r="A416" s="39"/>
      <c r="B416" s="45"/>
      <c r="C416" s="46"/>
      <c r="D416" s="39"/>
      <c r="E416" s="39"/>
      <c r="F416" s="44"/>
      <c r="G416" s="39"/>
      <c r="H416" s="39"/>
      <c r="I416" s="39"/>
      <c r="J416" s="39"/>
      <c r="K416" s="44"/>
      <c r="L416" s="44"/>
      <c r="M416" s="44"/>
      <c r="N416" s="44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5.75" customHeight="1">
      <c r="A417" s="39"/>
      <c r="B417" s="45"/>
      <c r="C417" s="46"/>
      <c r="D417" s="39"/>
      <c r="E417" s="39"/>
      <c r="F417" s="44"/>
      <c r="G417" s="39"/>
      <c r="H417" s="39"/>
      <c r="I417" s="39"/>
      <c r="J417" s="39"/>
      <c r="K417" s="44"/>
      <c r="L417" s="44"/>
      <c r="M417" s="44"/>
      <c r="N417" s="44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5.75" customHeight="1">
      <c r="A418" s="39"/>
      <c r="B418" s="45"/>
      <c r="C418" s="46"/>
      <c r="D418" s="39"/>
      <c r="E418" s="39"/>
      <c r="F418" s="44"/>
      <c r="G418" s="39"/>
      <c r="H418" s="39"/>
      <c r="I418" s="39"/>
      <c r="J418" s="39"/>
      <c r="K418" s="44"/>
      <c r="L418" s="44"/>
      <c r="M418" s="44"/>
      <c r="N418" s="44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5.75" customHeight="1">
      <c r="A419" s="39"/>
      <c r="B419" s="45"/>
      <c r="C419" s="46"/>
      <c r="D419" s="39"/>
      <c r="E419" s="39"/>
      <c r="F419" s="44"/>
      <c r="G419" s="39"/>
      <c r="H419" s="39"/>
      <c r="I419" s="39"/>
      <c r="J419" s="39"/>
      <c r="K419" s="44"/>
      <c r="L419" s="44"/>
      <c r="M419" s="44"/>
      <c r="N419" s="44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5.75" customHeight="1">
      <c r="A420" s="39"/>
      <c r="B420" s="45"/>
      <c r="C420" s="46"/>
      <c r="D420" s="39"/>
      <c r="E420" s="39"/>
      <c r="F420" s="44"/>
      <c r="G420" s="39"/>
      <c r="H420" s="39"/>
      <c r="I420" s="39"/>
      <c r="J420" s="39"/>
      <c r="K420" s="44"/>
      <c r="L420" s="44"/>
      <c r="M420" s="44"/>
      <c r="N420" s="44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5.75" customHeight="1">
      <c r="A421" s="39"/>
      <c r="B421" s="45"/>
      <c r="C421" s="46"/>
      <c r="D421" s="39"/>
      <c r="E421" s="39"/>
      <c r="F421" s="44"/>
      <c r="G421" s="39"/>
      <c r="H421" s="39"/>
      <c r="I421" s="39"/>
      <c r="J421" s="39"/>
      <c r="K421" s="44"/>
      <c r="L421" s="44"/>
      <c r="M421" s="44"/>
      <c r="N421" s="44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5.75" customHeight="1">
      <c r="A422" s="39"/>
      <c r="B422" s="45"/>
      <c r="C422" s="46"/>
      <c r="D422" s="39"/>
      <c r="E422" s="39"/>
      <c r="F422" s="44"/>
      <c r="G422" s="39"/>
      <c r="H422" s="39"/>
      <c r="I422" s="39"/>
      <c r="J422" s="39"/>
      <c r="K422" s="44"/>
      <c r="L422" s="44"/>
      <c r="M422" s="44"/>
      <c r="N422" s="44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5.75" customHeight="1">
      <c r="A423" s="39"/>
      <c r="B423" s="45"/>
      <c r="C423" s="46"/>
      <c r="D423" s="39"/>
      <c r="E423" s="39"/>
      <c r="F423" s="44"/>
      <c r="G423" s="39"/>
      <c r="H423" s="39"/>
      <c r="I423" s="39"/>
      <c r="J423" s="39"/>
      <c r="K423" s="44"/>
      <c r="L423" s="44"/>
      <c r="M423" s="44"/>
      <c r="N423" s="44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5.75" customHeight="1">
      <c r="A424" s="39"/>
      <c r="B424" s="45"/>
      <c r="C424" s="46"/>
      <c r="D424" s="39"/>
      <c r="E424" s="39"/>
      <c r="F424" s="44"/>
      <c r="G424" s="39"/>
      <c r="H424" s="39"/>
      <c r="I424" s="39"/>
      <c r="J424" s="39"/>
      <c r="K424" s="44"/>
      <c r="L424" s="44"/>
      <c r="M424" s="44"/>
      <c r="N424" s="44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5.75" customHeight="1">
      <c r="A425" s="39"/>
      <c r="B425" s="45"/>
      <c r="C425" s="46"/>
      <c r="D425" s="39"/>
      <c r="E425" s="39"/>
      <c r="F425" s="44"/>
      <c r="G425" s="39"/>
      <c r="H425" s="39"/>
      <c r="I425" s="39"/>
      <c r="J425" s="39"/>
      <c r="K425" s="44"/>
      <c r="L425" s="44"/>
      <c r="M425" s="44"/>
      <c r="N425" s="44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5.75" customHeight="1">
      <c r="A426" s="39"/>
      <c r="B426" s="45"/>
      <c r="C426" s="46"/>
      <c r="D426" s="39"/>
      <c r="E426" s="39"/>
      <c r="F426" s="44"/>
      <c r="G426" s="39"/>
      <c r="H426" s="39"/>
      <c r="I426" s="39"/>
      <c r="J426" s="39"/>
      <c r="K426" s="44"/>
      <c r="L426" s="44"/>
      <c r="M426" s="44"/>
      <c r="N426" s="44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5.75" customHeight="1">
      <c r="A427" s="39"/>
      <c r="B427" s="45"/>
      <c r="C427" s="46"/>
      <c r="D427" s="39"/>
      <c r="E427" s="39"/>
      <c r="F427" s="44"/>
      <c r="G427" s="39"/>
      <c r="H427" s="39"/>
      <c r="I427" s="39"/>
      <c r="J427" s="39"/>
      <c r="K427" s="44"/>
      <c r="L427" s="44"/>
      <c r="M427" s="44"/>
      <c r="N427" s="44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5.75" customHeight="1">
      <c r="A428" s="39"/>
      <c r="B428" s="45"/>
      <c r="C428" s="46"/>
      <c r="D428" s="39"/>
      <c r="E428" s="39"/>
      <c r="F428" s="44"/>
      <c r="G428" s="39"/>
      <c r="H428" s="39"/>
      <c r="I428" s="39"/>
      <c r="J428" s="39"/>
      <c r="K428" s="44"/>
      <c r="L428" s="44"/>
      <c r="M428" s="44"/>
      <c r="N428" s="44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5.75" customHeight="1">
      <c r="A429" s="39"/>
      <c r="B429" s="45"/>
      <c r="C429" s="46"/>
      <c r="D429" s="39"/>
      <c r="E429" s="39"/>
      <c r="F429" s="44"/>
      <c r="G429" s="39"/>
      <c r="H429" s="39"/>
      <c r="I429" s="39"/>
      <c r="J429" s="39"/>
      <c r="K429" s="44"/>
      <c r="L429" s="44"/>
      <c r="M429" s="44"/>
      <c r="N429" s="44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5.75" customHeight="1">
      <c r="A430" s="39"/>
      <c r="B430" s="45"/>
      <c r="C430" s="46"/>
      <c r="D430" s="39"/>
      <c r="E430" s="39"/>
      <c r="F430" s="44"/>
      <c r="G430" s="39"/>
      <c r="H430" s="39"/>
      <c r="I430" s="39"/>
      <c r="J430" s="39"/>
      <c r="K430" s="44"/>
      <c r="L430" s="44"/>
      <c r="M430" s="44"/>
      <c r="N430" s="44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5.75" customHeight="1">
      <c r="A431" s="39"/>
      <c r="B431" s="45"/>
      <c r="C431" s="46"/>
      <c r="D431" s="39"/>
      <c r="E431" s="39"/>
      <c r="F431" s="44"/>
      <c r="G431" s="39"/>
      <c r="H431" s="39"/>
      <c r="I431" s="39"/>
      <c r="J431" s="39"/>
      <c r="K431" s="44"/>
      <c r="L431" s="44"/>
      <c r="M431" s="44"/>
      <c r="N431" s="44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5.75" customHeight="1">
      <c r="A432" s="39"/>
      <c r="B432" s="45"/>
      <c r="C432" s="46"/>
      <c r="D432" s="39"/>
      <c r="E432" s="39"/>
      <c r="F432" s="44"/>
      <c r="G432" s="39"/>
      <c r="H432" s="39"/>
      <c r="I432" s="39"/>
      <c r="J432" s="39"/>
      <c r="K432" s="44"/>
      <c r="L432" s="44"/>
      <c r="M432" s="44"/>
      <c r="N432" s="44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5.75" customHeight="1">
      <c r="A433" s="39"/>
      <c r="B433" s="45"/>
      <c r="C433" s="46"/>
      <c r="D433" s="39"/>
      <c r="E433" s="39"/>
      <c r="F433" s="44"/>
      <c r="G433" s="39"/>
      <c r="H433" s="39"/>
      <c r="I433" s="39"/>
      <c r="J433" s="39"/>
      <c r="K433" s="44"/>
      <c r="L433" s="44"/>
      <c r="M433" s="44"/>
      <c r="N433" s="44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5.75" customHeight="1">
      <c r="A434" s="39"/>
      <c r="B434" s="45"/>
      <c r="C434" s="46"/>
      <c r="D434" s="39"/>
      <c r="E434" s="39"/>
      <c r="F434" s="44"/>
      <c r="G434" s="39"/>
      <c r="H434" s="39"/>
      <c r="I434" s="39"/>
      <c r="J434" s="39"/>
      <c r="K434" s="44"/>
      <c r="L434" s="44"/>
      <c r="M434" s="44"/>
      <c r="N434" s="44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5.75" customHeight="1">
      <c r="A435" s="39"/>
      <c r="B435" s="45"/>
      <c r="C435" s="46"/>
      <c r="D435" s="39"/>
      <c r="E435" s="39"/>
      <c r="F435" s="44"/>
      <c r="G435" s="39"/>
      <c r="H435" s="39"/>
      <c r="I435" s="39"/>
      <c r="J435" s="39"/>
      <c r="K435" s="44"/>
      <c r="L435" s="44"/>
      <c r="M435" s="44"/>
      <c r="N435" s="44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5.75" customHeight="1">
      <c r="A436" s="39"/>
      <c r="B436" s="45"/>
      <c r="C436" s="46"/>
      <c r="D436" s="39"/>
      <c r="E436" s="39"/>
      <c r="F436" s="44"/>
      <c r="G436" s="39"/>
      <c r="H436" s="39"/>
      <c r="I436" s="39"/>
      <c r="J436" s="39"/>
      <c r="K436" s="44"/>
      <c r="L436" s="44"/>
      <c r="M436" s="44"/>
      <c r="N436" s="44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5.75" customHeight="1">
      <c r="A437" s="39"/>
      <c r="B437" s="45"/>
      <c r="C437" s="46"/>
      <c r="D437" s="39"/>
      <c r="E437" s="39"/>
      <c r="F437" s="44"/>
      <c r="G437" s="39"/>
      <c r="H437" s="39"/>
      <c r="I437" s="39"/>
      <c r="J437" s="39"/>
      <c r="K437" s="44"/>
      <c r="L437" s="44"/>
      <c r="M437" s="44"/>
      <c r="N437" s="44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5.75" customHeight="1">
      <c r="A438" s="39"/>
      <c r="B438" s="45"/>
      <c r="C438" s="46"/>
      <c r="D438" s="39"/>
      <c r="E438" s="39"/>
      <c r="F438" s="44"/>
      <c r="G438" s="39"/>
      <c r="H438" s="39"/>
      <c r="I438" s="39"/>
      <c r="J438" s="39"/>
      <c r="K438" s="44"/>
      <c r="L438" s="44"/>
      <c r="M438" s="44"/>
      <c r="N438" s="44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5.75" customHeight="1">
      <c r="A439" s="39"/>
      <c r="B439" s="45"/>
      <c r="C439" s="46"/>
      <c r="D439" s="39"/>
      <c r="E439" s="39"/>
      <c r="F439" s="44"/>
      <c r="G439" s="39"/>
      <c r="H439" s="39"/>
      <c r="I439" s="39"/>
      <c r="J439" s="39"/>
      <c r="K439" s="44"/>
      <c r="L439" s="44"/>
      <c r="M439" s="44"/>
      <c r="N439" s="44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5.75" customHeight="1">
      <c r="A440" s="39"/>
      <c r="B440" s="45"/>
      <c r="C440" s="46"/>
      <c r="D440" s="39"/>
      <c r="E440" s="39"/>
      <c r="F440" s="44"/>
      <c r="G440" s="39"/>
      <c r="H440" s="39"/>
      <c r="I440" s="39"/>
      <c r="J440" s="39"/>
      <c r="K440" s="44"/>
      <c r="L440" s="44"/>
      <c r="M440" s="44"/>
      <c r="N440" s="44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5.75" customHeight="1">
      <c r="A441" s="39"/>
      <c r="B441" s="45"/>
      <c r="C441" s="46"/>
      <c r="D441" s="39"/>
      <c r="E441" s="39"/>
      <c r="F441" s="44"/>
      <c r="G441" s="39"/>
      <c r="H441" s="39"/>
      <c r="I441" s="39"/>
      <c r="J441" s="39"/>
      <c r="K441" s="44"/>
      <c r="L441" s="44"/>
      <c r="M441" s="44"/>
      <c r="N441" s="44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5.75" customHeight="1">
      <c r="A442" s="39"/>
      <c r="B442" s="45"/>
      <c r="C442" s="46"/>
      <c r="D442" s="39"/>
      <c r="E442" s="39"/>
      <c r="F442" s="44"/>
      <c r="G442" s="39"/>
      <c r="H442" s="39"/>
      <c r="I442" s="39"/>
      <c r="J442" s="39"/>
      <c r="K442" s="44"/>
      <c r="L442" s="44"/>
      <c r="M442" s="44"/>
      <c r="N442" s="44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5.75" customHeight="1">
      <c r="A443" s="39"/>
      <c r="B443" s="45"/>
      <c r="C443" s="46"/>
      <c r="D443" s="39"/>
      <c r="E443" s="39"/>
      <c r="F443" s="44"/>
      <c r="G443" s="39"/>
      <c r="H443" s="39"/>
      <c r="I443" s="39"/>
      <c r="J443" s="39"/>
      <c r="K443" s="44"/>
      <c r="L443" s="44"/>
      <c r="M443" s="44"/>
      <c r="N443" s="44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5.75" customHeight="1">
      <c r="A444" s="39"/>
      <c r="B444" s="45"/>
      <c r="C444" s="46"/>
      <c r="D444" s="39"/>
      <c r="E444" s="39"/>
      <c r="F444" s="44"/>
      <c r="G444" s="39"/>
      <c r="H444" s="39"/>
      <c r="I444" s="39"/>
      <c r="J444" s="39"/>
      <c r="K444" s="44"/>
      <c r="L444" s="44"/>
      <c r="M444" s="44"/>
      <c r="N444" s="44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5.75" customHeight="1">
      <c r="A445" s="39"/>
      <c r="B445" s="45"/>
      <c r="C445" s="46"/>
      <c r="D445" s="39"/>
      <c r="E445" s="39"/>
      <c r="F445" s="44"/>
      <c r="G445" s="39"/>
      <c r="H445" s="39"/>
      <c r="I445" s="39"/>
      <c r="J445" s="39"/>
      <c r="K445" s="44"/>
      <c r="L445" s="44"/>
      <c r="M445" s="44"/>
      <c r="N445" s="44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5.75" customHeight="1">
      <c r="A446" s="39"/>
      <c r="B446" s="45"/>
      <c r="C446" s="46"/>
      <c r="D446" s="39"/>
      <c r="E446" s="39"/>
      <c r="F446" s="44"/>
      <c r="G446" s="39"/>
      <c r="H446" s="39"/>
      <c r="I446" s="39"/>
      <c r="J446" s="39"/>
      <c r="K446" s="44"/>
      <c r="L446" s="44"/>
      <c r="M446" s="44"/>
      <c r="N446" s="44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5.75" customHeight="1">
      <c r="A447" s="39"/>
      <c r="B447" s="45"/>
      <c r="C447" s="46"/>
      <c r="D447" s="39"/>
      <c r="E447" s="39"/>
      <c r="F447" s="44"/>
      <c r="G447" s="39"/>
      <c r="H447" s="39"/>
      <c r="I447" s="39"/>
      <c r="J447" s="39"/>
      <c r="K447" s="44"/>
      <c r="L447" s="44"/>
      <c r="M447" s="44"/>
      <c r="N447" s="44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5.75" customHeight="1">
      <c r="A448" s="39"/>
      <c r="B448" s="45"/>
      <c r="C448" s="46"/>
      <c r="D448" s="39"/>
      <c r="E448" s="39"/>
      <c r="F448" s="44"/>
      <c r="G448" s="39"/>
      <c r="H448" s="39"/>
      <c r="I448" s="39"/>
      <c r="J448" s="39"/>
      <c r="K448" s="44"/>
      <c r="L448" s="44"/>
      <c r="M448" s="44"/>
      <c r="N448" s="44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5.75" customHeight="1">
      <c r="A449" s="39"/>
      <c r="B449" s="45"/>
      <c r="C449" s="46"/>
      <c r="D449" s="39"/>
      <c r="E449" s="39"/>
      <c r="F449" s="44"/>
      <c r="G449" s="39"/>
      <c r="H449" s="39"/>
      <c r="I449" s="39"/>
      <c r="J449" s="39"/>
      <c r="K449" s="44"/>
      <c r="L449" s="44"/>
      <c r="M449" s="44"/>
      <c r="N449" s="44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5.75" customHeight="1">
      <c r="A450" s="39"/>
      <c r="B450" s="45"/>
      <c r="C450" s="46"/>
      <c r="D450" s="39"/>
      <c r="E450" s="39"/>
      <c r="F450" s="44"/>
      <c r="G450" s="39"/>
      <c r="H450" s="39"/>
      <c r="I450" s="39"/>
      <c r="J450" s="39"/>
      <c r="K450" s="44"/>
      <c r="L450" s="44"/>
      <c r="M450" s="44"/>
      <c r="N450" s="44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5.75" customHeight="1">
      <c r="A451" s="39"/>
      <c r="B451" s="45"/>
      <c r="C451" s="46"/>
      <c r="D451" s="39"/>
      <c r="E451" s="39"/>
      <c r="F451" s="44"/>
      <c r="G451" s="39"/>
      <c r="H451" s="39"/>
      <c r="I451" s="39"/>
      <c r="J451" s="39"/>
      <c r="K451" s="44"/>
      <c r="L451" s="44"/>
      <c r="M451" s="44"/>
      <c r="N451" s="44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5.75" customHeight="1">
      <c r="A452" s="39"/>
      <c r="B452" s="45"/>
      <c r="C452" s="46"/>
      <c r="D452" s="39"/>
      <c r="E452" s="39"/>
      <c r="F452" s="44"/>
      <c r="G452" s="39"/>
      <c r="H452" s="39"/>
      <c r="I452" s="39"/>
      <c r="J452" s="39"/>
      <c r="K452" s="44"/>
      <c r="L452" s="44"/>
      <c r="M452" s="44"/>
      <c r="N452" s="44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5.75" customHeight="1">
      <c r="A453" s="39"/>
      <c r="B453" s="45"/>
      <c r="C453" s="46"/>
      <c r="D453" s="39"/>
      <c r="E453" s="39"/>
      <c r="F453" s="44"/>
      <c r="G453" s="39"/>
      <c r="H453" s="39"/>
      <c r="I453" s="39"/>
      <c r="J453" s="39"/>
      <c r="K453" s="44"/>
      <c r="L453" s="44"/>
      <c r="M453" s="44"/>
      <c r="N453" s="44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5.75" customHeight="1">
      <c r="A454" s="39"/>
      <c r="B454" s="45"/>
      <c r="C454" s="46"/>
      <c r="D454" s="39"/>
      <c r="E454" s="39"/>
      <c r="F454" s="44"/>
      <c r="G454" s="39"/>
      <c r="H454" s="39"/>
      <c r="I454" s="39"/>
      <c r="J454" s="39"/>
      <c r="K454" s="44"/>
      <c r="L454" s="44"/>
      <c r="M454" s="44"/>
      <c r="N454" s="44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5.75" customHeight="1">
      <c r="A455" s="39"/>
      <c r="B455" s="45"/>
      <c r="C455" s="46"/>
      <c r="D455" s="39"/>
      <c r="E455" s="39"/>
      <c r="F455" s="44"/>
      <c r="G455" s="39"/>
      <c r="H455" s="39"/>
      <c r="I455" s="39"/>
      <c r="J455" s="39"/>
      <c r="K455" s="44"/>
      <c r="L455" s="44"/>
      <c r="M455" s="44"/>
      <c r="N455" s="44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5.75" customHeight="1">
      <c r="A456" s="39"/>
      <c r="B456" s="45"/>
      <c r="C456" s="46"/>
      <c r="D456" s="39"/>
      <c r="E456" s="39"/>
      <c r="F456" s="44"/>
      <c r="G456" s="39"/>
      <c r="H456" s="39"/>
      <c r="I456" s="39"/>
      <c r="J456" s="39"/>
      <c r="K456" s="44"/>
      <c r="L456" s="44"/>
      <c r="M456" s="44"/>
      <c r="N456" s="44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5.75" customHeight="1">
      <c r="A457" s="39"/>
      <c r="B457" s="45"/>
      <c r="C457" s="46"/>
      <c r="D457" s="39"/>
      <c r="E457" s="39"/>
      <c r="F457" s="44"/>
      <c r="G457" s="39"/>
      <c r="H457" s="39"/>
      <c r="I457" s="39"/>
      <c r="J457" s="39"/>
      <c r="K457" s="44"/>
      <c r="L457" s="44"/>
      <c r="M457" s="44"/>
      <c r="N457" s="44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5.75" customHeight="1">
      <c r="A458" s="39"/>
      <c r="B458" s="45"/>
      <c r="C458" s="46"/>
      <c r="D458" s="39"/>
      <c r="E458" s="39"/>
      <c r="F458" s="44"/>
      <c r="G458" s="39"/>
      <c r="H458" s="39"/>
      <c r="I458" s="39"/>
      <c r="J458" s="39"/>
      <c r="K458" s="44"/>
      <c r="L458" s="44"/>
      <c r="M458" s="44"/>
      <c r="N458" s="44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5.75" customHeight="1">
      <c r="A459" s="39"/>
      <c r="B459" s="45"/>
      <c r="C459" s="46"/>
      <c r="D459" s="39"/>
      <c r="E459" s="39"/>
      <c r="F459" s="44"/>
      <c r="G459" s="39"/>
      <c r="H459" s="39"/>
      <c r="I459" s="39"/>
      <c r="J459" s="39"/>
      <c r="K459" s="44"/>
      <c r="L459" s="44"/>
      <c r="M459" s="44"/>
      <c r="N459" s="44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5.75" customHeight="1">
      <c r="A460" s="39"/>
      <c r="B460" s="45"/>
      <c r="C460" s="46"/>
      <c r="D460" s="39"/>
      <c r="E460" s="39"/>
      <c r="F460" s="44"/>
      <c r="G460" s="39"/>
      <c r="H460" s="39"/>
      <c r="I460" s="39"/>
      <c r="J460" s="39"/>
      <c r="K460" s="44"/>
      <c r="L460" s="44"/>
      <c r="M460" s="44"/>
      <c r="N460" s="44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5.75" customHeight="1">
      <c r="A461" s="39"/>
      <c r="B461" s="45"/>
      <c r="C461" s="46"/>
      <c r="D461" s="39"/>
      <c r="E461" s="39"/>
      <c r="F461" s="44"/>
      <c r="G461" s="39"/>
      <c r="H461" s="39"/>
      <c r="I461" s="39"/>
      <c r="J461" s="39"/>
      <c r="K461" s="44"/>
      <c r="L461" s="44"/>
      <c r="M461" s="44"/>
      <c r="N461" s="44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5.75" customHeight="1">
      <c r="A462" s="39"/>
      <c r="B462" s="45"/>
      <c r="C462" s="46"/>
      <c r="D462" s="39"/>
      <c r="E462" s="39"/>
      <c r="F462" s="44"/>
      <c r="G462" s="39"/>
      <c r="H462" s="39"/>
      <c r="I462" s="39"/>
      <c r="J462" s="39"/>
      <c r="K462" s="44"/>
      <c r="L462" s="44"/>
      <c r="M462" s="44"/>
      <c r="N462" s="44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5.75" customHeight="1">
      <c r="A463" s="39"/>
      <c r="B463" s="45"/>
      <c r="C463" s="46"/>
      <c r="D463" s="39"/>
      <c r="E463" s="39"/>
      <c r="F463" s="44"/>
      <c r="G463" s="39"/>
      <c r="H463" s="39"/>
      <c r="I463" s="39"/>
      <c r="J463" s="39"/>
      <c r="K463" s="44"/>
      <c r="L463" s="44"/>
      <c r="M463" s="44"/>
      <c r="N463" s="44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5.75" customHeight="1">
      <c r="A464" s="39"/>
      <c r="B464" s="45"/>
      <c r="C464" s="46"/>
      <c r="D464" s="39"/>
      <c r="E464" s="39"/>
      <c r="F464" s="44"/>
      <c r="G464" s="39"/>
      <c r="H464" s="39"/>
      <c r="I464" s="39"/>
      <c r="J464" s="39"/>
      <c r="K464" s="44"/>
      <c r="L464" s="44"/>
      <c r="M464" s="44"/>
      <c r="N464" s="44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5.75" customHeight="1">
      <c r="A465" s="39"/>
      <c r="B465" s="45"/>
      <c r="C465" s="46"/>
      <c r="D465" s="39"/>
      <c r="E465" s="39"/>
      <c r="F465" s="44"/>
      <c r="G465" s="39"/>
      <c r="H465" s="39"/>
      <c r="I465" s="39"/>
      <c r="J465" s="39"/>
      <c r="K465" s="44"/>
      <c r="L465" s="44"/>
      <c r="M465" s="44"/>
      <c r="N465" s="44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5.75" customHeight="1">
      <c r="A466" s="39"/>
      <c r="B466" s="45"/>
      <c r="C466" s="46"/>
      <c r="D466" s="39"/>
      <c r="E466" s="39"/>
      <c r="F466" s="44"/>
      <c r="G466" s="39"/>
      <c r="H466" s="39"/>
      <c r="I466" s="39"/>
      <c r="J466" s="39"/>
      <c r="K466" s="44"/>
      <c r="L466" s="44"/>
      <c r="M466" s="44"/>
      <c r="N466" s="44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5.75" customHeight="1">
      <c r="A467" s="39"/>
      <c r="B467" s="45"/>
      <c r="C467" s="46"/>
      <c r="D467" s="39"/>
      <c r="E467" s="39"/>
      <c r="F467" s="44"/>
      <c r="G467" s="39"/>
      <c r="H467" s="39"/>
      <c r="I467" s="39"/>
      <c r="J467" s="39"/>
      <c r="K467" s="44"/>
      <c r="L467" s="44"/>
      <c r="M467" s="44"/>
      <c r="N467" s="44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5.75" customHeight="1">
      <c r="A468" s="39"/>
      <c r="B468" s="45"/>
      <c r="C468" s="46"/>
      <c r="D468" s="39"/>
      <c r="E468" s="39"/>
      <c r="F468" s="44"/>
      <c r="G468" s="39"/>
      <c r="H468" s="39"/>
      <c r="I468" s="39"/>
      <c r="J468" s="39"/>
      <c r="K468" s="44"/>
      <c r="L468" s="44"/>
      <c r="M468" s="44"/>
      <c r="N468" s="44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5.75" customHeight="1">
      <c r="A469" s="39"/>
      <c r="B469" s="45"/>
      <c r="C469" s="46"/>
      <c r="D469" s="39"/>
      <c r="E469" s="39"/>
      <c r="F469" s="44"/>
      <c r="G469" s="39"/>
      <c r="H469" s="39"/>
      <c r="I469" s="39"/>
      <c r="J469" s="39"/>
      <c r="K469" s="44"/>
      <c r="L469" s="44"/>
      <c r="M469" s="44"/>
      <c r="N469" s="44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5.75" customHeight="1">
      <c r="A470" s="39"/>
      <c r="B470" s="45"/>
      <c r="C470" s="46"/>
      <c r="D470" s="39"/>
      <c r="E470" s="39"/>
      <c r="F470" s="44"/>
      <c r="G470" s="39"/>
      <c r="H470" s="39"/>
      <c r="I470" s="39"/>
      <c r="J470" s="39"/>
      <c r="K470" s="44"/>
      <c r="L470" s="44"/>
      <c r="M470" s="44"/>
      <c r="N470" s="44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5.75" customHeight="1">
      <c r="A471" s="39"/>
      <c r="B471" s="45"/>
      <c r="C471" s="46"/>
      <c r="D471" s="39"/>
      <c r="E471" s="39"/>
      <c r="F471" s="44"/>
      <c r="G471" s="39"/>
      <c r="H471" s="39"/>
      <c r="I471" s="39"/>
      <c r="J471" s="39"/>
      <c r="K471" s="44"/>
      <c r="L471" s="44"/>
      <c r="M471" s="44"/>
      <c r="N471" s="44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5.75" customHeight="1">
      <c r="A472" s="39"/>
      <c r="B472" s="45"/>
      <c r="C472" s="46"/>
      <c r="D472" s="39"/>
      <c r="E472" s="39"/>
      <c r="F472" s="44"/>
      <c r="G472" s="39"/>
      <c r="H472" s="39"/>
      <c r="I472" s="39"/>
      <c r="J472" s="39"/>
      <c r="K472" s="44"/>
      <c r="L472" s="44"/>
      <c r="M472" s="44"/>
      <c r="N472" s="44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5.75" customHeight="1">
      <c r="A473" s="39"/>
      <c r="B473" s="45"/>
      <c r="C473" s="46"/>
      <c r="D473" s="39"/>
      <c r="E473" s="39"/>
      <c r="F473" s="44"/>
      <c r="G473" s="39"/>
      <c r="H473" s="39"/>
      <c r="I473" s="39"/>
      <c r="J473" s="39"/>
      <c r="K473" s="44"/>
      <c r="L473" s="44"/>
      <c r="M473" s="44"/>
      <c r="N473" s="44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5.75" customHeight="1">
      <c r="A474" s="39"/>
      <c r="B474" s="45"/>
      <c r="C474" s="46"/>
      <c r="D474" s="39"/>
      <c r="E474" s="39"/>
      <c r="F474" s="44"/>
      <c r="G474" s="39"/>
      <c r="H474" s="39"/>
      <c r="I474" s="39"/>
      <c r="J474" s="39"/>
      <c r="K474" s="44"/>
      <c r="L474" s="44"/>
      <c r="M474" s="44"/>
      <c r="N474" s="44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5.75" customHeight="1">
      <c r="A475" s="39"/>
      <c r="B475" s="45"/>
      <c r="C475" s="46"/>
      <c r="D475" s="39"/>
      <c r="E475" s="39"/>
      <c r="F475" s="44"/>
      <c r="G475" s="39"/>
      <c r="H475" s="39"/>
      <c r="I475" s="39"/>
      <c r="J475" s="39"/>
      <c r="K475" s="44"/>
      <c r="L475" s="44"/>
      <c r="M475" s="44"/>
      <c r="N475" s="44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5.75" customHeight="1">
      <c r="A476" s="39"/>
      <c r="B476" s="45"/>
      <c r="C476" s="46"/>
      <c r="D476" s="39"/>
      <c r="E476" s="39"/>
      <c r="F476" s="44"/>
      <c r="G476" s="39"/>
      <c r="H476" s="39"/>
      <c r="I476" s="39"/>
      <c r="J476" s="39"/>
      <c r="K476" s="44"/>
      <c r="L476" s="44"/>
      <c r="M476" s="44"/>
      <c r="N476" s="44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5.75" customHeight="1">
      <c r="A477" s="39"/>
      <c r="B477" s="45"/>
      <c r="C477" s="46"/>
      <c r="D477" s="39"/>
      <c r="E477" s="39"/>
      <c r="F477" s="44"/>
      <c r="G477" s="39"/>
      <c r="H477" s="39"/>
      <c r="I477" s="39"/>
      <c r="J477" s="39"/>
      <c r="K477" s="44"/>
      <c r="L477" s="44"/>
      <c r="M477" s="44"/>
      <c r="N477" s="44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5.75" customHeight="1">
      <c r="A478" s="39"/>
      <c r="B478" s="45"/>
      <c r="C478" s="46"/>
      <c r="D478" s="39"/>
      <c r="E478" s="39"/>
      <c r="F478" s="44"/>
      <c r="G478" s="39"/>
      <c r="H478" s="39"/>
      <c r="I478" s="39"/>
      <c r="J478" s="39"/>
      <c r="K478" s="44"/>
      <c r="L478" s="44"/>
      <c r="M478" s="44"/>
      <c r="N478" s="44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5.75" customHeight="1">
      <c r="A479" s="39"/>
      <c r="B479" s="45"/>
      <c r="C479" s="46"/>
      <c r="D479" s="39"/>
      <c r="E479" s="39"/>
      <c r="F479" s="44"/>
      <c r="G479" s="39"/>
      <c r="H479" s="39"/>
      <c r="I479" s="39"/>
      <c r="J479" s="39"/>
      <c r="K479" s="44"/>
      <c r="L479" s="44"/>
      <c r="M479" s="44"/>
      <c r="N479" s="44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5.75" customHeight="1">
      <c r="A480" s="39"/>
      <c r="B480" s="45"/>
      <c r="C480" s="46"/>
      <c r="D480" s="39"/>
      <c r="E480" s="39"/>
      <c r="F480" s="44"/>
      <c r="G480" s="39"/>
      <c r="H480" s="39"/>
      <c r="I480" s="39"/>
      <c r="J480" s="39"/>
      <c r="K480" s="44"/>
      <c r="L480" s="44"/>
      <c r="M480" s="44"/>
      <c r="N480" s="44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5.75" customHeight="1">
      <c r="A481" s="39"/>
      <c r="B481" s="45"/>
      <c r="C481" s="46"/>
      <c r="D481" s="39"/>
      <c r="E481" s="39"/>
      <c r="F481" s="44"/>
      <c r="G481" s="39"/>
      <c r="H481" s="39"/>
      <c r="I481" s="39"/>
      <c r="J481" s="39"/>
      <c r="K481" s="44"/>
      <c r="L481" s="44"/>
      <c r="M481" s="44"/>
      <c r="N481" s="44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5.75" customHeight="1">
      <c r="A482" s="39"/>
      <c r="B482" s="45"/>
      <c r="C482" s="46"/>
      <c r="D482" s="39"/>
      <c r="E482" s="39"/>
      <c r="F482" s="44"/>
      <c r="G482" s="39"/>
      <c r="H482" s="39"/>
      <c r="I482" s="39"/>
      <c r="J482" s="39"/>
      <c r="K482" s="44"/>
      <c r="L482" s="44"/>
      <c r="M482" s="44"/>
      <c r="N482" s="44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5.75" customHeight="1">
      <c r="A483" s="39"/>
      <c r="B483" s="45"/>
      <c r="C483" s="46"/>
      <c r="D483" s="39"/>
      <c r="E483" s="39"/>
      <c r="F483" s="44"/>
      <c r="G483" s="39"/>
      <c r="H483" s="39"/>
      <c r="I483" s="39"/>
      <c r="J483" s="39"/>
      <c r="K483" s="44"/>
      <c r="L483" s="44"/>
      <c r="M483" s="44"/>
      <c r="N483" s="44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5.75" customHeight="1">
      <c r="A484" s="39"/>
      <c r="B484" s="45"/>
      <c r="C484" s="46"/>
      <c r="D484" s="39"/>
      <c r="E484" s="39"/>
      <c r="F484" s="44"/>
      <c r="G484" s="39"/>
      <c r="H484" s="39"/>
      <c r="I484" s="39"/>
      <c r="J484" s="39"/>
      <c r="K484" s="44"/>
      <c r="L484" s="44"/>
      <c r="M484" s="44"/>
      <c r="N484" s="44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5.75" customHeight="1">
      <c r="A485" s="39"/>
      <c r="B485" s="45"/>
      <c r="C485" s="46"/>
      <c r="D485" s="39"/>
      <c r="E485" s="39"/>
      <c r="F485" s="44"/>
      <c r="G485" s="39"/>
      <c r="H485" s="39"/>
      <c r="I485" s="39"/>
      <c r="J485" s="39"/>
      <c r="K485" s="44"/>
      <c r="L485" s="44"/>
      <c r="M485" s="44"/>
      <c r="N485" s="44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5.75" customHeight="1">
      <c r="A486" s="39"/>
      <c r="B486" s="45"/>
      <c r="C486" s="46"/>
      <c r="D486" s="39"/>
      <c r="E486" s="39"/>
      <c r="F486" s="44"/>
      <c r="G486" s="39"/>
      <c r="H486" s="39"/>
      <c r="I486" s="39"/>
      <c r="J486" s="39"/>
      <c r="K486" s="44"/>
      <c r="L486" s="44"/>
      <c r="M486" s="44"/>
      <c r="N486" s="44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5.75" customHeight="1">
      <c r="A487" s="39"/>
      <c r="B487" s="45"/>
      <c r="C487" s="46"/>
      <c r="D487" s="39"/>
      <c r="E487" s="39"/>
      <c r="F487" s="44"/>
      <c r="G487" s="39"/>
      <c r="H487" s="39"/>
      <c r="I487" s="39"/>
      <c r="J487" s="39"/>
      <c r="K487" s="44"/>
      <c r="L487" s="44"/>
      <c r="M487" s="44"/>
      <c r="N487" s="44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5.75" customHeight="1">
      <c r="A488" s="39"/>
      <c r="B488" s="45"/>
      <c r="C488" s="46"/>
      <c r="D488" s="39"/>
      <c r="E488" s="39"/>
      <c r="F488" s="44"/>
      <c r="G488" s="39"/>
      <c r="H488" s="39"/>
      <c r="I488" s="39"/>
      <c r="J488" s="39"/>
      <c r="K488" s="44"/>
      <c r="L488" s="44"/>
      <c r="M488" s="44"/>
      <c r="N488" s="44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5.75" customHeight="1">
      <c r="A489" s="39"/>
      <c r="B489" s="45"/>
      <c r="C489" s="46"/>
      <c r="D489" s="39"/>
      <c r="E489" s="39"/>
      <c r="F489" s="44"/>
      <c r="G489" s="39"/>
      <c r="H489" s="39"/>
      <c r="I489" s="39"/>
      <c r="J489" s="39"/>
      <c r="K489" s="44"/>
      <c r="L489" s="44"/>
      <c r="M489" s="44"/>
      <c r="N489" s="44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5.75" customHeight="1">
      <c r="A490" s="39"/>
      <c r="B490" s="45"/>
      <c r="C490" s="46"/>
      <c r="D490" s="39"/>
      <c r="E490" s="39"/>
      <c r="F490" s="44"/>
      <c r="G490" s="39"/>
      <c r="H490" s="39"/>
      <c r="I490" s="39"/>
      <c r="J490" s="39"/>
      <c r="K490" s="44"/>
      <c r="L490" s="44"/>
      <c r="M490" s="44"/>
      <c r="N490" s="44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5.75" customHeight="1">
      <c r="A491" s="39"/>
      <c r="B491" s="45"/>
      <c r="C491" s="46"/>
      <c r="D491" s="39"/>
      <c r="E491" s="39"/>
      <c r="F491" s="44"/>
      <c r="G491" s="39"/>
      <c r="H491" s="39"/>
      <c r="I491" s="39"/>
      <c r="J491" s="39"/>
      <c r="K491" s="44"/>
      <c r="L491" s="44"/>
      <c r="M491" s="44"/>
      <c r="N491" s="44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5.75" customHeight="1">
      <c r="A492" s="39"/>
      <c r="B492" s="45"/>
      <c r="C492" s="46"/>
      <c r="D492" s="39"/>
      <c r="E492" s="39"/>
      <c r="F492" s="44"/>
      <c r="G492" s="39"/>
      <c r="H492" s="39"/>
      <c r="I492" s="39"/>
      <c r="J492" s="39"/>
      <c r="K492" s="44"/>
      <c r="L492" s="44"/>
      <c r="M492" s="44"/>
      <c r="N492" s="44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5.75" customHeight="1">
      <c r="A493" s="39"/>
      <c r="B493" s="45"/>
      <c r="C493" s="46"/>
      <c r="D493" s="39"/>
      <c r="E493" s="39"/>
      <c r="F493" s="44"/>
      <c r="G493" s="39"/>
      <c r="H493" s="39"/>
      <c r="I493" s="39"/>
      <c r="J493" s="39"/>
      <c r="K493" s="44"/>
      <c r="L493" s="44"/>
      <c r="M493" s="44"/>
      <c r="N493" s="44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5.75" customHeight="1">
      <c r="A494" s="39"/>
      <c r="B494" s="45"/>
      <c r="C494" s="46"/>
      <c r="D494" s="39"/>
      <c r="E494" s="39"/>
      <c r="F494" s="44"/>
      <c r="G494" s="39"/>
      <c r="H494" s="39"/>
      <c r="I494" s="39"/>
      <c r="J494" s="39"/>
      <c r="K494" s="44"/>
      <c r="L494" s="44"/>
      <c r="M494" s="44"/>
      <c r="N494" s="44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5.75" customHeight="1">
      <c r="A495" s="39"/>
      <c r="B495" s="45"/>
      <c r="C495" s="46"/>
      <c r="D495" s="39"/>
      <c r="E495" s="39"/>
      <c r="F495" s="44"/>
      <c r="G495" s="39"/>
      <c r="H495" s="39"/>
      <c r="I495" s="39"/>
      <c r="J495" s="39"/>
      <c r="K495" s="44"/>
      <c r="L495" s="44"/>
      <c r="M495" s="44"/>
      <c r="N495" s="44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5.75" customHeight="1">
      <c r="A496" s="39"/>
      <c r="B496" s="45"/>
      <c r="C496" s="46"/>
      <c r="D496" s="39"/>
      <c r="E496" s="39"/>
      <c r="F496" s="44"/>
      <c r="G496" s="39"/>
      <c r="H496" s="39"/>
      <c r="I496" s="39"/>
      <c r="J496" s="39"/>
      <c r="K496" s="44"/>
      <c r="L496" s="44"/>
      <c r="M496" s="44"/>
      <c r="N496" s="44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5.75" customHeight="1">
      <c r="A497" s="39"/>
      <c r="B497" s="45"/>
      <c r="C497" s="46"/>
      <c r="D497" s="39"/>
      <c r="E497" s="39"/>
      <c r="F497" s="44"/>
      <c r="G497" s="39"/>
      <c r="H497" s="39"/>
      <c r="I497" s="39"/>
      <c r="J497" s="39"/>
      <c r="K497" s="44"/>
      <c r="L497" s="44"/>
      <c r="M497" s="44"/>
      <c r="N497" s="44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5.75" customHeight="1">
      <c r="A498" s="39"/>
      <c r="B498" s="45"/>
      <c r="C498" s="46"/>
      <c r="D498" s="39"/>
      <c r="E498" s="39"/>
      <c r="F498" s="44"/>
      <c r="G498" s="39"/>
      <c r="H498" s="39"/>
      <c r="I498" s="39"/>
      <c r="J498" s="39"/>
      <c r="K498" s="44"/>
      <c r="L498" s="44"/>
      <c r="M498" s="44"/>
      <c r="N498" s="44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5.75" customHeight="1">
      <c r="A499" s="39"/>
      <c r="B499" s="45"/>
      <c r="C499" s="46"/>
      <c r="D499" s="39"/>
      <c r="E499" s="39"/>
      <c r="F499" s="44"/>
      <c r="G499" s="39"/>
      <c r="H499" s="39"/>
      <c r="I499" s="39"/>
      <c r="J499" s="39"/>
      <c r="K499" s="44"/>
      <c r="L499" s="44"/>
      <c r="M499" s="44"/>
      <c r="N499" s="44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5.75" customHeight="1">
      <c r="A500" s="39"/>
      <c r="B500" s="45"/>
      <c r="C500" s="46"/>
      <c r="D500" s="39"/>
      <c r="E500" s="39"/>
      <c r="F500" s="44"/>
      <c r="G500" s="39"/>
      <c r="H500" s="39"/>
      <c r="I500" s="39"/>
      <c r="J500" s="39"/>
      <c r="K500" s="44"/>
      <c r="L500" s="44"/>
      <c r="M500" s="44"/>
      <c r="N500" s="44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5.75" customHeight="1">
      <c r="A501" s="39"/>
      <c r="B501" s="45"/>
      <c r="C501" s="46"/>
      <c r="D501" s="39"/>
      <c r="E501" s="39"/>
      <c r="F501" s="44"/>
      <c r="G501" s="39"/>
      <c r="H501" s="39"/>
      <c r="I501" s="39"/>
      <c r="J501" s="39"/>
      <c r="K501" s="44"/>
      <c r="L501" s="44"/>
      <c r="M501" s="44"/>
      <c r="N501" s="44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5.75" customHeight="1">
      <c r="A502" s="39"/>
      <c r="B502" s="45"/>
      <c r="C502" s="46"/>
      <c r="D502" s="39"/>
      <c r="E502" s="39"/>
      <c r="F502" s="44"/>
      <c r="G502" s="39"/>
      <c r="H502" s="39"/>
      <c r="I502" s="39"/>
      <c r="J502" s="39"/>
      <c r="K502" s="44"/>
      <c r="L502" s="44"/>
      <c r="M502" s="44"/>
      <c r="N502" s="44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5.75" customHeight="1">
      <c r="A503" s="39"/>
      <c r="B503" s="45"/>
      <c r="C503" s="46"/>
      <c r="D503" s="39"/>
      <c r="E503" s="39"/>
      <c r="F503" s="44"/>
      <c r="G503" s="39"/>
      <c r="H503" s="39"/>
      <c r="I503" s="39"/>
      <c r="J503" s="39"/>
      <c r="K503" s="44"/>
      <c r="L503" s="44"/>
      <c r="M503" s="44"/>
      <c r="N503" s="44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5.75" customHeight="1">
      <c r="A504" s="39"/>
      <c r="B504" s="45"/>
      <c r="C504" s="46"/>
      <c r="D504" s="39"/>
      <c r="E504" s="39"/>
      <c r="F504" s="44"/>
      <c r="G504" s="39"/>
      <c r="H504" s="39"/>
      <c r="I504" s="39"/>
      <c r="J504" s="39"/>
      <c r="K504" s="44"/>
      <c r="L504" s="44"/>
      <c r="M504" s="44"/>
      <c r="N504" s="44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5.75" customHeight="1">
      <c r="A505" s="39"/>
      <c r="B505" s="45"/>
      <c r="C505" s="46"/>
      <c r="D505" s="39"/>
      <c r="E505" s="39"/>
      <c r="F505" s="44"/>
      <c r="G505" s="39"/>
      <c r="H505" s="39"/>
      <c r="I505" s="39"/>
      <c r="J505" s="39"/>
      <c r="K505" s="44"/>
      <c r="L505" s="44"/>
      <c r="M505" s="44"/>
      <c r="N505" s="44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5.75" customHeight="1">
      <c r="A506" s="39"/>
      <c r="B506" s="45"/>
      <c r="C506" s="46"/>
      <c r="D506" s="39"/>
      <c r="E506" s="39"/>
      <c r="F506" s="44"/>
      <c r="G506" s="39"/>
      <c r="H506" s="39"/>
      <c r="I506" s="39"/>
      <c r="J506" s="39"/>
      <c r="K506" s="44"/>
      <c r="L506" s="44"/>
      <c r="M506" s="44"/>
      <c r="N506" s="44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5.75" customHeight="1">
      <c r="A507" s="39"/>
      <c r="B507" s="45"/>
      <c r="C507" s="46"/>
      <c r="D507" s="39"/>
      <c r="E507" s="39"/>
      <c r="F507" s="44"/>
      <c r="G507" s="39"/>
      <c r="H507" s="39"/>
      <c r="I507" s="39"/>
      <c r="J507" s="39"/>
      <c r="K507" s="44"/>
      <c r="L507" s="44"/>
      <c r="M507" s="44"/>
      <c r="N507" s="44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5.75" customHeight="1">
      <c r="A508" s="39"/>
      <c r="B508" s="45"/>
      <c r="C508" s="46"/>
      <c r="D508" s="39"/>
      <c r="E508" s="39"/>
      <c r="F508" s="44"/>
      <c r="G508" s="39"/>
      <c r="H508" s="39"/>
      <c r="I508" s="39"/>
      <c r="J508" s="39"/>
      <c r="K508" s="44"/>
      <c r="L508" s="44"/>
      <c r="M508" s="44"/>
      <c r="N508" s="44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5.75" customHeight="1">
      <c r="A509" s="39"/>
      <c r="B509" s="45"/>
      <c r="C509" s="46"/>
      <c r="D509" s="39"/>
      <c r="E509" s="39"/>
      <c r="F509" s="44"/>
      <c r="G509" s="39"/>
      <c r="H509" s="39"/>
      <c r="I509" s="39"/>
      <c r="J509" s="39"/>
      <c r="K509" s="44"/>
      <c r="L509" s="44"/>
      <c r="M509" s="44"/>
      <c r="N509" s="44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5.75" customHeight="1">
      <c r="A510" s="39"/>
      <c r="B510" s="45"/>
      <c r="C510" s="46"/>
      <c r="D510" s="39"/>
      <c r="E510" s="39"/>
      <c r="F510" s="44"/>
      <c r="G510" s="39"/>
      <c r="H510" s="39"/>
      <c r="I510" s="39"/>
      <c r="J510" s="39"/>
      <c r="K510" s="44"/>
      <c r="L510" s="44"/>
      <c r="M510" s="44"/>
      <c r="N510" s="44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5.75" customHeight="1">
      <c r="A511" s="39"/>
      <c r="B511" s="45"/>
      <c r="C511" s="46"/>
      <c r="D511" s="39"/>
      <c r="E511" s="39"/>
      <c r="F511" s="44"/>
      <c r="G511" s="39"/>
      <c r="H511" s="39"/>
      <c r="I511" s="39"/>
      <c r="J511" s="39"/>
      <c r="K511" s="44"/>
      <c r="L511" s="44"/>
      <c r="M511" s="44"/>
      <c r="N511" s="44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5.75" customHeight="1">
      <c r="A512" s="39"/>
      <c r="B512" s="45"/>
      <c r="C512" s="46"/>
      <c r="D512" s="39"/>
      <c r="E512" s="39"/>
      <c r="F512" s="44"/>
      <c r="G512" s="39"/>
      <c r="H512" s="39"/>
      <c r="I512" s="39"/>
      <c r="J512" s="39"/>
      <c r="K512" s="44"/>
      <c r="L512" s="44"/>
      <c r="M512" s="44"/>
      <c r="N512" s="44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5.75" customHeight="1">
      <c r="A513" s="39"/>
      <c r="B513" s="45"/>
      <c r="C513" s="46"/>
      <c r="D513" s="39"/>
      <c r="E513" s="39"/>
      <c r="F513" s="44"/>
      <c r="G513" s="39"/>
      <c r="H513" s="39"/>
      <c r="I513" s="39"/>
      <c r="J513" s="39"/>
      <c r="K513" s="44"/>
      <c r="L513" s="44"/>
      <c r="M513" s="44"/>
      <c r="N513" s="44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5.75" customHeight="1">
      <c r="A514" s="39"/>
      <c r="B514" s="45"/>
      <c r="C514" s="46"/>
      <c r="D514" s="39"/>
      <c r="E514" s="39"/>
      <c r="F514" s="44"/>
      <c r="G514" s="39"/>
      <c r="H514" s="39"/>
      <c r="I514" s="39"/>
      <c r="J514" s="39"/>
      <c r="K514" s="44"/>
      <c r="L514" s="44"/>
      <c r="M514" s="44"/>
      <c r="N514" s="44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5.75" customHeight="1">
      <c r="A515" s="39"/>
      <c r="B515" s="45"/>
      <c r="C515" s="46"/>
      <c r="D515" s="39"/>
      <c r="E515" s="39"/>
      <c r="F515" s="44"/>
      <c r="G515" s="39"/>
      <c r="H515" s="39"/>
      <c r="I515" s="39"/>
      <c r="J515" s="39"/>
      <c r="K515" s="44"/>
      <c r="L515" s="44"/>
      <c r="M515" s="44"/>
      <c r="N515" s="44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5.75" customHeight="1">
      <c r="A516" s="39"/>
      <c r="B516" s="45"/>
      <c r="C516" s="46"/>
      <c r="D516" s="39"/>
      <c r="E516" s="39"/>
      <c r="F516" s="44"/>
      <c r="G516" s="39"/>
      <c r="H516" s="39"/>
      <c r="I516" s="39"/>
      <c r="J516" s="39"/>
      <c r="K516" s="44"/>
      <c r="L516" s="44"/>
      <c r="M516" s="44"/>
      <c r="N516" s="44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5.75" customHeight="1">
      <c r="A517" s="39"/>
      <c r="B517" s="45"/>
      <c r="C517" s="46"/>
      <c r="D517" s="39"/>
      <c r="E517" s="39"/>
      <c r="F517" s="44"/>
      <c r="G517" s="39"/>
      <c r="H517" s="39"/>
      <c r="I517" s="39"/>
      <c r="J517" s="39"/>
      <c r="K517" s="44"/>
      <c r="L517" s="44"/>
      <c r="M517" s="44"/>
      <c r="N517" s="44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5.75" customHeight="1">
      <c r="A518" s="39"/>
      <c r="B518" s="45"/>
      <c r="C518" s="46"/>
      <c r="D518" s="39"/>
      <c r="E518" s="39"/>
      <c r="F518" s="44"/>
      <c r="G518" s="39"/>
      <c r="H518" s="39"/>
      <c r="I518" s="39"/>
      <c r="J518" s="39"/>
      <c r="K518" s="44"/>
      <c r="L518" s="44"/>
      <c r="M518" s="44"/>
      <c r="N518" s="44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5.75" customHeight="1">
      <c r="A519" s="39"/>
      <c r="B519" s="45"/>
      <c r="C519" s="46"/>
      <c r="D519" s="39"/>
      <c r="E519" s="39"/>
      <c r="F519" s="44"/>
      <c r="G519" s="39"/>
      <c r="H519" s="39"/>
      <c r="I519" s="39"/>
      <c r="J519" s="39"/>
      <c r="K519" s="44"/>
      <c r="L519" s="44"/>
      <c r="M519" s="44"/>
      <c r="N519" s="44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5.75" customHeight="1">
      <c r="A520" s="39"/>
      <c r="B520" s="45"/>
      <c r="C520" s="46"/>
      <c r="D520" s="39"/>
      <c r="E520" s="39"/>
      <c r="F520" s="44"/>
      <c r="G520" s="39"/>
      <c r="H520" s="39"/>
      <c r="I520" s="39"/>
      <c r="J520" s="39"/>
      <c r="K520" s="44"/>
      <c r="L520" s="44"/>
      <c r="M520" s="44"/>
      <c r="N520" s="44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5.75" customHeight="1">
      <c r="A521" s="39"/>
      <c r="B521" s="45"/>
      <c r="C521" s="46"/>
      <c r="D521" s="39"/>
      <c r="E521" s="39"/>
      <c r="F521" s="44"/>
      <c r="G521" s="39"/>
      <c r="H521" s="39"/>
      <c r="I521" s="39"/>
      <c r="J521" s="39"/>
      <c r="K521" s="44"/>
      <c r="L521" s="44"/>
      <c r="M521" s="44"/>
      <c r="N521" s="44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5.75" customHeight="1">
      <c r="A522" s="39"/>
      <c r="B522" s="45"/>
      <c r="C522" s="46"/>
      <c r="D522" s="39"/>
      <c r="E522" s="39"/>
      <c r="F522" s="44"/>
      <c r="G522" s="39"/>
      <c r="H522" s="39"/>
      <c r="I522" s="39"/>
      <c r="J522" s="39"/>
      <c r="K522" s="44"/>
      <c r="L522" s="44"/>
      <c r="M522" s="44"/>
      <c r="N522" s="44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5.75" customHeight="1">
      <c r="A523" s="39"/>
      <c r="B523" s="45"/>
      <c r="C523" s="46"/>
      <c r="D523" s="39"/>
      <c r="E523" s="39"/>
      <c r="F523" s="44"/>
      <c r="G523" s="39"/>
      <c r="H523" s="39"/>
      <c r="I523" s="39"/>
      <c r="J523" s="39"/>
      <c r="K523" s="44"/>
      <c r="L523" s="44"/>
      <c r="M523" s="44"/>
      <c r="N523" s="44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5.75" customHeight="1">
      <c r="A524" s="39"/>
      <c r="B524" s="45"/>
      <c r="C524" s="46"/>
      <c r="D524" s="39"/>
      <c r="E524" s="39"/>
      <c r="F524" s="44"/>
      <c r="G524" s="39"/>
      <c r="H524" s="39"/>
      <c r="I524" s="39"/>
      <c r="J524" s="39"/>
      <c r="K524" s="44"/>
      <c r="L524" s="44"/>
      <c r="M524" s="44"/>
      <c r="N524" s="44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5.75" customHeight="1">
      <c r="A525" s="39"/>
      <c r="B525" s="45"/>
      <c r="C525" s="46"/>
      <c r="D525" s="39"/>
      <c r="E525" s="39"/>
      <c r="F525" s="44"/>
      <c r="G525" s="39"/>
      <c r="H525" s="39"/>
      <c r="I525" s="39"/>
      <c r="J525" s="39"/>
      <c r="K525" s="44"/>
      <c r="L525" s="44"/>
      <c r="M525" s="44"/>
      <c r="N525" s="44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5.75" customHeight="1">
      <c r="A526" s="39"/>
      <c r="B526" s="45"/>
      <c r="C526" s="46"/>
      <c r="D526" s="39"/>
      <c r="E526" s="39"/>
      <c r="F526" s="44"/>
      <c r="G526" s="39"/>
      <c r="H526" s="39"/>
      <c r="I526" s="39"/>
      <c r="J526" s="39"/>
      <c r="K526" s="44"/>
      <c r="L526" s="44"/>
      <c r="M526" s="44"/>
      <c r="N526" s="44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5.75" customHeight="1">
      <c r="A527" s="39"/>
      <c r="B527" s="45"/>
      <c r="C527" s="46"/>
      <c r="D527" s="39"/>
      <c r="E527" s="39"/>
      <c r="F527" s="44"/>
      <c r="G527" s="39"/>
      <c r="H527" s="39"/>
      <c r="I527" s="39"/>
      <c r="J527" s="39"/>
      <c r="K527" s="44"/>
      <c r="L527" s="44"/>
      <c r="M527" s="44"/>
      <c r="N527" s="44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5.75" customHeight="1">
      <c r="A528" s="39"/>
      <c r="B528" s="45"/>
      <c r="C528" s="46"/>
      <c r="D528" s="39"/>
      <c r="E528" s="39"/>
      <c r="F528" s="44"/>
      <c r="G528" s="39"/>
      <c r="H528" s="39"/>
      <c r="I528" s="39"/>
      <c r="J528" s="39"/>
      <c r="K528" s="44"/>
      <c r="L528" s="44"/>
      <c r="M528" s="44"/>
      <c r="N528" s="44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5.75" customHeight="1">
      <c r="A529" s="39"/>
      <c r="B529" s="45"/>
      <c r="C529" s="46"/>
      <c r="D529" s="39"/>
      <c r="E529" s="39"/>
      <c r="F529" s="44"/>
      <c r="G529" s="39"/>
      <c r="H529" s="39"/>
      <c r="I529" s="39"/>
      <c r="J529" s="39"/>
      <c r="K529" s="44"/>
      <c r="L529" s="44"/>
      <c r="M529" s="44"/>
      <c r="N529" s="44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5.75" customHeight="1">
      <c r="A530" s="39"/>
      <c r="B530" s="45"/>
      <c r="C530" s="46"/>
      <c r="D530" s="39"/>
      <c r="E530" s="39"/>
      <c r="F530" s="44"/>
      <c r="G530" s="39"/>
      <c r="H530" s="39"/>
      <c r="I530" s="39"/>
      <c r="J530" s="39"/>
      <c r="K530" s="44"/>
      <c r="L530" s="44"/>
      <c r="M530" s="44"/>
      <c r="N530" s="44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5.75" customHeight="1">
      <c r="A531" s="39"/>
      <c r="B531" s="45"/>
      <c r="C531" s="46"/>
      <c r="D531" s="39"/>
      <c r="E531" s="39"/>
      <c r="F531" s="44"/>
      <c r="G531" s="39"/>
      <c r="H531" s="39"/>
      <c r="I531" s="39"/>
      <c r="J531" s="39"/>
      <c r="K531" s="44"/>
      <c r="L531" s="44"/>
      <c r="M531" s="44"/>
      <c r="N531" s="44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5.75" customHeight="1">
      <c r="A532" s="39"/>
      <c r="B532" s="45"/>
      <c r="C532" s="46"/>
      <c r="D532" s="39"/>
      <c r="E532" s="39"/>
      <c r="F532" s="44"/>
      <c r="G532" s="39"/>
      <c r="H532" s="39"/>
      <c r="I532" s="39"/>
      <c r="J532" s="39"/>
      <c r="K532" s="44"/>
      <c r="L532" s="44"/>
      <c r="M532" s="44"/>
      <c r="N532" s="44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5.75" customHeight="1">
      <c r="A533" s="39"/>
      <c r="B533" s="45"/>
      <c r="C533" s="46"/>
      <c r="D533" s="39"/>
      <c r="E533" s="39"/>
      <c r="F533" s="44"/>
      <c r="G533" s="39"/>
      <c r="H533" s="39"/>
      <c r="I533" s="39"/>
      <c r="J533" s="39"/>
      <c r="K533" s="44"/>
      <c r="L533" s="44"/>
      <c r="M533" s="44"/>
      <c r="N533" s="44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5.75" customHeight="1">
      <c r="A534" s="39"/>
      <c r="B534" s="45"/>
      <c r="C534" s="46"/>
      <c r="D534" s="39"/>
      <c r="E534" s="39"/>
      <c r="F534" s="44"/>
      <c r="G534" s="39"/>
      <c r="H534" s="39"/>
      <c r="I534" s="39"/>
      <c r="J534" s="39"/>
      <c r="K534" s="44"/>
      <c r="L534" s="44"/>
      <c r="M534" s="44"/>
      <c r="N534" s="44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5.75" customHeight="1">
      <c r="A535" s="39"/>
      <c r="B535" s="45"/>
      <c r="C535" s="46"/>
      <c r="D535" s="39"/>
      <c r="E535" s="39"/>
      <c r="F535" s="44"/>
      <c r="G535" s="39"/>
      <c r="H535" s="39"/>
      <c r="I535" s="39"/>
      <c r="J535" s="39"/>
      <c r="K535" s="44"/>
      <c r="L535" s="44"/>
      <c r="M535" s="44"/>
      <c r="N535" s="44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5.75" customHeight="1">
      <c r="A536" s="39"/>
      <c r="B536" s="45"/>
      <c r="C536" s="46"/>
      <c r="D536" s="39"/>
      <c r="E536" s="39"/>
      <c r="F536" s="44"/>
      <c r="G536" s="39"/>
      <c r="H536" s="39"/>
      <c r="I536" s="39"/>
      <c r="J536" s="39"/>
      <c r="K536" s="44"/>
      <c r="L536" s="44"/>
      <c r="M536" s="44"/>
      <c r="N536" s="44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5.75" customHeight="1">
      <c r="A537" s="39"/>
      <c r="B537" s="45"/>
      <c r="C537" s="46"/>
      <c r="D537" s="39"/>
      <c r="E537" s="39"/>
      <c r="F537" s="44"/>
      <c r="G537" s="39"/>
      <c r="H537" s="39"/>
      <c r="I537" s="39"/>
      <c r="J537" s="39"/>
      <c r="K537" s="44"/>
      <c r="L537" s="44"/>
      <c r="M537" s="44"/>
      <c r="N537" s="44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5.75" customHeight="1">
      <c r="A538" s="39"/>
      <c r="B538" s="45"/>
      <c r="C538" s="46"/>
      <c r="D538" s="39"/>
      <c r="E538" s="39"/>
      <c r="F538" s="44"/>
      <c r="G538" s="39"/>
      <c r="H538" s="39"/>
      <c r="I538" s="39"/>
      <c r="J538" s="39"/>
      <c r="K538" s="44"/>
      <c r="L538" s="44"/>
      <c r="M538" s="44"/>
      <c r="N538" s="44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5.75" customHeight="1">
      <c r="A539" s="39"/>
      <c r="B539" s="45"/>
      <c r="C539" s="46"/>
      <c r="D539" s="39"/>
      <c r="E539" s="39"/>
      <c r="F539" s="44"/>
      <c r="G539" s="39"/>
      <c r="H539" s="39"/>
      <c r="I539" s="39"/>
      <c r="J539" s="39"/>
      <c r="K539" s="44"/>
      <c r="L539" s="44"/>
      <c r="M539" s="44"/>
      <c r="N539" s="44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5.75" customHeight="1">
      <c r="A540" s="39"/>
      <c r="B540" s="45"/>
      <c r="C540" s="46"/>
      <c r="D540" s="39"/>
      <c r="E540" s="39"/>
      <c r="F540" s="44"/>
      <c r="G540" s="39"/>
      <c r="H540" s="39"/>
      <c r="I540" s="39"/>
      <c r="J540" s="39"/>
      <c r="K540" s="44"/>
      <c r="L540" s="44"/>
      <c r="M540" s="44"/>
      <c r="N540" s="44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5.75" customHeight="1">
      <c r="A541" s="39"/>
      <c r="B541" s="45"/>
      <c r="C541" s="46"/>
      <c r="D541" s="39"/>
      <c r="E541" s="39"/>
      <c r="F541" s="44"/>
      <c r="G541" s="39"/>
      <c r="H541" s="39"/>
      <c r="I541" s="39"/>
      <c r="J541" s="39"/>
      <c r="K541" s="44"/>
      <c r="L541" s="44"/>
      <c r="M541" s="44"/>
      <c r="N541" s="44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5.75" customHeight="1">
      <c r="A542" s="39"/>
      <c r="B542" s="45"/>
      <c r="C542" s="46"/>
      <c r="D542" s="39"/>
      <c r="E542" s="39"/>
      <c r="F542" s="44"/>
      <c r="G542" s="39"/>
      <c r="H542" s="39"/>
      <c r="I542" s="39"/>
      <c r="J542" s="39"/>
      <c r="K542" s="44"/>
      <c r="L542" s="44"/>
      <c r="M542" s="44"/>
      <c r="N542" s="44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5.75" customHeight="1">
      <c r="A543" s="39"/>
      <c r="B543" s="45"/>
      <c r="C543" s="46"/>
      <c r="D543" s="39"/>
      <c r="E543" s="39"/>
      <c r="F543" s="44"/>
      <c r="G543" s="39"/>
      <c r="H543" s="39"/>
      <c r="I543" s="39"/>
      <c r="J543" s="39"/>
      <c r="K543" s="44"/>
      <c r="L543" s="44"/>
      <c r="M543" s="44"/>
      <c r="N543" s="44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5.75" customHeight="1">
      <c r="A544" s="39"/>
      <c r="B544" s="45"/>
      <c r="C544" s="46"/>
      <c r="D544" s="39"/>
      <c r="E544" s="39"/>
      <c r="F544" s="44"/>
      <c r="G544" s="39"/>
      <c r="H544" s="39"/>
      <c r="I544" s="39"/>
      <c r="J544" s="39"/>
      <c r="K544" s="44"/>
      <c r="L544" s="44"/>
      <c r="M544" s="44"/>
      <c r="N544" s="44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5.75" customHeight="1">
      <c r="A545" s="39"/>
      <c r="B545" s="45"/>
      <c r="C545" s="46"/>
      <c r="D545" s="39"/>
      <c r="E545" s="39"/>
      <c r="F545" s="44"/>
      <c r="G545" s="39"/>
      <c r="H545" s="39"/>
      <c r="I545" s="39"/>
      <c r="J545" s="39"/>
      <c r="K545" s="44"/>
      <c r="L545" s="44"/>
      <c r="M545" s="44"/>
      <c r="N545" s="44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5.75" customHeight="1">
      <c r="A546" s="39"/>
      <c r="B546" s="45"/>
      <c r="C546" s="46"/>
      <c r="D546" s="39"/>
      <c r="E546" s="39"/>
      <c r="F546" s="44"/>
      <c r="G546" s="39"/>
      <c r="H546" s="39"/>
      <c r="I546" s="39"/>
      <c r="J546" s="39"/>
      <c r="K546" s="44"/>
      <c r="L546" s="44"/>
      <c r="M546" s="44"/>
      <c r="N546" s="44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5.75" customHeight="1">
      <c r="A547" s="39"/>
      <c r="B547" s="45"/>
      <c r="C547" s="46"/>
      <c r="D547" s="39"/>
      <c r="E547" s="39"/>
      <c r="F547" s="44"/>
      <c r="G547" s="39"/>
      <c r="H547" s="39"/>
      <c r="I547" s="39"/>
      <c r="J547" s="39"/>
      <c r="K547" s="44"/>
      <c r="L547" s="44"/>
      <c r="M547" s="44"/>
      <c r="N547" s="44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5.75" customHeight="1">
      <c r="A548" s="39"/>
      <c r="B548" s="45"/>
      <c r="C548" s="46"/>
      <c r="D548" s="39"/>
      <c r="E548" s="39"/>
      <c r="F548" s="44"/>
      <c r="G548" s="39"/>
      <c r="H548" s="39"/>
      <c r="I548" s="39"/>
      <c r="J548" s="39"/>
      <c r="K548" s="44"/>
      <c r="L548" s="44"/>
      <c r="M548" s="44"/>
      <c r="N548" s="44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5.75" customHeight="1">
      <c r="A549" s="39"/>
      <c r="B549" s="45"/>
      <c r="C549" s="46"/>
      <c r="D549" s="39"/>
      <c r="E549" s="39"/>
      <c r="F549" s="44"/>
      <c r="G549" s="39"/>
      <c r="H549" s="39"/>
      <c r="I549" s="39"/>
      <c r="J549" s="39"/>
      <c r="K549" s="44"/>
      <c r="L549" s="44"/>
      <c r="M549" s="44"/>
      <c r="N549" s="44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5.75" customHeight="1">
      <c r="A550" s="39"/>
      <c r="B550" s="45"/>
      <c r="C550" s="46"/>
      <c r="D550" s="39"/>
      <c r="E550" s="39"/>
      <c r="F550" s="44"/>
      <c r="G550" s="39"/>
      <c r="H550" s="39"/>
      <c r="I550" s="39"/>
      <c r="J550" s="39"/>
      <c r="K550" s="44"/>
      <c r="L550" s="44"/>
      <c r="M550" s="44"/>
      <c r="N550" s="44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5.75" customHeight="1">
      <c r="A551" s="39"/>
      <c r="B551" s="45"/>
      <c r="C551" s="46"/>
      <c r="D551" s="39"/>
      <c r="E551" s="39"/>
      <c r="F551" s="44"/>
      <c r="G551" s="39"/>
      <c r="H551" s="39"/>
      <c r="I551" s="39"/>
      <c r="J551" s="39"/>
      <c r="K551" s="44"/>
      <c r="L551" s="44"/>
      <c r="M551" s="44"/>
      <c r="N551" s="44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5.75" customHeight="1">
      <c r="A552" s="39"/>
      <c r="B552" s="45"/>
      <c r="C552" s="46"/>
      <c r="D552" s="39"/>
      <c r="E552" s="39"/>
      <c r="F552" s="44"/>
      <c r="G552" s="39"/>
      <c r="H552" s="39"/>
      <c r="I552" s="39"/>
      <c r="J552" s="39"/>
      <c r="K552" s="44"/>
      <c r="L552" s="44"/>
      <c r="M552" s="44"/>
      <c r="N552" s="44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5.75" customHeight="1">
      <c r="A553" s="39"/>
      <c r="B553" s="45"/>
      <c r="C553" s="46"/>
      <c r="D553" s="39"/>
      <c r="E553" s="39"/>
      <c r="F553" s="44"/>
      <c r="G553" s="39"/>
      <c r="H553" s="39"/>
      <c r="I553" s="39"/>
      <c r="J553" s="39"/>
      <c r="K553" s="44"/>
      <c r="L553" s="44"/>
      <c r="M553" s="44"/>
      <c r="N553" s="44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5.75" customHeight="1">
      <c r="A554" s="39"/>
      <c r="B554" s="45"/>
      <c r="C554" s="46"/>
      <c r="D554" s="39"/>
      <c r="E554" s="39"/>
      <c r="F554" s="44"/>
      <c r="G554" s="39"/>
      <c r="H554" s="39"/>
      <c r="I554" s="39"/>
      <c r="J554" s="39"/>
      <c r="K554" s="44"/>
      <c r="L554" s="44"/>
      <c r="M554" s="44"/>
      <c r="N554" s="44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5.75" customHeight="1">
      <c r="A555" s="39"/>
      <c r="B555" s="45"/>
      <c r="C555" s="46"/>
      <c r="D555" s="39"/>
      <c r="E555" s="39"/>
      <c r="F555" s="44"/>
      <c r="G555" s="39"/>
      <c r="H555" s="39"/>
      <c r="I555" s="39"/>
      <c r="J555" s="39"/>
      <c r="K555" s="44"/>
      <c r="L555" s="44"/>
      <c r="M555" s="44"/>
      <c r="N555" s="44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5.75" customHeight="1">
      <c r="A556" s="39"/>
      <c r="B556" s="45"/>
      <c r="C556" s="46"/>
      <c r="D556" s="39"/>
      <c r="E556" s="39"/>
      <c r="F556" s="44"/>
      <c r="G556" s="39"/>
      <c r="H556" s="39"/>
      <c r="I556" s="39"/>
      <c r="J556" s="39"/>
      <c r="K556" s="44"/>
      <c r="L556" s="44"/>
      <c r="M556" s="44"/>
      <c r="N556" s="44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5.75" customHeight="1">
      <c r="A557" s="39"/>
      <c r="B557" s="45"/>
      <c r="C557" s="46"/>
      <c r="D557" s="39"/>
      <c r="E557" s="39"/>
      <c r="F557" s="44"/>
      <c r="G557" s="39"/>
      <c r="H557" s="39"/>
      <c r="I557" s="39"/>
      <c r="J557" s="39"/>
      <c r="K557" s="44"/>
      <c r="L557" s="44"/>
      <c r="M557" s="44"/>
      <c r="N557" s="44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5.75" customHeight="1">
      <c r="A558" s="39"/>
      <c r="B558" s="45"/>
      <c r="C558" s="46"/>
      <c r="D558" s="39"/>
      <c r="E558" s="39"/>
      <c r="F558" s="44"/>
      <c r="G558" s="39"/>
      <c r="H558" s="39"/>
      <c r="I558" s="39"/>
      <c r="J558" s="39"/>
      <c r="K558" s="44"/>
      <c r="L558" s="44"/>
      <c r="M558" s="44"/>
      <c r="N558" s="44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5.75" customHeight="1">
      <c r="A559" s="39"/>
      <c r="B559" s="45"/>
      <c r="C559" s="46"/>
      <c r="D559" s="39"/>
      <c r="E559" s="39"/>
      <c r="F559" s="44"/>
      <c r="G559" s="39"/>
      <c r="H559" s="39"/>
      <c r="I559" s="39"/>
      <c r="J559" s="39"/>
      <c r="K559" s="44"/>
      <c r="L559" s="44"/>
      <c r="M559" s="44"/>
      <c r="N559" s="44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5.75" customHeight="1">
      <c r="A560" s="39"/>
      <c r="B560" s="45"/>
      <c r="C560" s="46"/>
      <c r="D560" s="39"/>
      <c r="E560" s="39"/>
      <c r="F560" s="44"/>
      <c r="G560" s="39"/>
      <c r="H560" s="39"/>
      <c r="I560" s="39"/>
      <c r="J560" s="39"/>
      <c r="K560" s="44"/>
      <c r="L560" s="44"/>
      <c r="M560" s="44"/>
      <c r="N560" s="44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5.75" customHeight="1">
      <c r="A561" s="39"/>
      <c r="B561" s="45"/>
      <c r="C561" s="46"/>
      <c r="D561" s="39"/>
      <c r="E561" s="39"/>
      <c r="F561" s="44"/>
      <c r="G561" s="39"/>
      <c r="H561" s="39"/>
      <c r="I561" s="39"/>
      <c r="J561" s="39"/>
      <c r="K561" s="44"/>
      <c r="L561" s="44"/>
      <c r="M561" s="44"/>
      <c r="N561" s="44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5.75" customHeight="1">
      <c r="A562" s="39"/>
      <c r="B562" s="45"/>
      <c r="C562" s="46"/>
      <c r="D562" s="39"/>
      <c r="E562" s="39"/>
      <c r="F562" s="44"/>
      <c r="G562" s="39"/>
      <c r="H562" s="39"/>
      <c r="I562" s="39"/>
      <c r="J562" s="39"/>
      <c r="K562" s="44"/>
      <c r="L562" s="44"/>
      <c r="M562" s="44"/>
      <c r="N562" s="44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5.75" customHeight="1">
      <c r="A563" s="39"/>
      <c r="B563" s="45"/>
      <c r="C563" s="46"/>
      <c r="D563" s="39"/>
      <c r="E563" s="39"/>
      <c r="F563" s="44"/>
      <c r="G563" s="39"/>
      <c r="H563" s="39"/>
      <c r="I563" s="39"/>
      <c r="J563" s="39"/>
      <c r="K563" s="44"/>
      <c r="L563" s="44"/>
      <c r="M563" s="44"/>
      <c r="N563" s="44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5.75" customHeight="1">
      <c r="A564" s="39"/>
      <c r="B564" s="45"/>
      <c r="C564" s="46"/>
      <c r="D564" s="39"/>
      <c r="E564" s="39"/>
      <c r="F564" s="44"/>
      <c r="G564" s="39"/>
      <c r="H564" s="39"/>
      <c r="I564" s="39"/>
      <c r="J564" s="39"/>
      <c r="K564" s="44"/>
      <c r="L564" s="44"/>
      <c r="M564" s="44"/>
      <c r="N564" s="44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5.75" customHeight="1">
      <c r="A565" s="39"/>
      <c r="B565" s="45"/>
      <c r="C565" s="46"/>
      <c r="D565" s="39"/>
      <c r="E565" s="39"/>
      <c r="F565" s="44"/>
      <c r="G565" s="39"/>
      <c r="H565" s="39"/>
      <c r="I565" s="39"/>
      <c r="J565" s="39"/>
      <c r="K565" s="44"/>
      <c r="L565" s="44"/>
      <c r="M565" s="44"/>
      <c r="N565" s="44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5.75" customHeight="1">
      <c r="A566" s="39"/>
      <c r="B566" s="45"/>
      <c r="C566" s="46"/>
      <c r="D566" s="39"/>
      <c r="E566" s="39"/>
      <c r="F566" s="44"/>
      <c r="G566" s="39"/>
      <c r="H566" s="39"/>
      <c r="I566" s="39"/>
      <c r="J566" s="39"/>
      <c r="K566" s="44"/>
      <c r="L566" s="44"/>
      <c r="M566" s="44"/>
      <c r="N566" s="44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5.75" customHeight="1">
      <c r="A567" s="39"/>
      <c r="B567" s="45"/>
      <c r="C567" s="46"/>
      <c r="D567" s="39"/>
      <c r="E567" s="39"/>
      <c r="F567" s="44"/>
      <c r="G567" s="39"/>
      <c r="H567" s="39"/>
      <c r="I567" s="39"/>
      <c r="J567" s="39"/>
      <c r="K567" s="44"/>
      <c r="L567" s="44"/>
      <c r="M567" s="44"/>
      <c r="N567" s="44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5.75" customHeight="1">
      <c r="A568" s="39"/>
      <c r="B568" s="45"/>
      <c r="C568" s="46"/>
      <c r="D568" s="39"/>
      <c r="E568" s="39"/>
      <c r="F568" s="44"/>
      <c r="G568" s="39"/>
      <c r="H568" s="39"/>
      <c r="I568" s="39"/>
      <c r="J568" s="39"/>
      <c r="K568" s="44"/>
      <c r="L568" s="44"/>
      <c r="M568" s="44"/>
      <c r="N568" s="44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5.75" customHeight="1">
      <c r="A569" s="39"/>
      <c r="B569" s="45"/>
      <c r="C569" s="46"/>
      <c r="D569" s="39"/>
      <c r="E569" s="39"/>
      <c r="F569" s="44"/>
      <c r="G569" s="39"/>
      <c r="H569" s="39"/>
      <c r="I569" s="39"/>
      <c r="J569" s="39"/>
      <c r="K569" s="44"/>
      <c r="L569" s="44"/>
      <c r="M569" s="44"/>
      <c r="N569" s="44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5.75" customHeight="1">
      <c r="A570" s="39"/>
      <c r="B570" s="45"/>
      <c r="C570" s="46"/>
      <c r="D570" s="39"/>
      <c r="E570" s="39"/>
      <c r="F570" s="44"/>
      <c r="G570" s="39"/>
      <c r="H570" s="39"/>
      <c r="I570" s="39"/>
      <c r="J570" s="39"/>
      <c r="K570" s="44"/>
      <c r="L570" s="44"/>
      <c r="M570" s="44"/>
      <c r="N570" s="44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5.75" customHeight="1">
      <c r="A571" s="39"/>
      <c r="B571" s="45"/>
      <c r="C571" s="46"/>
      <c r="D571" s="39"/>
      <c r="E571" s="39"/>
      <c r="F571" s="44"/>
      <c r="G571" s="39"/>
      <c r="H571" s="39"/>
      <c r="I571" s="39"/>
      <c r="J571" s="39"/>
      <c r="K571" s="44"/>
      <c r="L571" s="44"/>
      <c r="M571" s="44"/>
      <c r="N571" s="44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5.75" customHeight="1">
      <c r="A572" s="39"/>
      <c r="B572" s="45"/>
      <c r="C572" s="46"/>
      <c r="D572" s="39"/>
      <c r="E572" s="39"/>
      <c r="F572" s="44"/>
      <c r="G572" s="39"/>
      <c r="H572" s="39"/>
      <c r="I572" s="39"/>
      <c r="J572" s="39"/>
      <c r="K572" s="44"/>
      <c r="L572" s="44"/>
      <c r="M572" s="44"/>
      <c r="N572" s="44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5.75" customHeight="1">
      <c r="A573" s="39"/>
      <c r="B573" s="45"/>
      <c r="C573" s="46"/>
      <c r="D573" s="39"/>
      <c r="E573" s="39"/>
      <c r="F573" s="44"/>
      <c r="G573" s="39"/>
      <c r="H573" s="39"/>
      <c r="I573" s="39"/>
      <c r="J573" s="39"/>
      <c r="K573" s="44"/>
      <c r="L573" s="44"/>
      <c r="M573" s="44"/>
      <c r="N573" s="44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5.75" customHeight="1">
      <c r="A574" s="39"/>
      <c r="B574" s="45"/>
      <c r="C574" s="46"/>
      <c r="D574" s="39"/>
      <c r="E574" s="39"/>
      <c r="F574" s="44"/>
      <c r="G574" s="39"/>
      <c r="H574" s="39"/>
      <c r="I574" s="39"/>
      <c r="J574" s="39"/>
      <c r="K574" s="44"/>
      <c r="L574" s="44"/>
      <c r="M574" s="44"/>
      <c r="N574" s="44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5.75" customHeight="1">
      <c r="A575" s="39"/>
      <c r="B575" s="45"/>
      <c r="C575" s="46"/>
      <c r="D575" s="39"/>
      <c r="E575" s="39"/>
      <c r="F575" s="44"/>
      <c r="G575" s="39"/>
      <c r="H575" s="39"/>
      <c r="I575" s="39"/>
      <c r="J575" s="39"/>
      <c r="K575" s="44"/>
      <c r="L575" s="44"/>
      <c r="M575" s="44"/>
      <c r="N575" s="44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5.75" customHeight="1">
      <c r="A576" s="39"/>
      <c r="B576" s="45"/>
      <c r="C576" s="46"/>
      <c r="D576" s="39"/>
      <c r="E576" s="39"/>
      <c r="F576" s="44"/>
      <c r="G576" s="39"/>
      <c r="H576" s="39"/>
      <c r="I576" s="39"/>
      <c r="J576" s="39"/>
      <c r="K576" s="44"/>
      <c r="L576" s="44"/>
      <c r="M576" s="44"/>
      <c r="N576" s="44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5.75" customHeight="1">
      <c r="A577" s="39"/>
      <c r="B577" s="45"/>
      <c r="C577" s="46"/>
      <c r="D577" s="39"/>
      <c r="E577" s="39"/>
      <c r="F577" s="44"/>
      <c r="G577" s="39"/>
      <c r="H577" s="39"/>
      <c r="I577" s="39"/>
      <c r="J577" s="39"/>
      <c r="K577" s="44"/>
      <c r="L577" s="44"/>
      <c r="M577" s="44"/>
      <c r="N577" s="44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5.75" customHeight="1">
      <c r="A578" s="39"/>
      <c r="B578" s="45"/>
      <c r="C578" s="46"/>
      <c r="D578" s="39"/>
      <c r="E578" s="39"/>
      <c r="F578" s="44"/>
      <c r="G578" s="39"/>
      <c r="H578" s="39"/>
      <c r="I578" s="39"/>
      <c r="J578" s="39"/>
      <c r="K578" s="44"/>
      <c r="L578" s="44"/>
      <c r="M578" s="44"/>
      <c r="N578" s="44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5.75" customHeight="1">
      <c r="A579" s="39"/>
      <c r="B579" s="45"/>
      <c r="C579" s="46"/>
      <c r="D579" s="39"/>
      <c r="E579" s="39"/>
      <c r="F579" s="44"/>
      <c r="G579" s="39"/>
      <c r="H579" s="39"/>
      <c r="I579" s="39"/>
      <c r="J579" s="39"/>
      <c r="K579" s="44"/>
      <c r="L579" s="44"/>
      <c r="M579" s="44"/>
      <c r="N579" s="44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5.75" customHeight="1">
      <c r="A580" s="39"/>
      <c r="B580" s="45"/>
      <c r="C580" s="46"/>
      <c r="D580" s="39"/>
      <c r="E580" s="39"/>
      <c r="F580" s="44"/>
      <c r="G580" s="39"/>
      <c r="H580" s="39"/>
      <c r="I580" s="39"/>
      <c r="J580" s="39"/>
      <c r="K580" s="44"/>
      <c r="L580" s="44"/>
      <c r="M580" s="44"/>
      <c r="N580" s="44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5.75" customHeight="1">
      <c r="A581" s="39"/>
      <c r="B581" s="45"/>
      <c r="C581" s="46"/>
      <c r="D581" s="39"/>
      <c r="E581" s="39"/>
      <c r="F581" s="44"/>
      <c r="G581" s="39"/>
      <c r="H581" s="39"/>
      <c r="I581" s="39"/>
      <c r="J581" s="39"/>
      <c r="K581" s="44"/>
      <c r="L581" s="44"/>
      <c r="M581" s="44"/>
      <c r="N581" s="44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5.75" customHeight="1">
      <c r="A582" s="39"/>
      <c r="B582" s="45"/>
      <c r="C582" s="46"/>
      <c r="D582" s="39"/>
      <c r="E582" s="39"/>
      <c r="F582" s="44"/>
      <c r="G582" s="39"/>
      <c r="H582" s="39"/>
      <c r="I582" s="39"/>
      <c r="J582" s="39"/>
      <c r="K582" s="44"/>
      <c r="L582" s="44"/>
      <c r="M582" s="44"/>
      <c r="N582" s="44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5.75" customHeight="1">
      <c r="A583" s="39"/>
      <c r="B583" s="45"/>
      <c r="C583" s="46"/>
      <c r="D583" s="39"/>
      <c r="E583" s="39"/>
      <c r="F583" s="44"/>
      <c r="G583" s="39"/>
      <c r="H583" s="39"/>
      <c r="I583" s="39"/>
      <c r="J583" s="39"/>
      <c r="K583" s="44"/>
      <c r="L583" s="44"/>
      <c r="M583" s="44"/>
      <c r="N583" s="44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5.75" customHeight="1">
      <c r="A584" s="39"/>
      <c r="B584" s="45"/>
      <c r="C584" s="46"/>
      <c r="D584" s="39"/>
      <c r="E584" s="39"/>
      <c r="F584" s="44"/>
      <c r="G584" s="39"/>
      <c r="H584" s="39"/>
      <c r="I584" s="39"/>
      <c r="J584" s="39"/>
      <c r="K584" s="44"/>
      <c r="L584" s="44"/>
      <c r="M584" s="44"/>
      <c r="N584" s="44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5.75" customHeight="1">
      <c r="A585" s="39"/>
      <c r="B585" s="45"/>
      <c r="C585" s="46"/>
      <c r="D585" s="39"/>
      <c r="E585" s="39"/>
      <c r="F585" s="44"/>
      <c r="G585" s="39"/>
      <c r="H585" s="39"/>
      <c r="I585" s="39"/>
      <c r="J585" s="39"/>
      <c r="K585" s="44"/>
      <c r="L585" s="44"/>
      <c r="M585" s="44"/>
      <c r="N585" s="44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5.75" customHeight="1">
      <c r="A586" s="39"/>
      <c r="B586" s="45"/>
      <c r="C586" s="46"/>
      <c r="D586" s="39"/>
      <c r="E586" s="39"/>
      <c r="F586" s="44"/>
      <c r="G586" s="39"/>
      <c r="H586" s="39"/>
      <c r="I586" s="39"/>
      <c r="J586" s="39"/>
      <c r="K586" s="44"/>
      <c r="L586" s="44"/>
      <c r="M586" s="44"/>
      <c r="N586" s="44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5.75" customHeight="1">
      <c r="A587" s="39"/>
      <c r="B587" s="45"/>
      <c r="C587" s="46"/>
      <c r="D587" s="39"/>
      <c r="E587" s="39"/>
      <c r="F587" s="44"/>
      <c r="G587" s="39"/>
      <c r="H587" s="39"/>
      <c r="I587" s="39"/>
      <c r="J587" s="39"/>
      <c r="K587" s="44"/>
      <c r="L587" s="44"/>
      <c r="M587" s="44"/>
      <c r="N587" s="44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5.75" customHeight="1">
      <c r="A588" s="39"/>
      <c r="B588" s="45"/>
      <c r="C588" s="46"/>
      <c r="D588" s="39"/>
      <c r="E588" s="39"/>
      <c r="F588" s="44"/>
      <c r="G588" s="39"/>
      <c r="H588" s="39"/>
      <c r="I588" s="39"/>
      <c r="J588" s="39"/>
      <c r="K588" s="44"/>
      <c r="L588" s="44"/>
      <c r="M588" s="44"/>
      <c r="N588" s="44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5.75" customHeight="1">
      <c r="A589" s="39"/>
      <c r="B589" s="45"/>
      <c r="C589" s="46"/>
      <c r="D589" s="39"/>
      <c r="E589" s="39"/>
      <c r="F589" s="44"/>
      <c r="G589" s="39"/>
      <c r="H589" s="39"/>
      <c r="I589" s="39"/>
      <c r="J589" s="39"/>
      <c r="K589" s="44"/>
      <c r="L589" s="44"/>
      <c r="M589" s="44"/>
      <c r="N589" s="44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5.75" customHeight="1">
      <c r="A590" s="39"/>
      <c r="B590" s="45"/>
      <c r="C590" s="46"/>
      <c r="D590" s="39"/>
      <c r="E590" s="39"/>
      <c r="F590" s="44"/>
      <c r="G590" s="39"/>
      <c r="H590" s="39"/>
      <c r="I590" s="39"/>
      <c r="J590" s="39"/>
      <c r="K590" s="44"/>
      <c r="L590" s="44"/>
      <c r="M590" s="44"/>
      <c r="N590" s="44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5.75" customHeight="1">
      <c r="A591" s="39"/>
      <c r="B591" s="45"/>
      <c r="C591" s="46"/>
      <c r="D591" s="39"/>
      <c r="E591" s="39"/>
      <c r="F591" s="44"/>
      <c r="G591" s="39"/>
      <c r="H591" s="39"/>
      <c r="I591" s="39"/>
      <c r="J591" s="39"/>
      <c r="K591" s="44"/>
      <c r="L591" s="44"/>
      <c r="M591" s="44"/>
      <c r="N591" s="44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5.75" customHeight="1">
      <c r="A592" s="39"/>
      <c r="B592" s="45"/>
      <c r="C592" s="46"/>
      <c r="D592" s="39"/>
      <c r="E592" s="39"/>
      <c r="F592" s="44"/>
      <c r="G592" s="39"/>
      <c r="H592" s="39"/>
      <c r="I592" s="39"/>
      <c r="J592" s="39"/>
      <c r="K592" s="44"/>
      <c r="L592" s="44"/>
      <c r="M592" s="44"/>
      <c r="N592" s="44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5.75" customHeight="1">
      <c r="A593" s="39"/>
      <c r="B593" s="45"/>
      <c r="C593" s="46"/>
      <c r="D593" s="39"/>
      <c r="E593" s="39"/>
      <c r="F593" s="44"/>
      <c r="G593" s="39"/>
      <c r="H593" s="39"/>
      <c r="I593" s="39"/>
      <c r="J593" s="39"/>
      <c r="K593" s="44"/>
      <c r="L593" s="44"/>
      <c r="M593" s="44"/>
      <c r="N593" s="44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5.75" customHeight="1">
      <c r="A594" s="39"/>
      <c r="B594" s="45"/>
      <c r="C594" s="46"/>
      <c r="D594" s="39"/>
      <c r="E594" s="39"/>
      <c r="F594" s="44"/>
      <c r="G594" s="39"/>
      <c r="H594" s="39"/>
      <c r="I594" s="39"/>
      <c r="J594" s="39"/>
      <c r="K594" s="44"/>
      <c r="L594" s="44"/>
      <c r="M594" s="44"/>
      <c r="N594" s="44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5.75" customHeight="1">
      <c r="A595" s="39"/>
      <c r="B595" s="45"/>
      <c r="C595" s="46"/>
      <c r="D595" s="39"/>
      <c r="E595" s="39"/>
      <c r="F595" s="44"/>
      <c r="G595" s="39"/>
      <c r="H595" s="39"/>
      <c r="I595" s="39"/>
      <c r="J595" s="39"/>
      <c r="K595" s="44"/>
      <c r="L595" s="44"/>
      <c r="M595" s="44"/>
      <c r="N595" s="44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5.75" customHeight="1">
      <c r="A596" s="39"/>
      <c r="B596" s="45"/>
      <c r="C596" s="46"/>
      <c r="D596" s="39"/>
      <c r="E596" s="39"/>
      <c r="F596" s="44"/>
      <c r="G596" s="39"/>
      <c r="H596" s="39"/>
      <c r="I596" s="39"/>
      <c r="J596" s="39"/>
      <c r="K596" s="44"/>
      <c r="L596" s="44"/>
      <c r="M596" s="44"/>
      <c r="N596" s="44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5.75" customHeight="1">
      <c r="A597" s="39"/>
      <c r="B597" s="45"/>
      <c r="C597" s="46"/>
      <c r="D597" s="39"/>
      <c r="E597" s="39"/>
      <c r="F597" s="44"/>
      <c r="G597" s="39"/>
      <c r="H597" s="39"/>
      <c r="I597" s="39"/>
      <c r="J597" s="39"/>
      <c r="K597" s="44"/>
      <c r="L597" s="44"/>
      <c r="M597" s="44"/>
      <c r="N597" s="44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5.75" customHeight="1">
      <c r="A598" s="39"/>
      <c r="B598" s="45"/>
      <c r="C598" s="46"/>
      <c r="D598" s="39"/>
      <c r="E598" s="39"/>
      <c r="F598" s="44"/>
      <c r="G598" s="39"/>
      <c r="H598" s="39"/>
      <c r="I598" s="39"/>
      <c r="J598" s="39"/>
      <c r="K598" s="44"/>
      <c r="L598" s="44"/>
      <c r="M598" s="44"/>
      <c r="N598" s="44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5.75" customHeight="1">
      <c r="A599" s="39"/>
      <c r="B599" s="45"/>
      <c r="C599" s="46"/>
      <c r="D599" s="39"/>
      <c r="E599" s="39"/>
      <c r="F599" s="44"/>
      <c r="G599" s="39"/>
      <c r="H599" s="39"/>
      <c r="I599" s="39"/>
      <c r="J599" s="39"/>
      <c r="K599" s="44"/>
      <c r="L599" s="44"/>
      <c r="M599" s="44"/>
      <c r="N599" s="44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5.75" customHeight="1">
      <c r="A600" s="39"/>
      <c r="B600" s="45"/>
      <c r="C600" s="46"/>
      <c r="D600" s="39"/>
      <c r="E600" s="39"/>
      <c r="F600" s="44"/>
      <c r="G600" s="39"/>
      <c r="H600" s="39"/>
      <c r="I600" s="39"/>
      <c r="J600" s="39"/>
      <c r="K600" s="44"/>
      <c r="L600" s="44"/>
      <c r="M600" s="44"/>
      <c r="N600" s="44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5.75" customHeight="1">
      <c r="A601" s="39"/>
      <c r="B601" s="45"/>
      <c r="C601" s="46"/>
      <c r="D601" s="39"/>
      <c r="E601" s="39"/>
      <c r="F601" s="44"/>
      <c r="G601" s="39"/>
      <c r="H601" s="39"/>
      <c r="I601" s="39"/>
      <c r="J601" s="39"/>
      <c r="K601" s="44"/>
      <c r="L601" s="44"/>
      <c r="M601" s="44"/>
      <c r="N601" s="44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5.75" customHeight="1">
      <c r="A602" s="39"/>
      <c r="B602" s="45"/>
      <c r="C602" s="46"/>
      <c r="D602" s="39"/>
      <c r="E602" s="39"/>
      <c r="F602" s="44"/>
      <c r="G602" s="39"/>
      <c r="H602" s="39"/>
      <c r="I602" s="39"/>
      <c r="J602" s="39"/>
      <c r="K602" s="44"/>
      <c r="L602" s="44"/>
      <c r="M602" s="44"/>
      <c r="N602" s="44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5.75" customHeight="1">
      <c r="A603" s="39"/>
      <c r="B603" s="45"/>
      <c r="C603" s="46"/>
      <c r="D603" s="39"/>
      <c r="E603" s="39"/>
      <c r="F603" s="44"/>
      <c r="G603" s="39"/>
      <c r="H603" s="39"/>
      <c r="I603" s="39"/>
      <c r="J603" s="39"/>
      <c r="K603" s="44"/>
      <c r="L603" s="44"/>
      <c r="M603" s="44"/>
      <c r="N603" s="44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5.75" customHeight="1">
      <c r="A604" s="39"/>
      <c r="B604" s="45"/>
      <c r="C604" s="46"/>
      <c r="D604" s="39"/>
      <c r="E604" s="39"/>
      <c r="F604" s="44"/>
      <c r="G604" s="39"/>
      <c r="H604" s="39"/>
      <c r="I604" s="39"/>
      <c r="J604" s="39"/>
      <c r="K604" s="44"/>
      <c r="L604" s="44"/>
      <c r="M604" s="44"/>
      <c r="N604" s="44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5.75" customHeight="1">
      <c r="A605" s="39"/>
      <c r="B605" s="45"/>
      <c r="C605" s="46"/>
      <c r="D605" s="39"/>
      <c r="E605" s="39"/>
      <c r="F605" s="44"/>
      <c r="G605" s="39"/>
      <c r="H605" s="39"/>
      <c r="I605" s="39"/>
      <c r="J605" s="39"/>
      <c r="K605" s="44"/>
      <c r="L605" s="44"/>
      <c r="M605" s="44"/>
      <c r="N605" s="44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5.75" customHeight="1">
      <c r="A606" s="39"/>
      <c r="B606" s="45"/>
      <c r="C606" s="46"/>
      <c r="D606" s="39"/>
      <c r="E606" s="39"/>
      <c r="F606" s="44"/>
      <c r="G606" s="39"/>
      <c r="H606" s="39"/>
      <c r="I606" s="39"/>
      <c r="J606" s="39"/>
      <c r="K606" s="44"/>
      <c r="L606" s="44"/>
      <c r="M606" s="44"/>
      <c r="N606" s="44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5.75" customHeight="1">
      <c r="A607" s="39"/>
      <c r="B607" s="45"/>
      <c r="C607" s="46"/>
      <c r="D607" s="39"/>
      <c r="E607" s="39"/>
      <c r="F607" s="44"/>
      <c r="G607" s="39"/>
      <c r="H607" s="39"/>
      <c r="I607" s="39"/>
      <c r="J607" s="39"/>
      <c r="K607" s="44"/>
      <c r="L607" s="44"/>
      <c r="M607" s="44"/>
      <c r="N607" s="44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5.75" customHeight="1">
      <c r="A608" s="39"/>
      <c r="B608" s="45"/>
      <c r="C608" s="46"/>
      <c r="D608" s="39"/>
      <c r="E608" s="39"/>
      <c r="F608" s="44"/>
      <c r="G608" s="39"/>
      <c r="H608" s="39"/>
      <c r="I608" s="39"/>
      <c r="J608" s="39"/>
      <c r="K608" s="44"/>
      <c r="L608" s="44"/>
      <c r="M608" s="44"/>
      <c r="N608" s="44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5.75" customHeight="1">
      <c r="A609" s="39"/>
      <c r="B609" s="45"/>
      <c r="C609" s="46"/>
      <c r="D609" s="39"/>
      <c r="E609" s="39"/>
      <c r="F609" s="44"/>
      <c r="G609" s="39"/>
      <c r="H609" s="39"/>
      <c r="I609" s="39"/>
      <c r="J609" s="39"/>
      <c r="K609" s="44"/>
      <c r="L609" s="44"/>
      <c r="M609" s="44"/>
      <c r="N609" s="44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5.75" customHeight="1">
      <c r="A610" s="39"/>
      <c r="B610" s="45"/>
      <c r="C610" s="46"/>
      <c r="D610" s="39"/>
      <c r="E610" s="39"/>
      <c r="F610" s="44"/>
      <c r="G610" s="39"/>
      <c r="H610" s="39"/>
      <c r="I610" s="39"/>
      <c r="J610" s="39"/>
      <c r="K610" s="44"/>
      <c r="L610" s="44"/>
      <c r="M610" s="44"/>
      <c r="N610" s="44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5.75" customHeight="1">
      <c r="A611" s="39"/>
      <c r="B611" s="45"/>
      <c r="C611" s="46"/>
      <c r="D611" s="39"/>
      <c r="E611" s="39"/>
      <c r="F611" s="44"/>
      <c r="G611" s="39"/>
      <c r="H611" s="39"/>
      <c r="I611" s="39"/>
      <c r="J611" s="39"/>
      <c r="K611" s="44"/>
      <c r="L611" s="44"/>
      <c r="M611" s="44"/>
      <c r="N611" s="44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5.75" customHeight="1">
      <c r="A612" s="39"/>
      <c r="B612" s="45"/>
      <c r="C612" s="46"/>
      <c r="D612" s="39"/>
      <c r="E612" s="39"/>
      <c r="F612" s="44"/>
      <c r="G612" s="39"/>
      <c r="H612" s="39"/>
      <c r="I612" s="39"/>
      <c r="J612" s="39"/>
      <c r="K612" s="44"/>
      <c r="L612" s="44"/>
      <c r="M612" s="44"/>
      <c r="N612" s="44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5.75" customHeight="1">
      <c r="A613" s="39"/>
      <c r="B613" s="45"/>
      <c r="C613" s="46"/>
      <c r="D613" s="39"/>
      <c r="E613" s="39"/>
      <c r="F613" s="44"/>
      <c r="G613" s="39"/>
      <c r="H613" s="39"/>
      <c r="I613" s="39"/>
      <c r="J613" s="39"/>
      <c r="K613" s="44"/>
      <c r="L613" s="44"/>
      <c r="M613" s="44"/>
      <c r="N613" s="44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5.75" customHeight="1">
      <c r="A614" s="39"/>
      <c r="B614" s="45"/>
      <c r="C614" s="46"/>
      <c r="D614" s="39"/>
      <c r="E614" s="39"/>
      <c r="F614" s="44"/>
      <c r="G614" s="39"/>
      <c r="H614" s="39"/>
      <c r="I614" s="39"/>
      <c r="J614" s="39"/>
      <c r="K614" s="44"/>
      <c r="L614" s="44"/>
      <c r="M614" s="44"/>
      <c r="N614" s="44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5.75" customHeight="1">
      <c r="A615" s="39"/>
      <c r="B615" s="45"/>
      <c r="C615" s="46"/>
      <c r="D615" s="39"/>
      <c r="E615" s="39"/>
      <c r="F615" s="44"/>
      <c r="G615" s="39"/>
      <c r="H615" s="39"/>
      <c r="I615" s="39"/>
      <c r="J615" s="39"/>
      <c r="K615" s="44"/>
      <c r="L615" s="44"/>
      <c r="M615" s="44"/>
      <c r="N615" s="44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5.75" customHeight="1">
      <c r="A616" s="39"/>
      <c r="B616" s="45"/>
      <c r="C616" s="46"/>
      <c r="D616" s="39"/>
      <c r="E616" s="39"/>
      <c r="F616" s="44"/>
      <c r="G616" s="39"/>
      <c r="H616" s="39"/>
      <c r="I616" s="39"/>
      <c r="J616" s="39"/>
      <c r="K616" s="44"/>
      <c r="L616" s="44"/>
      <c r="M616" s="44"/>
      <c r="N616" s="44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5.75" customHeight="1">
      <c r="A617" s="39"/>
      <c r="B617" s="45"/>
      <c r="C617" s="46"/>
      <c r="D617" s="39"/>
      <c r="E617" s="39"/>
      <c r="F617" s="44"/>
      <c r="G617" s="39"/>
      <c r="H617" s="39"/>
      <c r="I617" s="39"/>
      <c r="J617" s="39"/>
      <c r="K617" s="44"/>
      <c r="L617" s="44"/>
      <c r="M617" s="44"/>
      <c r="N617" s="44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5.75" customHeight="1">
      <c r="A618" s="39"/>
      <c r="B618" s="45"/>
      <c r="C618" s="46"/>
      <c r="D618" s="39"/>
      <c r="E618" s="39"/>
      <c r="F618" s="44"/>
      <c r="G618" s="39"/>
      <c r="H618" s="39"/>
      <c r="I618" s="39"/>
      <c r="J618" s="39"/>
      <c r="K618" s="44"/>
      <c r="L618" s="44"/>
      <c r="M618" s="44"/>
      <c r="N618" s="44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5.75" customHeight="1">
      <c r="A619" s="39"/>
      <c r="B619" s="45"/>
      <c r="C619" s="46"/>
      <c r="D619" s="39"/>
      <c r="E619" s="39"/>
      <c r="F619" s="44"/>
      <c r="G619" s="39"/>
      <c r="H619" s="39"/>
      <c r="I619" s="39"/>
      <c r="J619" s="39"/>
      <c r="K619" s="44"/>
      <c r="L619" s="44"/>
      <c r="M619" s="44"/>
      <c r="N619" s="44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5.75" customHeight="1">
      <c r="A620" s="39"/>
      <c r="B620" s="45"/>
      <c r="C620" s="46"/>
      <c r="D620" s="39"/>
      <c r="E620" s="39"/>
      <c r="F620" s="44"/>
      <c r="G620" s="39"/>
      <c r="H620" s="39"/>
      <c r="I620" s="39"/>
      <c r="J620" s="39"/>
      <c r="K620" s="44"/>
      <c r="L620" s="44"/>
      <c r="M620" s="44"/>
      <c r="N620" s="44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5.75" customHeight="1">
      <c r="A621" s="39"/>
      <c r="B621" s="45"/>
      <c r="C621" s="46"/>
      <c r="D621" s="39"/>
      <c r="E621" s="39"/>
      <c r="F621" s="44"/>
      <c r="G621" s="39"/>
      <c r="H621" s="39"/>
      <c r="I621" s="39"/>
      <c r="J621" s="39"/>
      <c r="K621" s="44"/>
      <c r="L621" s="44"/>
      <c r="M621" s="44"/>
      <c r="N621" s="44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5.75" customHeight="1">
      <c r="A622" s="39"/>
      <c r="B622" s="45"/>
      <c r="C622" s="46"/>
      <c r="D622" s="39"/>
      <c r="E622" s="39"/>
      <c r="F622" s="44"/>
      <c r="G622" s="39"/>
      <c r="H622" s="39"/>
      <c r="I622" s="39"/>
      <c r="J622" s="39"/>
      <c r="K622" s="44"/>
      <c r="L622" s="44"/>
      <c r="M622" s="44"/>
      <c r="N622" s="44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5.75" customHeight="1">
      <c r="A623" s="39"/>
      <c r="B623" s="45"/>
      <c r="C623" s="46"/>
      <c r="D623" s="39"/>
      <c r="E623" s="39"/>
      <c r="F623" s="44"/>
      <c r="G623" s="39"/>
      <c r="H623" s="39"/>
      <c r="I623" s="39"/>
      <c r="J623" s="39"/>
      <c r="K623" s="44"/>
      <c r="L623" s="44"/>
      <c r="M623" s="44"/>
      <c r="N623" s="44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5.75" customHeight="1">
      <c r="A624" s="39"/>
      <c r="B624" s="45"/>
      <c r="C624" s="46"/>
      <c r="D624" s="39"/>
      <c r="E624" s="39"/>
      <c r="F624" s="44"/>
      <c r="G624" s="39"/>
      <c r="H624" s="39"/>
      <c r="I624" s="39"/>
      <c r="J624" s="39"/>
      <c r="K624" s="44"/>
      <c r="L624" s="44"/>
      <c r="M624" s="44"/>
      <c r="N624" s="44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5.75" customHeight="1">
      <c r="A625" s="39"/>
      <c r="B625" s="45"/>
      <c r="C625" s="46"/>
      <c r="D625" s="39"/>
      <c r="E625" s="39"/>
      <c r="F625" s="44"/>
      <c r="G625" s="39"/>
      <c r="H625" s="39"/>
      <c r="I625" s="39"/>
      <c r="J625" s="39"/>
      <c r="K625" s="44"/>
      <c r="L625" s="44"/>
      <c r="M625" s="44"/>
      <c r="N625" s="44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5.75" customHeight="1">
      <c r="A626" s="39"/>
      <c r="B626" s="45"/>
      <c r="C626" s="46"/>
      <c r="D626" s="39"/>
      <c r="E626" s="39"/>
      <c r="F626" s="44"/>
      <c r="G626" s="39"/>
      <c r="H626" s="39"/>
      <c r="I626" s="39"/>
      <c r="J626" s="39"/>
      <c r="K626" s="44"/>
      <c r="L626" s="44"/>
      <c r="M626" s="44"/>
      <c r="N626" s="44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5.75" customHeight="1">
      <c r="A627" s="39"/>
      <c r="B627" s="45"/>
      <c r="C627" s="46"/>
      <c r="D627" s="39"/>
      <c r="E627" s="39"/>
      <c r="F627" s="44"/>
      <c r="G627" s="39"/>
      <c r="H627" s="39"/>
      <c r="I627" s="39"/>
      <c r="J627" s="39"/>
      <c r="K627" s="44"/>
      <c r="L627" s="44"/>
      <c r="M627" s="44"/>
      <c r="N627" s="44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5.75" customHeight="1">
      <c r="A628" s="39"/>
      <c r="B628" s="45"/>
      <c r="C628" s="46"/>
      <c r="D628" s="39"/>
      <c r="E628" s="39"/>
      <c r="F628" s="44"/>
      <c r="G628" s="39"/>
      <c r="H628" s="39"/>
      <c r="I628" s="39"/>
      <c r="J628" s="39"/>
      <c r="K628" s="44"/>
      <c r="L628" s="44"/>
      <c r="M628" s="44"/>
      <c r="N628" s="44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5.75" customHeight="1">
      <c r="A629" s="39"/>
      <c r="B629" s="45"/>
      <c r="C629" s="46"/>
      <c r="D629" s="39"/>
      <c r="E629" s="39"/>
      <c r="F629" s="44"/>
      <c r="G629" s="39"/>
      <c r="H629" s="39"/>
      <c r="I629" s="39"/>
      <c r="J629" s="39"/>
      <c r="K629" s="44"/>
      <c r="L629" s="44"/>
      <c r="M629" s="44"/>
      <c r="N629" s="44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5.75" customHeight="1">
      <c r="A630" s="39"/>
      <c r="B630" s="45"/>
      <c r="C630" s="46"/>
      <c r="D630" s="39"/>
      <c r="E630" s="39"/>
      <c r="F630" s="44"/>
      <c r="G630" s="39"/>
      <c r="H630" s="39"/>
      <c r="I630" s="39"/>
      <c r="J630" s="39"/>
      <c r="K630" s="44"/>
      <c r="L630" s="44"/>
      <c r="M630" s="44"/>
      <c r="N630" s="44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5.75" customHeight="1">
      <c r="A631" s="39"/>
      <c r="B631" s="45"/>
      <c r="C631" s="46"/>
      <c r="D631" s="39"/>
      <c r="E631" s="39"/>
      <c r="F631" s="44"/>
      <c r="G631" s="39"/>
      <c r="H631" s="39"/>
      <c r="I631" s="39"/>
      <c r="J631" s="39"/>
      <c r="K631" s="44"/>
      <c r="L631" s="44"/>
      <c r="M631" s="44"/>
      <c r="N631" s="44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5.75" customHeight="1">
      <c r="A632" s="39"/>
      <c r="B632" s="45"/>
      <c r="C632" s="46"/>
      <c r="D632" s="39"/>
      <c r="E632" s="39"/>
      <c r="F632" s="44"/>
      <c r="G632" s="39"/>
      <c r="H632" s="39"/>
      <c r="I632" s="39"/>
      <c r="J632" s="39"/>
      <c r="K632" s="44"/>
      <c r="L632" s="44"/>
      <c r="M632" s="44"/>
      <c r="N632" s="44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5.75" customHeight="1">
      <c r="A633" s="39"/>
      <c r="B633" s="45"/>
      <c r="C633" s="46"/>
      <c r="D633" s="39"/>
      <c r="E633" s="39"/>
      <c r="F633" s="44"/>
      <c r="G633" s="39"/>
      <c r="H633" s="39"/>
      <c r="I633" s="39"/>
      <c r="J633" s="39"/>
      <c r="K633" s="44"/>
      <c r="L633" s="44"/>
      <c r="M633" s="44"/>
      <c r="N633" s="44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5.75" customHeight="1">
      <c r="A634" s="39"/>
      <c r="B634" s="45"/>
      <c r="C634" s="46"/>
      <c r="D634" s="39"/>
      <c r="E634" s="39"/>
      <c r="F634" s="44"/>
      <c r="G634" s="39"/>
      <c r="H634" s="39"/>
      <c r="I634" s="39"/>
      <c r="J634" s="39"/>
      <c r="K634" s="44"/>
      <c r="L634" s="44"/>
      <c r="M634" s="44"/>
      <c r="N634" s="44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5.75" customHeight="1">
      <c r="A635" s="39"/>
      <c r="B635" s="45"/>
      <c r="C635" s="46"/>
      <c r="D635" s="39"/>
      <c r="E635" s="39"/>
      <c r="F635" s="44"/>
      <c r="G635" s="39"/>
      <c r="H635" s="39"/>
      <c r="I635" s="39"/>
      <c r="J635" s="39"/>
      <c r="K635" s="44"/>
      <c r="L635" s="44"/>
      <c r="M635" s="44"/>
      <c r="N635" s="44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5.75" customHeight="1">
      <c r="A636" s="39"/>
      <c r="B636" s="45"/>
      <c r="C636" s="46"/>
      <c r="D636" s="39"/>
      <c r="E636" s="39"/>
      <c r="F636" s="44"/>
      <c r="G636" s="39"/>
      <c r="H636" s="39"/>
      <c r="I636" s="39"/>
      <c r="J636" s="39"/>
      <c r="K636" s="44"/>
      <c r="L636" s="44"/>
      <c r="M636" s="44"/>
      <c r="N636" s="44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5.75" customHeight="1">
      <c r="A637" s="39"/>
      <c r="B637" s="45"/>
      <c r="C637" s="46"/>
      <c r="D637" s="39"/>
      <c r="E637" s="39"/>
      <c r="F637" s="44"/>
      <c r="G637" s="39"/>
      <c r="H637" s="39"/>
      <c r="I637" s="39"/>
      <c r="J637" s="39"/>
      <c r="K637" s="44"/>
      <c r="L637" s="44"/>
      <c r="M637" s="44"/>
      <c r="N637" s="44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5.75" customHeight="1">
      <c r="A638" s="39"/>
      <c r="B638" s="45"/>
      <c r="C638" s="46"/>
      <c r="D638" s="39"/>
      <c r="E638" s="39"/>
      <c r="F638" s="44"/>
      <c r="G638" s="39"/>
      <c r="H638" s="39"/>
      <c r="I638" s="39"/>
      <c r="J638" s="39"/>
      <c r="K638" s="44"/>
      <c r="L638" s="44"/>
      <c r="M638" s="44"/>
      <c r="N638" s="44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5.75" customHeight="1">
      <c r="A639" s="39"/>
      <c r="B639" s="45"/>
      <c r="C639" s="46"/>
      <c r="D639" s="39"/>
      <c r="E639" s="39"/>
      <c r="F639" s="44"/>
      <c r="G639" s="39"/>
      <c r="H639" s="39"/>
      <c r="I639" s="39"/>
      <c r="J639" s="39"/>
      <c r="K639" s="44"/>
      <c r="L639" s="44"/>
      <c r="M639" s="44"/>
      <c r="N639" s="44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5.75" customHeight="1">
      <c r="A640" s="39"/>
      <c r="B640" s="45"/>
      <c r="C640" s="46"/>
      <c r="D640" s="39"/>
      <c r="E640" s="39"/>
      <c r="F640" s="44"/>
      <c r="G640" s="39"/>
      <c r="H640" s="39"/>
      <c r="I640" s="39"/>
      <c r="J640" s="39"/>
      <c r="K640" s="44"/>
      <c r="L640" s="44"/>
      <c r="M640" s="44"/>
      <c r="N640" s="44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5.75" customHeight="1">
      <c r="A641" s="39"/>
      <c r="B641" s="45"/>
      <c r="C641" s="46"/>
      <c r="D641" s="39"/>
      <c r="E641" s="39"/>
      <c r="F641" s="44"/>
      <c r="G641" s="39"/>
      <c r="H641" s="39"/>
      <c r="I641" s="39"/>
      <c r="J641" s="39"/>
      <c r="K641" s="44"/>
      <c r="L641" s="44"/>
      <c r="M641" s="44"/>
      <c r="N641" s="44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5.75" customHeight="1">
      <c r="A642" s="39"/>
      <c r="B642" s="45"/>
      <c r="C642" s="46"/>
      <c r="D642" s="39"/>
      <c r="E642" s="39"/>
      <c r="F642" s="44"/>
      <c r="G642" s="39"/>
      <c r="H642" s="39"/>
      <c r="I642" s="39"/>
      <c r="J642" s="39"/>
      <c r="K642" s="44"/>
      <c r="L642" s="44"/>
      <c r="M642" s="44"/>
      <c r="N642" s="44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5.75" customHeight="1">
      <c r="A643" s="39"/>
      <c r="B643" s="45"/>
      <c r="C643" s="46"/>
      <c r="D643" s="39"/>
      <c r="E643" s="39"/>
      <c r="F643" s="44"/>
      <c r="G643" s="39"/>
      <c r="H643" s="39"/>
      <c r="I643" s="39"/>
      <c r="J643" s="39"/>
      <c r="K643" s="44"/>
      <c r="L643" s="44"/>
      <c r="M643" s="44"/>
      <c r="N643" s="44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5.75" customHeight="1">
      <c r="A644" s="39"/>
      <c r="B644" s="45"/>
      <c r="C644" s="46"/>
      <c r="D644" s="39"/>
      <c r="E644" s="39"/>
      <c r="F644" s="44"/>
      <c r="G644" s="39"/>
      <c r="H644" s="39"/>
      <c r="I644" s="39"/>
      <c r="J644" s="39"/>
      <c r="K644" s="44"/>
      <c r="L644" s="44"/>
      <c r="M644" s="44"/>
      <c r="N644" s="44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5.75" customHeight="1">
      <c r="A645" s="39"/>
      <c r="B645" s="45"/>
      <c r="C645" s="46"/>
      <c r="D645" s="39"/>
      <c r="E645" s="39"/>
      <c r="F645" s="44"/>
      <c r="G645" s="39"/>
      <c r="H645" s="39"/>
      <c r="I645" s="39"/>
      <c r="J645" s="39"/>
      <c r="K645" s="44"/>
      <c r="L645" s="44"/>
      <c r="M645" s="44"/>
      <c r="N645" s="44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5.75" customHeight="1">
      <c r="A646" s="39"/>
      <c r="B646" s="45"/>
      <c r="C646" s="46"/>
      <c r="D646" s="39"/>
      <c r="E646" s="39"/>
      <c r="F646" s="44"/>
      <c r="G646" s="39"/>
      <c r="H646" s="39"/>
      <c r="I646" s="39"/>
      <c r="J646" s="39"/>
      <c r="K646" s="44"/>
      <c r="L646" s="44"/>
      <c r="M646" s="44"/>
      <c r="N646" s="44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5.75" customHeight="1">
      <c r="A647" s="39"/>
      <c r="B647" s="45"/>
      <c r="C647" s="46"/>
      <c r="D647" s="39"/>
      <c r="E647" s="39"/>
      <c r="F647" s="44"/>
      <c r="G647" s="39"/>
      <c r="H647" s="39"/>
      <c r="I647" s="39"/>
      <c r="J647" s="39"/>
      <c r="K647" s="44"/>
      <c r="L647" s="44"/>
      <c r="M647" s="44"/>
      <c r="N647" s="44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5.75" customHeight="1">
      <c r="A648" s="39"/>
      <c r="B648" s="45"/>
      <c r="C648" s="46"/>
      <c r="D648" s="39"/>
      <c r="E648" s="39"/>
      <c r="F648" s="44"/>
      <c r="G648" s="39"/>
      <c r="H648" s="39"/>
      <c r="I648" s="39"/>
      <c r="J648" s="39"/>
      <c r="K648" s="44"/>
      <c r="L648" s="44"/>
      <c r="M648" s="44"/>
      <c r="N648" s="44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5.75" customHeight="1">
      <c r="A649" s="39"/>
      <c r="B649" s="45"/>
      <c r="C649" s="46"/>
      <c r="D649" s="39"/>
      <c r="E649" s="39"/>
      <c r="F649" s="44"/>
      <c r="G649" s="39"/>
      <c r="H649" s="39"/>
      <c r="I649" s="39"/>
      <c r="J649" s="39"/>
      <c r="K649" s="44"/>
      <c r="L649" s="44"/>
      <c r="M649" s="44"/>
      <c r="N649" s="44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5.75" customHeight="1">
      <c r="A650" s="39"/>
      <c r="B650" s="45"/>
      <c r="C650" s="46"/>
      <c r="D650" s="39"/>
      <c r="E650" s="39"/>
      <c r="F650" s="44"/>
      <c r="G650" s="39"/>
      <c r="H650" s="39"/>
      <c r="I650" s="39"/>
      <c r="J650" s="39"/>
      <c r="K650" s="44"/>
      <c r="L650" s="44"/>
      <c r="M650" s="44"/>
      <c r="N650" s="44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5.75" customHeight="1">
      <c r="A651" s="39"/>
      <c r="B651" s="45"/>
      <c r="C651" s="46"/>
      <c r="D651" s="39"/>
      <c r="E651" s="39"/>
      <c r="F651" s="44"/>
      <c r="G651" s="39"/>
      <c r="H651" s="39"/>
      <c r="I651" s="39"/>
      <c r="J651" s="39"/>
      <c r="K651" s="44"/>
      <c r="L651" s="44"/>
      <c r="M651" s="44"/>
      <c r="N651" s="44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5.75" customHeight="1">
      <c r="A652" s="39"/>
      <c r="B652" s="45"/>
      <c r="C652" s="46"/>
      <c r="D652" s="39"/>
      <c r="E652" s="39"/>
      <c r="F652" s="44"/>
      <c r="G652" s="39"/>
      <c r="H652" s="39"/>
      <c r="I652" s="39"/>
      <c r="J652" s="39"/>
      <c r="K652" s="44"/>
      <c r="L652" s="44"/>
      <c r="M652" s="44"/>
      <c r="N652" s="44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5.75" customHeight="1">
      <c r="A653" s="39"/>
      <c r="B653" s="45"/>
      <c r="C653" s="46"/>
      <c r="D653" s="39"/>
      <c r="E653" s="39"/>
      <c r="F653" s="44"/>
      <c r="G653" s="39"/>
      <c r="H653" s="39"/>
      <c r="I653" s="39"/>
      <c r="J653" s="39"/>
      <c r="K653" s="44"/>
      <c r="L653" s="44"/>
      <c r="M653" s="44"/>
      <c r="N653" s="44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5.75" customHeight="1">
      <c r="A654" s="39"/>
      <c r="B654" s="45"/>
      <c r="C654" s="46"/>
      <c r="D654" s="39"/>
      <c r="E654" s="39"/>
      <c r="F654" s="44"/>
      <c r="G654" s="39"/>
      <c r="H654" s="39"/>
      <c r="I654" s="39"/>
      <c r="J654" s="39"/>
      <c r="K654" s="44"/>
      <c r="L654" s="44"/>
      <c r="M654" s="44"/>
      <c r="N654" s="44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5.75" customHeight="1">
      <c r="A655" s="39"/>
      <c r="B655" s="45"/>
      <c r="C655" s="46"/>
      <c r="D655" s="39"/>
      <c r="E655" s="39"/>
      <c r="F655" s="44"/>
      <c r="G655" s="39"/>
      <c r="H655" s="39"/>
      <c r="I655" s="39"/>
      <c r="J655" s="39"/>
      <c r="K655" s="44"/>
      <c r="L655" s="44"/>
      <c r="M655" s="44"/>
      <c r="N655" s="44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5.75" customHeight="1">
      <c r="A656" s="39"/>
      <c r="B656" s="45"/>
      <c r="C656" s="46"/>
      <c r="D656" s="39"/>
      <c r="E656" s="39"/>
      <c r="F656" s="44"/>
      <c r="G656" s="39"/>
      <c r="H656" s="39"/>
      <c r="I656" s="39"/>
      <c r="J656" s="39"/>
      <c r="K656" s="44"/>
      <c r="L656" s="44"/>
      <c r="M656" s="44"/>
      <c r="N656" s="44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5.75" customHeight="1">
      <c r="A657" s="39"/>
      <c r="B657" s="45"/>
      <c r="C657" s="46"/>
      <c r="D657" s="39"/>
      <c r="E657" s="39"/>
      <c r="F657" s="44"/>
      <c r="G657" s="39"/>
      <c r="H657" s="39"/>
      <c r="I657" s="39"/>
      <c r="J657" s="39"/>
      <c r="K657" s="44"/>
      <c r="L657" s="44"/>
      <c r="M657" s="44"/>
      <c r="N657" s="44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5.75" customHeight="1">
      <c r="A658" s="39"/>
      <c r="B658" s="45"/>
      <c r="C658" s="46"/>
      <c r="D658" s="39"/>
      <c r="E658" s="39"/>
      <c r="F658" s="44"/>
      <c r="G658" s="39"/>
      <c r="H658" s="39"/>
      <c r="I658" s="39"/>
      <c r="J658" s="39"/>
      <c r="K658" s="44"/>
      <c r="L658" s="44"/>
      <c r="M658" s="44"/>
      <c r="N658" s="44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5.75" customHeight="1">
      <c r="A659" s="39"/>
      <c r="B659" s="45"/>
      <c r="C659" s="46"/>
      <c r="D659" s="39"/>
      <c r="E659" s="39"/>
      <c r="F659" s="44"/>
      <c r="G659" s="39"/>
      <c r="H659" s="39"/>
      <c r="I659" s="39"/>
      <c r="J659" s="39"/>
      <c r="K659" s="44"/>
      <c r="L659" s="44"/>
      <c r="M659" s="44"/>
      <c r="N659" s="44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5.75" customHeight="1">
      <c r="A660" s="39"/>
      <c r="B660" s="45"/>
      <c r="C660" s="46"/>
      <c r="D660" s="39"/>
      <c r="E660" s="39"/>
      <c r="F660" s="44"/>
      <c r="G660" s="39"/>
      <c r="H660" s="39"/>
      <c r="I660" s="39"/>
      <c r="J660" s="39"/>
      <c r="K660" s="44"/>
      <c r="L660" s="44"/>
      <c r="M660" s="44"/>
      <c r="N660" s="44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5.75" customHeight="1">
      <c r="A661" s="39"/>
      <c r="B661" s="45"/>
      <c r="C661" s="46"/>
      <c r="D661" s="39"/>
      <c r="E661" s="39"/>
      <c r="F661" s="44"/>
      <c r="G661" s="39"/>
      <c r="H661" s="39"/>
      <c r="I661" s="39"/>
      <c r="J661" s="39"/>
      <c r="K661" s="44"/>
      <c r="L661" s="44"/>
      <c r="M661" s="44"/>
      <c r="N661" s="44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5.75" customHeight="1">
      <c r="A662" s="39"/>
      <c r="B662" s="45"/>
      <c r="C662" s="46"/>
      <c r="D662" s="39"/>
      <c r="E662" s="39"/>
      <c r="F662" s="44"/>
      <c r="G662" s="39"/>
      <c r="H662" s="39"/>
      <c r="I662" s="39"/>
      <c r="J662" s="39"/>
      <c r="K662" s="44"/>
      <c r="L662" s="44"/>
      <c r="M662" s="44"/>
      <c r="N662" s="44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5.75" customHeight="1">
      <c r="A663" s="39"/>
      <c r="B663" s="45"/>
      <c r="C663" s="46"/>
      <c r="D663" s="39"/>
      <c r="E663" s="39"/>
      <c r="F663" s="44"/>
      <c r="G663" s="39"/>
      <c r="H663" s="39"/>
      <c r="I663" s="39"/>
      <c r="J663" s="39"/>
      <c r="K663" s="44"/>
      <c r="L663" s="44"/>
      <c r="M663" s="44"/>
      <c r="N663" s="44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5.75" customHeight="1">
      <c r="A664" s="39"/>
      <c r="B664" s="45"/>
      <c r="C664" s="46"/>
      <c r="D664" s="39"/>
      <c r="E664" s="39"/>
      <c r="F664" s="44"/>
      <c r="G664" s="39"/>
      <c r="H664" s="39"/>
      <c r="I664" s="39"/>
      <c r="J664" s="39"/>
      <c r="K664" s="44"/>
      <c r="L664" s="44"/>
      <c r="M664" s="44"/>
      <c r="N664" s="44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5.75" customHeight="1">
      <c r="A665" s="39"/>
      <c r="B665" s="45"/>
      <c r="C665" s="46"/>
      <c r="D665" s="39"/>
      <c r="E665" s="39"/>
      <c r="F665" s="44"/>
      <c r="G665" s="39"/>
      <c r="H665" s="39"/>
      <c r="I665" s="39"/>
      <c r="J665" s="39"/>
      <c r="K665" s="44"/>
      <c r="L665" s="44"/>
      <c r="M665" s="44"/>
      <c r="N665" s="44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5.75" customHeight="1">
      <c r="A666" s="39"/>
      <c r="B666" s="45"/>
      <c r="C666" s="46"/>
      <c r="D666" s="39"/>
      <c r="E666" s="39"/>
      <c r="F666" s="44"/>
      <c r="G666" s="39"/>
      <c r="H666" s="39"/>
      <c r="I666" s="39"/>
      <c r="J666" s="39"/>
      <c r="K666" s="44"/>
      <c r="L666" s="44"/>
      <c r="M666" s="44"/>
      <c r="N666" s="44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5.75" customHeight="1">
      <c r="A667" s="39"/>
      <c r="B667" s="45"/>
      <c r="C667" s="46"/>
      <c r="D667" s="39"/>
      <c r="E667" s="39"/>
      <c r="F667" s="44"/>
      <c r="G667" s="39"/>
      <c r="H667" s="39"/>
      <c r="I667" s="39"/>
      <c r="J667" s="39"/>
      <c r="K667" s="44"/>
      <c r="L667" s="44"/>
      <c r="M667" s="44"/>
      <c r="N667" s="44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5.75" customHeight="1">
      <c r="A668" s="39"/>
      <c r="B668" s="45"/>
      <c r="C668" s="46"/>
      <c r="D668" s="39"/>
      <c r="E668" s="39"/>
      <c r="F668" s="44"/>
      <c r="G668" s="39"/>
      <c r="H668" s="39"/>
      <c r="I668" s="39"/>
      <c r="J668" s="39"/>
      <c r="K668" s="44"/>
      <c r="L668" s="44"/>
      <c r="M668" s="44"/>
      <c r="N668" s="44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5.75" customHeight="1">
      <c r="A669" s="39"/>
      <c r="B669" s="45"/>
      <c r="C669" s="46"/>
      <c r="D669" s="39"/>
      <c r="E669" s="39"/>
      <c r="F669" s="44"/>
      <c r="G669" s="39"/>
      <c r="H669" s="39"/>
      <c r="I669" s="39"/>
      <c r="J669" s="39"/>
      <c r="K669" s="44"/>
      <c r="L669" s="44"/>
      <c r="M669" s="44"/>
      <c r="N669" s="44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5.75" customHeight="1">
      <c r="A670" s="39"/>
      <c r="B670" s="45"/>
      <c r="C670" s="46"/>
      <c r="D670" s="39"/>
      <c r="E670" s="39"/>
      <c r="F670" s="44"/>
      <c r="G670" s="39"/>
      <c r="H670" s="39"/>
      <c r="I670" s="39"/>
      <c r="J670" s="39"/>
      <c r="K670" s="44"/>
      <c r="L670" s="44"/>
      <c r="M670" s="44"/>
      <c r="N670" s="44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5.75" customHeight="1">
      <c r="A671" s="39"/>
      <c r="B671" s="45"/>
      <c r="C671" s="46"/>
      <c r="D671" s="39"/>
      <c r="E671" s="39"/>
      <c r="F671" s="44"/>
      <c r="G671" s="39"/>
      <c r="H671" s="39"/>
      <c r="I671" s="39"/>
      <c r="J671" s="39"/>
      <c r="K671" s="44"/>
      <c r="L671" s="44"/>
      <c r="M671" s="44"/>
      <c r="N671" s="44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5.75" customHeight="1">
      <c r="A672" s="39"/>
      <c r="B672" s="45"/>
      <c r="C672" s="46"/>
      <c r="D672" s="39"/>
      <c r="E672" s="39"/>
      <c r="F672" s="44"/>
      <c r="G672" s="39"/>
      <c r="H672" s="39"/>
      <c r="I672" s="39"/>
      <c r="J672" s="39"/>
      <c r="K672" s="44"/>
      <c r="L672" s="44"/>
      <c r="M672" s="44"/>
      <c r="N672" s="44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5.75" customHeight="1">
      <c r="A673" s="39"/>
      <c r="B673" s="45"/>
      <c r="C673" s="46"/>
      <c r="D673" s="39"/>
      <c r="E673" s="39"/>
      <c r="F673" s="44"/>
      <c r="G673" s="39"/>
      <c r="H673" s="39"/>
      <c r="I673" s="39"/>
      <c r="J673" s="39"/>
      <c r="K673" s="44"/>
      <c r="L673" s="44"/>
      <c r="M673" s="44"/>
      <c r="N673" s="44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5.75" customHeight="1">
      <c r="A674" s="39"/>
      <c r="B674" s="45"/>
      <c r="C674" s="46"/>
      <c r="D674" s="39"/>
      <c r="E674" s="39"/>
      <c r="F674" s="44"/>
      <c r="G674" s="39"/>
      <c r="H674" s="39"/>
      <c r="I674" s="39"/>
      <c r="J674" s="39"/>
      <c r="K674" s="44"/>
      <c r="L674" s="44"/>
      <c r="M674" s="44"/>
      <c r="N674" s="44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5.75" customHeight="1">
      <c r="A675" s="39"/>
      <c r="B675" s="45"/>
      <c r="C675" s="46"/>
      <c r="D675" s="39"/>
      <c r="E675" s="39"/>
      <c r="F675" s="44"/>
      <c r="G675" s="39"/>
      <c r="H675" s="39"/>
      <c r="I675" s="39"/>
      <c r="J675" s="39"/>
      <c r="K675" s="44"/>
      <c r="L675" s="44"/>
      <c r="M675" s="44"/>
      <c r="N675" s="44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5.75" customHeight="1">
      <c r="A676" s="39"/>
      <c r="B676" s="45"/>
      <c r="C676" s="46"/>
      <c r="D676" s="39"/>
      <c r="E676" s="39"/>
      <c r="F676" s="44"/>
      <c r="G676" s="39"/>
      <c r="H676" s="39"/>
      <c r="I676" s="39"/>
      <c r="J676" s="39"/>
      <c r="K676" s="44"/>
      <c r="L676" s="44"/>
      <c r="M676" s="44"/>
      <c r="N676" s="44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5.75" customHeight="1">
      <c r="A677" s="39"/>
      <c r="B677" s="45"/>
      <c r="C677" s="46"/>
      <c r="D677" s="39"/>
      <c r="E677" s="39"/>
      <c r="F677" s="44"/>
      <c r="G677" s="39"/>
      <c r="H677" s="39"/>
      <c r="I677" s="39"/>
      <c r="J677" s="39"/>
      <c r="K677" s="44"/>
      <c r="L677" s="44"/>
      <c r="M677" s="44"/>
      <c r="N677" s="44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5.75" customHeight="1">
      <c r="A678" s="39"/>
      <c r="B678" s="45"/>
      <c r="C678" s="46"/>
      <c r="D678" s="39"/>
      <c r="E678" s="39"/>
      <c r="F678" s="44"/>
      <c r="G678" s="39"/>
      <c r="H678" s="39"/>
      <c r="I678" s="39"/>
      <c r="J678" s="39"/>
      <c r="K678" s="44"/>
      <c r="L678" s="44"/>
      <c r="M678" s="44"/>
      <c r="N678" s="44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5.75" customHeight="1">
      <c r="A679" s="39"/>
      <c r="B679" s="45"/>
      <c r="C679" s="46"/>
      <c r="D679" s="39"/>
      <c r="E679" s="39"/>
      <c r="F679" s="44"/>
      <c r="G679" s="39"/>
      <c r="H679" s="39"/>
      <c r="I679" s="39"/>
      <c r="J679" s="39"/>
      <c r="K679" s="44"/>
      <c r="L679" s="44"/>
      <c r="M679" s="44"/>
      <c r="N679" s="44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5.75" customHeight="1">
      <c r="A680" s="39"/>
      <c r="B680" s="45"/>
      <c r="C680" s="46"/>
      <c r="D680" s="39"/>
      <c r="E680" s="39"/>
      <c r="F680" s="44"/>
      <c r="G680" s="39"/>
      <c r="H680" s="39"/>
      <c r="I680" s="39"/>
      <c r="J680" s="39"/>
      <c r="K680" s="44"/>
      <c r="L680" s="44"/>
      <c r="M680" s="44"/>
      <c r="N680" s="44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5.75" customHeight="1">
      <c r="A681" s="39"/>
      <c r="B681" s="45"/>
      <c r="C681" s="46"/>
      <c r="D681" s="39"/>
      <c r="E681" s="39"/>
      <c r="F681" s="44"/>
      <c r="G681" s="39"/>
      <c r="H681" s="39"/>
      <c r="I681" s="39"/>
      <c r="J681" s="39"/>
      <c r="K681" s="44"/>
      <c r="L681" s="44"/>
      <c r="M681" s="44"/>
      <c r="N681" s="44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5.75" customHeight="1">
      <c r="A682" s="39"/>
      <c r="B682" s="45"/>
      <c r="C682" s="46"/>
      <c r="D682" s="39"/>
      <c r="E682" s="39"/>
      <c r="F682" s="44"/>
      <c r="G682" s="39"/>
      <c r="H682" s="39"/>
      <c r="I682" s="39"/>
      <c r="J682" s="39"/>
      <c r="K682" s="44"/>
      <c r="L682" s="44"/>
      <c r="M682" s="44"/>
      <c r="N682" s="44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5.75" customHeight="1">
      <c r="A683" s="39"/>
      <c r="B683" s="45"/>
      <c r="C683" s="46"/>
      <c r="D683" s="39"/>
      <c r="E683" s="39"/>
      <c r="F683" s="44"/>
      <c r="G683" s="39"/>
      <c r="H683" s="39"/>
      <c r="I683" s="39"/>
      <c r="J683" s="39"/>
      <c r="K683" s="44"/>
      <c r="L683" s="44"/>
      <c r="M683" s="44"/>
      <c r="N683" s="44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5.75" customHeight="1">
      <c r="A684" s="39"/>
      <c r="B684" s="45"/>
      <c r="C684" s="46"/>
      <c r="D684" s="39"/>
      <c r="E684" s="39"/>
      <c r="F684" s="44"/>
      <c r="G684" s="39"/>
      <c r="H684" s="39"/>
      <c r="I684" s="39"/>
      <c r="J684" s="39"/>
      <c r="K684" s="44"/>
      <c r="L684" s="44"/>
      <c r="M684" s="44"/>
      <c r="N684" s="44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5.75" customHeight="1">
      <c r="A685" s="39"/>
      <c r="B685" s="45"/>
      <c r="C685" s="46"/>
      <c r="D685" s="39"/>
      <c r="E685" s="39"/>
      <c r="F685" s="44"/>
      <c r="G685" s="39"/>
      <c r="H685" s="39"/>
      <c r="I685" s="39"/>
      <c r="J685" s="39"/>
      <c r="K685" s="44"/>
      <c r="L685" s="44"/>
      <c r="M685" s="44"/>
      <c r="N685" s="44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5.75" customHeight="1">
      <c r="A686" s="39"/>
      <c r="B686" s="45"/>
      <c r="C686" s="46"/>
      <c r="D686" s="39"/>
      <c r="E686" s="39"/>
      <c r="F686" s="44"/>
      <c r="G686" s="39"/>
      <c r="H686" s="39"/>
      <c r="I686" s="39"/>
      <c r="J686" s="39"/>
      <c r="K686" s="44"/>
      <c r="L686" s="44"/>
      <c r="M686" s="44"/>
      <c r="N686" s="44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5.75" customHeight="1">
      <c r="A687" s="39"/>
      <c r="B687" s="45"/>
      <c r="C687" s="46"/>
      <c r="D687" s="39"/>
      <c r="E687" s="39"/>
      <c r="F687" s="44"/>
      <c r="G687" s="39"/>
      <c r="H687" s="39"/>
      <c r="I687" s="39"/>
      <c r="J687" s="39"/>
      <c r="K687" s="44"/>
      <c r="L687" s="44"/>
      <c r="M687" s="44"/>
      <c r="N687" s="44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5.75" customHeight="1">
      <c r="A688" s="39"/>
      <c r="B688" s="45"/>
      <c r="C688" s="46"/>
      <c r="D688" s="39"/>
      <c r="E688" s="39"/>
      <c r="F688" s="44"/>
      <c r="G688" s="39"/>
      <c r="H688" s="39"/>
      <c r="I688" s="39"/>
      <c r="J688" s="39"/>
      <c r="K688" s="44"/>
      <c r="L688" s="44"/>
      <c r="M688" s="44"/>
      <c r="N688" s="44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5.75" customHeight="1">
      <c r="A689" s="39"/>
      <c r="B689" s="45"/>
      <c r="C689" s="46"/>
      <c r="D689" s="39"/>
      <c r="E689" s="39"/>
      <c r="F689" s="44"/>
      <c r="G689" s="39"/>
      <c r="H689" s="39"/>
      <c r="I689" s="39"/>
      <c r="J689" s="39"/>
      <c r="K689" s="44"/>
      <c r="L689" s="44"/>
      <c r="M689" s="44"/>
      <c r="N689" s="44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5.75" customHeight="1">
      <c r="A690" s="39"/>
      <c r="B690" s="45"/>
      <c r="C690" s="46"/>
      <c r="D690" s="39"/>
      <c r="E690" s="39"/>
      <c r="F690" s="44"/>
      <c r="G690" s="39"/>
      <c r="H690" s="39"/>
      <c r="I690" s="39"/>
      <c r="J690" s="39"/>
      <c r="K690" s="44"/>
      <c r="L690" s="44"/>
      <c r="M690" s="44"/>
      <c r="N690" s="44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5.75" customHeight="1">
      <c r="A691" s="39"/>
      <c r="B691" s="45"/>
      <c r="C691" s="46"/>
      <c r="D691" s="39"/>
      <c r="E691" s="39"/>
      <c r="F691" s="44"/>
      <c r="G691" s="39"/>
      <c r="H691" s="39"/>
      <c r="I691" s="39"/>
      <c r="J691" s="39"/>
      <c r="K691" s="44"/>
      <c r="L691" s="44"/>
      <c r="M691" s="44"/>
      <c r="N691" s="44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5.75" customHeight="1">
      <c r="A692" s="39"/>
      <c r="B692" s="45"/>
      <c r="C692" s="46"/>
      <c r="D692" s="39"/>
      <c r="E692" s="39"/>
      <c r="F692" s="44"/>
      <c r="G692" s="39"/>
      <c r="H692" s="39"/>
      <c r="I692" s="39"/>
      <c r="J692" s="39"/>
      <c r="K692" s="44"/>
      <c r="L692" s="44"/>
      <c r="M692" s="44"/>
      <c r="N692" s="44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5.75" customHeight="1">
      <c r="A693" s="39"/>
      <c r="B693" s="45"/>
      <c r="C693" s="46"/>
      <c r="D693" s="39"/>
      <c r="E693" s="39"/>
      <c r="F693" s="44"/>
      <c r="G693" s="39"/>
      <c r="H693" s="39"/>
      <c r="I693" s="39"/>
      <c r="J693" s="39"/>
      <c r="K693" s="44"/>
      <c r="L693" s="44"/>
      <c r="M693" s="44"/>
      <c r="N693" s="44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5.75" customHeight="1">
      <c r="A694" s="39"/>
      <c r="B694" s="45"/>
      <c r="C694" s="46"/>
      <c r="D694" s="39"/>
      <c r="E694" s="39"/>
      <c r="F694" s="44"/>
      <c r="G694" s="39"/>
      <c r="H694" s="39"/>
      <c r="I694" s="39"/>
      <c r="J694" s="39"/>
      <c r="K694" s="44"/>
      <c r="L694" s="44"/>
      <c r="M694" s="44"/>
      <c r="N694" s="44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5.75" customHeight="1">
      <c r="A695" s="39"/>
      <c r="B695" s="45"/>
      <c r="C695" s="46"/>
      <c r="D695" s="39"/>
      <c r="E695" s="39"/>
      <c r="F695" s="44"/>
      <c r="G695" s="39"/>
      <c r="H695" s="39"/>
      <c r="I695" s="39"/>
      <c r="J695" s="39"/>
      <c r="K695" s="44"/>
      <c r="L695" s="44"/>
      <c r="M695" s="44"/>
      <c r="N695" s="44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5.75" customHeight="1">
      <c r="A696" s="39"/>
      <c r="B696" s="45"/>
      <c r="C696" s="46"/>
      <c r="D696" s="39"/>
      <c r="E696" s="39"/>
      <c r="F696" s="44"/>
      <c r="G696" s="39"/>
      <c r="H696" s="39"/>
      <c r="I696" s="39"/>
      <c r="J696" s="39"/>
      <c r="K696" s="44"/>
      <c r="L696" s="44"/>
      <c r="M696" s="44"/>
      <c r="N696" s="44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5.75" customHeight="1">
      <c r="A697" s="39"/>
      <c r="B697" s="45"/>
      <c r="C697" s="46"/>
      <c r="D697" s="39"/>
      <c r="E697" s="39"/>
      <c r="F697" s="44"/>
      <c r="G697" s="39"/>
      <c r="H697" s="39"/>
      <c r="I697" s="39"/>
      <c r="J697" s="39"/>
      <c r="K697" s="44"/>
      <c r="L697" s="44"/>
      <c r="M697" s="44"/>
      <c r="N697" s="44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5.75" customHeight="1">
      <c r="A698" s="39"/>
      <c r="B698" s="45"/>
      <c r="C698" s="46"/>
      <c r="D698" s="39"/>
      <c r="E698" s="39"/>
      <c r="F698" s="44"/>
      <c r="G698" s="39"/>
      <c r="H698" s="39"/>
      <c r="I698" s="39"/>
      <c r="J698" s="39"/>
      <c r="K698" s="44"/>
      <c r="L698" s="44"/>
      <c r="M698" s="44"/>
      <c r="N698" s="44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5.75" customHeight="1">
      <c r="A699" s="39"/>
      <c r="B699" s="45"/>
      <c r="C699" s="46"/>
      <c r="D699" s="39"/>
      <c r="E699" s="39"/>
      <c r="F699" s="44"/>
      <c r="G699" s="39"/>
      <c r="H699" s="39"/>
      <c r="I699" s="39"/>
      <c r="J699" s="39"/>
      <c r="K699" s="44"/>
      <c r="L699" s="44"/>
      <c r="M699" s="44"/>
      <c r="N699" s="44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5.75" customHeight="1">
      <c r="A700" s="39"/>
      <c r="B700" s="45"/>
      <c r="C700" s="46"/>
      <c r="D700" s="39"/>
      <c r="E700" s="39"/>
      <c r="F700" s="44"/>
      <c r="G700" s="39"/>
      <c r="H700" s="39"/>
      <c r="I700" s="39"/>
      <c r="J700" s="39"/>
      <c r="K700" s="44"/>
      <c r="L700" s="44"/>
      <c r="M700" s="44"/>
      <c r="N700" s="44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5.75" customHeight="1">
      <c r="A701" s="39"/>
      <c r="B701" s="45"/>
      <c r="C701" s="46"/>
      <c r="D701" s="39"/>
      <c r="E701" s="39"/>
      <c r="F701" s="44"/>
      <c r="G701" s="39"/>
      <c r="H701" s="39"/>
      <c r="I701" s="39"/>
      <c r="J701" s="39"/>
      <c r="K701" s="44"/>
      <c r="L701" s="44"/>
      <c r="M701" s="44"/>
      <c r="N701" s="44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5.75" customHeight="1">
      <c r="A702" s="39"/>
      <c r="B702" s="45"/>
      <c r="C702" s="46"/>
      <c r="D702" s="39"/>
      <c r="E702" s="39"/>
      <c r="F702" s="44"/>
      <c r="G702" s="39"/>
      <c r="H702" s="39"/>
      <c r="I702" s="39"/>
      <c r="J702" s="39"/>
      <c r="K702" s="44"/>
      <c r="L702" s="44"/>
      <c r="M702" s="44"/>
      <c r="N702" s="44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5.75" customHeight="1">
      <c r="A703" s="39"/>
      <c r="B703" s="45"/>
      <c r="C703" s="46"/>
      <c r="D703" s="39"/>
      <c r="E703" s="39"/>
      <c r="F703" s="44"/>
      <c r="G703" s="39"/>
      <c r="H703" s="39"/>
      <c r="I703" s="39"/>
      <c r="J703" s="39"/>
      <c r="K703" s="44"/>
      <c r="L703" s="44"/>
      <c r="M703" s="44"/>
      <c r="N703" s="44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5.75" customHeight="1">
      <c r="A704" s="39"/>
      <c r="B704" s="45"/>
      <c r="C704" s="46"/>
      <c r="D704" s="39"/>
      <c r="E704" s="39"/>
      <c r="F704" s="44"/>
      <c r="G704" s="39"/>
      <c r="H704" s="39"/>
      <c r="I704" s="39"/>
      <c r="J704" s="39"/>
      <c r="K704" s="44"/>
      <c r="L704" s="44"/>
      <c r="M704" s="44"/>
      <c r="N704" s="44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5.75" customHeight="1">
      <c r="A705" s="39"/>
      <c r="B705" s="45"/>
      <c r="C705" s="46"/>
      <c r="D705" s="39"/>
      <c r="E705" s="39"/>
      <c r="F705" s="44"/>
      <c r="G705" s="39"/>
      <c r="H705" s="39"/>
      <c r="I705" s="39"/>
      <c r="J705" s="39"/>
      <c r="K705" s="44"/>
      <c r="L705" s="44"/>
      <c r="M705" s="44"/>
      <c r="N705" s="44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5.75" customHeight="1">
      <c r="A706" s="39"/>
      <c r="B706" s="45"/>
      <c r="C706" s="46"/>
      <c r="D706" s="39"/>
      <c r="E706" s="39"/>
      <c r="F706" s="44"/>
      <c r="G706" s="39"/>
      <c r="H706" s="39"/>
      <c r="I706" s="39"/>
      <c r="J706" s="39"/>
      <c r="K706" s="44"/>
      <c r="L706" s="44"/>
      <c r="M706" s="44"/>
      <c r="N706" s="44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5.75" customHeight="1">
      <c r="A707" s="39"/>
      <c r="B707" s="45"/>
      <c r="C707" s="46"/>
      <c r="D707" s="39"/>
      <c r="E707" s="39"/>
      <c r="F707" s="44"/>
      <c r="G707" s="39"/>
      <c r="H707" s="39"/>
      <c r="I707" s="39"/>
      <c r="J707" s="39"/>
      <c r="K707" s="44"/>
      <c r="L707" s="44"/>
      <c r="M707" s="44"/>
      <c r="N707" s="44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5.75" customHeight="1">
      <c r="A708" s="39"/>
      <c r="B708" s="45"/>
      <c r="C708" s="46"/>
      <c r="D708" s="39"/>
      <c r="E708" s="39"/>
      <c r="F708" s="44"/>
      <c r="G708" s="39"/>
      <c r="H708" s="39"/>
      <c r="I708" s="39"/>
      <c r="J708" s="39"/>
      <c r="K708" s="44"/>
      <c r="L708" s="44"/>
      <c r="M708" s="44"/>
      <c r="N708" s="44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5.75" customHeight="1">
      <c r="A709" s="39"/>
      <c r="B709" s="45"/>
      <c r="C709" s="46"/>
      <c r="D709" s="39"/>
      <c r="E709" s="39"/>
      <c r="F709" s="44"/>
      <c r="G709" s="39"/>
      <c r="H709" s="39"/>
      <c r="I709" s="39"/>
      <c r="J709" s="39"/>
      <c r="K709" s="44"/>
      <c r="L709" s="44"/>
      <c r="M709" s="44"/>
      <c r="N709" s="44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5.75" customHeight="1">
      <c r="A710" s="39"/>
      <c r="B710" s="45"/>
      <c r="C710" s="46"/>
      <c r="D710" s="39"/>
      <c r="E710" s="39"/>
      <c r="F710" s="44"/>
      <c r="G710" s="39"/>
      <c r="H710" s="39"/>
      <c r="I710" s="39"/>
      <c r="J710" s="39"/>
      <c r="K710" s="44"/>
      <c r="L710" s="44"/>
      <c r="M710" s="44"/>
      <c r="N710" s="44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5.75" customHeight="1">
      <c r="A711" s="39"/>
      <c r="B711" s="45"/>
      <c r="C711" s="46"/>
      <c r="D711" s="39"/>
      <c r="E711" s="39"/>
      <c r="F711" s="44"/>
      <c r="G711" s="39"/>
      <c r="H711" s="39"/>
      <c r="I711" s="39"/>
      <c r="J711" s="39"/>
      <c r="K711" s="44"/>
      <c r="L711" s="44"/>
      <c r="M711" s="44"/>
      <c r="N711" s="44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5.75" customHeight="1">
      <c r="A712" s="39"/>
      <c r="B712" s="45"/>
      <c r="C712" s="46"/>
      <c r="D712" s="39"/>
      <c r="E712" s="39"/>
      <c r="F712" s="44"/>
      <c r="G712" s="39"/>
      <c r="H712" s="39"/>
      <c r="I712" s="39"/>
      <c r="J712" s="39"/>
      <c r="K712" s="44"/>
      <c r="L712" s="44"/>
      <c r="M712" s="44"/>
      <c r="N712" s="44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5.75" customHeight="1">
      <c r="A713" s="39"/>
      <c r="B713" s="45"/>
      <c r="C713" s="46"/>
      <c r="D713" s="39"/>
      <c r="E713" s="39"/>
      <c r="F713" s="44"/>
      <c r="G713" s="39"/>
      <c r="H713" s="39"/>
      <c r="I713" s="39"/>
      <c r="J713" s="39"/>
      <c r="K713" s="44"/>
      <c r="L713" s="44"/>
      <c r="M713" s="44"/>
      <c r="N713" s="44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5.75" customHeight="1">
      <c r="A714" s="39"/>
      <c r="B714" s="45"/>
      <c r="C714" s="46"/>
      <c r="D714" s="39"/>
      <c r="E714" s="39"/>
      <c r="F714" s="44"/>
      <c r="G714" s="39"/>
      <c r="H714" s="39"/>
      <c r="I714" s="39"/>
      <c r="J714" s="39"/>
      <c r="K714" s="44"/>
      <c r="L714" s="44"/>
      <c r="M714" s="44"/>
      <c r="N714" s="44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5.75" customHeight="1">
      <c r="A715" s="39"/>
      <c r="B715" s="45"/>
      <c r="C715" s="46"/>
      <c r="D715" s="39"/>
      <c r="E715" s="39"/>
      <c r="F715" s="44"/>
      <c r="G715" s="39"/>
      <c r="H715" s="39"/>
      <c r="I715" s="39"/>
      <c r="J715" s="39"/>
      <c r="K715" s="44"/>
      <c r="L715" s="44"/>
      <c r="M715" s="44"/>
      <c r="N715" s="44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5.75" customHeight="1">
      <c r="A716" s="39"/>
      <c r="B716" s="45"/>
      <c r="C716" s="46"/>
      <c r="D716" s="39"/>
      <c r="E716" s="39"/>
      <c r="F716" s="44"/>
      <c r="G716" s="39"/>
      <c r="H716" s="39"/>
      <c r="I716" s="39"/>
      <c r="J716" s="39"/>
      <c r="K716" s="44"/>
      <c r="L716" s="44"/>
      <c r="M716" s="44"/>
      <c r="N716" s="44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5.75" customHeight="1">
      <c r="A717" s="39"/>
      <c r="B717" s="45"/>
      <c r="C717" s="46"/>
      <c r="D717" s="39"/>
      <c r="E717" s="39"/>
      <c r="F717" s="44"/>
      <c r="G717" s="39"/>
      <c r="H717" s="39"/>
      <c r="I717" s="39"/>
      <c r="J717" s="39"/>
      <c r="K717" s="44"/>
      <c r="L717" s="44"/>
      <c r="M717" s="44"/>
      <c r="N717" s="44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5.75" customHeight="1">
      <c r="A718" s="39"/>
      <c r="B718" s="45"/>
      <c r="C718" s="46"/>
      <c r="D718" s="39"/>
      <c r="E718" s="39"/>
      <c r="F718" s="44"/>
      <c r="G718" s="39"/>
      <c r="H718" s="39"/>
      <c r="I718" s="39"/>
      <c r="J718" s="39"/>
      <c r="K718" s="44"/>
      <c r="L718" s="44"/>
      <c r="M718" s="44"/>
      <c r="N718" s="44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5.75" customHeight="1">
      <c r="A719" s="39"/>
      <c r="B719" s="45"/>
      <c r="C719" s="46"/>
      <c r="D719" s="39"/>
      <c r="E719" s="39"/>
      <c r="F719" s="44"/>
      <c r="G719" s="39"/>
      <c r="H719" s="39"/>
      <c r="I719" s="39"/>
      <c r="J719" s="39"/>
      <c r="K719" s="44"/>
      <c r="L719" s="44"/>
      <c r="M719" s="44"/>
      <c r="N719" s="44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5.75" customHeight="1">
      <c r="A720" s="39"/>
      <c r="B720" s="45"/>
      <c r="C720" s="46"/>
      <c r="D720" s="39"/>
      <c r="E720" s="39"/>
      <c r="F720" s="44"/>
      <c r="G720" s="39"/>
      <c r="H720" s="39"/>
      <c r="I720" s="39"/>
      <c r="J720" s="39"/>
      <c r="K720" s="44"/>
      <c r="L720" s="44"/>
      <c r="M720" s="44"/>
      <c r="N720" s="44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5.75" customHeight="1">
      <c r="A721" s="39"/>
      <c r="B721" s="45"/>
      <c r="C721" s="46"/>
      <c r="D721" s="39"/>
      <c r="E721" s="39"/>
      <c r="F721" s="44"/>
      <c r="G721" s="39"/>
      <c r="H721" s="39"/>
      <c r="I721" s="39"/>
      <c r="J721" s="39"/>
      <c r="K721" s="44"/>
      <c r="L721" s="44"/>
      <c r="M721" s="44"/>
      <c r="N721" s="44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5.75" customHeight="1">
      <c r="A722" s="39"/>
      <c r="B722" s="45"/>
      <c r="C722" s="46"/>
      <c r="D722" s="39"/>
      <c r="E722" s="39"/>
      <c r="F722" s="44"/>
      <c r="G722" s="39"/>
      <c r="H722" s="39"/>
      <c r="I722" s="39"/>
      <c r="J722" s="39"/>
      <c r="K722" s="44"/>
      <c r="L722" s="44"/>
      <c r="M722" s="44"/>
      <c r="N722" s="44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5.75" customHeight="1">
      <c r="A723" s="39"/>
      <c r="B723" s="45"/>
      <c r="C723" s="46"/>
      <c r="D723" s="39"/>
      <c r="E723" s="39"/>
      <c r="F723" s="44"/>
      <c r="G723" s="39"/>
      <c r="H723" s="39"/>
      <c r="I723" s="39"/>
      <c r="J723" s="39"/>
      <c r="K723" s="44"/>
      <c r="L723" s="44"/>
      <c r="M723" s="44"/>
      <c r="N723" s="44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5.75" customHeight="1">
      <c r="A724" s="39"/>
      <c r="B724" s="45"/>
      <c r="C724" s="46"/>
      <c r="D724" s="39"/>
      <c r="E724" s="39"/>
      <c r="F724" s="44"/>
      <c r="G724" s="39"/>
      <c r="H724" s="39"/>
      <c r="I724" s="39"/>
      <c r="J724" s="39"/>
      <c r="K724" s="44"/>
      <c r="L724" s="44"/>
      <c r="M724" s="44"/>
      <c r="N724" s="44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5.75" customHeight="1">
      <c r="A725" s="39"/>
      <c r="B725" s="45"/>
      <c r="C725" s="46"/>
      <c r="D725" s="39"/>
      <c r="E725" s="39"/>
      <c r="F725" s="44"/>
      <c r="G725" s="39"/>
      <c r="H725" s="39"/>
      <c r="I725" s="39"/>
      <c r="J725" s="39"/>
      <c r="K725" s="44"/>
      <c r="L725" s="44"/>
      <c r="M725" s="44"/>
      <c r="N725" s="44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5.75" customHeight="1">
      <c r="A726" s="39"/>
      <c r="B726" s="45"/>
      <c r="C726" s="46"/>
      <c r="D726" s="39"/>
      <c r="E726" s="39"/>
      <c r="F726" s="44"/>
      <c r="G726" s="39"/>
      <c r="H726" s="39"/>
      <c r="I726" s="39"/>
      <c r="J726" s="39"/>
      <c r="K726" s="44"/>
      <c r="L726" s="44"/>
      <c r="M726" s="44"/>
      <c r="N726" s="44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5.75" customHeight="1">
      <c r="A727" s="39"/>
      <c r="B727" s="45"/>
      <c r="C727" s="46"/>
      <c r="D727" s="39"/>
      <c r="E727" s="39"/>
      <c r="F727" s="44"/>
      <c r="G727" s="39"/>
      <c r="H727" s="39"/>
      <c r="I727" s="39"/>
      <c r="J727" s="39"/>
      <c r="K727" s="44"/>
      <c r="L727" s="44"/>
      <c r="M727" s="44"/>
      <c r="N727" s="44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5.75" customHeight="1">
      <c r="A728" s="39"/>
      <c r="B728" s="45"/>
      <c r="C728" s="46"/>
      <c r="D728" s="39"/>
      <c r="E728" s="39"/>
      <c r="F728" s="44"/>
      <c r="G728" s="39"/>
      <c r="H728" s="39"/>
      <c r="I728" s="39"/>
      <c r="J728" s="39"/>
      <c r="K728" s="44"/>
      <c r="L728" s="44"/>
      <c r="M728" s="44"/>
      <c r="N728" s="44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5.75" customHeight="1">
      <c r="A729" s="39"/>
      <c r="B729" s="45"/>
      <c r="C729" s="46"/>
      <c r="D729" s="39"/>
      <c r="E729" s="39"/>
      <c r="F729" s="44"/>
      <c r="G729" s="39"/>
      <c r="H729" s="39"/>
      <c r="I729" s="39"/>
      <c r="J729" s="39"/>
      <c r="K729" s="44"/>
      <c r="L729" s="44"/>
      <c r="M729" s="44"/>
      <c r="N729" s="44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5.75" customHeight="1">
      <c r="A730" s="39"/>
      <c r="B730" s="45"/>
      <c r="C730" s="46"/>
      <c r="D730" s="39"/>
      <c r="E730" s="39"/>
      <c r="F730" s="44"/>
      <c r="G730" s="39"/>
      <c r="H730" s="39"/>
      <c r="I730" s="39"/>
      <c r="J730" s="39"/>
      <c r="K730" s="44"/>
      <c r="L730" s="44"/>
      <c r="M730" s="44"/>
      <c r="N730" s="44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5.75" customHeight="1">
      <c r="A731" s="39"/>
      <c r="B731" s="45"/>
      <c r="C731" s="46"/>
      <c r="D731" s="39"/>
      <c r="E731" s="39"/>
      <c r="F731" s="44"/>
      <c r="G731" s="39"/>
      <c r="H731" s="39"/>
      <c r="I731" s="39"/>
      <c r="J731" s="39"/>
      <c r="K731" s="44"/>
      <c r="L731" s="44"/>
      <c r="M731" s="44"/>
      <c r="N731" s="44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5.75" customHeight="1">
      <c r="A732" s="39"/>
      <c r="B732" s="45"/>
      <c r="C732" s="46"/>
      <c r="D732" s="39"/>
      <c r="E732" s="39"/>
      <c r="F732" s="44"/>
      <c r="G732" s="39"/>
      <c r="H732" s="39"/>
      <c r="I732" s="39"/>
      <c r="J732" s="39"/>
      <c r="K732" s="44"/>
      <c r="L732" s="44"/>
      <c r="M732" s="44"/>
      <c r="N732" s="44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5.75" customHeight="1">
      <c r="A733" s="39"/>
      <c r="B733" s="45"/>
      <c r="C733" s="46"/>
      <c r="D733" s="39"/>
      <c r="E733" s="39"/>
      <c r="F733" s="44"/>
      <c r="G733" s="39"/>
      <c r="H733" s="39"/>
      <c r="I733" s="39"/>
      <c r="J733" s="39"/>
      <c r="K733" s="44"/>
      <c r="L733" s="44"/>
      <c r="M733" s="44"/>
      <c r="N733" s="44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5.75" customHeight="1">
      <c r="A734" s="39"/>
      <c r="B734" s="45"/>
      <c r="C734" s="46"/>
      <c r="D734" s="39"/>
      <c r="E734" s="39"/>
      <c r="F734" s="44"/>
      <c r="G734" s="39"/>
      <c r="H734" s="39"/>
      <c r="I734" s="39"/>
      <c r="J734" s="39"/>
      <c r="K734" s="44"/>
      <c r="L734" s="44"/>
      <c r="M734" s="44"/>
      <c r="N734" s="44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5.75" customHeight="1">
      <c r="A735" s="39"/>
      <c r="B735" s="45"/>
      <c r="C735" s="46"/>
      <c r="D735" s="39"/>
      <c r="E735" s="39"/>
      <c r="F735" s="44"/>
      <c r="G735" s="39"/>
      <c r="H735" s="39"/>
      <c r="I735" s="39"/>
      <c r="J735" s="39"/>
      <c r="K735" s="44"/>
      <c r="L735" s="44"/>
      <c r="M735" s="44"/>
      <c r="N735" s="44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5.75" customHeight="1">
      <c r="A736" s="39"/>
      <c r="B736" s="45"/>
      <c r="C736" s="46"/>
      <c r="D736" s="39"/>
      <c r="E736" s="39"/>
      <c r="F736" s="44"/>
      <c r="G736" s="39"/>
      <c r="H736" s="39"/>
      <c r="I736" s="39"/>
      <c r="J736" s="39"/>
      <c r="K736" s="44"/>
      <c r="L736" s="44"/>
      <c r="M736" s="44"/>
      <c r="N736" s="44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5.75" customHeight="1">
      <c r="A737" s="39"/>
      <c r="B737" s="45"/>
      <c r="C737" s="46"/>
      <c r="D737" s="39"/>
      <c r="E737" s="39"/>
      <c r="F737" s="44"/>
      <c r="G737" s="39"/>
      <c r="H737" s="39"/>
      <c r="I737" s="39"/>
      <c r="J737" s="39"/>
      <c r="K737" s="44"/>
      <c r="L737" s="44"/>
      <c r="M737" s="44"/>
      <c r="N737" s="44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5.75" customHeight="1">
      <c r="A738" s="39"/>
      <c r="B738" s="45"/>
      <c r="C738" s="46"/>
      <c r="D738" s="39"/>
      <c r="E738" s="39"/>
      <c r="F738" s="44"/>
      <c r="G738" s="39"/>
      <c r="H738" s="39"/>
      <c r="I738" s="39"/>
      <c r="J738" s="39"/>
      <c r="K738" s="44"/>
      <c r="L738" s="44"/>
      <c r="M738" s="44"/>
      <c r="N738" s="44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5.75" customHeight="1">
      <c r="A739" s="39"/>
      <c r="B739" s="45"/>
      <c r="C739" s="46"/>
      <c r="D739" s="39"/>
      <c r="E739" s="39"/>
      <c r="F739" s="44"/>
      <c r="G739" s="39"/>
      <c r="H739" s="39"/>
      <c r="I739" s="39"/>
      <c r="J739" s="39"/>
      <c r="K739" s="44"/>
      <c r="L739" s="44"/>
      <c r="M739" s="44"/>
      <c r="N739" s="44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5.75" customHeight="1">
      <c r="A740" s="39"/>
      <c r="B740" s="45"/>
      <c r="C740" s="46"/>
      <c r="D740" s="39"/>
      <c r="E740" s="39"/>
      <c r="F740" s="44"/>
      <c r="G740" s="39"/>
      <c r="H740" s="39"/>
      <c r="I740" s="39"/>
      <c r="J740" s="39"/>
      <c r="K740" s="44"/>
      <c r="L740" s="44"/>
      <c r="M740" s="44"/>
      <c r="N740" s="44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5.75" customHeight="1">
      <c r="A741" s="39"/>
      <c r="B741" s="45"/>
      <c r="C741" s="46"/>
      <c r="D741" s="39"/>
      <c r="E741" s="39"/>
      <c r="F741" s="44"/>
      <c r="G741" s="39"/>
      <c r="H741" s="39"/>
      <c r="I741" s="39"/>
      <c r="J741" s="39"/>
      <c r="K741" s="44"/>
      <c r="L741" s="44"/>
      <c r="M741" s="44"/>
      <c r="N741" s="44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5.75" customHeight="1">
      <c r="A742" s="39"/>
      <c r="B742" s="45"/>
      <c r="C742" s="46"/>
      <c r="D742" s="39"/>
      <c r="E742" s="39"/>
      <c r="F742" s="44"/>
      <c r="G742" s="39"/>
      <c r="H742" s="39"/>
      <c r="I742" s="39"/>
      <c r="J742" s="39"/>
      <c r="K742" s="44"/>
      <c r="L742" s="44"/>
      <c r="M742" s="44"/>
      <c r="N742" s="44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5.75" customHeight="1">
      <c r="A743" s="39"/>
      <c r="B743" s="45"/>
      <c r="C743" s="46"/>
      <c r="D743" s="39"/>
      <c r="E743" s="39"/>
      <c r="F743" s="44"/>
      <c r="G743" s="39"/>
      <c r="H743" s="39"/>
      <c r="I743" s="39"/>
      <c r="J743" s="39"/>
      <c r="K743" s="44"/>
      <c r="L743" s="44"/>
      <c r="M743" s="44"/>
      <c r="N743" s="44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5.75" customHeight="1">
      <c r="A744" s="39"/>
      <c r="B744" s="45"/>
      <c r="C744" s="46"/>
      <c r="D744" s="39"/>
      <c r="E744" s="39"/>
      <c r="F744" s="44"/>
      <c r="G744" s="39"/>
      <c r="H744" s="39"/>
      <c r="I744" s="39"/>
      <c r="J744" s="39"/>
      <c r="K744" s="44"/>
      <c r="L744" s="44"/>
      <c r="M744" s="44"/>
      <c r="N744" s="44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5.75" customHeight="1">
      <c r="A745" s="39"/>
      <c r="B745" s="45"/>
      <c r="C745" s="46"/>
      <c r="D745" s="39"/>
      <c r="E745" s="39"/>
      <c r="F745" s="44"/>
      <c r="G745" s="39"/>
      <c r="H745" s="39"/>
      <c r="I745" s="39"/>
      <c r="J745" s="39"/>
      <c r="K745" s="44"/>
      <c r="L745" s="44"/>
      <c r="M745" s="44"/>
      <c r="N745" s="44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5.75" customHeight="1">
      <c r="A746" s="39"/>
      <c r="B746" s="45"/>
      <c r="C746" s="46"/>
      <c r="D746" s="39"/>
      <c r="E746" s="39"/>
      <c r="F746" s="44"/>
      <c r="G746" s="39"/>
      <c r="H746" s="39"/>
      <c r="I746" s="39"/>
      <c r="J746" s="39"/>
      <c r="K746" s="44"/>
      <c r="L746" s="44"/>
      <c r="M746" s="44"/>
      <c r="N746" s="44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5.75" customHeight="1">
      <c r="A747" s="39"/>
      <c r="B747" s="45"/>
      <c r="C747" s="46"/>
      <c r="D747" s="39"/>
      <c r="E747" s="39"/>
      <c r="F747" s="44"/>
      <c r="G747" s="39"/>
      <c r="H747" s="39"/>
      <c r="I747" s="39"/>
      <c r="J747" s="39"/>
      <c r="K747" s="44"/>
      <c r="L747" s="44"/>
      <c r="M747" s="44"/>
      <c r="N747" s="44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5.75" customHeight="1">
      <c r="A748" s="39"/>
      <c r="B748" s="45"/>
      <c r="C748" s="46"/>
      <c r="D748" s="39"/>
      <c r="E748" s="39"/>
      <c r="F748" s="44"/>
      <c r="G748" s="39"/>
      <c r="H748" s="39"/>
      <c r="I748" s="39"/>
      <c r="J748" s="39"/>
      <c r="K748" s="44"/>
      <c r="L748" s="44"/>
      <c r="M748" s="44"/>
      <c r="N748" s="44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5.75" customHeight="1">
      <c r="A749" s="39"/>
      <c r="B749" s="45"/>
      <c r="C749" s="46"/>
      <c r="D749" s="39"/>
      <c r="E749" s="39"/>
      <c r="F749" s="44"/>
      <c r="G749" s="39"/>
      <c r="H749" s="39"/>
      <c r="I749" s="39"/>
      <c r="J749" s="39"/>
      <c r="K749" s="44"/>
      <c r="L749" s="44"/>
      <c r="M749" s="44"/>
      <c r="N749" s="44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5.75" customHeight="1">
      <c r="A750" s="39"/>
      <c r="B750" s="45"/>
      <c r="C750" s="46"/>
      <c r="D750" s="39"/>
      <c r="E750" s="39"/>
      <c r="F750" s="44"/>
      <c r="G750" s="39"/>
      <c r="H750" s="39"/>
      <c r="I750" s="39"/>
      <c r="J750" s="39"/>
      <c r="K750" s="44"/>
      <c r="L750" s="44"/>
      <c r="M750" s="44"/>
      <c r="N750" s="44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5.75" customHeight="1">
      <c r="A751" s="39"/>
      <c r="B751" s="45"/>
      <c r="C751" s="46"/>
      <c r="D751" s="39"/>
      <c r="E751" s="39"/>
      <c r="F751" s="44"/>
      <c r="G751" s="39"/>
      <c r="H751" s="39"/>
      <c r="I751" s="39"/>
      <c r="J751" s="39"/>
      <c r="K751" s="44"/>
      <c r="L751" s="44"/>
      <c r="M751" s="44"/>
      <c r="N751" s="44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5.75" customHeight="1">
      <c r="A752" s="39"/>
      <c r="B752" s="45"/>
      <c r="C752" s="46"/>
      <c r="D752" s="39"/>
      <c r="E752" s="39"/>
      <c r="F752" s="44"/>
      <c r="G752" s="39"/>
      <c r="H752" s="39"/>
      <c r="I752" s="39"/>
      <c r="J752" s="39"/>
      <c r="K752" s="44"/>
      <c r="L752" s="44"/>
      <c r="M752" s="44"/>
      <c r="N752" s="44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5.75" customHeight="1">
      <c r="A753" s="39"/>
      <c r="B753" s="45"/>
      <c r="C753" s="46"/>
      <c r="D753" s="39"/>
      <c r="E753" s="39"/>
      <c r="F753" s="44"/>
      <c r="G753" s="39"/>
      <c r="H753" s="39"/>
      <c r="I753" s="39"/>
      <c r="J753" s="39"/>
      <c r="K753" s="44"/>
      <c r="L753" s="44"/>
      <c r="M753" s="44"/>
      <c r="N753" s="44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5.75" customHeight="1">
      <c r="A754" s="39"/>
      <c r="B754" s="45"/>
      <c r="C754" s="46"/>
      <c r="D754" s="39"/>
      <c r="E754" s="39"/>
      <c r="F754" s="44"/>
      <c r="G754" s="39"/>
      <c r="H754" s="39"/>
      <c r="I754" s="39"/>
      <c r="J754" s="39"/>
      <c r="K754" s="44"/>
      <c r="L754" s="44"/>
      <c r="M754" s="44"/>
      <c r="N754" s="44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5.75" customHeight="1">
      <c r="A755" s="39"/>
      <c r="B755" s="45"/>
      <c r="C755" s="46"/>
      <c r="D755" s="39"/>
      <c r="E755" s="39"/>
      <c r="F755" s="44"/>
      <c r="G755" s="39"/>
      <c r="H755" s="39"/>
      <c r="I755" s="39"/>
      <c r="J755" s="39"/>
      <c r="K755" s="44"/>
      <c r="L755" s="44"/>
      <c r="M755" s="44"/>
      <c r="N755" s="44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5.75" customHeight="1">
      <c r="A756" s="39"/>
      <c r="B756" s="45"/>
      <c r="C756" s="46"/>
      <c r="D756" s="39"/>
      <c r="E756" s="39"/>
      <c r="F756" s="44"/>
      <c r="G756" s="39"/>
      <c r="H756" s="39"/>
      <c r="I756" s="39"/>
      <c r="J756" s="39"/>
      <c r="K756" s="44"/>
      <c r="L756" s="44"/>
      <c r="M756" s="44"/>
      <c r="N756" s="44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5.75" customHeight="1">
      <c r="A757" s="39"/>
      <c r="B757" s="45"/>
      <c r="C757" s="46"/>
      <c r="D757" s="39"/>
      <c r="E757" s="39"/>
      <c r="F757" s="44"/>
      <c r="G757" s="39"/>
      <c r="H757" s="39"/>
      <c r="I757" s="39"/>
      <c r="J757" s="39"/>
      <c r="K757" s="44"/>
      <c r="L757" s="44"/>
      <c r="M757" s="44"/>
      <c r="N757" s="44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5.75" customHeight="1">
      <c r="A758" s="39"/>
      <c r="B758" s="45"/>
      <c r="C758" s="46"/>
      <c r="D758" s="39"/>
      <c r="E758" s="39"/>
      <c r="F758" s="44"/>
      <c r="G758" s="39"/>
      <c r="H758" s="39"/>
      <c r="I758" s="39"/>
      <c r="J758" s="39"/>
      <c r="K758" s="44"/>
      <c r="L758" s="44"/>
      <c r="M758" s="44"/>
      <c r="N758" s="44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5.75" customHeight="1">
      <c r="A759" s="39"/>
      <c r="B759" s="45"/>
      <c r="C759" s="46"/>
      <c r="D759" s="39"/>
      <c r="E759" s="39"/>
      <c r="F759" s="44"/>
      <c r="G759" s="39"/>
      <c r="H759" s="39"/>
      <c r="I759" s="39"/>
      <c r="J759" s="39"/>
      <c r="K759" s="44"/>
      <c r="L759" s="44"/>
      <c r="M759" s="44"/>
      <c r="N759" s="44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5.75" customHeight="1">
      <c r="A760" s="39"/>
      <c r="B760" s="45"/>
      <c r="C760" s="46"/>
      <c r="D760" s="39"/>
      <c r="E760" s="39"/>
      <c r="F760" s="44"/>
      <c r="G760" s="39"/>
      <c r="H760" s="39"/>
      <c r="I760" s="39"/>
      <c r="J760" s="39"/>
      <c r="K760" s="44"/>
      <c r="L760" s="44"/>
      <c r="M760" s="44"/>
      <c r="N760" s="44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5.75" customHeight="1">
      <c r="A761" s="39"/>
      <c r="B761" s="45"/>
      <c r="C761" s="46"/>
      <c r="D761" s="39"/>
      <c r="E761" s="39"/>
      <c r="F761" s="44"/>
      <c r="G761" s="39"/>
      <c r="H761" s="39"/>
      <c r="I761" s="39"/>
      <c r="J761" s="39"/>
      <c r="K761" s="44"/>
      <c r="L761" s="44"/>
      <c r="M761" s="44"/>
      <c r="N761" s="44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5.75" customHeight="1">
      <c r="A762" s="39"/>
      <c r="B762" s="45"/>
      <c r="C762" s="46"/>
      <c r="D762" s="39"/>
      <c r="E762" s="39"/>
      <c r="F762" s="44"/>
      <c r="G762" s="39"/>
      <c r="H762" s="39"/>
      <c r="I762" s="39"/>
      <c r="J762" s="39"/>
      <c r="K762" s="44"/>
      <c r="L762" s="44"/>
      <c r="M762" s="44"/>
      <c r="N762" s="44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5.75" customHeight="1">
      <c r="A763" s="39"/>
      <c r="B763" s="45"/>
      <c r="C763" s="46"/>
      <c r="D763" s="39"/>
      <c r="E763" s="39"/>
      <c r="F763" s="44"/>
      <c r="G763" s="39"/>
      <c r="H763" s="39"/>
      <c r="I763" s="39"/>
      <c r="J763" s="39"/>
      <c r="K763" s="44"/>
      <c r="L763" s="44"/>
      <c r="M763" s="44"/>
      <c r="N763" s="44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5.75" customHeight="1">
      <c r="A764" s="39"/>
      <c r="B764" s="45"/>
      <c r="C764" s="46"/>
      <c r="D764" s="39"/>
      <c r="E764" s="39"/>
      <c r="F764" s="44"/>
      <c r="G764" s="39"/>
      <c r="H764" s="39"/>
      <c r="I764" s="39"/>
      <c r="J764" s="39"/>
      <c r="K764" s="44"/>
      <c r="L764" s="44"/>
      <c r="M764" s="44"/>
      <c r="N764" s="44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5.75" customHeight="1">
      <c r="A765" s="39"/>
      <c r="B765" s="45"/>
      <c r="C765" s="46"/>
      <c r="D765" s="39"/>
      <c r="E765" s="39"/>
      <c r="F765" s="44"/>
      <c r="G765" s="39"/>
      <c r="H765" s="39"/>
      <c r="I765" s="39"/>
      <c r="J765" s="39"/>
      <c r="K765" s="44"/>
      <c r="L765" s="44"/>
      <c r="M765" s="44"/>
      <c r="N765" s="44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5.75" customHeight="1">
      <c r="A766" s="39"/>
      <c r="B766" s="45"/>
      <c r="C766" s="46"/>
      <c r="D766" s="39"/>
      <c r="E766" s="39"/>
      <c r="F766" s="44"/>
      <c r="G766" s="39"/>
      <c r="H766" s="39"/>
      <c r="I766" s="39"/>
      <c r="J766" s="39"/>
      <c r="K766" s="44"/>
      <c r="L766" s="44"/>
      <c r="M766" s="44"/>
      <c r="N766" s="44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5.75" customHeight="1">
      <c r="A767" s="39"/>
      <c r="B767" s="45"/>
      <c r="C767" s="46"/>
      <c r="D767" s="39"/>
      <c r="E767" s="39"/>
      <c r="F767" s="44"/>
      <c r="G767" s="39"/>
      <c r="H767" s="39"/>
      <c r="I767" s="39"/>
      <c r="J767" s="39"/>
      <c r="K767" s="44"/>
      <c r="L767" s="44"/>
      <c r="M767" s="44"/>
      <c r="N767" s="44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5.75" customHeight="1">
      <c r="A768" s="39"/>
      <c r="B768" s="45"/>
      <c r="C768" s="46"/>
      <c r="D768" s="39"/>
      <c r="E768" s="39"/>
      <c r="F768" s="44"/>
      <c r="G768" s="39"/>
      <c r="H768" s="39"/>
      <c r="I768" s="39"/>
      <c r="J768" s="39"/>
      <c r="K768" s="44"/>
      <c r="L768" s="44"/>
      <c r="M768" s="44"/>
      <c r="N768" s="44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5.75" customHeight="1">
      <c r="A769" s="39"/>
      <c r="B769" s="45"/>
      <c r="C769" s="46"/>
      <c r="D769" s="39"/>
      <c r="E769" s="39"/>
      <c r="F769" s="44"/>
      <c r="G769" s="39"/>
      <c r="H769" s="39"/>
      <c r="I769" s="39"/>
      <c r="J769" s="39"/>
      <c r="K769" s="44"/>
      <c r="L769" s="44"/>
      <c r="M769" s="44"/>
      <c r="N769" s="44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5.75" customHeight="1">
      <c r="A770" s="39"/>
      <c r="B770" s="45"/>
      <c r="C770" s="46"/>
      <c r="D770" s="39"/>
      <c r="E770" s="39"/>
      <c r="F770" s="44"/>
      <c r="G770" s="39"/>
      <c r="H770" s="39"/>
      <c r="I770" s="39"/>
      <c r="J770" s="39"/>
      <c r="K770" s="44"/>
      <c r="L770" s="44"/>
      <c r="M770" s="44"/>
      <c r="N770" s="44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5.75" customHeight="1">
      <c r="A771" s="39"/>
      <c r="B771" s="45"/>
      <c r="C771" s="46"/>
      <c r="D771" s="39"/>
      <c r="E771" s="39"/>
      <c r="F771" s="44"/>
      <c r="G771" s="39"/>
      <c r="H771" s="39"/>
      <c r="I771" s="39"/>
      <c r="J771" s="39"/>
      <c r="K771" s="44"/>
      <c r="L771" s="44"/>
      <c r="M771" s="44"/>
      <c r="N771" s="44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5.75" customHeight="1">
      <c r="A772" s="39"/>
      <c r="B772" s="45"/>
      <c r="C772" s="46"/>
      <c r="D772" s="39"/>
      <c r="E772" s="39"/>
      <c r="F772" s="44"/>
      <c r="G772" s="39"/>
      <c r="H772" s="39"/>
      <c r="I772" s="39"/>
      <c r="J772" s="39"/>
      <c r="K772" s="44"/>
      <c r="L772" s="44"/>
      <c r="M772" s="44"/>
      <c r="N772" s="44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5.75" customHeight="1">
      <c r="A773" s="39"/>
      <c r="B773" s="45"/>
      <c r="C773" s="46"/>
      <c r="D773" s="39"/>
      <c r="E773" s="39"/>
      <c r="F773" s="44"/>
      <c r="G773" s="39"/>
      <c r="H773" s="39"/>
      <c r="I773" s="39"/>
      <c r="J773" s="39"/>
      <c r="K773" s="44"/>
      <c r="L773" s="44"/>
      <c r="M773" s="44"/>
      <c r="N773" s="44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5.75" customHeight="1">
      <c r="A774" s="39"/>
      <c r="B774" s="45"/>
      <c r="C774" s="46"/>
      <c r="D774" s="39"/>
      <c r="E774" s="39"/>
      <c r="F774" s="44"/>
      <c r="G774" s="39"/>
      <c r="H774" s="39"/>
      <c r="I774" s="39"/>
      <c r="J774" s="39"/>
      <c r="K774" s="44"/>
      <c r="L774" s="44"/>
      <c r="M774" s="44"/>
      <c r="N774" s="44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5.75" customHeight="1">
      <c r="A775" s="39"/>
      <c r="B775" s="45"/>
      <c r="C775" s="46"/>
      <c r="D775" s="39"/>
      <c r="E775" s="39"/>
      <c r="F775" s="44"/>
      <c r="G775" s="39"/>
      <c r="H775" s="39"/>
      <c r="I775" s="39"/>
      <c r="J775" s="39"/>
      <c r="K775" s="44"/>
      <c r="L775" s="44"/>
      <c r="M775" s="44"/>
      <c r="N775" s="44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5.75" customHeight="1">
      <c r="A776" s="39"/>
      <c r="B776" s="45"/>
      <c r="C776" s="46"/>
      <c r="D776" s="39"/>
      <c r="E776" s="39"/>
      <c r="F776" s="44"/>
      <c r="G776" s="39"/>
      <c r="H776" s="39"/>
      <c r="I776" s="39"/>
      <c r="J776" s="39"/>
      <c r="K776" s="44"/>
      <c r="L776" s="44"/>
      <c r="M776" s="44"/>
      <c r="N776" s="44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5.75" customHeight="1">
      <c r="A777" s="39"/>
      <c r="B777" s="45"/>
      <c r="C777" s="46"/>
      <c r="D777" s="39"/>
      <c r="E777" s="39"/>
      <c r="F777" s="44"/>
      <c r="G777" s="39"/>
      <c r="H777" s="39"/>
      <c r="I777" s="39"/>
      <c r="J777" s="39"/>
      <c r="K777" s="44"/>
      <c r="L777" s="44"/>
      <c r="M777" s="44"/>
      <c r="N777" s="44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5.75" customHeight="1">
      <c r="A778" s="39"/>
      <c r="B778" s="45"/>
      <c r="C778" s="46"/>
      <c r="D778" s="39"/>
      <c r="E778" s="39"/>
      <c r="F778" s="44"/>
      <c r="G778" s="39"/>
      <c r="H778" s="39"/>
      <c r="I778" s="39"/>
      <c r="J778" s="39"/>
      <c r="K778" s="44"/>
      <c r="L778" s="44"/>
      <c r="M778" s="44"/>
      <c r="N778" s="44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5.75" customHeight="1">
      <c r="A779" s="39"/>
      <c r="B779" s="45"/>
      <c r="C779" s="46"/>
      <c r="D779" s="39"/>
      <c r="E779" s="39"/>
      <c r="F779" s="44"/>
      <c r="G779" s="39"/>
      <c r="H779" s="39"/>
      <c r="I779" s="39"/>
      <c r="J779" s="39"/>
      <c r="K779" s="44"/>
      <c r="L779" s="44"/>
      <c r="M779" s="44"/>
      <c r="N779" s="44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5.75" customHeight="1">
      <c r="A780" s="39"/>
      <c r="B780" s="45"/>
      <c r="C780" s="46"/>
      <c r="D780" s="39"/>
      <c r="E780" s="39"/>
      <c r="F780" s="44"/>
      <c r="G780" s="39"/>
      <c r="H780" s="39"/>
      <c r="I780" s="39"/>
      <c r="J780" s="39"/>
      <c r="K780" s="44"/>
      <c r="L780" s="44"/>
      <c r="M780" s="44"/>
      <c r="N780" s="44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5.75" customHeight="1">
      <c r="A781" s="39"/>
      <c r="B781" s="45"/>
      <c r="C781" s="46"/>
      <c r="D781" s="39"/>
      <c r="E781" s="39"/>
      <c r="F781" s="44"/>
      <c r="G781" s="39"/>
      <c r="H781" s="39"/>
      <c r="I781" s="39"/>
      <c r="J781" s="39"/>
      <c r="K781" s="44"/>
      <c r="L781" s="44"/>
      <c r="M781" s="44"/>
      <c r="N781" s="44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5.75" customHeight="1">
      <c r="A782" s="39"/>
      <c r="B782" s="45"/>
      <c r="C782" s="46"/>
      <c r="D782" s="39"/>
      <c r="E782" s="39"/>
      <c r="F782" s="44"/>
      <c r="G782" s="39"/>
      <c r="H782" s="39"/>
      <c r="I782" s="39"/>
      <c r="J782" s="39"/>
      <c r="K782" s="44"/>
      <c r="L782" s="44"/>
      <c r="M782" s="44"/>
      <c r="N782" s="44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5.75" customHeight="1">
      <c r="A783" s="39"/>
      <c r="B783" s="45"/>
      <c r="C783" s="46"/>
      <c r="D783" s="39"/>
      <c r="E783" s="39"/>
      <c r="F783" s="44"/>
      <c r="G783" s="39"/>
      <c r="H783" s="39"/>
      <c r="I783" s="39"/>
      <c r="J783" s="39"/>
      <c r="K783" s="44"/>
      <c r="L783" s="44"/>
      <c r="M783" s="44"/>
      <c r="N783" s="44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5.75" customHeight="1">
      <c r="A784" s="39"/>
      <c r="B784" s="45"/>
      <c r="C784" s="46"/>
      <c r="D784" s="39"/>
      <c r="E784" s="39"/>
      <c r="F784" s="44"/>
      <c r="G784" s="39"/>
      <c r="H784" s="39"/>
      <c r="I784" s="39"/>
      <c r="J784" s="39"/>
      <c r="K784" s="44"/>
      <c r="L784" s="44"/>
      <c r="M784" s="44"/>
      <c r="N784" s="44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5.75" customHeight="1">
      <c r="A785" s="39"/>
      <c r="B785" s="45"/>
      <c r="C785" s="46"/>
      <c r="D785" s="39"/>
      <c r="E785" s="39"/>
      <c r="F785" s="44"/>
      <c r="G785" s="39"/>
      <c r="H785" s="39"/>
      <c r="I785" s="39"/>
      <c r="J785" s="39"/>
      <c r="K785" s="44"/>
      <c r="L785" s="44"/>
      <c r="M785" s="44"/>
      <c r="N785" s="44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5.75" customHeight="1">
      <c r="A786" s="39"/>
      <c r="B786" s="45"/>
      <c r="C786" s="46"/>
      <c r="D786" s="39"/>
      <c r="E786" s="39"/>
      <c r="F786" s="44"/>
      <c r="G786" s="39"/>
      <c r="H786" s="39"/>
      <c r="I786" s="39"/>
      <c r="J786" s="39"/>
      <c r="K786" s="44"/>
      <c r="L786" s="44"/>
      <c r="M786" s="44"/>
      <c r="N786" s="44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5.75" customHeight="1">
      <c r="A787" s="39"/>
      <c r="B787" s="45"/>
      <c r="C787" s="46"/>
      <c r="D787" s="39"/>
      <c r="E787" s="39"/>
      <c r="F787" s="44"/>
      <c r="G787" s="39"/>
      <c r="H787" s="39"/>
      <c r="I787" s="39"/>
      <c r="J787" s="39"/>
      <c r="K787" s="44"/>
      <c r="L787" s="44"/>
      <c r="M787" s="44"/>
      <c r="N787" s="44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5.75" customHeight="1">
      <c r="A788" s="39"/>
      <c r="B788" s="45"/>
      <c r="C788" s="46"/>
      <c r="D788" s="39"/>
      <c r="E788" s="39"/>
      <c r="F788" s="44"/>
      <c r="G788" s="39"/>
      <c r="H788" s="39"/>
      <c r="I788" s="39"/>
      <c r="J788" s="39"/>
      <c r="K788" s="44"/>
      <c r="L788" s="44"/>
      <c r="M788" s="44"/>
      <c r="N788" s="44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5.75" customHeight="1">
      <c r="A789" s="39"/>
      <c r="B789" s="45"/>
      <c r="C789" s="46"/>
      <c r="D789" s="39"/>
      <c r="E789" s="39"/>
      <c r="F789" s="44"/>
      <c r="G789" s="39"/>
      <c r="H789" s="39"/>
      <c r="I789" s="39"/>
      <c r="J789" s="39"/>
      <c r="K789" s="44"/>
      <c r="L789" s="44"/>
      <c r="M789" s="44"/>
      <c r="N789" s="44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5.75" customHeight="1">
      <c r="A790" s="39"/>
      <c r="B790" s="45"/>
      <c r="C790" s="46"/>
      <c r="D790" s="39"/>
      <c r="E790" s="39"/>
      <c r="F790" s="44"/>
      <c r="G790" s="39"/>
      <c r="H790" s="39"/>
      <c r="I790" s="39"/>
      <c r="J790" s="39"/>
      <c r="K790" s="44"/>
      <c r="L790" s="44"/>
      <c r="M790" s="44"/>
      <c r="N790" s="44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5.75" customHeight="1">
      <c r="A791" s="39"/>
      <c r="B791" s="45"/>
      <c r="C791" s="46"/>
      <c r="D791" s="39"/>
      <c r="E791" s="39"/>
      <c r="F791" s="44"/>
      <c r="G791" s="39"/>
      <c r="H791" s="39"/>
      <c r="I791" s="39"/>
      <c r="J791" s="39"/>
      <c r="K791" s="44"/>
      <c r="L791" s="44"/>
      <c r="M791" s="44"/>
      <c r="N791" s="44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5.75" customHeight="1">
      <c r="A792" s="39"/>
      <c r="B792" s="45"/>
      <c r="C792" s="46"/>
      <c r="D792" s="39"/>
      <c r="E792" s="39"/>
      <c r="F792" s="44"/>
      <c r="G792" s="39"/>
      <c r="H792" s="39"/>
      <c r="I792" s="39"/>
      <c r="J792" s="39"/>
      <c r="K792" s="44"/>
      <c r="L792" s="44"/>
      <c r="M792" s="44"/>
      <c r="N792" s="44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5.75" customHeight="1">
      <c r="A793" s="39"/>
      <c r="B793" s="45"/>
      <c r="C793" s="46"/>
      <c r="D793" s="39"/>
      <c r="E793" s="39"/>
      <c r="F793" s="44"/>
      <c r="G793" s="39"/>
      <c r="H793" s="39"/>
      <c r="I793" s="39"/>
      <c r="J793" s="39"/>
      <c r="K793" s="44"/>
      <c r="L793" s="44"/>
      <c r="M793" s="44"/>
      <c r="N793" s="44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5.75" customHeight="1">
      <c r="A794" s="39"/>
      <c r="B794" s="45"/>
      <c r="C794" s="46"/>
      <c r="D794" s="39"/>
      <c r="E794" s="39"/>
      <c r="F794" s="44"/>
      <c r="G794" s="39"/>
      <c r="H794" s="39"/>
      <c r="I794" s="39"/>
      <c r="J794" s="39"/>
      <c r="K794" s="44"/>
      <c r="L794" s="44"/>
      <c r="M794" s="44"/>
      <c r="N794" s="44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5.75" customHeight="1">
      <c r="A795" s="39"/>
      <c r="B795" s="45"/>
      <c r="C795" s="46"/>
      <c r="D795" s="39"/>
      <c r="E795" s="39"/>
      <c r="F795" s="44"/>
      <c r="G795" s="39"/>
      <c r="H795" s="39"/>
      <c r="I795" s="39"/>
      <c r="J795" s="39"/>
      <c r="K795" s="44"/>
      <c r="L795" s="44"/>
      <c r="M795" s="44"/>
      <c r="N795" s="44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5.75" customHeight="1">
      <c r="A796" s="39"/>
      <c r="B796" s="45"/>
      <c r="C796" s="46"/>
      <c r="D796" s="39"/>
      <c r="E796" s="39"/>
      <c r="F796" s="44"/>
      <c r="G796" s="39"/>
      <c r="H796" s="39"/>
      <c r="I796" s="39"/>
      <c r="J796" s="39"/>
      <c r="K796" s="44"/>
      <c r="L796" s="44"/>
      <c r="M796" s="44"/>
      <c r="N796" s="44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5.75" customHeight="1">
      <c r="A797" s="39"/>
      <c r="B797" s="45"/>
      <c r="C797" s="46"/>
      <c r="D797" s="39"/>
      <c r="E797" s="39"/>
      <c r="F797" s="44"/>
      <c r="G797" s="39"/>
      <c r="H797" s="39"/>
      <c r="I797" s="39"/>
      <c r="J797" s="39"/>
      <c r="K797" s="44"/>
      <c r="L797" s="44"/>
      <c r="M797" s="44"/>
      <c r="N797" s="44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5.75" customHeight="1">
      <c r="A798" s="39"/>
      <c r="B798" s="45"/>
      <c r="C798" s="46"/>
      <c r="D798" s="39"/>
      <c r="E798" s="39"/>
      <c r="F798" s="44"/>
      <c r="G798" s="39"/>
      <c r="H798" s="39"/>
      <c r="I798" s="39"/>
      <c r="J798" s="39"/>
      <c r="K798" s="44"/>
      <c r="L798" s="44"/>
      <c r="M798" s="44"/>
      <c r="N798" s="44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5.75" customHeight="1">
      <c r="A799" s="39"/>
      <c r="B799" s="45"/>
      <c r="C799" s="46"/>
      <c r="D799" s="39"/>
      <c r="E799" s="39"/>
      <c r="F799" s="44"/>
      <c r="G799" s="39"/>
      <c r="H799" s="39"/>
      <c r="I799" s="39"/>
      <c r="J799" s="39"/>
      <c r="K799" s="44"/>
      <c r="L799" s="44"/>
      <c r="M799" s="44"/>
      <c r="N799" s="44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5.75" customHeight="1">
      <c r="A800" s="39"/>
      <c r="B800" s="45"/>
      <c r="C800" s="46"/>
      <c r="D800" s="39"/>
      <c r="E800" s="39"/>
      <c r="F800" s="44"/>
      <c r="G800" s="39"/>
      <c r="H800" s="39"/>
      <c r="I800" s="39"/>
      <c r="J800" s="39"/>
      <c r="K800" s="44"/>
      <c r="L800" s="44"/>
      <c r="M800" s="44"/>
      <c r="N800" s="44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5.75" customHeight="1">
      <c r="A801" s="39"/>
      <c r="B801" s="45"/>
      <c r="C801" s="46"/>
      <c r="D801" s="39"/>
      <c r="E801" s="39"/>
      <c r="F801" s="44"/>
      <c r="G801" s="39"/>
      <c r="H801" s="39"/>
      <c r="I801" s="39"/>
      <c r="J801" s="39"/>
      <c r="K801" s="44"/>
      <c r="L801" s="44"/>
      <c r="M801" s="44"/>
      <c r="N801" s="44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5.75" customHeight="1">
      <c r="A802" s="39"/>
      <c r="B802" s="45"/>
      <c r="C802" s="46"/>
      <c r="D802" s="39"/>
      <c r="E802" s="39"/>
      <c r="F802" s="44"/>
      <c r="G802" s="39"/>
      <c r="H802" s="39"/>
      <c r="I802" s="39"/>
      <c r="J802" s="39"/>
      <c r="K802" s="44"/>
      <c r="L802" s="44"/>
      <c r="M802" s="44"/>
      <c r="N802" s="44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5.75" customHeight="1">
      <c r="A803" s="39"/>
      <c r="B803" s="45"/>
      <c r="C803" s="46"/>
      <c r="D803" s="39"/>
      <c r="E803" s="39"/>
      <c r="F803" s="44"/>
      <c r="G803" s="39"/>
      <c r="H803" s="39"/>
      <c r="I803" s="39"/>
      <c r="J803" s="39"/>
      <c r="K803" s="44"/>
      <c r="L803" s="44"/>
      <c r="M803" s="44"/>
      <c r="N803" s="44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5.75" customHeight="1">
      <c r="A804" s="39"/>
      <c r="B804" s="45"/>
      <c r="C804" s="46"/>
      <c r="D804" s="39"/>
      <c r="E804" s="39"/>
      <c r="F804" s="44"/>
      <c r="G804" s="39"/>
      <c r="H804" s="39"/>
      <c r="I804" s="39"/>
      <c r="J804" s="39"/>
      <c r="K804" s="44"/>
      <c r="L804" s="44"/>
      <c r="M804" s="44"/>
      <c r="N804" s="44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5.75" customHeight="1">
      <c r="A805" s="39"/>
      <c r="B805" s="45"/>
      <c r="C805" s="46"/>
      <c r="D805" s="39"/>
      <c r="E805" s="39"/>
      <c r="F805" s="44"/>
      <c r="G805" s="39"/>
      <c r="H805" s="39"/>
      <c r="I805" s="39"/>
      <c r="J805" s="39"/>
      <c r="K805" s="44"/>
      <c r="L805" s="44"/>
      <c r="M805" s="44"/>
      <c r="N805" s="44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5.75" customHeight="1">
      <c r="A806" s="39"/>
      <c r="B806" s="45"/>
      <c r="C806" s="46"/>
      <c r="D806" s="39"/>
      <c r="E806" s="39"/>
      <c r="F806" s="44"/>
      <c r="G806" s="39"/>
      <c r="H806" s="39"/>
      <c r="I806" s="39"/>
      <c r="J806" s="39"/>
      <c r="K806" s="44"/>
      <c r="L806" s="44"/>
      <c r="M806" s="44"/>
      <c r="N806" s="44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5.75" customHeight="1">
      <c r="A807" s="39"/>
      <c r="B807" s="45"/>
      <c r="C807" s="46"/>
      <c r="D807" s="39"/>
      <c r="E807" s="39"/>
      <c r="F807" s="44"/>
      <c r="G807" s="39"/>
      <c r="H807" s="39"/>
      <c r="I807" s="39"/>
      <c r="J807" s="39"/>
      <c r="K807" s="44"/>
      <c r="L807" s="44"/>
      <c r="M807" s="44"/>
      <c r="N807" s="44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5.75" customHeight="1">
      <c r="A808" s="39"/>
      <c r="B808" s="45"/>
      <c r="C808" s="46"/>
      <c r="D808" s="39"/>
      <c r="E808" s="39"/>
      <c r="F808" s="44"/>
      <c r="G808" s="39"/>
      <c r="H808" s="39"/>
      <c r="I808" s="39"/>
      <c r="J808" s="39"/>
      <c r="K808" s="44"/>
      <c r="L808" s="44"/>
      <c r="M808" s="44"/>
      <c r="N808" s="44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5.75" customHeight="1">
      <c r="A809" s="39"/>
      <c r="B809" s="45"/>
      <c r="C809" s="46"/>
      <c r="D809" s="39"/>
      <c r="E809" s="39"/>
      <c r="F809" s="44"/>
      <c r="G809" s="39"/>
      <c r="H809" s="39"/>
      <c r="I809" s="39"/>
      <c r="J809" s="39"/>
      <c r="K809" s="44"/>
      <c r="L809" s="44"/>
      <c r="M809" s="44"/>
      <c r="N809" s="44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5.75" customHeight="1">
      <c r="A810" s="39"/>
      <c r="B810" s="45"/>
      <c r="C810" s="46"/>
      <c r="D810" s="39"/>
      <c r="E810" s="39"/>
      <c r="F810" s="44"/>
      <c r="G810" s="39"/>
      <c r="H810" s="39"/>
      <c r="I810" s="39"/>
      <c r="J810" s="39"/>
      <c r="K810" s="44"/>
      <c r="L810" s="44"/>
      <c r="M810" s="44"/>
      <c r="N810" s="44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5.75" customHeight="1">
      <c r="A811" s="39"/>
      <c r="B811" s="45"/>
      <c r="C811" s="46"/>
      <c r="D811" s="39"/>
      <c r="E811" s="39"/>
      <c r="F811" s="44"/>
      <c r="G811" s="39"/>
      <c r="H811" s="39"/>
      <c r="I811" s="39"/>
      <c r="J811" s="39"/>
      <c r="K811" s="44"/>
      <c r="L811" s="44"/>
      <c r="M811" s="44"/>
      <c r="N811" s="44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5.75" customHeight="1">
      <c r="A812" s="39"/>
      <c r="B812" s="45"/>
      <c r="C812" s="46"/>
      <c r="D812" s="39"/>
      <c r="E812" s="39"/>
      <c r="F812" s="44"/>
      <c r="G812" s="39"/>
      <c r="H812" s="39"/>
      <c r="I812" s="39"/>
      <c r="J812" s="39"/>
      <c r="K812" s="44"/>
      <c r="L812" s="44"/>
      <c r="M812" s="44"/>
      <c r="N812" s="44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5.75" customHeight="1">
      <c r="A813" s="39"/>
      <c r="B813" s="45"/>
      <c r="C813" s="46"/>
      <c r="D813" s="39"/>
      <c r="E813" s="39"/>
      <c r="F813" s="44"/>
      <c r="G813" s="39"/>
      <c r="H813" s="39"/>
      <c r="I813" s="39"/>
      <c r="J813" s="39"/>
      <c r="K813" s="44"/>
      <c r="L813" s="44"/>
      <c r="M813" s="44"/>
      <c r="N813" s="44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5.75" customHeight="1">
      <c r="A814" s="39"/>
      <c r="B814" s="45"/>
      <c r="C814" s="46"/>
      <c r="D814" s="39"/>
      <c r="E814" s="39"/>
      <c r="F814" s="44"/>
      <c r="G814" s="39"/>
      <c r="H814" s="39"/>
      <c r="I814" s="39"/>
      <c r="J814" s="39"/>
      <c r="K814" s="44"/>
      <c r="L814" s="44"/>
      <c r="M814" s="44"/>
      <c r="N814" s="44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5.75" customHeight="1">
      <c r="A815" s="39"/>
      <c r="B815" s="45"/>
      <c r="C815" s="46"/>
      <c r="D815" s="39"/>
      <c r="E815" s="39"/>
      <c r="F815" s="44"/>
      <c r="G815" s="39"/>
      <c r="H815" s="39"/>
      <c r="I815" s="39"/>
      <c r="J815" s="39"/>
      <c r="K815" s="44"/>
      <c r="L815" s="44"/>
      <c r="M815" s="44"/>
      <c r="N815" s="44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5.75" customHeight="1">
      <c r="A816" s="39"/>
      <c r="B816" s="45"/>
      <c r="C816" s="46"/>
      <c r="D816" s="39"/>
      <c r="E816" s="39"/>
      <c r="F816" s="44"/>
      <c r="G816" s="39"/>
      <c r="H816" s="39"/>
      <c r="I816" s="39"/>
      <c r="J816" s="39"/>
      <c r="K816" s="44"/>
      <c r="L816" s="44"/>
      <c r="M816" s="44"/>
      <c r="N816" s="44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5.75" customHeight="1">
      <c r="A817" s="39"/>
      <c r="B817" s="45"/>
      <c r="C817" s="46"/>
      <c r="D817" s="39"/>
      <c r="E817" s="39"/>
      <c r="F817" s="44"/>
      <c r="G817" s="39"/>
      <c r="H817" s="39"/>
      <c r="I817" s="39"/>
      <c r="J817" s="39"/>
      <c r="K817" s="44"/>
      <c r="L817" s="44"/>
      <c r="M817" s="44"/>
      <c r="N817" s="44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5.75" customHeight="1">
      <c r="A818" s="39"/>
      <c r="B818" s="45"/>
      <c r="C818" s="46"/>
      <c r="D818" s="39"/>
      <c r="E818" s="39"/>
      <c r="F818" s="44"/>
      <c r="G818" s="39"/>
      <c r="H818" s="39"/>
      <c r="I818" s="39"/>
      <c r="J818" s="39"/>
      <c r="K818" s="44"/>
      <c r="L818" s="44"/>
      <c r="M818" s="44"/>
      <c r="N818" s="44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5.75" customHeight="1">
      <c r="A819" s="39"/>
      <c r="B819" s="45"/>
      <c r="C819" s="46"/>
      <c r="D819" s="39"/>
      <c r="E819" s="39"/>
      <c r="F819" s="44"/>
      <c r="G819" s="39"/>
      <c r="H819" s="39"/>
      <c r="I819" s="39"/>
      <c r="J819" s="39"/>
      <c r="K819" s="44"/>
      <c r="L819" s="44"/>
      <c r="M819" s="44"/>
      <c r="N819" s="44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5.75" customHeight="1">
      <c r="A820" s="39"/>
      <c r="B820" s="45"/>
      <c r="C820" s="46"/>
      <c r="D820" s="39"/>
      <c r="E820" s="39"/>
      <c r="F820" s="44"/>
      <c r="G820" s="39"/>
      <c r="H820" s="39"/>
      <c r="I820" s="39"/>
      <c r="J820" s="39"/>
      <c r="K820" s="44"/>
      <c r="L820" s="44"/>
      <c r="M820" s="44"/>
      <c r="N820" s="44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5.75" customHeight="1">
      <c r="A821" s="39"/>
      <c r="B821" s="45"/>
      <c r="C821" s="46"/>
      <c r="D821" s="39"/>
      <c r="E821" s="39"/>
      <c r="F821" s="44"/>
      <c r="G821" s="39"/>
      <c r="H821" s="39"/>
      <c r="I821" s="39"/>
      <c r="J821" s="39"/>
      <c r="K821" s="44"/>
      <c r="L821" s="44"/>
      <c r="M821" s="44"/>
      <c r="N821" s="44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5.75" customHeight="1">
      <c r="A822" s="39"/>
      <c r="B822" s="45"/>
      <c r="C822" s="46"/>
      <c r="D822" s="39"/>
      <c r="E822" s="39"/>
      <c r="F822" s="44"/>
      <c r="G822" s="39"/>
      <c r="H822" s="39"/>
      <c r="I822" s="39"/>
      <c r="J822" s="39"/>
      <c r="K822" s="44"/>
      <c r="L822" s="44"/>
      <c r="M822" s="44"/>
      <c r="N822" s="44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5.75" customHeight="1">
      <c r="A823" s="39"/>
      <c r="B823" s="45"/>
      <c r="C823" s="46"/>
      <c r="D823" s="39"/>
      <c r="E823" s="39"/>
      <c r="F823" s="44"/>
      <c r="G823" s="39"/>
      <c r="H823" s="39"/>
      <c r="I823" s="39"/>
      <c r="J823" s="39"/>
      <c r="K823" s="44"/>
      <c r="L823" s="44"/>
      <c r="M823" s="44"/>
      <c r="N823" s="44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5.75" customHeight="1">
      <c r="A824" s="39"/>
      <c r="B824" s="45"/>
      <c r="C824" s="46"/>
      <c r="D824" s="39"/>
      <c r="E824" s="39"/>
      <c r="F824" s="44"/>
      <c r="G824" s="39"/>
      <c r="H824" s="39"/>
      <c r="I824" s="39"/>
      <c r="J824" s="39"/>
      <c r="K824" s="44"/>
      <c r="L824" s="44"/>
      <c r="M824" s="44"/>
      <c r="N824" s="44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5.75" customHeight="1">
      <c r="A825" s="39"/>
      <c r="B825" s="45"/>
      <c r="C825" s="46"/>
      <c r="D825" s="39"/>
      <c r="E825" s="39"/>
      <c r="F825" s="44"/>
      <c r="G825" s="39"/>
      <c r="H825" s="39"/>
      <c r="I825" s="39"/>
      <c r="J825" s="39"/>
      <c r="K825" s="44"/>
      <c r="L825" s="44"/>
      <c r="M825" s="44"/>
      <c r="N825" s="44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5.75" customHeight="1">
      <c r="A826" s="39"/>
      <c r="B826" s="45"/>
      <c r="C826" s="46"/>
      <c r="D826" s="39"/>
      <c r="E826" s="39"/>
      <c r="F826" s="44"/>
      <c r="G826" s="39"/>
      <c r="H826" s="39"/>
      <c r="I826" s="39"/>
      <c r="J826" s="39"/>
      <c r="K826" s="44"/>
      <c r="L826" s="44"/>
      <c r="M826" s="44"/>
      <c r="N826" s="44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5.75" customHeight="1">
      <c r="A827" s="39"/>
      <c r="B827" s="45"/>
      <c r="C827" s="46"/>
      <c r="D827" s="39"/>
      <c r="E827" s="39"/>
      <c r="F827" s="44"/>
      <c r="G827" s="39"/>
      <c r="H827" s="39"/>
      <c r="I827" s="39"/>
      <c r="J827" s="39"/>
      <c r="K827" s="44"/>
      <c r="L827" s="44"/>
      <c r="M827" s="44"/>
      <c r="N827" s="44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5.75" customHeight="1">
      <c r="A828" s="39"/>
      <c r="B828" s="45"/>
      <c r="C828" s="46"/>
      <c r="D828" s="39"/>
      <c r="E828" s="39"/>
      <c r="F828" s="44"/>
      <c r="G828" s="39"/>
      <c r="H828" s="39"/>
      <c r="I828" s="39"/>
      <c r="J828" s="39"/>
      <c r="K828" s="44"/>
      <c r="L828" s="44"/>
      <c r="M828" s="44"/>
      <c r="N828" s="44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5.75" customHeight="1">
      <c r="A829" s="39"/>
      <c r="B829" s="45"/>
      <c r="C829" s="46"/>
      <c r="D829" s="39"/>
      <c r="E829" s="39"/>
      <c r="F829" s="44"/>
      <c r="G829" s="39"/>
      <c r="H829" s="39"/>
      <c r="I829" s="39"/>
      <c r="J829" s="39"/>
      <c r="K829" s="44"/>
      <c r="L829" s="44"/>
      <c r="M829" s="44"/>
      <c r="N829" s="44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5.75" customHeight="1">
      <c r="A830" s="39"/>
      <c r="B830" s="45"/>
      <c r="C830" s="46"/>
      <c r="D830" s="39"/>
      <c r="E830" s="39"/>
      <c r="F830" s="44"/>
      <c r="G830" s="39"/>
      <c r="H830" s="39"/>
      <c r="I830" s="39"/>
      <c r="J830" s="39"/>
      <c r="K830" s="44"/>
      <c r="L830" s="44"/>
      <c r="M830" s="44"/>
      <c r="N830" s="44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5.75" customHeight="1">
      <c r="A831" s="39"/>
      <c r="B831" s="45"/>
      <c r="C831" s="46"/>
      <c r="D831" s="39"/>
      <c r="E831" s="39"/>
      <c r="F831" s="44"/>
      <c r="G831" s="39"/>
      <c r="H831" s="39"/>
      <c r="I831" s="39"/>
      <c r="J831" s="39"/>
      <c r="K831" s="44"/>
      <c r="L831" s="44"/>
      <c r="M831" s="44"/>
      <c r="N831" s="44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5.75" customHeight="1">
      <c r="A832" s="39"/>
      <c r="B832" s="45"/>
      <c r="C832" s="46"/>
      <c r="D832" s="39"/>
      <c r="E832" s="39"/>
      <c r="F832" s="44"/>
      <c r="G832" s="39"/>
      <c r="H832" s="39"/>
      <c r="I832" s="39"/>
      <c r="J832" s="39"/>
      <c r="K832" s="44"/>
      <c r="L832" s="44"/>
      <c r="M832" s="44"/>
      <c r="N832" s="44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5.75" customHeight="1">
      <c r="A833" s="39"/>
      <c r="B833" s="45"/>
      <c r="C833" s="46"/>
      <c r="D833" s="39"/>
      <c r="E833" s="39"/>
      <c r="F833" s="44"/>
      <c r="G833" s="39"/>
      <c r="H833" s="39"/>
      <c r="I833" s="39"/>
      <c r="J833" s="39"/>
      <c r="K833" s="44"/>
      <c r="L833" s="44"/>
      <c r="M833" s="44"/>
      <c r="N833" s="44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5.75" customHeight="1">
      <c r="A834" s="39"/>
      <c r="B834" s="45"/>
      <c r="C834" s="46"/>
      <c r="D834" s="39"/>
      <c r="E834" s="39"/>
      <c r="F834" s="44"/>
      <c r="G834" s="39"/>
      <c r="H834" s="39"/>
      <c r="I834" s="39"/>
      <c r="J834" s="39"/>
      <c r="K834" s="44"/>
      <c r="L834" s="44"/>
      <c r="M834" s="44"/>
      <c r="N834" s="44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5.75" customHeight="1">
      <c r="A835" s="39"/>
      <c r="B835" s="45"/>
      <c r="C835" s="46"/>
      <c r="D835" s="39"/>
      <c r="E835" s="39"/>
      <c r="F835" s="44"/>
      <c r="G835" s="39"/>
      <c r="H835" s="39"/>
      <c r="I835" s="39"/>
      <c r="J835" s="39"/>
      <c r="K835" s="44"/>
      <c r="L835" s="44"/>
      <c r="M835" s="44"/>
      <c r="N835" s="44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5.75" customHeight="1">
      <c r="A836" s="39"/>
      <c r="B836" s="45"/>
      <c r="C836" s="46"/>
      <c r="D836" s="39"/>
      <c r="E836" s="39"/>
      <c r="F836" s="44"/>
      <c r="G836" s="39"/>
      <c r="H836" s="39"/>
      <c r="I836" s="39"/>
      <c r="J836" s="39"/>
      <c r="K836" s="44"/>
      <c r="L836" s="44"/>
      <c r="M836" s="44"/>
      <c r="N836" s="44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5.75" customHeight="1">
      <c r="A837" s="39"/>
      <c r="B837" s="45"/>
      <c r="C837" s="46"/>
      <c r="D837" s="39"/>
      <c r="E837" s="39"/>
      <c r="F837" s="44"/>
      <c r="G837" s="39"/>
      <c r="H837" s="39"/>
      <c r="I837" s="39"/>
      <c r="J837" s="39"/>
      <c r="K837" s="44"/>
      <c r="L837" s="44"/>
      <c r="M837" s="44"/>
      <c r="N837" s="44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5.75" customHeight="1">
      <c r="A838" s="39"/>
      <c r="B838" s="45"/>
      <c r="C838" s="46"/>
      <c r="D838" s="39"/>
      <c r="E838" s="39"/>
      <c r="F838" s="44"/>
      <c r="G838" s="39"/>
      <c r="H838" s="39"/>
      <c r="I838" s="39"/>
      <c r="J838" s="39"/>
      <c r="K838" s="44"/>
      <c r="L838" s="44"/>
      <c r="M838" s="44"/>
      <c r="N838" s="44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5.75" customHeight="1">
      <c r="A839" s="39"/>
      <c r="B839" s="45"/>
      <c r="C839" s="46"/>
      <c r="D839" s="39"/>
      <c r="E839" s="39"/>
      <c r="F839" s="44"/>
      <c r="G839" s="39"/>
      <c r="H839" s="39"/>
      <c r="I839" s="39"/>
      <c r="J839" s="39"/>
      <c r="K839" s="44"/>
      <c r="L839" s="44"/>
      <c r="M839" s="44"/>
      <c r="N839" s="44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5.75" customHeight="1">
      <c r="A840" s="39"/>
      <c r="B840" s="45"/>
      <c r="C840" s="46"/>
      <c r="D840" s="39"/>
      <c r="E840" s="39"/>
      <c r="F840" s="44"/>
      <c r="G840" s="39"/>
      <c r="H840" s="39"/>
      <c r="I840" s="39"/>
      <c r="J840" s="39"/>
      <c r="K840" s="44"/>
      <c r="L840" s="44"/>
      <c r="M840" s="44"/>
      <c r="N840" s="44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5.75" customHeight="1">
      <c r="A841" s="39"/>
      <c r="B841" s="45"/>
      <c r="C841" s="46"/>
      <c r="D841" s="39"/>
      <c r="E841" s="39"/>
      <c r="F841" s="44"/>
      <c r="G841" s="39"/>
      <c r="H841" s="39"/>
      <c r="I841" s="39"/>
      <c r="J841" s="39"/>
      <c r="K841" s="44"/>
      <c r="L841" s="44"/>
      <c r="M841" s="44"/>
      <c r="N841" s="44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5.75" customHeight="1">
      <c r="A842" s="39"/>
      <c r="B842" s="45"/>
      <c r="C842" s="46"/>
      <c r="D842" s="39"/>
      <c r="E842" s="39"/>
      <c r="F842" s="44"/>
      <c r="G842" s="39"/>
      <c r="H842" s="39"/>
      <c r="I842" s="39"/>
      <c r="J842" s="39"/>
      <c r="K842" s="44"/>
      <c r="L842" s="44"/>
      <c r="M842" s="44"/>
      <c r="N842" s="44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5.75" customHeight="1">
      <c r="A843" s="39"/>
      <c r="B843" s="45"/>
      <c r="C843" s="46"/>
      <c r="D843" s="39"/>
      <c r="E843" s="39"/>
      <c r="F843" s="44"/>
      <c r="G843" s="39"/>
      <c r="H843" s="39"/>
      <c r="I843" s="39"/>
      <c r="J843" s="39"/>
      <c r="K843" s="44"/>
      <c r="L843" s="44"/>
      <c r="M843" s="44"/>
      <c r="N843" s="44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5.75" customHeight="1">
      <c r="A844" s="39"/>
      <c r="B844" s="45"/>
      <c r="C844" s="46"/>
      <c r="D844" s="39"/>
      <c r="E844" s="39"/>
      <c r="F844" s="44"/>
      <c r="G844" s="39"/>
      <c r="H844" s="39"/>
      <c r="I844" s="39"/>
      <c r="J844" s="39"/>
      <c r="K844" s="44"/>
      <c r="L844" s="44"/>
      <c r="M844" s="44"/>
      <c r="N844" s="44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5.75" customHeight="1">
      <c r="A845" s="39"/>
      <c r="B845" s="45"/>
      <c r="C845" s="46"/>
      <c r="D845" s="39"/>
      <c r="E845" s="39"/>
      <c r="F845" s="44"/>
      <c r="G845" s="39"/>
      <c r="H845" s="39"/>
      <c r="I845" s="39"/>
      <c r="J845" s="39"/>
      <c r="K845" s="44"/>
      <c r="L845" s="44"/>
      <c r="M845" s="44"/>
      <c r="N845" s="44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5.75" customHeight="1">
      <c r="A846" s="39"/>
      <c r="B846" s="45"/>
      <c r="C846" s="46"/>
      <c r="D846" s="39"/>
      <c r="E846" s="39"/>
      <c r="F846" s="44"/>
      <c r="G846" s="39"/>
      <c r="H846" s="39"/>
      <c r="I846" s="39"/>
      <c r="J846" s="39"/>
      <c r="K846" s="44"/>
      <c r="L846" s="44"/>
      <c r="M846" s="44"/>
      <c r="N846" s="44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5.75" customHeight="1">
      <c r="A847" s="39"/>
      <c r="B847" s="45"/>
      <c r="C847" s="46"/>
      <c r="D847" s="39"/>
      <c r="E847" s="39"/>
      <c r="F847" s="44"/>
      <c r="G847" s="39"/>
      <c r="H847" s="39"/>
      <c r="I847" s="39"/>
      <c r="J847" s="39"/>
      <c r="K847" s="44"/>
      <c r="L847" s="44"/>
      <c r="M847" s="44"/>
      <c r="N847" s="44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5.75" customHeight="1">
      <c r="A848" s="39"/>
      <c r="B848" s="45"/>
      <c r="C848" s="46"/>
      <c r="D848" s="39"/>
      <c r="E848" s="39"/>
      <c r="F848" s="44"/>
      <c r="G848" s="39"/>
      <c r="H848" s="39"/>
      <c r="I848" s="39"/>
      <c r="J848" s="39"/>
      <c r="K848" s="44"/>
      <c r="L848" s="44"/>
      <c r="M848" s="44"/>
      <c r="N848" s="44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5.75" customHeight="1">
      <c r="A849" s="39"/>
      <c r="B849" s="45"/>
      <c r="C849" s="46"/>
      <c r="D849" s="39"/>
      <c r="E849" s="39"/>
      <c r="F849" s="44"/>
      <c r="G849" s="39"/>
      <c r="H849" s="39"/>
      <c r="I849" s="39"/>
      <c r="J849" s="39"/>
      <c r="K849" s="44"/>
      <c r="L849" s="44"/>
      <c r="M849" s="44"/>
      <c r="N849" s="44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5.75" customHeight="1">
      <c r="A850" s="39"/>
      <c r="B850" s="45"/>
      <c r="C850" s="46"/>
      <c r="D850" s="39"/>
      <c r="E850" s="39"/>
      <c r="F850" s="44"/>
      <c r="G850" s="39"/>
      <c r="H850" s="39"/>
      <c r="I850" s="39"/>
      <c r="J850" s="39"/>
      <c r="K850" s="44"/>
      <c r="L850" s="44"/>
      <c r="M850" s="44"/>
      <c r="N850" s="44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5.75" customHeight="1">
      <c r="A851" s="39"/>
      <c r="B851" s="45"/>
      <c r="C851" s="46"/>
      <c r="D851" s="39"/>
      <c r="E851" s="39"/>
      <c r="F851" s="44"/>
      <c r="G851" s="39"/>
      <c r="H851" s="39"/>
      <c r="I851" s="39"/>
      <c r="J851" s="39"/>
      <c r="K851" s="44"/>
      <c r="L851" s="44"/>
      <c r="M851" s="44"/>
      <c r="N851" s="44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5.75" customHeight="1">
      <c r="A852" s="39"/>
      <c r="B852" s="45"/>
      <c r="C852" s="46"/>
      <c r="D852" s="39"/>
      <c r="E852" s="39"/>
      <c r="F852" s="44"/>
      <c r="G852" s="39"/>
      <c r="H852" s="39"/>
      <c r="I852" s="39"/>
      <c r="J852" s="39"/>
      <c r="K852" s="44"/>
      <c r="L852" s="44"/>
      <c r="M852" s="44"/>
      <c r="N852" s="44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5.75" customHeight="1">
      <c r="A853" s="39"/>
      <c r="B853" s="45"/>
      <c r="C853" s="46"/>
      <c r="D853" s="39"/>
      <c r="E853" s="39"/>
      <c r="F853" s="44"/>
      <c r="G853" s="39"/>
      <c r="H853" s="39"/>
      <c r="I853" s="39"/>
      <c r="J853" s="39"/>
      <c r="K853" s="44"/>
      <c r="L853" s="44"/>
      <c r="M853" s="44"/>
      <c r="N853" s="44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5.75" customHeight="1">
      <c r="A854" s="39"/>
      <c r="B854" s="45"/>
      <c r="C854" s="46"/>
      <c r="D854" s="39"/>
      <c r="E854" s="39"/>
      <c r="F854" s="44"/>
      <c r="G854" s="39"/>
      <c r="H854" s="39"/>
      <c r="I854" s="39"/>
      <c r="J854" s="39"/>
      <c r="K854" s="44"/>
      <c r="L854" s="44"/>
      <c r="M854" s="44"/>
      <c r="N854" s="44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5.75" customHeight="1">
      <c r="A855" s="39"/>
      <c r="B855" s="45"/>
      <c r="C855" s="46"/>
      <c r="D855" s="39"/>
      <c r="E855" s="39"/>
      <c r="F855" s="44"/>
      <c r="G855" s="39"/>
      <c r="H855" s="39"/>
      <c r="I855" s="39"/>
      <c r="J855" s="39"/>
      <c r="K855" s="44"/>
      <c r="L855" s="44"/>
      <c r="M855" s="44"/>
      <c r="N855" s="44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5.75" customHeight="1">
      <c r="A856" s="39"/>
      <c r="B856" s="45"/>
      <c r="C856" s="46"/>
      <c r="D856" s="39"/>
      <c r="E856" s="39"/>
      <c r="F856" s="44"/>
      <c r="G856" s="39"/>
      <c r="H856" s="39"/>
      <c r="I856" s="39"/>
      <c r="J856" s="39"/>
      <c r="K856" s="44"/>
      <c r="L856" s="44"/>
      <c r="M856" s="44"/>
      <c r="N856" s="44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5.75" customHeight="1">
      <c r="A857" s="39"/>
      <c r="B857" s="45"/>
      <c r="C857" s="46"/>
      <c r="D857" s="39"/>
      <c r="E857" s="39"/>
      <c r="F857" s="44"/>
      <c r="G857" s="39"/>
      <c r="H857" s="39"/>
      <c r="I857" s="39"/>
      <c r="J857" s="39"/>
      <c r="K857" s="44"/>
      <c r="L857" s="44"/>
      <c r="M857" s="44"/>
      <c r="N857" s="44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5.75" customHeight="1">
      <c r="A858" s="39"/>
      <c r="B858" s="45"/>
      <c r="C858" s="46"/>
      <c r="D858" s="39"/>
      <c r="E858" s="39"/>
      <c r="F858" s="44"/>
      <c r="G858" s="39"/>
      <c r="H858" s="39"/>
      <c r="I858" s="39"/>
      <c r="J858" s="39"/>
      <c r="K858" s="44"/>
      <c r="L858" s="44"/>
      <c r="M858" s="44"/>
      <c r="N858" s="44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5.75" customHeight="1">
      <c r="A859" s="39"/>
      <c r="B859" s="45"/>
      <c r="C859" s="46"/>
      <c r="D859" s="39"/>
      <c r="E859" s="39"/>
      <c r="F859" s="44"/>
      <c r="G859" s="39"/>
      <c r="H859" s="39"/>
      <c r="I859" s="39"/>
      <c r="J859" s="39"/>
      <c r="K859" s="44"/>
      <c r="L859" s="44"/>
      <c r="M859" s="44"/>
      <c r="N859" s="44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5.75" customHeight="1">
      <c r="A860" s="39"/>
      <c r="B860" s="45"/>
      <c r="C860" s="46"/>
      <c r="D860" s="39"/>
      <c r="E860" s="39"/>
      <c r="F860" s="44"/>
      <c r="G860" s="39"/>
      <c r="H860" s="39"/>
      <c r="I860" s="39"/>
      <c r="J860" s="39"/>
      <c r="K860" s="44"/>
      <c r="L860" s="44"/>
      <c r="M860" s="44"/>
      <c r="N860" s="44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5.75" customHeight="1">
      <c r="A861" s="39"/>
      <c r="B861" s="45"/>
      <c r="C861" s="46"/>
      <c r="D861" s="39"/>
      <c r="E861" s="39"/>
      <c r="F861" s="44"/>
      <c r="G861" s="39"/>
      <c r="H861" s="39"/>
      <c r="I861" s="39"/>
      <c r="J861" s="39"/>
      <c r="K861" s="44"/>
      <c r="L861" s="44"/>
      <c r="M861" s="44"/>
      <c r="N861" s="44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5.75" customHeight="1">
      <c r="A862" s="39"/>
      <c r="B862" s="45"/>
      <c r="C862" s="46"/>
      <c r="D862" s="39"/>
      <c r="E862" s="39"/>
      <c r="F862" s="44"/>
      <c r="G862" s="39"/>
      <c r="H862" s="39"/>
      <c r="I862" s="39"/>
      <c r="J862" s="39"/>
      <c r="K862" s="44"/>
      <c r="L862" s="44"/>
      <c r="M862" s="44"/>
      <c r="N862" s="44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5.75" customHeight="1">
      <c r="A863" s="39"/>
      <c r="B863" s="45"/>
      <c r="C863" s="46"/>
      <c r="D863" s="39"/>
      <c r="E863" s="39"/>
      <c r="F863" s="44"/>
      <c r="G863" s="39"/>
      <c r="H863" s="39"/>
      <c r="I863" s="39"/>
      <c r="J863" s="39"/>
      <c r="K863" s="44"/>
      <c r="L863" s="44"/>
      <c r="M863" s="44"/>
      <c r="N863" s="44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5.75" customHeight="1">
      <c r="A864" s="39"/>
      <c r="B864" s="45"/>
      <c r="C864" s="46"/>
      <c r="D864" s="39"/>
      <c r="E864" s="39"/>
      <c r="F864" s="44"/>
      <c r="G864" s="39"/>
      <c r="H864" s="39"/>
      <c r="I864" s="39"/>
      <c r="J864" s="39"/>
      <c r="K864" s="44"/>
      <c r="L864" s="44"/>
      <c r="M864" s="44"/>
      <c r="N864" s="44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5.75" customHeight="1">
      <c r="A865" s="39"/>
      <c r="B865" s="45"/>
      <c r="C865" s="46"/>
      <c r="D865" s="39"/>
      <c r="E865" s="39"/>
      <c r="F865" s="44"/>
      <c r="G865" s="39"/>
      <c r="H865" s="39"/>
      <c r="I865" s="39"/>
      <c r="J865" s="39"/>
      <c r="K865" s="44"/>
      <c r="L865" s="44"/>
      <c r="M865" s="44"/>
      <c r="N865" s="44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5.75" customHeight="1">
      <c r="A866" s="39"/>
      <c r="B866" s="45"/>
      <c r="C866" s="46"/>
      <c r="D866" s="39"/>
      <c r="E866" s="39"/>
      <c r="F866" s="44"/>
      <c r="G866" s="39"/>
      <c r="H866" s="39"/>
      <c r="I866" s="39"/>
      <c r="J866" s="39"/>
      <c r="K866" s="44"/>
      <c r="L866" s="44"/>
      <c r="M866" s="44"/>
      <c r="N866" s="44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5.75" customHeight="1">
      <c r="A867" s="39"/>
      <c r="B867" s="45"/>
      <c r="C867" s="46"/>
      <c r="D867" s="39"/>
      <c r="E867" s="39"/>
      <c r="F867" s="44"/>
      <c r="G867" s="39"/>
      <c r="H867" s="39"/>
      <c r="I867" s="39"/>
      <c r="J867" s="39"/>
      <c r="K867" s="44"/>
      <c r="L867" s="44"/>
      <c r="M867" s="44"/>
      <c r="N867" s="44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5.75" customHeight="1">
      <c r="A868" s="39"/>
      <c r="B868" s="45"/>
      <c r="C868" s="46"/>
      <c r="D868" s="39"/>
      <c r="E868" s="39"/>
      <c r="F868" s="44"/>
      <c r="G868" s="39"/>
      <c r="H868" s="39"/>
      <c r="I868" s="39"/>
      <c r="J868" s="39"/>
      <c r="K868" s="44"/>
      <c r="L868" s="44"/>
      <c r="M868" s="44"/>
      <c r="N868" s="44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5.75" customHeight="1">
      <c r="A869" s="39"/>
      <c r="B869" s="45"/>
      <c r="C869" s="46"/>
      <c r="D869" s="39"/>
      <c r="E869" s="39"/>
      <c r="F869" s="44"/>
      <c r="G869" s="39"/>
      <c r="H869" s="39"/>
      <c r="I869" s="39"/>
      <c r="J869" s="39"/>
      <c r="K869" s="44"/>
      <c r="L869" s="44"/>
      <c r="M869" s="44"/>
      <c r="N869" s="44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5.75" customHeight="1">
      <c r="A870" s="39"/>
      <c r="B870" s="45"/>
      <c r="C870" s="46"/>
      <c r="D870" s="39"/>
      <c r="E870" s="39"/>
      <c r="F870" s="44"/>
      <c r="G870" s="39"/>
      <c r="H870" s="39"/>
      <c r="I870" s="39"/>
      <c r="J870" s="39"/>
      <c r="K870" s="44"/>
      <c r="L870" s="44"/>
      <c r="M870" s="44"/>
      <c r="N870" s="44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5.75" customHeight="1">
      <c r="A871" s="39"/>
      <c r="B871" s="45"/>
      <c r="C871" s="46"/>
      <c r="D871" s="39"/>
      <c r="E871" s="39"/>
      <c r="F871" s="44"/>
      <c r="G871" s="39"/>
      <c r="H871" s="39"/>
      <c r="I871" s="39"/>
      <c r="J871" s="39"/>
      <c r="K871" s="44"/>
      <c r="L871" s="44"/>
      <c r="M871" s="44"/>
      <c r="N871" s="44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5.75" customHeight="1">
      <c r="A872" s="39"/>
      <c r="B872" s="45"/>
      <c r="C872" s="46"/>
      <c r="D872" s="39"/>
      <c r="E872" s="39"/>
      <c r="F872" s="44"/>
      <c r="G872" s="39"/>
      <c r="H872" s="39"/>
      <c r="I872" s="39"/>
      <c r="J872" s="39"/>
      <c r="K872" s="44"/>
      <c r="L872" s="44"/>
      <c r="M872" s="44"/>
      <c r="N872" s="44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5.75" customHeight="1">
      <c r="A873" s="39"/>
      <c r="B873" s="45"/>
      <c r="C873" s="46"/>
      <c r="D873" s="39"/>
      <c r="E873" s="39"/>
      <c r="F873" s="44"/>
      <c r="G873" s="39"/>
      <c r="H873" s="39"/>
      <c r="I873" s="39"/>
      <c r="J873" s="39"/>
      <c r="K873" s="44"/>
      <c r="L873" s="44"/>
      <c r="M873" s="44"/>
      <c r="N873" s="44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5.75" customHeight="1">
      <c r="A874" s="39"/>
      <c r="B874" s="45"/>
      <c r="C874" s="46"/>
      <c r="D874" s="39"/>
      <c r="E874" s="39"/>
      <c r="F874" s="44"/>
      <c r="G874" s="39"/>
      <c r="H874" s="39"/>
      <c r="I874" s="39"/>
      <c r="J874" s="39"/>
      <c r="K874" s="44"/>
      <c r="L874" s="44"/>
      <c r="M874" s="44"/>
      <c r="N874" s="44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5.75" customHeight="1">
      <c r="A875" s="39"/>
      <c r="B875" s="45"/>
      <c r="C875" s="46"/>
      <c r="D875" s="39"/>
      <c r="E875" s="39"/>
      <c r="F875" s="44"/>
      <c r="G875" s="39"/>
      <c r="H875" s="39"/>
      <c r="I875" s="39"/>
      <c r="J875" s="39"/>
      <c r="K875" s="44"/>
      <c r="L875" s="44"/>
      <c r="M875" s="44"/>
      <c r="N875" s="44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5.75" customHeight="1">
      <c r="A876" s="39"/>
      <c r="B876" s="45"/>
      <c r="C876" s="46"/>
      <c r="D876" s="39"/>
      <c r="E876" s="39"/>
      <c r="F876" s="44"/>
      <c r="G876" s="39"/>
      <c r="H876" s="39"/>
      <c r="I876" s="39"/>
      <c r="J876" s="39"/>
      <c r="K876" s="44"/>
      <c r="L876" s="44"/>
      <c r="M876" s="44"/>
      <c r="N876" s="44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5.75" customHeight="1">
      <c r="A877" s="39"/>
      <c r="B877" s="45"/>
      <c r="C877" s="46"/>
      <c r="D877" s="39"/>
      <c r="E877" s="39"/>
      <c r="F877" s="44"/>
      <c r="G877" s="39"/>
      <c r="H877" s="39"/>
      <c r="I877" s="39"/>
      <c r="J877" s="39"/>
      <c r="K877" s="44"/>
      <c r="L877" s="44"/>
      <c r="M877" s="44"/>
      <c r="N877" s="44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5.75" customHeight="1">
      <c r="A878" s="39"/>
      <c r="B878" s="45"/>
      <c r="C878" s="46"/>
      <c r="D878" s="39"/>
      <c r="E878" s="39"/>
      <c r="F878" s="44"/>
      <c r="G878" s="39"/>
      <c r="H878" s="39"/>
      <c r="I878" s="39"/>
      <c r="J878" s="39"/>
      <c r="K878" s="44"/>
      <c r="L878" s="44"/>
      <c r="M878" s="44"/>
      <c r="N878" s="44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5.75" customHeight="1">
      <c r="A879" s="39"/>
      <c r="B879" s="45"/>
      <c r="C879" s="46"/>
      <c r="D879" s="39"/>
      <c r="E879" s="39"/>
      <c r="F879" s="44"/>
      <c r="G879" s="39"/>
      <c r="H879" s="39"/>
      <c r="I879" s="39"/>
      <c r="J879" s="39"/>
      <c r="K879" s="44"/>
      <c r="L879" s="44"/>
      <c r="M879" s="44"/>
      <c r="N879" s="44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5.75" customHeight="1">
      <c r="A880" s="39"/>
      <c r="B880" s="45"/>
      <c r="C880" s="46"/>
      <c r="D880" s="39"/>
      <c r="E880" s="39"/>
      <c r="F880" s="44"/>
      <c r="G880" s="39"/>
      <c r="H880" s="39"/>
      <c r="I880" s="39"/>
      <c r="J880" s="39"/>
      <c r="K880" s="44"/>
      <c r="L880" s="44"/>
      <c r="M880" s="44"/>
      <c r="N880" s="44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5.75" customHeight="1">
      <c r="A881" s="39"/>
      <c r="B881" s="45"/>
      <c r="C881" s="46"/>
      <c r="D881" s="39"/>
      <c r="E881" s="39"/>
      <c r="F881" s="44"/>
      <c r="G881" s="39"/>
      <c r="H881" s="39"/>
      <c r="I881" s="39"/>
      <c r="J881" s="39"/>
      <c r="K881" s="44"/>
      <c r="L881" s="44"/>
      <c r="M881" s="44"/>
      <c r="N881" s="44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5.75" customHeight="1">
      <c r="A882" s="39"/>
      <c r="B882" s="45"/>
      <c r="C882" s="46"/>
      <c r="D882" s="39"/>
      <c r="E882" s="39"/>
      <c r="F882" s="44"/>
      <c r="G882" s="39"/>
      <c r="H882" s="39"/>
      <c r="I882" s="39"/>
      <c r="J882" s="39"/>
      <c r="K882" s="44"/>
      <c r="L882" s="44"/>
      <c r="M882" s="44"/>
      <c r="N882" s="44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5.75" customHeight="1">
      <c r="A883" s="39"/>
      <c r="B883" s="45"/>
      <c r="C883" s="46"/>
      <c r="D883" s="39"/>
      <c r="E883" s="39"/>
      <c r="F883" s="44"/>
      <c r="G883" s="39"/>
      <c r="H883" s="39"/>
      <c r="I883" s="39"/>
      <c r="J883" s="39"/>
      <c r="K883" s="44"/>
      <c r="L883" s="44"/>
      <c r="M883" s="44"/>
      <c r="N883" s="44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5.75" customHeight="1">
      <c r="A884" s="39"/>
      <c r="B884" s="45"/>
      <c r="C884" s="46"/>
      <c r="D884" s="39"/>
      <c r="E884" s="39"/>
      <c r="F884" s="44"/>
      <c r="G884" s="39"/>
      <c r="H884" s="39"/>
      <c r="I884" s="39"/>
      <c r="J884" s="39"/>
      <c r="K884" s="44"/>
      <c r="L884" s="44"/>
      <c r="M884" s="44"/>
      <c r="N884" s="44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5.75" customHeight="1">
      <c r="A885" s="39"/>
      <c r="B885" s="45"/>
      <c r="C885" s="46"/>
      <c r="D885" s="39"/>
      <c r="E885" s="39"/>
      <c r="F885" s="44"/>
      <c r="G885" s="39"/>
      <c r="H885" s="39"/>
      <c r="I885" s="39"/>
      <c r="J885" s="39"/>
      <c r="K885" s="44"/>
      <c r="L885" s="44"/>
      <c r="M885" s="44"/>
      <c r="N885" s="44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5.75" customHeight="1">
      <c r="A886" s="39"/>
      <c r="B886" s="45"/>
      <c r="C886" s="46"/>
      <c r="D886" s="39"/>
      <c r="E886" s="39"/>
      <c r="F886" s="44"/>
      <c r="G886" s="39"/>
      <c r="H886" s="39"/>
      <c r="I886" s="39"/>
      <c r="J886" s="39"/>
      <c r="K886" s="44"/>
      <c r="L886" s="44"/>
      <c r="M886" s="44"/>
      <c r="N886" s="44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5.75" customHeight="1">
      <c r="A887" s="39"/>
      <c r="B887" s="45"/>
      <c r="C887" s="46"/>
      <c r="D887" s="39"/>
      <c r="E887" s="39"/>
      <c r="F887" s="44"/>
      <c r="G887" s="39"/>
      <c r="H887" s="39"/>
      <c r="I887" s="39"/>
      <c r="J887" s="39"/>
      <c r="K887" s="44"/>
      <c r="L887" s="44"/>
      <c r="M887" s="44"/>
      <c r="N887" s="44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5.75" customHeight="1">
      <c r="A888" s="39"/>
      <c r="B888" s="45"/>
      <c r="C888" s="46"/>
      <c r="D888" s="39"/>
      <c r="E888" s="39"/>
      <c r="F888" s="44"/>
      <c r="G888" s="39"/>
      <c r="H888" s="39"/>
      <c r="I888" s="39"/>
      <c r="J888" s="39"/>
      <c r="K888" s="44"/>
      <c r="L888" s="44"/>
      <c r="M888" s="44"/>
      <c r="N888" s="44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5.75" customHeight="1">
      <c r="A889" s="39"/>
      <c r="B889" s="45"/>
      <c r="C889" s="46"/>
      <c r="D889" s="39"/>
      <c r="E889" s="39"/>
      <c r="F889" s="44"/>
      <c r="G889" s="39"/>
      <c r="H889" s="39"/>
      <c r="I889" s="39"/>
      <c r="J889" s="39"/>
      <c r="K889" s="44"/>
      <c r="L889" s="44"/>
      <c r="M889" s="44"/>
      <c r="N889" s="44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5.75" customHeight="1">
      <c r="A890" s="39"/>
      <c r="B890" s="45"/>
      <c r="C890" s="46"/>
      <c r="D890" s="39"/>
      <c r="E890" s="39"/>
      <c r="F890" s="44"/>
      <c r="G890" s="39"/>
      <c r="H890" s="39"/>
      <c r="I890" s="39"/>
      <c r="J890" s="39"/>
      <c r="K890" s="44"/>
      <c r="L890" s="44"/>
      <c r="M890" s="44"/>
      <c r="N890" s="44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5.75" customHeight="1">
      <c r="A891" s="39"/>
      <c r="B891" s="45"/>
      <c r="C891" s="46"/>
      <c r="D891" s="39"/>
      <c r="E891" s="39"/>
      <c r="F891" s="44"/>
      <c r="G891" s="39"/>
      <c r="H891" s="39"/>
      <c r="I891" s="39"/>
      <c r="J891" s="39"/>
      <c r="K891" s="44"/>
      <c r="L891" s="44"/>
      <c r="M891" s="44"/>
      <c r="N891" s="44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5.75" customHeight="1">
      <c r="A892" s="39"/>
      <c r="B892" s="45"/>
      <c r="C892" s="46"/>
      <c r="D892" s="39"/>
      <c r="E892" s="39"/>
      <c r="F892" s="44"/>
      <c r="G892" s="39"/>
      <c r="H892" s="39"/>
      <c r="I892" s="39"/>
      <c r="J892" s="39"/>
      <c r="K892" s="44"/>
      <c r="L892" s="44"/>
      <c r="M892" s="44"/>
      <c r="N892" s="44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5.75" customHeight="1">
      <c r="A893" s="39"/>
      <c r="B893" s="45"/>
      <c r="C893" s="46"/>
      <c r="D893" s="39"/>
      <c r="E893" s="39"/>
      <c r="F893" s="44"/>
      <c r="G893" s="39"/>
      <c r="H893" s="39"/>
      <c r="I893" s="39"/>
      <c r="J893" s="39"/>
      <c r="K893" s="44"/>
      <c r="L893" s="44"/>
      <c r="M893" s="44"/>
      <c r="N893" s="44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5.75" customHeight="1">
      <c r="A894" s="39"/>
      <c r="B894" s="45"/>
      <c r="C894" s="46"/>
      <c r="D894" s="39"/>
      <c r="E894" s="39"/>
      <c r="F894" s="44"/>
      <c r="G894" s="39"/>
      <c r="H894" s="39"/>
      <c r="I894" s="39"/>
      <c r="J894" s="39"/>
      <c r="K894" s="44"/>
      <c r="L894" s="44"/>
      <c r="M894" s="44"/>
      <c r="N894" s="44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5.75" customHeight="1">
      <c r="A895" s="39"/>
      <c r="B895" s="45"/>
      <c r="C895" s="46"/>
      <c r="D895" s="39"/>
      <c r="E895" s="39"/>
      <c r="F895" s="44"/>
      <c r="G895" s="39"/>
      <c r="H895" s="39"/>
      <c r="I895" s="39"/>
      <c r="J895" s="39"/>
      <c r="K895" s="44"/>
      <c r="L895" s="44"/>
      <c r="M895" s="44"/>
      <c r="N895" s="44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5.75" customHeight="1">
      <c r="A896" s="39"/>
      <c r="B896" s="45"/>
      <c r="C896" s="46"/>
      <c r="D896" s="39"/>
      <c r="E896" s="39"/>
      <c r="F896" s="44"/>
      <c r="G896" s="39"/>
      <c r="H896" s="39"/>
      <c r="I896" s="39"/>
      <c r="J896" s="39"/>
      <c r="K896" s="44"/>
      <c r="L896" s="44"/>
      <c r="M896" s="44"/>
      <c r="N896" s="44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5.75" customHeight="1">
      <c r="A897" s="39"/>
      <c r="B897" s="45"/>
      <c r="C897" s="46"/>
      <c r="D897" s="39"/>
      <c r="E897" s="39"/>
      <c r="F897" s="44"/>
      <c r="G897" s="39"/>
      <c r="H897" s="39"/>
      <c r="I897" s="39"/>
      <c r="J897" s="39"/>
      <c r="K897" s="44"/>
      <c r="L897" s="44"/>
      <c r="M897" s="44"/>
      <c r="N897" s="44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5.75" customHeight="1">
      <c r="A898" s="39"/>
      <c r="B898" s="45"/>
      <c r="C898" s="46"/>
      <c r="D898" s="39"/>
      <c r="E898" s="39"/>
      <c r="F898" s="44"/>
      <c r="G898" s="39"/>
      <c r="H898" s="39"/>
      <c r="I898" s="39"/>
      <c r="J898" s="39"/>
      <c r="K898" s="44"/>
      <c r="L898" s="44"/>
      <c r="M898" s="44"/>
      <c r="N898" s="44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5.75" customHeight="1">
      <c r="A899" s="39"/>
      <c r="B899" s="45"/>
      <c r="C899" s="46"/>
      <c r="D899" s="39"/>
      <c r="E899" s="39"/>
      <c r="F899" s="44"/>
      <c r="G899" s="39"/>
      <c r="H899" s="39"/>
      <c r="I899" s="39"/>
      <c r="J899" s="39"/>
      <c r="K899" s="44"/>
      <c r="L899" s="44"/>
      <c r="M899" s="44"/>
      <c r="N899" s="44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5.75" customHeight="1">
      <c r="A900" s="39"/>
      <c r="B900" s="45"/>
      <c r="C900" s="46"/>
      <c r="D900" s="39"/>
      <c r="E900" s="39"/>
      <c r="F900" s="44"/>
      <c r="G900" s="39"/>
      <c r="H900" s="39"/>
      <c r="I900" s="39"/>
      <c r="J900" s="39"/>
      <c r="K900" s="44"/>
      <c r="L900" s="44"/>
      <c r="M900" s="44"/>
      <c r="N900" s="44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5.75" customHeight="1">
      <c r="A901" s="39"/>
      <c r="B901" s="45"/>
      <c r="C901" s="46"/>
      <c r="D901" s="39"/>
      <c r="E901" s="39"/>
      <c r="F901" s="44"/>
      <c r="G901" s="39"/>
      <c r="H901" s="39"/>
      <c r="I901" s="39"/>
      <c r="J901" s="39"/>
      <c r="K901" s="44"/>
      <c r="L901" s="44"/>
      <c r="M901" s="44"/>
      <c r="N901" s="44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5.75" customHeight="1">
      <c r="A902" s="39"/>
      <c r="B902" s="45"/>
      <c r="C902" s="46"/>
      <c r="D902" s="39"/>
      <c r="E902" s="39"/>
      <c r="F902" s="44"/>
      <c r="G902" s="39"/>
      <c r="H902" s="39"/>
      <c r="I902" s="39"/>
      <c r="J902" s="39"/>
      <c r="K902" s="44"/>
      <c r="L902" s="44"/>
      <c r="M902" s="44"/>
      <c r="N902" s="44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5.75" customHeight="1">
      <c r="A903" s="39"/>
      <c r="B903" s="45"/>
      <c r="C903" s="46"/>
      <c r="D903" s="39"/>
      <c r="E903" s="39"/>
      <c r="F903" s="44"/>
      <c r="G903" s="39"/>
      <c r="H903" s="39"/>
      <c r="I903" s="39"/>
      <c r="J903" s="39"/>
      <c r="K903" s="44"/>
      <c r="L903" s="44"/>
      <c r="M903" s="44"/>
      <c r="N903" s="44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5.75" customHeight="1">
      <c r="A904" s="39"/>
      <c r="B904" s="45"/>
      <c r="C904" s="46"/>
      <c r="D904" s="39"/>
      <c r="E904" s="39"/>
      <c r="F904" s="44"/>
      <c r="G904" s="39"/>
      <c r="H904" s="39"/>
      <c r="I904" s="39"/>
      <c r="J904" s="39"/>
      <c r="K904" s="44"/>
      <c r="L904" s="44"/>
      <c r="M904" s="44"/>
      <c r="N904" s="44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5.75" customHeight="1">
      <c r="A905" s="39"/>
      <c r="B905" s="45"/>
      <c r="C905" s="46"/>
      <c r="D905" s="39"/>
      <c r="E905" s="39"/>
      <c r="F905" s="44"/>
      <c r="G905" s="39"/>
      <c r="H905" s="39"/>
      <c r="I905" s="39"/>
      <c r="J905" s="39"/>
      <c r="K905" s="44"/>
      <c r="L905" s="44"/>
      <c r="M905" s="44"/>
      <c r="N905" s="44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5.75" customHeight="1">
      <c r="A906" s="39"/>
      <c r="B906" s="45"/>
      <c r="C906" s="46"/>
      <c r="D906" s="39"/>
      <c r="E906" s="39"/>
      <c r="F906" s="44"/>
      <c r="G906" s="39"/>
      <c r="H906" s="39"/>
      <c r="I906" s="39"/>
      <c r="J906" s="39"/>
      <c r="K906" s="44"/>
      <c r="L906" s="44"/>
      <c r="M906" s="44"/>
      <c r="N906" s="44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5.75" customHeight="1">
      <c r="A907" s="39"/>
      <c r="B907" s="45"/>
      <c r="C907" s="46"/>
      <c r="D907" s="39"/>
      <c r="E907" s="39"/>
      <c r="F907" s="44"/>
      <c r="G907" s="39"/>
      <c r="H907" s="39"/>
      <c r="I907" s="39"/>
      <c r="J907" s="39"/>
      <c r="K907" s="44"/>
      <c r="L907" s="44"/>
      <c r="M907" s="44"/>
      <c r="N907" s="44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5.75" customHeight="1">
      <c r="A908" s="39"/>
      <c r="B908" s="45"/>
      <c r="C908" s="46"/>
      <c r="D908" s="39"/>
      <c r="E908" s="39"/>
      <c r="F908" s="44"/>
      <c r="G908" s="39"/>
      <c r="H908" s="39"/>
      <c r="I908" s="39"/>
      <c r="J908" s="39"/>
      <c r="K908" s="44"/>
      <c r="L908" s="44"/>
      <c r="M908" s="44"/>
      <c r="N908" s="44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5.75" customHeight="1">
      <c r="A909" s="39"/>
      <c r="B909" s="45"/>
      <c r="C909" s="46"/>
      <c r="D909" s="39"/>
      <c r="E909" s="39"/>
      <c r="F909" s="44"/>
      <c r="G909" s="39"/>
      <c r="H909" s="39"/>
      <c r="I909" s="39"/>
      <c r="J909" s="39"/>
      <c r="K909" s="44"/>
      <c r="L909" s="44"/>
      <c r="M909" s="44"/>
      <c r="N909" s="44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5.75" customHeight="1">
      <c r="A910" s="39"/>
      <c r="B910" s="45"/>
      <c r="C910" s="46"/>
      <c r="D910" s="39"/>
      <c r="E910" s="39"/>
      <c r="F910" s="44"/>
      <c r="G910" s="39"/>
      <c r="H910" s="39"/>
      <c r="I910" s="39"/>
      <c r="J910" s="39"/>
      <c r="K910" s="44"/>
      <c r="L910" s="44"/>
      <c r="M910" s="44"/>
      <c r="N910" s="44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5.75" customHeight="1">
      <c r="A911" s="39"/>
      <c r="B911" s="45"/>
      <c r="C911" s="46"/>
      <c r="D911" s="39"/>
      <c r="E911" s="39"/>
      <c r="F911" s="44"/>
      <c r="G911" s="39"/>
      <c r="H911" s="39"/>
      <c r="I911" s="39"/>
      <c r="J911" s="39"/>
      <c r="K911" s="44"/>
      <c r="L911" s="44"/>
      <c r="M911" s="44"/>
      <c r="N911" s="44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5.75" customHeight="1">
      <c r="A912" s="39"/>
      <c r="B912" s="45"/>
      <c r="C912" s="46"/>
      <c r="D912" s="39"/>
      <c r="E912" s="39"/>
      <c r="F912" s="44"/>
      <c r="G912" s="39"/>
      <c r="H912" s="39"/>
      <c r="I912" s="39"/>
      <c r="J912" s="39"/>
      <c r="K912" s="44"/>
      <c r="L912" s="44"/>
      <c r="M912" s="44"/>
      <c r="N912" s="44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5.75" customHeight="1">
      <c r="A913" s="39"/>
      <c r="B913" s="45"/>
      <c r="C913" s="46"/>
      <c r="D913" s="39"/>
      <c r="E913" s="39"/>
      <c r="F913" s="44"/>
      <c r="G913" s="39"/>
      <c r="H913" s="39"/>
      <c r="I913" s="39"/>
      <c r="J913" s="39"/>
      <c r="K913" s="44"/>
      <c r="L913" s="44"/>
      <c r="M913" s="44"/>
      <c r="N913" s="44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5.75" customHeight="1">
      <c r="A914" s="39"/>
      <c r="B914" s="45"/>
      <c r="C914" s="46"/>
      <c r="D914" s="39"/>
      <c r="E914" s="39"/>
      <c r="F914" s="44"/>
      <c r="G914" s="39"/>
      <c r="H914" s="39"/>
      <c r="I914" s="39"/>
      <c r="J914" s="39"/>
      <c r="K914" s="44"/>
      <c r="L914" s="44"/>
      <c r="M914" s="44"/>
      <c r="N914" s="44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5.75" customHeight="1">
      <c r="A915" s="39"/>
      <c r="B915" s="45"/>
      <c r="C915" s="46"/>
      <c r="D915" s="39"/>
      <c r="E915" s="39"/>
      <c r="F915" s="44"/>
      <c r="G915" s="39"/>
      <c r="H915" s="39"/>
      <c r="I915" s="39"/>
      <c r="J915" s="39"/>
      <c r="K915" s="44"/>
      <c r="L915" s="44"/>
      <c r="M915" s="44"/>
      <c r="N915" s="44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5.75" customHeight="1">
      <c r="A916" s="39"/>
      <c r="B916" s="45"/>
      <c r="C916" s="46"/>
      <c r="D916" s="39"/>
      <c r="E916" s="39"/>
      <c r="F916" s="44"/>
      <c r="G916" s="39"/>
      <c r="H916" s="39"/>
      <c r="I916" s="39"/>
      <c r="J916" s="39"/>
      <c r="K916" s="44"/>
      <c r="L916" s="44"/>
      <c r="M916" s="44"/>
      <c r="N916" s="44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5.75" customHeight="1">
      <c r="A917" s="39"/>
      <c r="B917" s="45"/>
      <c r="C917" s="46"/>
      <c r="D917" s="39"/>
      <c r="E917" s="39"/>
      <c r="F917" s="44"/>
      <c r="G917" s="39"/>
      <c r="H917" s="39"/>
      <c r="I917" s="39"/>
      <c r="J917" s="39"/>
      <c r="K917" s="44"/>
      <c r="L917" s="44"/>
      <c r="M917" s="44"/>
      <c r="N917" s="44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5.75" customHeight="1">
      <c r="A918" s="39"/>
      <c r="B918" s="45"/>
      <c r="C918" s="46"/>
      <c r="D918" s="39"/>
      <c r="E918" s="39"/>
      <c r="F918" s="44"/>
      <c r="G918" s="39"/>
      <c r="H918" s="39"/>
      <c r="I918" s="39"/>
      <c r="J918" s="39"/>
      <c r="K918" s="44"/>
      <c r="L918" s="44"/>
      <c r="M918" s="44"/>
      <c r="N918" s="44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5.75" customHeight="1">
      <c r="A919" s="39"/>
      <c r="B919" s="45"/>
      <c r="C919" s="46"/>
      <c r="D919" s="39"/>
      <c r="E919" s="39"/>
      <c r="F919" s="44"/>
      <c r="G919" s="39"/>
      <c r="H919" s="39"/>
      <c r="I919" s="39"/>
      <c r="J919" s="39"/>
      <c r="K919" s="44"/>
      <c r="L919" s="44"/>
      <c r="M919" s="44"/>
      <c r="N919" s="44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5.75" customHeight="1">
      <c r="A920" s="39"/>
      <c r="B920" s="45"/>
      <c r="C920" s="46"/>
      <c r="D920" s="39"/>
      <c r="E920" s="39"/>
      <c r="F920" s="44"/>
      <c r="G920" s="39"/>
      <c r="H920" s="39"/>
      <c r="I920" s="39"/>
      <c r="J920" s="39"/>
      <c r="K920" s="44"/>
      <c r="L920" s="44"/>
      <c r="M920" s="44"/>
      <c r="N920" s="44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5.75" customHeight="1">
      <c r="A921" s="39"/>
      <c r="B921" s="45"/>
      <c r="C921" s="46"/>
      <c r="D921" s="39"/>
      <c r="E921" s="39"/>
      <c r="F921" s="44"/>
      <c r="G921" s="39"/>
      <c r="H921" s="39"/>
      <c r="I921" s="39"/>
      <c r="J921" s="39"/>
      <c r="K921" s="44"/>
      <c r="L921" s="44"/>
      <c r="M921" s="44"/>
      <c r="N921" s="44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5.75" customHeight="1">
      <c r="A922" s="39"/>
      <c r="B922" s="45"/>
      <c r="C922" s="46"/>
      <c r="D922" s="39"/>
      <c r="E922" s="39"/>
      <c r="F922" s="44"/>
      <c r="G922" s="39"/>
      <c r="H922" s="39"/>
      <c r="I922" s="39"/>
      <c r="J922" s="39"/>
      <c r="K922" s="44"/>
      <c r="L922" s="44"/>
      <c r="M922" s="44"/>
      <c r="N922" s="44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5.75" customHeight="1">
      <c r="A923" s="39"/>
      <c r="B923" s="45"/>
      <c r="C923" s="46"/>
      <c r="D923" s="39"/>
      <c r="E923" s="39"/>
      <c r="F923" s="44"/>
      <c r="G923" s="39"/>
      <c r="H923" s="39"/>
      <c r="I923" s="39"/>
      <c r="J923" s="39"/>
      <c r="K923" s="44"/>
      <c r="L923" s="44"/>
      <c r="M923" s="44"/>
      <c r="N923" s="44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5.75" customHeight="1">
      <c r="A924" s="39"/>
      <c r="B924" s="45"/>
      <c r="C924" s="46"/>
      <c r="D924" s="39"/>
      <c r="E924" s="39"/>
      <c r="F924" s="44"/>
      <c r="G924" s="39"/>
      <c r="H924" s="39"/>
      <c r="I924" s="39"/>
      <c r="J924" s="39"/>
      <c r="K924" s="44"/>
      <c r="L924" s="44"/>
      <c r="M924" s="44"/>
      <c r="N924" s="44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5.75" customHeight="1">
      <c r="A925" s="39"/>
      <c r="B925" s="45"/>
      <c r="C925" s="46"/>
      <c r="D925" s="39"/>
      <c r="E925" s="39"/>
      <c r="F925" s="44"/>
      <c r="G925" s="39"/>
      <c r="H925" s="39"/>
      <c r="I925" s="39"/>
      <c r="J925" s="39"/>
      <c r="K925" s="44"/>
      <c r="L925" s="44"/>
      <c r="M925" s="44"/>
      <c r="N925" s="44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5.75" customHeight="1">
      <c r="A926" s="39"/>
      <c r="B926" s="45"/>
      <c r="C926" s="46"/>
      <c r="D926" s="39"/>
      <c r="E926" s="39"/>
      <c r="F926" s="44"/>
      <c r="G926" s="39"/>
      <c r="H926" s="39"/>
      <c r="I926" s="39"/>
      <c r="J926" s="39"/>
      <c r="K926" s="44"/>
      <c r="L926" s="44"/>
      <c r="M926" s="44"/>
      <c r="N926" s="44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5.75" customHeight="1">
      <c r="A927" s="39"/>
      <c r="B927" s="45"/>
      <c r="C927" s="46"/>
      <c r="D927" s="39"/>
      <c r="E927" s="39"/>
      <c r="F927" s="44"/>
      <c r="G927" s="39"/>
      <c r="H927" s="39"/>
      <c r="I927" s="39"/>
      <c r="J927" s="39"/>
      <c r="K927" s="44"/>
      <c r="L927" s="44"/>
      <c r="M927" s="44"/>
      <c r="N927" s="44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5.75" customHeight="1">
      <c r="A928" s="39"/>
      <c r="B928" s="45"/>
      <c r="C928" s="46"/>
      <c r="D928" s="39"/>
      <c r="E928" s="39"/>
      <c r="F928" s="44"/>
      <c r="G928" s="39"/>
      <c r="H928" s="39"/>
      <c r="I928" s="39"/>
      <c r="J928" s="39"/>
      <c r="K928" s="44"/>
      <c r="L928" s="44"/>
      <c r="M928" s="44"/>
      <c r="N928" s="44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5.75" customHeight="1">
      <c r="A929" s="39"/>
      <c r="B929" s="45"/>
      <c r="C929" s="46"/>
      <c r="D929" s="39"/>
      <c r="E929" s="39"/>
      <c r="F929" s="44"/>
      <c r="G929" s="39"/>
      <c r="H929" s="39"/>
      <c r="I929" s="39"/>
      <c r="J929" s="39"/>
      <c r="K929" s="44"/>
      <c r="L929" s="44"/>
      <c r="M929" s="44"/>
      <c r="N929" s="44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5.75" customHeight="1">
      <c r="A930" s="39"/>
      <c r="B930" s="45"/>
      <c r="C930" s="46"/>
      <c r="D930" s="39"/>
      <c r="E930" s="39"/>
      <c r="F930" s="44"/>
      <c r="G930" s="39"/>
      <c r="H930" s="39"/>
      <c r="I930" s="39"/>
      <c r="J930" s="39"/>
      <c r="K930" s="44"/>
      <c r="L930" s="44"/>
      <c r="M930" s="44"/>
      <c r="N930" s="44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5.75" customHeight="1">
      <c r="A931" s="39"/>
      <c r="B931" s="45"/>
      <c r="C931" s="46"/>
      <c r="D931" s="39"/>
      <c r="E931" s="39"/>
      <c r="F931" s="44"/>
      <c r="G931" s="39"/>
      <c r="H931" s="39"/>
      <c r="I931" s="39"/>
      <c r="J931" s="39"/>
      <c r="K931" s="44"/>
      <c r="L931" s="44"/>
      <c r="M931" s="44"/>
      <c r="N931" s="44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5.75" customHeight="1">
      <c r="A932" s="39"/>
      <c r="B932" s="45"/>
      <c r="C932" s="46"/>
      <c r="D932" s="39"/>
      <c r="E932" s="39"/>
      <c r="F932" s="44"/>
      <c r="G932" s="39"/>
      <c r="H932" s="39"/>
      <c r="I932" s="39"/>
      <c r="J932" s="39"/>
      <c r="K932" s="44"/>
      <c r="L932" s="44"/>
      <c r="M932" s="44"/>
      <c r="N932" s="44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5.75" customHeight="1">
      <c r="A933" s="39"/>
      <c r="B933" s="45"/>
      <c r="C933" s="46"/>
      <c r="D933" s="39"/>
      <c r="E933" s="39"/>
      <c r="F933" s="44"/>
      <c r="G933" s="39"/>
      <c r="H933" s="39"/>
      <c r="I933" s="39"/>
      <c r="J933" s="39"/>
      <c r="K933" s="44"/>
      <c r="L933" s="44"/>
      <c r="M933" s="44"/>
      <c r="N933" s="44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5.75" customHeight="1">
      <c r="A934" s="39"/>
      <c r="B934" s="45"/>
      <c r="C934" s="46"/>
      <c r="D934" s="39"/>
      <c r="E934" s="39"/>
      <c r="F934" s="44"/>
      <c r="G934" s="39"/>
      <c r="H934" s="39"/>
      <c r="I934" s="39"/>
      <c r="J934" s="39"/>
      <c r="K934" s="44"/>
      <c r="L934" s="44"/>
      <c r="M934" s="44"/>
      <c r="N934" s="44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5.75" customHeight="1">
      <c r="A935" s="39"/>
      <c r="B935" s="45"/>
      <c r="C935" s="46"/>
      <c r="D935" s="39"/>
      <c r="E935" s="39"/>
      <c r="F935" s="44"/>
      <c r="G935" s="39"/>
      <c r="H935" s="39"/>
      <c r="I935" s="39"/>
      <c r="J935" s="39"/>
      <c r="K935" s="44"/>
      <c r="L935" s="44"/>
      <c r="M935" s="44"/>
      <c r="N935" s="44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5.75" customHeight="1">
      <c r="A936" s="39"/>
      <c r="B936" s="45"/>
      <c r="C936" s="46"/>
      <c r="D936" s="39"/>
      <c r="E936" s="39"/>
      <c r="F936" s="44"/>
      <c r="G936" s="39"/>
      <c r="H936" s="39"/>
      <c r="I936" s="39"/>
      <c r="J936" s="39"/>
      <c r="K936" s="44"/>
      <c r="L936" s="44"/>
      <c r="M936" s="44"/>
      <c r="N936" s="44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5.75" customHeight="1">
      <c r="A937" s="39"/>
      <c r="B937" s="45"/>
      <c r="C937" s="46"/>
      <c r="D937" s="39"/>
      <c r="E937" s="39"/>
      <c r="F937" s="44"/>
      <c r="G937" s="39"/>
      <c r="H937" s="39"/>
      <c r="I937" s="39"/>
      <c r="J937" s="39"/>
      <c r="K937" s="44"/>
      <c r="L937" s="44"/>
      <c r="M937" s="44"/>
      <c r="N937" s="44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5.75" customHeight="1">
      <c r="A938" s="39"/>
      <c r="B938" s="45"/>
      <c r="C938" s="46"/>
      <c r="D938" s="39"/>
      <c r="E938" s="39"/>
      <c r="F938" s="44"/>
      <c r="G938" s="39"/>
      <c r="H938" s="39"/>
      <c r="I938" s="39"/>
      <c r="J938" s="39"/>
      <c r="K938" s="44"/>
      <c r="L938" s="44"/>
      <c r="M938" s="44"/>
      <c r="N938" s="44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5.75" customHeight="1">
      <c r="A939" s="39"/>
      <c r="B939" s="45"/>
      <c r="C939" s="46"/>
      <c r="D939" s="39"/>
      <c r="E939" s="39"/>
      <c r="F939" s="44"/>
      <c r="G939" s="39"/>
      <c r="H939" s="39"/>
      <c r="I939" s="39"/>
      <c r="J939" s="39"/>
      <c r="K939" s="44"/>
      <c r="L939" s="44"/>
      <c r="M939" s="44"/>
      <c r="N939" s="44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5.75" customHeight="1">
      <c r="A940" s="39"/>
      <c r="B940" s="45"/>
      <c r="C940" s="46"/>
      <c r="D940" s="39"/>
      <c r="E940" s="39"/>
      <c r="F940" s="44"/>
      <c r="G940" s="39"/>
      <c r="H940" s="39"/>
      <c r="I940" s="39"/>
      <c r="J940" s="39"/>
      <c r="K940" s="44"/>
      <c r="L940" s="44"/>
      <c r="M940" s="44"/>
      <c r="N940" s="44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5.75" customHeight="1">
      <c r="A941" s="39"/>
      <c r="B941" s="45"/>
      <c r="C941" s="46"/>
      <c r="D941" s="39"/>
      <c r="E941" s="39"/>
      <c r="F941" s="44"/>
      <c r="G941" s="39"/>
      <c r="H941" s="39"/>
      <c r="I941" s="39"/>
      <c r="J941" s="39"/>
      <c r="K941" s="44"/>
      <c r="L941" s="44"/>
      <c r="M941" s="44"/>
      <c r="N941" s="44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5.75" customHeight="1">
      <c r="A942" s="39"/>
      <c r="B942" s="45"/>
      <c r="C942" s="46"/>
      <c r="D942" s="39"/>
      <c r="E942" s="39"/>
      <c r="F942" s="44"/>
      <c r="G942" s="39"/>
      <c r="H942" s="39"/>
      <c r="I942" s="39"/>
      <c r="J942" s="39"/>
      <c r="K942" s="44"/>
      <c r="L942" s="44"/>
      <c r="M942" s="44"/>
      <c r="N942" s="44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5.75" customHeight="1">
      <c r="A943" s="39"/>
      <c r="B943" s="45"/>
      <c r="C943" s="46"/>
      <c r="D943" s="39"/>
      <c r="E943" s="39"/>
      <c r="F943" s="44"/>
      <c r="G943" s="39"/>
      <c r="H943" s="39"/>
      <c r="I943" s="39"/>
      <c r="J943" s="39"/>
      <c r="K943" s="44"/>
      <c r="L943" s="44"/>
      <c r="M943" s="44"/>
      <c r="N943" s="44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5.75" customHeight="1">
      <c r="A944" s="39"/>
      <c r="B944" s="45"/>
      <c r="C944" s="46"/>
      <c r="D944" s="39"/>
      <c r="E944" s="39"/>
      <c r="F944" s="44"/>
      <c r="G944" s="39"/>
      <c r="H944" s="39"/>
      <c r="I944" s="39"/>
      <c r="J944" s="39"/>
      <c r="K944" s="44"/>
      <c r="L944" s="44"/>
      <c r="M944" s="44"/>
      <c r="N944" s="44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5.75" customHeight="1">
      <c r="A945" s="39"/>
      <c r="B945" s="45"/>
      <c r="C945" s="46"/>
      <c r="D945" s="39"/>
      <c r="E945" s="39"/>
      <c r="F945" s="44"/>
      <c r="G945" s="39"/>
      <c r="H945" s="39"/>
      <c r="I945" s="39"/>
      <c r="J945" s="39"/>
      <c r="K945" s="44"/>
      <c r="L945" s="44"/>
      <c r="M945" s="44"/>
      <c r="N945" s="44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5.75" customHeight="1">
      <c r="A946" s="39"/>
      <c r="B946" s="45"/>
      <c r="C946" s="46"/>
      <c r="D946" s="39"/>
      <c r="E946" s="39"/>
      <c r="F946" s="44"/>
      <c r="G946" s="39"/>
      <c r="H946" s="39"/>
      <c r="I946" s="39"/>
      <c r="J946" s="39"/>
      <c r="K946" s="44"/>
      <c r="L946" s="44"/>
      <c r="M946" s="44"/>
      <c r="N946" s="44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5.75" customHeight="1">
      <c r="A947" s="39"/>
      <c r="B947" s="45"/>
      <c r="C947" s="46"/>
      <c r="D947" s="39"/>
      <c r="E947" s="39"/>
      <c r="F947" s="44"/>
      <c r="G947" s="39"/>
      <c r="H947" s="39"/>
      <c r="I947" s="39"/>
      <c r="J947" s="39"/>
      <c r="K947" s="44"/>
      <c r="L947" s="44"/>
      <c r="M947" s="44"/>
      <c r="N947" s="44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5.75" customHeight="1">
      <c r="A948" s="39"/>
      <c r="B948" s="45"/>
      <c r="C948" s="46"/>
      <c r="D948" s="39"/>
      <c r="E948" s="39"/>
      <c r="F948" s="44"/>
      <c r="G948" s="39"/>
      <c r="H948" s="39"/>
      <c r="I948" s="39"/>
      <c r="J948" s="39"/>
      <c r="K948" s="44"/>
      <c r="L948" s="44"/>
      <c r="M948" s="44"/>
      <c r="N948" s="44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5.75" customHeight="1">
      <c r="A949" s="39"/>
      <c r="B949" s="45"/>
      <c r="C949" s="46"/>
      <c r="D949" s="39"/>
      <c r="E949" s="39"/>
      <c r="F949" s="44"/>
      <c r="G949" s="39"/>
      <c r="H949" s="39"/>
      <c r="I949" s="39"/>
      <c r="J949" s="39"/>
      <c r="K949" s="44"/>
      <c r="L949" s="44"/>
      <c r="M949" s="44"/>
      <c r="N949" s="44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5.75" customHeight="1">
      <c r="A950" s="39"/>
      <c r="B950" s="45"/>
      <c r="C950" s="46"/>
      <c r="D950" s="39"/>
      <c r="E950" s="39"/>
      <c r="F950" s="44"/>
      <c r="G950" s="39"/>
      <c r="H950" s="39"/>
      <c r="I950" s="39"/>
      <c r="J950" s="39"/>
      <c r="K950" s="44"/>
      <c r="L950" s="44"/>
      <c r="M950" s="44"/>
      <c r="N950" s="44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5.75" customHeight="1">
      <c r="A951" s="39"/>
      <c r="B951" s="45"/>
      <c r="C951" s="46"/>
      <c r="D951" s="39"/>
      <c r="E951" s="39"/>
      <c r="F951" s="44"/>
      <c r="G951" s="39"/>
      <c r="H951" s="39"/>
      <c r="I951" s="39"/>
      <c r="J951" s="39"/>
      <c r="K951" s="44"/>
      <c r="L951" s="44"/>
      <c r="M951" s="44"/>
      <c r="N951" s="44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5.75" customHeight="1">
      <c r="A952" s="39"/>
      <c r="B952" s="45"/>
      <c r="C952" s="46"/>
      <c r="D952" s="39"/>
      <c r="E952" s="39"/>
      <c r="F952" s="44"/>
      <c r="G952" s="39"/>
      <c r="H952" s="39"/>
      <c r="I952" s="39"/>
      <c r="J952" s="39"/>
      <c r="K952" s="44"/>
      <c r="L952" s="44"/>
      <c r="M952" s="44"/>
      <c r="N952" s="44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5.75" customHeight="1">
      <c r="A953" s="39"/>
      <c r="B953" s="45"/>
      <c r="C953" s="46"/>
      <c r="D953" s="39"/>
      <c r="E953" s="39"/>
      <c r="F953" s="44"/>
      <c r="G953" s="39"/>
      <c r="H953" s="39"/>
      <c r="I953" s="39"/>
      <c r="J953" s="39"/>
      <c r="K953" s="44"/>
      <c r="L953" s="44"/>
      <c r="M953" s="44"/>
      <c r="N953" s="44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5.75" customHeight="1">
      <c r="A954" s="39"/>
      <c r="B954" s="45"/>
      <c r="C954" s="46"/>
      <c r="D954" s="39"/>
      <c r="E954" s="39"/>
      <c r="F954" s="44"/>
      <c r="G954" s="39"/>
      <c r="H954" s="39"/>
      <c r="I954" s="39"/>
      <c r="J954" s="39"/>
      <c r="K954" s="44"/>
      <c r="L954" s="44"/>
      <c r="M954" s="44"/>
      <c r="N954" s="44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5.75" customHeight="1">
      <c r="A955" s="39"/>
      <c r="B955" s="45"/>
      <c r="C955" s="46"/>
      <c r="D955" s="39"/>
      <c r="E955" s="39"/>
      <c r="F955" s="44"/>
      <c r="G955" s="39"/>
      <c r="H955" s="39"/>
      <c r="I955" s="39"/>
      <c r="J955" s="39"/>
      <c r="K955" s="44"/>
      <c r="L955" s="44"/>
      <c r="M955" s="44"/>
      <c r="N955" s="44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5.75" customHeight="1">
      <c r="A956" s="39"/>
      <c r="B956" s="45"/>
      <c r="C956" s="46"/>
      <c r="D956" s="39"/>
      <c r="E956" s="39"/>
      <c r="F956" s="44"/>
      <c r="G956" s="39"/>
      <c r="H956" s="39"/>
      <c r="I956" s="39"/>
      <c r="J956" s="39"/>
      <c r="K956" s="44"/>
      <c r="L956" s="44"/>
      <c r="M956" s="44"/>
      <c r="N956" s="44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5.75" customHeight="1">
      <c r="A957" s="39"/>
      <c r="B957" s="45"/>
      <c r="C957" s="46"/>
      <c r="D957" s="39"/>
      <c r="E957" s="39"/>
      <c r="F957" s="44"/>
      <c r="G957" s="39"/>
      <c r="H957" s="39"/>
      <c r="I957" s="39"/>
      <c r="J957" s="39"/>
      <c r="K957" s="44"/>
      <c r="L957" s="44"/>
      <c r="M957" s="44"/>
      <c r="N957" s="44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5.75" customHeight="1">
      <c r="A958" s="39"/>
      <c r="B958" s="45"/>
      <c r="C958" s="46"/>
      <c r="D958" s="39"/>
      <c r="E958" s="39"/>
      <c r="F958" s="44"/>
      <c r="G958" s="39"/>
      <c r="H958" s="39"/>
      <c r="I958" s="39"/>
      <c r="J958" s="39"/>
      <c r="K958" s="44"/>
      <c r="L958" s="44"/>
      <c r="M958" s="44"/>
      <c r="N958" s="44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5.75" customHeight="1">
      <c r="A959" s="39"/>
      <c r="B959" s="45"/>
      <c r="C959" s="46"/>
      <c r="D959" s="39"/>
      <c r="E959" s="39"/>
      <c r="F959" s="44"/>
      <c r="G959" s="39"/>
      <c r="H959" s="39"/>
      <c r="I959" s="39"/>
      <c r="J959" s="39"/>
      <c r="K959" s="44"/>
      <c r="L959" s="44"/>
      <c r="M959" s="44"/>
      <c r="N959" s="44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5.75" customHeight="1">
      <c r="A960" s="39"/>
      <c r="B960" s="45"/>
      <c r="C960" s="46"/>
      <c r="D960" s="39"/>
      <c r="E960" s="39"/>
      <c r="F960" s="44"/>
      <c r="G960" s="39"/>
      <c r="H960" s="39"/>
      <c r="I960" s="39"/>
      <c r="J960" s="39"/>
      <c r="K960" s="44"/>
      <c r="L960" s="44"/>
      <c r="M960" s="44"/>
      <c r="N960" s="44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5.75" customHeight="1">
      <c r="A961" s="39"/>
      <c r="B961" s="45"/>
      <c r="C961" s="46"/>
      <c r="D961" s="39"/>
      <c r="E961" s="39"/>
      <c r="F961" s="44"/>
      <c r="G961" s="39"/>
      <c r="H961" s="39"/>
      <c r="I961" s="39"/>
      <c r="J961" s="39"/>
      <c r="K961" s="44"/>
      <c r="L961" s="44"/>
      <c r="M961" s="44"/>
      <c r="N961" s="44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5.75" customHeight="1">
      <c r="A962" s="39"/>
      <c r="B962" s="45"/>
      <c r="C962" s="46"/>
      <c r="D962" s="39"/>
      <c r="E962" s="39"/>
      <c r="F962" s="44"/>
      <c r="G962" s="39"/>
      <c r="H962" s="39"/>
      <c r="I962" s="39"/>
      <c r="J962" s="39"/>
      <c r="K962" s="44"/>
      <c r="L962" s="44"/>
      <c r="M962" s="44"/>
      <c r="N962" s="44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5.75" customHeight="1">
      <c r="A963" s="39"/>
      <c r="B963" s="45"/>
      <c r="C963" s="46"/>
      <c r="D963" s="39"/>
      <c r="E963" s="39"/>
      <c r="F963" s="44"/>
      <c r="G963" s="39"/>
      <c r="H963" s="39"/>
      <c r="I963" s="39"/>
      <c r="J963" s="39"/>
      <c r="K963" s="44"/>
      <c r="L963" s="44"/>
      <c r="M963" s="44"/>
      <c r="N963" s="44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5.75" customHeight="1">
      <c r="A964" s="39"/>
      <c r="B964" s="45"/>
      <c r="C964" s="46"/>
      <c r="D964" s="39"/>
      <c r="E964" s="39"/>
      <c r="F964" s="44"/>
      <c r="G964" s="39"/>
      <c r="H964" s="39"/>
      <c r="I964" s="39"/>
      <c r="J964" s="39"/>
      <c r="K964" s="44"/>
      <c r="L964" s="44"/>
      <c r="M964" s="44"/>
      <c r="N964" s="44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5.75" customHeight="1">
      <c r="A965" s="39"/>
      <c r="B965" s="45"/>
      <c r="C965" s="46"/>
      <c r="D965" s="39"/>
      <c r="E965" s="39"/>
      <c r="F965" s="44"/>
      <c r="G965" s="39"/>
      <c r="H965" s="39"/>
      <c r="I965" s="39"/>
      <c r="J965" s="39"/>
      <c r="K965" s="44"/>
      <c r="L965" s="44"/>
      <c r="M965" s="44"/>
      <c r="N965" s="44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5.75" customHeight="1">
      <c r="A966" s="39"/>
      <c r="B966" s="45"/>
      <c r="C966" s="46"/>
      <c r="D966" s="39"/>
      <c r="E966" s="39"/>
      <c r="F966" s="44"/>
      <c r="G966" s="39"/>
      <c r="H966" s="39"/>
      <c r="I966" s="39"/>
      <c r="J966" s="39"/>
      <c r="K966" s="44"/>
      <c r="L966" s="44"/>
      <c r="M966" s="44"/>
      <c r="N966" s="44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5.75" customHeight="1">
      <c r="A967" s="39"/>
      <c r="B967" s="45"/>
      <c r="C967" s="46"/>
      <c r="D967" s="39"/>
      <c r="E967" s="39"/>
      <c r="F967" s="44"/>
      <c r="G967" s="39"/>
      <c r="H967" s="39"/>
      <c r="I967" s="39"/>
      <c r="J967" s="39"/>
      <c r="K967" s="44"/>
      <c r="L967" s="44"/>
      <c r="M967" s="44"/>
      <c r="N967" s="44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5.75" customHeight="1">
      <c r="A968" s="39"/>
      <c r="B968" s="45"/>
      <c r="C968" s="46"/>
      <c r="D968" s="39"/>
      <c r="E968" s="39"/>
      <c r="F968" s="44"/>
      <c r="G968" s="39"/>
      <c r="H968" s="39"/>
      <c r="I968" s="39"/>
      <c r="J968" s="39"/>
      <c r="K968" s="44"/>
      <c r="L968" s="44"/>
      <c r="M968" s="44"/>
      <c r="N968" s="44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5.75" customHeight="1">
      <c r="A969" s="39"/>
      <c r="B969" s="45"/>
      <c r="C969" s="46"/>
      <c r="D969" s="39"/>
      <c r="E969" s="39"/>
      <c r="F969" s="44"/>
      <c r="G969" s="39"/>
      <c r="H969" s="39"/>
      <c r="I969" s="39"/>
      <c r="J969" s="39"/>
      <c r="K969" s="44"/>
      <c r="L969" s="44"/>
      <c r="M969" s="44"/>
      <c r="N969" s="44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5.75" customHeight="1">
      <c r="A970" s="39"/>
      <c r="B970" s="45"/>
      <c r="C970" s="46"/>
      <c r="D970" s="39"/>
      <c r="E970" s="39"/>
      <c r="F970" s="44"/>
      <c r="G970" s="39"/>
      <c r="H970" s="39"/>
      <c r="I970" s="39"/>
      <c r="J970" s="39"/>
      <c r="K970" s="44"/>
      <c r="L970" s="44"/>
      <c r="M970" s="44"/>
      <c r="N970" s="44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5.75" customHeight="1">
      <c r="A971" s="39"/>
      <c r="B971" s="45"/>
      <c r="C971" s="46"/>
      <c r="D971" s="39"/>
      <c r="E971" s="39"/>
      <c r="F971" s="44"/>
      <c r="G971" s="39"/>
      <c r="H971" s="39"/>
      <c r="I971" s="39"/>
      <c r="J971" s="39"/>
      <c r="K971" s="44"/>
      <c r="L971" s="44"/>
      <c r="M971" s="44"/>
      <c r="N971" s="44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5.75" customHeight="1">
      <c r="A972" s="39"/>
      <c r="B972" s="45"/>
      <c r="C972" s="46"/>
      <c r="D972" s="39"/>
      <c r="E972" s="39"/>
      <c r="F972" s="44"/>
      <c r="G972" s="39"/>
      <c r="H972" s="39"/>
      <c r="I972" s="39"/>
      <c r="J972" s="39"/>
      <c r="K972" s="44"/>
      <c r="L972" s="44"/>
      <c r="M972" s="44"/>
      <c r="N972" s="44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5.75" customHeight="1">
      <c r="A973" s="39"/>
      <c r="B973" s="45"/>
      <c r="C973" s="46"/>
      <c r="D973" s="39"/>
      <c r="E973" s="39"/>
      <c r="F973" s="44"/>
      <c r="G973" s="39"/>
      <c r="H973" s="39"/>
      <c r="I973" s="39"/>
      <c r="J973" s="39"/>
      <c r="K973" s="44"/>
      <c r="L973" s="44"/>
      <c r="M973" s="44"/>
      <c r="N973" s="44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5.75" customHeight="1">
      <c r="A974" s="39"/>
      <c r="B974" s="45"/>
      <c r="C974" s="46"/>
      <c r="D974" s="39"/>
      <c r="E974" s="39"/>
      <c r="F974" s="44"/>
      <c r="G974" s="39"/>
      <c r="H974" s="39"/>
      <c r="I974" s="39"/>
      <c r="J974" s="39"/>
      <c r="K974" s="44"/>
      <c r="L974" s="44"/>
      <c r="M974" s="44"/>
      <c r="N974" s="44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5.75" customHeight="1">
      <c r="A975" s="39"/>
      <c r="B975" s="45"/>
      <c r="C975" s="46"/>
      <c r="D975" s="39"/>
      <c r="E975" s="39"/>
      <c r="F975" s="44"/>
      <c r="G975" s="39"/>
      <c r="H975" s="39"/>
      <c r="I975" s="39"/>
      <c r="J975" s="39"/>
      <c r="K975" s="44"/>
      <c r="L975" s="44"/>
      <c r="M975" s="44"/>
      <c r="N975" s="44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5.75" customHeight="1">
      <c r="A976" s="39"/>
      <c r="B976" s="45"/>
      <c r="C976" s="46"/>
      <c r="D976" s="39"/>
      <c r="E976" s="39"/>
      <c r="F976" s="44"/>
      <c r="G976" s="39"/>
      <c r="H976" s="39"/>
      <c r="I976" s="39"/>
      <c r="J976" s="39"/>
      <c r="K976" s="44"/>
      <c r="L976" s="44"/>
      <c r="M976" s="44"/>
      <c r="N976" s="44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5.75" customHeight="1">
      <c r="A977" s="39"/>
      <c r="B977" s="45"/>
      <c r="C977" s="46"/>
      <c r="D977" s="39"/>
      <c r="E977" s="39"/>
      <c r="F977" s="44"/>
      <c r="G977" s="39"/>
      <c r="H977" s="39"/>
      <c r="I977" s="39"/>
      <c r="J977" s="39"/>
      <c r="K977" s="44"/>
      <c r="L977" s="44"/>
      <c r="M977" s="44"/>
      <c r="N977" s="44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5.75" customHeight="1">
      <c r="A978" s="39"/>
      <c r="B978" s="45"/>
      <c r="C978" s="46"/>
      <c r="D978" s="39"/>
      <c r="E978" s="39"/>
      <c r="F978" s="44"/>
      <c r="G978" s="39"/>
      <c r="H978" s="39"/>
      <c r="I978" s="39"/>
      <c r="J978" s="39"/>
      <c r="K978" s="44"/>
      <c r="L978" s="44"/>
      <c r="M978" s="44"/>
      <c r="N978" s="44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5.75" customHeight="1">
      <c r="A979" s="39"/>
      <c r="B979" s="45"/>
      <c r="C979" s="46"/>
      <c r="D979" s="39"/>
      <c r="E979" s="39"/>
      <c r="F979" s="44"/>
      <c r="G979" s="39"/>
      <c r="H979" s="39"/>
      <c r="I979" s="39"/>
      <c r="J979" s="39"/>
      <c r="K979" s="44"/>
      <c r="L979" s="44"/>
      <c r="M979" s="44"/>
      <c r="N979" s="44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5.75" customHeight="1">
      <c r="A980" s="39"/>
      <c r="B980" s="45"/>
      <c r="C980" s="46"/>
      <c r="D980" s="39"/>
      <c r="E980" s="39"/>
      <c r="F980" s="44"/>
      <c r="G980" s="39"/>
      <c r="H980" s="39"/>
      <c r="I980" s="39"/>
      <c r="J980" s="39"/>
      <c r="K980" s="44"/>
      <c r="L980" s="44"/>
      <c r="M980" s="44"/>
      <c r="N980" s="44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5.75" customHeight="1">
      <c r="A981" s="39"/>
      <c r="B981" s="45"/>
      <c r="C981" s="46"/>
      <c r="D981" s="39"/>
      <c r="E981" s="39"/>
      <c r="F981" s="44"/>
      <c r="G981" s="39"/>
      <c r="H981" s="39"/>
      <c r="I981" s="39"/>
      <c r="J981" s="39"/>
      <c r="K981" s="44"/>
      <c r="L981" s="44"/>
      <c r="M981" s="44"/>
      <c r="N981" s="44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5.75" customHeight="1">
      <c r="A982" s="39"/>
      <c r="B982" s="45"/>
      <c r="C982" s="46"/>
      <c r="D982" s="39"/>
      <c r="E982" s="39"/>
      <c r="F982" s="44"/>
      <c r="G982" s="39"/>
      <c r="H982" s="39"/>
      <c r="I982" s="39"/>
      <c r="J982" s="39"/>
      <c r="K982" s="44"/>
      <c r="L982" s="44"/>
      <c r="M982" s="44"/>
      <c r="N982" s="44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5.75" customHeight="1">
      <c r="A983" s="39"/>
      <c r="B983" s="45"/>
      <c r="C983" s="46"/>
      <c r="D983" s="39"/>
      <c r="E983" s="39"/>
      <c r="F983" s="44"/>
      <c r="G983" s="39"/>
      <c r="H983" s="39"/>
      <c r="I983" s="39"/>
      <c r="J983" s="39"/>
      <c r="K983" s="44"/>
      <c r="L983" s="44"/>
      <c r="M983" s="44"/>
      <c r="N983" s="44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5.75" customHeight="1">
      <c r="A984" s="39"/>
      <c r="B984" s="45"/>
      <c r="C984" s="46"/>
      <c r="D984" s="39"/>
      <c r="E984" s="39"/>
      <c r="F984" s="44"/>
      <c r="G984" s="39"/>
      <c r="H984" s="39"/>
      <c r="I984" s="39"/>
      <c r="J984" s="39"/>
      <c r="K984" s="44"/>
      <c r="L984" s="44"/>
      <c r="M984" s="44"/>
      <c r="N984" s="44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5.75" customHeight="1">
      <c r="A985" s="39"/>
      <c r="B985" s="45"/>
      <c r="C985" s="46"/>
      <c r="D985" s="39"/>
      <c r="E985" s="39"/>
      <c r="F985" s="44"/>
      <c r="G985" s="39"/>
      <c r="H985" s="39"/>
      <c r="I985" s="39"/>
      <c r="J985" s="39"/>
      <c r="K985" s="44"/>
      <c r="L985" s="44"/>
      <c r="M985" s="44"/>
      <c r="N985" s="44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5.75" customHeight="1">
      <c r="A986" s="39"/>
      <c r="B986" s="45"/>
      <c r="C986" s="46"/>
      <c r="D986" s="39"/>
      <c r="E986" s="39"/>
      <c r="F986" s="44"/>
      <c r="G986" s="39"/>
      <c r="H986" s="39"/>
      <c r="I986" s="39"/>
      <c r="J986" s="39"/>
      <c r="K986" s="44"/>
      <c r="L986" s="44"/>
      <c r="M986" s="44"/>
      <c r="N986" s="44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5.75" customHeight="1">
      <c r="A987" s="39"/>
      <c r="B987" s="45"/>
      <c r="C987" s="46"/>
      <c r="D987" s="39"/>
      <c r="E987" s="39"/>
      <c r="F987" s="44"/>
      <c r="G987" s="39"/>
      <c r="H987" s="39"/>
      <c r="I987" s="39"/>
      <c r="J987" s="39"/>
      <c r="K987" s="44"/>
      <c r="L987" s="44"/>
      <c r="M987" s="44"/>
      <c r="N987" s="44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5.75" customHeight="1">
      <c r="A988" s="39"/>
      <c r="B988" s="45"/>
      <c r="C988" s="46"/>
      <c r="D988" s="39"/>
      <c r="E988" s="39"/>
      <c r="F988" s="44"/>
      <c r="G988" s="39"/>
      <c r="H988" s="39"/>
      <c r="I988" s="39"/>
      <c r="J988" s="39"/>
      <c r="K988" s="44"/>
      <c r="L988" s="44"/>
      <c r="M988" s="44"/>
      <c r="N988" s="44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5.75" customHeight="1">
      <c r="A989" s="39"/>
      <c r="B989" s="45"/>
      <c r="C989" s="46"/>
      <c r="D989" s="39"/>
      <c r="E989" s="39"/>
      <c r="F989" s="44"/>
      <c r="G989" s="39"/>
      <c r="H989" s="39"/>
      <c r="I989" s="39"/>
      <c r="J989" s="39"/>
      <c r="K989" s="44"/>
      <c r="L989" s="44"/>
      <c r="M989" s="44"/>
      <c r="N989" s="44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5.75" customHeight="1">
      <c r="A990" s="39"/>
      <c r="B990" s="45"/>
      <c r="C990" s="46"/>
      <c r="D990" s="39"/>
      <c r="E990" s="39"/>
      <c r="F990" s="44"/>
      <c r="G990" s="39"/>
      <c r="H990" s="39"/>
      <c r="I990" s="39"/>
      <c r="J990" s="39"/>
      <c r="K990" s="44"/>
      <c r="L990" s="44"/>
      <c r="M990" s="44"/>
      <c r="N990" s="44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5.75" customHeight="1">
      <c r="A991" s="39"/>
      <c r="B991" s="45"/>
      <c r="C991" s="46"/>
      <c r="D991" s="39"/>
      <c r="E991" s="39"/>
      <c r="F991" s="44"/>
      <c r="G991" s="39"/>
      <c r="H991" s="39"/>
      <c r="I991" s="39"/>
      <c r="J991" s="39"/>
      <c r="K991" s="44"/>
      <c r="L991" s="44"/>
      <c r="M991" s="44"/>
      <c r="N991" s="44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5.75" customHeight="1">
      <c r="A992" s="39"/>
      <c r="B992" s="45"/>
      <c r="C992" s="46"/>
      <c r="D992" s="39"/>
      <c r="E992" s="39"/>
      <c r="F992" s="44"/>
      <c r="G992" s="39"/>
      <c r="H992" s="39"/>
      <c r="I992" s="39"/>
      <c r="J992" s="39"/>
      <c r="K992" s="44"/>
      <c r="L992" s="44"/>
      <c r="M992" s="44"/>
      <c r="N992" s="44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5.75" customHeight="1">
      <c r="A993" s="39"/>
      <c r="B993" s="45"/>
      <c r="C993" s="46"/>
      <c r="D993" s="39"/>
      <c r="E993" s="39"/>
      <c r="F993" s="44"/>
      <c r="G993" s="39"/>
      <c r="H993" s="39"/>
      <c r="I993" s="39"/>
      <c r="J993" s="39"/>
      <c r="K993" s="44"/>
      <c r="L993" s="44"/>
      <c r="M993" s="44"/>
      <c r="N993" s="44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5.75" customHeight="1">
      <c r="A994" s="39"/>
      <c r="B994" s="45"/>
      <c r="C994" s="46"/>
      <c r="D994" s="39"/>
      <c r="E994" s="39"/>
      <c r="F994" s="44"/>
      <c r="G994" s="39"/>
      <c r="H994" s="39"/>
      <c r="I994" s="39"/>
      <c r="J994" s="39"/>
      <c r="K994" s="44"/>
      <c r="L994" s="44"/>
      <c r="M994" s="44"/>
      <c r="N994" s="44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5.75" customHeight="1">
      <c r="A995" s="39"/>
      <c r="B995" s="45"/>
      <c r="C995" s="46"/>
      <c r="D995" s="39"/>
      <c r="E995" s="39"/>
      <c r="F995" s="44"/>
      <c r="G995" s="39"/>
      <c r="H995" s="39"/>
      <c r="I995" s="39"/>
      <c r="J995" s="39"/>
      <c r="K995" s="44"/>
      <c r="L995" s="44"/>
      <c r="M995" s="44"/>
      <c r="N995" s="44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5.75" customHeight="1">
      <c r="A996" s="39"/>
      <c r="B996" s="45"/>
      <c r="C996" s="46"/>
      <c r="D996" s="39"/>
      <c r="E996" s="39"/>
      <c r="F996" s="44"/>
      <c r="G996" s="39"/>
      <c r="H996" s="39"/>
      <c r="I996" s="39"/>
      <c r="J996" s="39"/>
      <c r="K996" s="44"/>
      <c r="L996" s="44"/>
      <c r="M996" s="44"/>
      <c r="N996" s="44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5.75" customHeight="1">
      <c r="A997" s="39"/>
      <c r="B997" s="45"/>
      <c r="C997" s="46"/>
      <c r="D997" s="39"/>
      <c r="E997" s="39"/>
      <c r="F997" s="44"/>
      <c r="G997" s="39"/>
      <c r="H997" s="39"/>
      <c r="I997" s="39"/>
      <c r="J997" s="39"/>
      <c r="K997" s="44"/>
      <c r="L997" s="44"/>
      <c r="M997" s="44"/>
      <c r="N997" s="44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5.75" customHeight="1">
      <c r="A998" s="39"/>
      <c r="B998" s="45"/>
      <c r="C998" s="46"/>
      <c r="D998" s="39"/>
      <c r="E998" s="39"/>
      <c r="F998" s="44"/>
      <c r="G998" s="39"/>
      <c r="H998" s="39"/>
      <c r="I998" s="39"/>
      <c r="J998" s="39"/>
      <c r="K998" s="44"/>
      <c r="L998" s="44"/>
      <c r="M998" s="44"/>
      <c r="N998" s="44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5.75" customHeight="1">
      <c r="A999" s="39"/>
      <c r="B999" s="45"/>
      <c r="C999" s="46"/>
      <c r="D999" s="39"/>
      <c r="E999" s="39"/>
      <c r="F999" s="44"/>
      <c r="G999" s="39"/>
      <c r="H999" s="39"/>
      <c r="I999" s="39"/>
      <c r="J999" s="39"/>
      <c r="K999" s="44"/>
      <c r="L999" s="44"/>
      <c r="M999" s="44"/>
      <c r="N999" s="44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5.75" customHeight="1">
      <c r="A1000" s="39"/>
      <c r="B1000" s="45"/>
      <c r="C1000" s="46"/>
      <c r="D1000" s="39"/>
      <c r="E1000" s="39"/>
      <c r="F1000" s="44"/>
      <c r="G1000" s="39"/>
      <c r="H1000" s="39"/>
      <c r="I1000" s="39"/>
      <c r="J1000" s="39"/>
      <c r="K1000" s="44"/>
      <c r="L1000" s="44"/>
      <c r="M1000" s="44"/>
      <c r="N1000" s="44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">
    <mergeCell ref="H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87"/>
  <sheetViews>
    <sheetView workbookViewId="0"/>
  </sheetViews>
  <sheetFormatPr defaultRowHeight="15"/>
  <sheetData>
    <row r="2" spans="2:21" ht="15.75" customHeight="1">
      <c r="B2" s="1"/>
      <c r="C2" s="1"/>
      <c r="D2" s="1"/>
      <c r="E2" s="1"/>
      <c r="F2" s="1"/>
      <c r="G2" s="2" t="s">
        <v>0</v>
      </c>
      <c r="H2" s="292" t="s">
        <v>182</v>
      </c>
      <c r="I2" s="293"/>
      <c r="J2" s="293"/>
      <c r="K2" s="293"/>
      <c r="L2" s="293"/>
      <c r="M2" s="293"/>
      <c r="N2" s="4"/>
      <c r="O2" s="1"/>
      <c r="P2" s="1"/>
      <c r="Q2" s="1"/>
      <c r="R2" s="1"/>
      <c r="S2" s="1"/>
      <c r="T2" s="1"/>
      <c r="U2" s="1"/>
    </row>
    <row r="4" spans="2:21" ht="18" customHeight="1">
      <c r="B4" s="33" t="s">
        <v>2</v>
      </c>
      <c r="C4" s="1"/>
      <c r="D4" s="1"/>
      <c r="E4" s="1"/>
      <c r="F4" s="1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ht="15.75" customHeight="1">
      <c r="B5" s="1"/>
      <c r="C5" s="34"/>
      <c r="D5" s="1"/>
      <c r="E5" s="1"/>
      <c r="F5" s="1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 customHeight="1">
      <c r="B6" s="1"/>
      <c r="C6" s="35" t="s">
        <v>3</v>
      </c>
      <c r="D6" s="6" t="s">
        <v>4</v>
      </c>
      <c r="E6" s="7"/>
      <c r="F6" s="6" t="s">
        <v>5</v>
      </c>
      <c r="G6" s="7"/>
      <c r="H6" s="7"/>
      <c r="I6" s="7"/>
      <c r="J6" s="6" t="s">
        <v>6</v>
      </c>
      <c r="K6" s="6"/>
      <c r="L6" s="6" t="s">
        <v>7</v>
      </c>
      <c r="M6" s="6" t="s">
        <v>8</v>
      </c>
      <c r="N6" s="6"/>
      <c r="O6" s="20" t="s">
        <v>9</v>
      </c>
      <c r="P6" s="1"/>
      <c r="Q6" s="1"/>
      <c r="R6" s="1"/>
      <c r="S6" s="1"/>
      <c r="T6" s="1"/>
      <c r="U6" s="1"/>
    </row>
    <row r="7" spans="2:21" ht="16.5" customHeight="1">
      <c r="B7" s="32">
        <v>1</v>
      </c>
      <c r="C7" s="36" t="s">
        <v>10</v>
      </c>
      <c r="D7" s="23" t="s">
        <v>11</v>
      </c>
      <c r="E7" s="24" t="s">
        <v>12</v>
      </c>
      <c r="F7" s="23" t="s">
        <v>13</v>
      </c>
      <c r="G7" s="30" t="s">
        <v>14</v>
      </c>
      <c r="H7" s="31"/>
      <c r="I7" s="25">
        <v>1</v>
      </c>
      <c r="J7" s="23" t="s">
        <v>13</v>
      </c>
      <c r="K7" s="25">
        <v>0</v>
      </c>
      <c r="L7" s="26"/>
      <c r="M7" s="27"/>
      <c r="N7" s="15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 customHeight="1">
      <c r="B8" s="32">
        <v>2</v>
      </c>
      <c r="C8" s="36" t="s">
        <v>22</v>
      </c>
      <c r="D8" s="23" t="s">
        <v>11</v>
      </c>
      <c r="E8" s="24" t="s">
        <v>23</v>
      </c>
      <c r="F8" s="23" t="s">
        <v>13</v>
      </c>
      <c r="G8" s="30" t="s">
        <v>24</v>
      </c>
      <c r="H8" s="31"/>
      <c r="I8" s="25">
        <v>0</v>
      </c>
      <c r="J8" s="23" t="s">
        <v>13</v>
      </c>
      <c r="K8" s="25">
        <v>1</v>
      </c>
      <c r="L8" s="26"/>
      <c r="M8" s="27"/>
      <c r="N8" s="15"/>
      <c r="O8" s="16">
        <v>1</v>
      </c>
      <c r="P8" s="18" t="s">
        <v>12</v>
      </c>
      <c r="Q8" s="18" t="s">
        <v>25</v>
      </c>
      <c r="R8" s="18" t="s">
        <v>26</v>
      </c>
      <c r="S8" s="18" t="s">
        <v>40</v>
      </c>
      <c r="T8" s="18" t="s">
        <v>28</v>
      </c>
      <c r="U8" s="18" t="s">
        <v>29</v>
      </c>
    </row>
    <row r="9" spans="2:21" ht="15.75" customHeight="1">
      <c r="B9" s="32">
        <v>3</v>
      </c>
      <c r="C9" s="36" t="s">
        <v>30</v>
      </c>
      <c r="D9" s="23" t="s">
        <v>31</v>
      </c>
      <c r="E9" s="24" t="s">
        <v>32</v>
      </c>
      <c r="F9" s="23" t="s">
        <v>13</v>
      </c>
      <c r="G9" s="30" t="s">
        <v>33</v>
      </c>
      <c r="H9" s="31"/>
      <c r="I9" s="25">
        <v>0</v>
      </c>
      <c r="J9" s="23" t="s">
        <v>13</v>
      </c>
      <c r="K9" s="25">
        <v>1</v>
      </c>
      <c r="L9" s="26"/>
      <c r="M9" s="27"/>
      <c r="N9" s="15"/>
      <c r="O9" s="17">
        <v>2</v>
      </c>
      <c r="P9" s="19" t="s">
        <v>24</v>
      </c>
      <c r="Q9" s="19" t="s">
        <v>33</v>
      </c>
      <c r="R9" s="19" t="s">
        <v>41</v>
      </c>
      <c r="S9" s="19" t="s">
        <v>27</v>
      </c>
      <c r="T9" s="19" t="s">
        <v>42</v>
      </c>
      <c r="U9" s="19" t="s">
        <v>37</v>
      </c>
    </row>
    <row r="10" spans="2:21" ht="15.75" customHeight="1">
      <c r="B10" s="32">
        <v>4</v>
      </c>
      <c r="C10" s="36" t="s">
        <v>38</v>
      </c>
      <c r="D10" s="23" t="s">
        <v>39</v>
      </c>
      <c r="E10" s="24" t="s">
        <v>35</v>
      </c>
      <c r="F10" s="23" t="s">
        <v>13</v>
      </c>
      <c r="G10" s="30" t="s">
        <v>40</v>
      </c>
      <c r="H10" s="31"/>
      <c r="I10" s="25">
        <v>0</v>
      </c>
      <c r="J10" s="23" t="s">
        <v>13</v>
      </c>
      <c r="K10" s="25">
        <v>2</v>
      </c>
      <c r="L10" s="26"/>
      <c r="M10" s="27"/>
      <c r="N10" s="15"/>
      <c r="O10" s="17">
        <v>3</v>
      </c>
      <c r="P10" s="19" t="s">
        <v>14</v>
      </c>
      <c r="Q10" s="19" t="s">
        <v>32</v>
      </c>
      <c r="R10" s="19" t="s">
        <v>34</v>
      </c>
      <c r="S10" s="19" t="s">
        <v>35</v>
      </c>
      <c r="T10" s="19" t="s">
        <v>36</v>
      </c>
      <c r="U10" s="19" t="s">
        <v>43</v>
      </c>
    </row>
    <row r="11" spans="2:21" ht="15.75" customHeight="1">
      <c r="B11" s="32">
        <v>5</v>
      </c>
      <c r="C11" s="36" t="s">
        <v>44</v>
      </c>
      <c r="D11" s="23" t="s">
        <v>45</v>
      </c>
      <c r="E11" s="24" t="s">
        <v>46</v>
      </c>
      <c r="F11" s="23" t="s">
        <v>13</v>
      </c>
      <c r="G11" s="30" t="s">
        <v>34</v>
      </c>
      <c r="H11" s="31"/>
      <c r="I11" s="25">
        <v>0</v>
      </c>
      <c r="J11" s="23" t="s">
        <v>13</v>
      </c>
      <c r="K11" s="25">
        <v>1</v>
      </c>
      <c r="L11" s="26"/>
      <c r="M11" s="27"/>
      <c r="N11" s="15"/>
      <c r="O11" s="17">
        <v>4</v>
      </c>
      <c r="P11" s="19" t="s">
        <v>23</v>
      </c>
      <c r="Q11" s="19" t="s">
        <v>47</v>
      </c>
      <c r="R11" s="19" t="s">
        <v>46</v>
      </c>
      <c r="S11" s="19" t="s">
        <v>48</v>
      </c>
      <c r="T11" s="19" t="s">
        <v>159</v>
      </c>
      <c r="U11" s="19" t="s">
        <v>50</v>
      </c>
    </row>
    <row r="12" spans="2:21" ht="16.5" customHeight="1">
      <c r="B12" s="32">
        <v>6</v>
      </c>
      <c r="C12" s="36" t="s">
        <v>51</v>
      </c>
      <c r="D12" s="23" t="s">
        <v>39</v>
      </c>
      <c r="E12" s="24" t="s">
        <v>48</v>
      </c>
      <c r="F12" s="23" t="s">
        <v>13</v>
      </c>
      <c r="G12" s="30" t="s">
        <v>27</v>
      </c>
      <c r="H12" s="31"/>
      <c r="I12" s="25">
        <v>0</v>
      </c>
      <c r="J12" s="23" t="s">
        <v>13</v>
      </c>
      <c r="K12" s="25">
        <v>1</v>
      </c>
      <c r="L12" s="26"/>
      <c r="M12" s="27"/>
      <c r="N12" s="15"/>
      <c r="O12" s="1"/>
      <c r="P12" s="1"/>
      <c r="Q12" s="1"/>
      <c r="R12" s="1"/>
      <c r="S12" s="1"/>
      <c r="T12" s="1"/>
      <c r="U12" s="1"/>
    </row>
    <row r="13" spans="2:21" ht="16.5" customHeight="1">
      <c r="B13" s="32">
        <v>7</v>
      </c>
      <c r="C13" s="36" t="s">
        <v>52</v>
      </c>
      <c r="D13" s="23" t="s">
        <v>45</v>
      </c>
      <c r="E13" s="24" t="s">
        <v>26</v>
      </c>
      <c r="F13" s="23" t="s">
        <v>13</v>
      </c>
      <c r="G13" s="30" t="s">
        <v>41</v>
      </c>
      <c r="H13" s="31"/>
      <c r="I13" s="25">
        <v>2</v>
      </c>
      <c r="J13" s="23" t="s">
        <v>13</v>
      </c>
      <c r="K13" s="25">
        <v>0</v>
      </c>
      <c r="L13" s="26"/>
      <c r="M13" s="27"/>
      <c r="N13" s="15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 customHeight="1">
      <c r="B14" s="32">
        <v>8</v>
      </c>
      <c r="C14" s="36" t="s">
        <v>59</v>
      </c>
      <c r="D14" s="23" t="s">
        <v>31</v>
      </c>
      <c r="E14" s="24" t="s">
        <v>47</v>
      </c>
      <c r="F14" s="23" t="s">
        <v>13</v>
      </c>
      <c r="G14" s="30" t="s">
        <v>25</v>
      </c>
      <c r="H14" s="31"/>
      <c r="I14" s="25">
        <v>0</v>
      </c>
      <c r="J14" s="23" t="s">
        <v>13</v>
      </c>
      <c r="K14" s="25">
        <v>2</v>
      </c>
      <c r="L14" s="26"/>
      <c r="M14" s="27"/>
      <c r="N14" s="15"/>
      <c r="O14" s="16">
        <v>1</v>
      </c>
      <c r="P14" s="18" t="s">
        <v>60</v>
      </c>
      <c r="Q14" s="18" t="s">
        <v>61</v>
      </c>
      <c r="R14" s="18" t="s">
        <v>62</v>
      </c>
      <c r="S14" s="18" t="s">
        <v>63</v>
      </c>
      <c r="T14" s="18" t="s">
        <v>64</v>
      </c>
      <c r="U14" s="18" t="s">
        <v>65</v>
      </c>
    </row>
    <row r="15" spans="2:21" ht="15.75" customHeight="1">
      <c r="B15" s="32">
        <v>9</v>
      </c>
      <c r="C15" s="36" t="s">
        <v>66</v>
      </c>
      <c r="D15" s="23" t="s">
        <v>67</v>
      </c>
      <c r="E15" s="24" t="s">
        <v>42</v>
      </c>
      <c r="F15" s="23" t="s">
        <v>13</v>
      </c>
      <c r="G15" s="30" t="s">
        <v>36</v>
      </c>
      <c r="H15" s="31"/>
      <c r="I15" s="25">
        <v>2</v>
      </c>
      <c r="J15" s="23" t="s">
        <v>13</v>
      </c>
      <c r="K15" s="25">
        <v>1</v>
      </c>
      <c r="L15" s="26"/>
      <c r="M15" s="27"/>
      <c r="N15" s="15"/>
      <c r="O15" s="17">
        <v>2</v>
      </c>
      <c r="P15" s="19" t="s">
        <v>68</v>
      </c>
      <c r="Q15" s="19" t="s">
        <v>69</v>
      </c>
      <c r="R15" s="19" t="s">
        <v>77</v>
      </c>
      <c r="S15" s="19" t="s">
        <v>78</v>
      </c>
      <c r="T15" s="19" t="s">
        <v>72</v>
      </c>
      <c r="U15" s="19" t="s">
        <v>73</v>
      </c>
    </row>
    <row r="16" spans="2:21" ht="15.75" customHeight="1">
      <c r="B16" s="32">
        <v>10</v>
      </c>
      <c r="C16" s="36" t="s">
        <v>74</v>
      </c>
      <c r="D16" s="23" t="s">
        <v>67</v>
      </c>
      <c r="E16" s="24" t="s">
        <v>28</v>
      </c>
      <c r="F16" s="23" t="s">
        <v>13</v>
      </c>
      <c r="G16" s="30" t="s">
        <v>49</v>
      </c>
      <c r="H16" s="31"/>
      <c r="I16" s="25">
        <v>3</v>
      </c>
      <c r="J16" s="23" t="s">
        <v>13</v>
      </c>
      <c r="K16" s="25">
        <v>0</v>
      </c>
      <c r="L16" s="26"/>
      <c r="M16" s="27"/>
      <c r="N16" s="15"/>
      <c r="O16" s="17">
        <v>3</v>
      </c>
      <c r="P16" s="19" t="s">
        <v>83</v>
      </c>
      <c r="Q16" s="19" t="s">
        <v>84</v>
      </c>
      <c r="R16" s="19" t="s">
        <v>70</v>
      </c>
      <c r="S16" s="19" t="s">
        <v>71</v>
      </c>
      <c r="T16" s="19" t="s">
        <v>87</v>
      </c>
      <c r="U16" s="19" t="s">
        <v>88</v>
      </c>
    </row>
    <row r="17" spans="2:21" ht="15.75" customHeight="1">
      <c r="B17" s="32">
        <v>11</v>
      </c>
      <c r="C17" s="36" t="s">
        <v>81</v>
      </c>
      <c r="D17" s="23" t="s">
        <v>82</v>
      </c>
      <c r="E17" s="24" t="s">
        <v>29</v>
      </c>
      <c r="F17" s="23" t="s">
        <v>13</v>
      </c>
      <c r="G17" s="30" t="s">
        <v>43</v>
      </c>
      <c r="H17" s="31"/>
      <c r="I17" s="25">
        <v>2</v>
      </c>
      <c r="J17" s="23" t="s">
        <v>13</v>
      </c>
      <c r="K17" s="25">
        <v>1</v>
      </c>
      <c r="L17" s="26"/>
      <c r="M17" s="27"/>
      <c r="N17" s="15"/>
      <c r="O17" s="17">
        <v>4</v>
      </c>
      <c r="P17" s="19" t="s">
        <v>75</v>
      </c>
      <c r="Q17" s="19" t="s">
        <v>76</v>
      </c>
      <c r="R17" s="19" t="s">
        <v>85</v>
      </c>
      <c r="S17" s="19" t="s">
        <v>183</v>
      </c>
      <c r="T17" s="19" t="s">
        <v>79</v>
      </c>
      <c r="U17" s="19" t="s">
        <v>80</v>
      </c>
    </row>
    <row r="18" spans="2:21" ht="15.75" customHeight="1">
      <c r="B18" s="32">
        <v>12</v>
      </c>
      <c r="C18" s="36" t="s">
        <v>89</v>
      </c>
      <c r="D18" s="23" t="s">
        <v>82</v>
      </c>
      <c r="E18" s="24" t="s">
        <v>37</v>
      </c>
      <c r="F18" s="23" t="s">
        <v>13</v>
      </c>
      <c r="G18" s="30" t="s">
        <v>50</v>
      </c>
      <c r="H18" s="31"/>
      <c r="I18" s="25">
        <v>2</v>
      </c>
      <c r="J18" s="23" t="s">
        <v>13</v>
      </c>
      <c r="K18" s="25">
        <v>1</v>
      </c>
      <c r="L18" s="26"/>
      <c r="M18" s="27"/>
      <c r="N18" s="15"/>
      <c r="O18" s="1"/>
      <c r="P18" s="21"/>
      <c r="Q18" s="21"/>
      <c r="R18" s="21"/>
      <c r="S18" s="21"/>
      <c r="T18" s="21"/>
      <c r="U18" s="21"/>
    </row>
    <row r="19" spans="2:21" ht="15.75" customHeight="1">
      <c r="B19" s="32">
        <v>13</v>
      </c>
      <c r="C19" s="36" t="s">
        <v>90</v>
      </c>
      <c r="D19" s="23" t="s">
        <v>91</v>
      </c>
      <c r="E19" s="24" t="s">
        <v>84</v>
      </c>
      <c r="F19" s="23" t="s">
        <v>13</v>
      </c>
      <c r="G19" s="30" t="s">
        <v>69</v>
      </c>
      <c r="H19" s="31"/>
      <c r="I19" s="25">
        <v>0</v>
      </c>
      <c r="J19" s="23" t="s">
        <v>13</v>
      </c>
      <c r="K19" s="25">
        <v>2</v>
      </c>
      <c r="L19" s="26"/>
      <c r="M19" s="27"/>
      <c r="N19" s="15"/>
      <c r="O19" s="1"/>
      <c r="P19" s="1"/>
      <c r="Q19" s="1"/>
      <c r="R19" s="1"/>
      <c r="S19" s="1"/>
      <c r="T19" s="1"/>
      <c r="U19" s="1"/>
    </row>
    <row r="20" spans="2:21" ht="16.5" customHeight="1">
      <c r="B20" s="32">
        <v>14</v>
      </c>
      <c r="C20" s="36" t="s">
        <v>92</v>
      </c>
      <c r="D20" s="23" t="s">
        <v>91</v>
      </c>
      <c r="E20" s="24" t="s">
        <v>61</v>
      </c>
      <c r="F20" s="23" t="s">
        <v>13</v>
      </c>
      <c r="G20" s="30" t="s">
        <v>76</v>
      </c>
      <c r="H20" s="31"/>
      <c r="I20" s="25">
        <v>4</v>
      </c>
      <c r="J20" s="23" t="s">
        <v>13</v>
      </c>
      <c r="K20" s="25">
        <v>0</v>
      </c>
      <c r="L20" s="26"/>
      <c r="M20" s="27"/>
      <c r="N20" s="15"/>
      <c r="O20" s="13" t="s">
        <v>93</v>
      </c>
      <c r="P20" s="1"/>
      <c r="Q20" s="1"/>
      <c r="R20" s="1"/>
      <c r="S20" s="1"/>
      <c r="T20" s="1"/>
      <c r="U20" s="1"/>
    </row>
    <row r="21" spans="2:21" ht="16.5" customHeight="1">
      <c r="B21" s="32">
        <v>15</v>
      </c>
      <c r="C21" s="36" t="s">
        <v>94</v>
      </c>
      <c r="D21" s="23" t="s">
        <v>95</v>
      </c>
      <c r="E21" s="24" t="s">
        <v>83</v>
      </c>
      <c r="F21" s="23" t="s">
        <v>13</v>
      </c>
      <c r="G21" s="30" t="s">
        <v>75</v>
      </c>
      <c r="H21" s="31"/>
      <c r="I21" s="25">
        <v>1</v>
      </c>
      <c r="J21" s="23" t="s">
        <v>13</v>
      </c>
      <c r="K21" s="25">
        <v>0</v>
      </c>
      <c r="L21" s="26"/>
      <c r="M21" s="27"/>
      <c r="N21" s="15"/>
      <c r="O21" s="1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 customHeight="1">
      <c r="B22" s="32">
        <v>16</v>
      </c>
      <c r="C22" s="36" t="s">
        <v>96</v>
      </c>
      <c r="D22" s="23" t="s">
        <v>95</v>
      </c>
      <c r="E22" s="24" t="s">
        <v>60</v>
      </c>
      <c r="F22" s="23" t="s">
        <v>13</v>
      </c>
      <c r="G22" s="30" t="s">
        <v>68</v>
      </c>
      <c r="H22" s="31"/>
      <c r="I22" s="25">
        <v>2</v>
      </c>
      <c r="J22" s="23" t="s">
        <v>13</v>
      </c>
      <c r="K22" s="25">
        <v>0</v>
      </c>
      <c r="L22" s="26"/>
      <c r="M22" s="27"/>
      <c r="N22" s="15"/>
      <c r="O22" s="1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 customHeight="1">
      <c r="B23" s="32">
        <v>17</v>
      </c>
      <c r="C23" s="36" t="s">
        <v>97</v>
      </c>
      <c r="D23" s="23" t="s">
        <v>98</v>
      </c>
      <c r="E23" s="24" t="s">
        <v>62</v>
      </c>
      <c r="F23" s="23" t="s">
        <v>13</v>
      </c>
      <c r="G23" s="30" t="s">
        <v>77</v>
      </c>
      <c r="H23" s="31"/>
      <c r="I23" s="25">
        <v>3</v>
      </c>
      <c r="J23" s="23" t="s">
        <v>13</v>
      </c>
      <c r="K23" s="25">
        <v>1</v>
      </c>
      <c r="L23" s="26"/>
      <c r="M23" s="27"/>
      <c r="N23" s="15"/>
      <c r="O23" s="1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 customHeight="1">
      <c r="B24" s="32">
        <v>18</v>
      </c>
      <c r="C24" s="36" t="s">
        <v>99</v>
      </c>
      <c r="D24" s="23" t="s">
        <v>98</v>
      </c>
      <c r="E24" s="24" t="s">
        <v>85</v>
      </c>
      <c r="F24" s="23" t="s">
        <v>13</v>
      </c>
      <c r="G24" s="30" t="s">
        <v>70</v>
      </c>
      <c r="H24" s="31"/>
      <c r="I24" s="25">
        <v>1</v>
      </c>
      <c r="J24" s="23" t="s">
        <v>13</v>
      </c>
      <c r="K24" s="25">
        <v>0</v>
      </c>
      <c r="L24" s="26"/>
      <c r="M24" s="27"/>
      <c r="N24" s="15"/>
      <c r="O24" s="1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 customHeight="1">
      <c r="B25" s="32">
        <v>19</v>
      </c>
      <c r="C25" s="36" t="s">
        <v>100</v>
      </c>
      <c r="D25" s="23" t="s">
        <v>101</v>
      </c>
      <c r="E25" s="24" t="s">
        <v>63</v>
      </c>
      <c r="F25" s="23" t="s">
        <v>13</v>
      </c>
      <c r="G25" s="30" t="s">
        <v>78</v>
      </c>
      <c r="H25" s="31"/>
      <c r="I25" s="25">
        <v>2</v>
      </c>
      <c r="J25" s="23" t="s">
        <v>13</v>
      </c>
      <c r="K25" s="25">
        <v>0</v>
      </c>
      <c r="L25" s="26"/>
      <c r="M25" s="27"/>
      <c r="N25" s="15"/>
      <c r="O25" s="1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customHeight="1">
      <c r="B26" s="32">
        <v>20</v>
      </c>
      <c r="C26" s="36" t="s">
        <v>102</v>
      </c>
      <c r="D26" s="23" t="s">
        <v>101</v>
      </c>
      <c r="E26" s="24" t="s">
        <v>71</v>
      </c>
      <c r="F26" s="23" t="s">
        <v>13</v>
      </c>
      <c r="G26" s="30" t="s">
        <v>86</v>
      </c>
      <c r="H26" s="31"/>
      <c r="I26" s="25">
        <v>2</v>
      </c>
      <c r="J26" s="23" t="s">
        <v>13</v>
      </c>
      <c r="K26" s="25">
        <v>0</v>
      </c>
      <c r="L26" s="26"/>
      <c r="M26" s="27"/>
      <c r="N26" s="15"/>
      <c r="O26" s="1"/>
      <c r="P26" s="1"/>
      <c r="Q26" s="1"/>
      <c r="R26" s="1"/>
      <c r="S26" s="1"/>
      <c r="T26" s="1"/>
      <c r="U26" s="1"/>
    </row>
    <row r="27" spans="2:21" ht="16.5" customHeight="1">
      <c r="B27" s="32">
        <v>21</v>
      </c>
      <c r="C27" s="36" t="s">
        <v>103</v>
      </c>
      <c r="D27" s="23" t="s">
        <v>104</v>
      </c>
      <c r="E27" s="24" t="s">
        <v>80</v>
      </c>
      <c r="F27" s="23" t="s">
        <v>13</v>
      </c>
      <c r="G27" s="30" t="s">
        <v>88</v>
      </c>
      <c r="H27" s="31"/>
      <c r="I27" s="25">
        <v>0</v>
      </c>
      <c r="J27" s="23" t="s">
        <v>13</v>
      </c>
      <c r="K27" s="25">
        <v>1</v>
      </c>
      <c r="L27" s="26"/>
      <c r="M27" s="27"/>
      <c r="N27" s="15"/>
      <c r="O27" s="1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 customHeight="1">
      <c r="B28" s="32">
        <v>22</v>
      </c>
      <c r="C28" s="36" t="s">
        <v>105</v>
      </c>
      <c r="D28" s="23" t="s">
        <v>104</v>
      </c>
      <c r="E28" s="24" t="s">
        <v>65</v>
      </c>
      <c r="F28" s="23" t="s">
        <v>13</v>
      </c>
      <c r="G28" s="30" t="s">
        <v>73</v>
      </c>
      <c r="H28" s="31"/>
      <c r="I28" s="25">
        <v>1</v>
      </c>
      <c r="J28" s="23" t="s">
        <v>13</v>
      </c>
      <c r="K28" s="25">
        <v>1</v>
      </c>
      <c r="L28" s="26"/>
      <c r="M28" s="27"/>
      <c r="N28" s="15"/>
      <c r="O28" s="1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 customHeight="1">
      <c r="B29" s="32">
        <v>23</v>
      </c>
      <c r="C29" s="36" t="s">
        <v>106</v>
      </c>
      <c r="D29" s="23" t="s">
        <v>107</v>
      </c>
      <c r="E29" s="24" t="s">
        <v>64</v>
      </c>
      <c r="F29" s="23" t="s">
        <v>13</v>
      </c>
      <c r="G29" s="30" t="s">
        <v>87</v>
      </c>
      <c r="H29" s="31"/>
      <c r="I29" s="25">
        <v>2</v>
      </c>
      <c r="J29" s="23" t="s">
        <v>13</v>
      </c>
      <c r="K29" s="25">
        <v>0</v>
      </c>
      <c r="L29" s="26"/>
      <c r="M29" s="27"/>
      <c r="N29" s="15"/>
      <c r="O29" s="1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 customHeight="1">
      <c r="B30" s="32">
        <v>24</v>
      </c>
      <c r="C30" s="36" t="s">
        <v>108</v>
      </c>
      <c r="D30" s="23" t="s">
        <v>107</v>
      </c>
      <c r="E30" s="24" t="s">
        <v>79</v>
      </c>
      <c r="F30" s="23" t="s">
        <v>13</v>
      </c>
      <c r="G30" s="30" t="s">
        <v>72</v>
      </c>
      <c r="H30" s="31"/>
      <c r="I30" s="25">
        <v>0</v>
      </c>
      <c r="J30" s="23" t="s">
        <v>13</v>
      </c>
      <c r="K30" s="25">
        <v>1</v>
      </c>
      <c r="L30" s="26"/>
      <c r="M30" s="27"/>
      <c r="N30" s="15"/>
      <c r="O30" s="1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 customHeight="1">
      <c r="B31" s="32">
        <v>25</v>
      </c>
      <c r="C31" s="36" t="s">
        <v>109</v>
      </c>
      <c r="D31" s="23" t="s">
        <v>11</v>
      </c>
      <c r="E31" s="24" t="s">
        <v>24</v>
      </c>
      <c r="F31" s="23" t="s">
        <v>13</v>
      </c>
      <c r="G31" s="30" t="s">
        <v>14</v>
      </c>
      <c r="H31" s="31"/>
      <c r="I31" s="25">
        <v>1</v>
      </c>
      <c r="J31" s="23" t="s">
        <v>13</v>
      </c>
      <c r="K31" s="25">
        <v>0</v>
      </c>
      <c r="L31" s="26"/>
      <c r="M31" s="27"/>
      <c r="N31" s="15"/>
      <c r="O31" s="1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 customHeight="1">
      <c r="B32" s="32">
        <v>26</v>
      </c>
      <c r="C32" s="36" t="s">
        <v>110</v>
      </c>
      <c r="D32" s="23" t="s">
        <v>31</v>
      </c>
      <c r="E32" s="24" t="s">
        <v>25</v>
      </c>
      <c r="F32" s="23" t="s">
        <v>13</v>
      </c>
      <c r="G32" s="30" t="s">
        <v>33</v>
      </c>
      <c r="H32" s="31"/>
      <c r="I32" s="25">
        <v>1</v>
      </c>
      <c r="J32" s="23" t="s">
        <v>13</v>
      </c>
      <c r="K32" s="25">
        <v>0</v>
      </c>
      <c r="L32" s="26"/>
      <c r="M32" s="27"/>
      <c r="N32" s="15"/>
      <c r="O32" s="1"/>
      <c r="P32" s="1"/>
      <c r="Q32" s="1"/>
      <c r="R32" s="1"/>
      <c r="S32" s="1"/>
      <c r="T32" s="1"/>
      <c r="U32" s="1"/>
    </row>
    <row r="33" spans="2:14" ht="15.75" customHeight="1">
      <c r="B33" s="32">
        <v>27</v>
      </c>
      <c r="C33" s="36" t="s">
        <v>111</v>
      </c>
      <c r="D33" s="23" t="s">
        <v>31</v>
      </c>
      <c r="E33" s="24" t="s">
        <v>32</v>
      </c>
      <c r="F33" s="23" t="s">
        <v>13</v>
      </c>
      <c r="G33" s="30" t="s">
        <v>47</v>
      </c>
      <c r="H33" s="31"/>
      <c r="I33" s="25">
        <v>1</v>
      </c>
      <c r="J33" s="23" t="s">
        <v>13</v>
      </c>
      <c r="K33" s="25">
        <v>0</v>
      </c>
      <c r="L33" s="26"/>
      <c r="M33" s="27"/>
      <c r="N33" s="15"/>
    </row>
    <row r="34" spans="2:14" ht="15.75" customHeight="1">
      <c r="B34" s="32">
        <v>28</v>
      </c>
      <c r="C34" s="36" t="s">
        <v>112</v>
      </c>
      <c r="D34" s="23" t="s">
        <v>11</v>
      </c>
      <c r="E34" s="24" t="s">
        <v>12</v>
      </c>
      <c r="F34" s="23" t="s">
        <v>13</v>
      </c>
      <c r="G34" s="30" t="s">
        <v>23</v>
      </c>
      <c r="H34" s="31"/>
      <c r="I34" s="25">
        <v>1</v>
      </c>
      <c r="J34" s="23" t="s">
        <v>13</v>
      </c>
      <c r="K34" s="25">
        <v>0</v>
      </c>
      <c r="L34" s="26"/>
      <c r="M34" s="27"/>
      <c r="N34" s="15"/>
    </row>
    <row r="35" spans="2:14" ht="15.75" customHeight="1">
      <c r="B35" s="32">
        <v>29</v>
      </c>
      <c r="C35" s="36" t="s">
        <v>113</v>
      </c>
      <c r="D35" s="23" t="s">
        <v>45</v>
      </c>
      <c r="E35" s="24" t="s">
        <v>26</v>
      </c>
      <c r="F35" s="23" t="s">
        <v>13</v>
      </c>
      <c r="G35" s="30" t="s">
        <v>46</v>
      </c>
      <c r="H35" s="31"/>
      <c r="I35" s="25">
        <v>2</v>
      </c>
      <c r="J35" s="23" t="s">
        <v>13</v>
      </c>
      <c r="K35" s="25">
        <v>0</v>
      </c>
      <c r="L35" s="26"/>
      <c r="M35" s="27"/>
      <c r="N35" s="15"/>
    </row>
    <row r="36" spans="2:14" ht="15.75" customHeight="1">
      <c r="B36" s="32">
        <v>30</v>
      </c>
      <c r="C36" s="36" t="s">
        <v>114</v>
      </c>
      <c r="D36" s="23" t="s">
        <v>45</v>
      </c>
      <c r="E36" s="24" t="s">
        <v>34</v>
      </c>
      <c r="F36" s="23" t="s">
        <v>13</v>
      </c>
      <c r="G36" s="30" t="s">
        <v>41</v>
      </c>
      <c r="H36" s="31"/>
      <c r="I36" s="25">
        <v>1</v>
      </c>
      <c r="J36" s="23" t="s">
        <v>13</v>
      </c>
      <c r="K36" s="25">
        <v>0</v>
      </c>
      <c r="L36" s="26"/>
      <c r="M36" s="27"/>
      <c r="N36" s="15"/>
    </row>
    <row r="37" spans="2:14" ht="15.75" customHeight="1">
      <c r="B37" s="32">
        <v>31</v>
      </c>
      <c r="C37" s="36" t="s">
        <v>115</v>
      </c>
      <c r="D37" s="23" t="s">
        <v>39</v>
      </c>
      <c r="E37" s="24" t="s">
        <v>27</v>
      </c>
      <c r="F37" s="23" t="s">
        <v>13</v>
      </c>
      <c r="G37" s="30" t="s">
        <v>40</v>
      </c>
      <c r="H37" s="31"/>
      <c r="I37" s="25">
        <v>0</v>
      </c>
      <c r="J37" s="23" t="s">
        <v>13</v>
      </c>
      <c r="K37" s="25">
        <v>1</v>
      </c>
      <c r="L37" s="26"/>
      <c r="M37" s="27"/>
      <c r="N37" s="15"/>
    </row>
    <row r="38" spans="2:14" ht="15.75" customHeight="1">
      <c r="B38" s="32">
        <v>32</v>
      </c>
      <c r="C38" s="36" t="s">
        <v>116</v>
      </c>
      <c r="D38" s="23" t="s">
        <v>39</v>
      </c>
      <c r="E38" s="24" t="s">
        <v>35</v>
      </c>
      <c r="F38" s="23" t="s">
        <v>13</v>
      </c>
      <c r="G38" s="30" t="s">
        <v>48</v>
      </c>
      <c r="H38" s="31"/>
      <c r="I38" s="25">
        <v>1</v>
      </c>
      <c r="J38" s="23" t="s">
        <v>13</v>
      </c>
      <c r="K38" s="25">
        <v>0</v>
      </c>
      <c r="L38" s="26"/>
      <c r="M38" s="27"/>
      <c r="N38" s="15"/>
    </row>
    <row r="39" spans="2:14" ht="15.75" customHeight="1">
      <c r="B39" s="32">
        <v>33</v>
      </c>
      <c r="C39" s="36" t="s">
        <v>117</v>
      </c>
      <c r="D39" s="23" t="s">
        <v>67</v>
      </c>
      <c r="E39" s="24" t="s">
        <v>28</v>
      </c>
      <c r="F39" s="23" t="s">
        <v>13</v>
      </c>
      <c r="G39" s="30" t="s">
        <v>42</v>
      </c>
      <c r="H39" s="31"/>
      <c r="I39" s="25">
        <v>2</v>
      </c>
      <c r="J39" s="23" t="s">
        <v>13</v>
      </c>
      <c r="K39" s="25">
        <v>1</v>
      </c>
      <c r="L39" s="26"/>
      <c r="M39" s="27"/>
      <c r="N39" s="15"/>
    </row>
    <row r="40" spans="2:14" ht="15.75" customHeight="1">
      <c r="B40" s="32">
        <v>34</v>
      </c>
      <c r="C40" s="36" t="s">
        <v>118</v>
      </c>
      <c r="D40" s="23" t="s">
        <v>67</v>
      </c>
      <c r="E40" s="24" t="s">
        <v>36</v>
      </c>
      <c r="F40" s="23" t="s">
        <v>13</v>
      </c>
      <c r="G40" s="30" t="s">
        <v>49</v>
      </c>
      <c r="H40" s="31"/>
      <c r="I40" s="25">
        <v>1</v>
      </c>
      <c r="J40" s="23" t="s">
        <v>13</v>
      </c>
      <c r="K40" s="25">
        <v>0</v>
      </c>
      <c r="L40" s="26"/>
      <c r="M40" s="27"/>
      <c r="N40" s="15"/>
    </row>
    <row r="41" spans="2:14" ht="15.75" customHeight="1">
      <c r="B41" s="32">
        <v>35</v>
      </c>
      <c r="C41" s="36" t="s">
        <v>119</v>
      </c>
      <c r="D41" s="23" t="s">
        <v>82</v>
      </c>
      <c r="E41" s="24" t="s">
        <v>29</v>
      </c>
      <c r="F41" s="23" t="s">
        <v>13</v>
      </c>
      <c r="G41" s="30" t="s">
        <v>37</v>
      </c>
      <c r="H41" s="31"/>
      <c r="I41" s="25">
        <v>2</v>
      </c>
      <c r="J41" s="23" t="s">
        <v>13</v>
      </c>
      <c r="K41" s="25">
        <v>1</v>
      </c>
      <c r="L41" s="26"/>
      <c r="M41" s="27"/>
      <c r="N41" s="15"/>
    </row>
    <row r="42" spans="2:14" ht="15.75" customHeight="1">
      <c r="B42" s="32">
        <v>36</v>
      </c>
      <c r="C42" s="36" t="s">
        <v>120</v>
      </c>
      <c r="D42" s="23" t="s">
        <v>82</v>
      </c>
      <c r="E42" s="24" t="s">
        <v>50</v>
      </c>
      <c r="F42" s="23" t="s">
        <v>13</v>
      </c>
      <c r="G42" s="30" t="s">
        <v>43</v>
      </c>
      <c r="H42" s="31"/>
      <c r="I42" s="25">
        <v>0</v>
      </c>
      <c r="J42" s="23" t="s">
        <v>13</v>
      </c>
      <c r="K42" s="25">
        <v>1</v>
      </c>
      <c r="L42" s="26"/>
      <c r="M42" s="27"/>
      <c r="N42" s="15"/>
    </row>
    <row r="43" spans="2:14" ht="15.75" customHeight="1">
      <c r="B43" s="32">
        <v>37</v>
      </c>
      <c r="C43" s="36" t="s">
        <v>121</v>
      </c>
      <c r="D43" s="23" t="s">
        <v>91</v>
      </c>
      <c r="E43" s="24" t="s">
        <v>69</v>
      </c>
      <c r="F43" s="23" t="s">
        <v>13</v>
      </c>
      <c r="G43" s="30" t="s">
        <v>76</v>
      </c>
      <c r="H43" s="31"/>
      <c r="I43" s="25">
        <v>2</v>
      </c>
      <c r="J43" s="23" t="s">
        <v>13</v>
      </c>
      <c r="K43" s="25">
        <v>0</v>
      </c>
      <c r="L43" s="26"/>
      <c r="M43" s="27"/>
      <c r="N43" s="1"/>
    </row>
    <row r="44" spans="2:14" ht="15.75" customHeight="1">
      <c r="B44" s="32">
        <v>38</v>
      </c>
      <c r="C44" s="36" t="s">
        <v>122</v>
      </c>
      <c r="D44" s="23" t="s">
        <v>91</v>
      </c>
      <c r="E44" s="24" t="s">
        <v>61</v>
      </c>
      <c r="F44" s="23" t="s">
        <v>13</v>
      </c>
      <c r="G44" s="30" t="s">
        <v>84</v>
      </c>
      <c r="H44" s="31"/>
      <c r="I44" s="25">
        <v>2</v>
      </c>
      <c r="J44" s="23" t="s">
        <v>13</v>
      </c>
      <c r="K44" s="25">
        <v>0</v>
      </c>
      <c r="L44" s="26"/>
      <c r="M44" s="27"/>
      <c r="N44" s="1"/>
    </row>
    <row r="45" spans="2:14" ht="15.75" customHeight="1">
      <c r="B45" s="32">
        <v>39</v>
      </c>
      <c r="C45" s="36" t="s">
        <v>123</v>
      </c>
      <c r="D45" s="23" t="s">
        <v>95</v>
      </c>
      <c r="E45" s="24" t="s">
        <v>60</v>
      </c>
      <c r="F45" s="23" t="s">
        <v>13</v>
      </c>
      <c r="G45" s="30" t="s">
        <v>83</v>
      </c>
      <c r="H45" s="31"/>
      <c r="I45" s="25">
        <v>2</v>
      </c>
      <c r="J45" s="23" t="s">
        <v>13</v>
      </c>
      <c r="K45" s="25">
        <v>0</v>
      </c>
      <c r="L45" s="26"/>
      <c r="M45" s="27"/>
      <c r="N45" s="1"/>
    </row>
    <row r="46" spans="2:14" ht="15.75" customHeight="1">
      <c r="B46" s="32">
        <v>40</v>
      </c>
      <c r="C46" s="36" t="s">
        <v>124</v>
      </c>
      <c r="D46" s="23" t="s">
        <v>95</v>
      </c>
      <c r="E46" s="24" t="s">
        <v>75</v>
      </c>
      <c r="F46" s="23" t="s">
        <v>13</v>
      </c>
      <c r="G46" s="30" t="s">
        <v>68</v>
      </c>
      <c r="H46" s="31"/>
      <c r="I46" s="25">
        <v>0</v>
      </c>
      <c r="J46" s="23" t="s">
        <v>13</v>
      </c>
      <c r="K46" s="25">
        <v>1</v>
      </c>
      <c r="L46" s="26"/>
      <c r="M46" s="27"/>
      <c r="N46" s="1"/>
    </row>
    <row r="47" spans="2:14" ht="15.75" customHeight="1">
      <c r="B47" s="32">
        <v>41</v>
      </c>
      <c r="C47" s="36" t="s">
        <v>125</v>
      </c>
      <c r="D47" s="23" t="s">
        <v>98</v>
      </c>
      <c r="E47" s="24" t="s">
        <v>70</v>
      </c>
      <c r="F47" s="23" t="s">
        <v>13</v>
      </c>
      <c r="G47" s="30" t="s">
        <v>77</v>
      </c>
      <c r="H47" s="31"/>
      <c r="I47" s="25">
        <v>1</v>
      </c>
      <c r="J47" s="23" t="s">
        <v>13</v>
      </c>
      <c r="K47" s="25">
        <v>0</v>
      </c>
      <c r="L47" s="26"/>
      <c r="M47" s="27"/>
      <c r="N47" s="1"/>
    </row>
    <row r="48" spans="2:14" ht="15.75" customHeight="1">
      <c r="B48" s="32">
        <v>42</v>
      </c>
      <c r="C48" s="36" t="s">
        <v>126</v>
      </c>
      <c r="D48" s="23" t="s">
        <v>98</v>
      </c>
      <c r="E48" s="24" t="s">
        <v>62</v>
      </c>
      <c r="F48" s="23" t="s">
        <v>13</v>
      </c>
      <c r="G48" s="30" t="s">
        <v>85</v>
      </c>
      <c r="H48" s="31"/>
      <c r="I48" s="25">
        <v>2</v>
      </c>
      <c r="J48" s="23" t="s">
        <v>13</v>
      </c>
      <c r="K48" s="25">
        <v>0</v>
      </c>
      <c r="L48" s="26"/>
      <c r="M48" s="27"/>
      <c r="N48" s="1"/>
    </row>
    <row r="49" spans="2:13" ht="15.75" customHeight="1">
      <c r="B49" s="32">
        <v>43</v>
      </c>
      <c r="C49" s="36" t="s">
        <v>127</v>
      </c>
      <c r="D49" s="23" t="s">
        <v>101</v>
      </c>
      <c r="E49" s="24" t="s">
        <v>63</v>
      </c>
      <c r="F49" s="23" t="s">
        <v>13</v>
      </c>
      <c r="G49" s="30" t="s">
        <v>71</v>
      </c>
      <c r="H49" s="31"/>
      <c r="I49" s="25">
        <v>2</v>
      </c>
      <c r="J49" s="23" t="s">
        <v>13</v>
      </c>
      <c r="K49" s="25">
        <v>0</v>
      </c>
      <c r="L49" s="26"/>
      <c r="M49" s="27"/>
    </row>
    <row r="50" spans="2:13" ht="15.75" customHeight="1">
      <c r="B50" s="32">
        <v>44</v>
      </c>
      <c r="C50" s="36" t="s">
        <v>128</v>
      </c>
      <c r="D50" s="23" t="s">
        <v>101</v>
      </c>
      <c r="E50" s="24" t="s">
        <v>86</v>
      </c>
      <c r="F50" s="23" t="s">
        <v>13</v>
      </c>
      <c r="G50" s="30" t="s">
        <v>78</v>
      </c>
      <c r="H50" s="31"/>
      <c r="I50" s="25">
        <v>0</v>
      </c>
      <c r="J50" s="23" t="s">
        <v>13</v>
      </c>
      <c r="K50" s="25">
        <v>2</v>
      </c>
      <c r="L50" s="26"/>
      <c r="M50" s="27"/>
    </row>
    <row r="51" spans="2:13" ht="15.75" customHeight="1">
      <c r="B51" s="32">
        <v>45</v>
      </c>
      <c r="C51" s="36" t="s">
        <v>129</v>
      </c>
      <c r="D51" s="23" t="s">
        <v>104</v>
      </c>
      <c r="E51" s="24" t="s">
        <v>65</v>
      </c>
      <c r="F51" s="23" t="s">
        <v>13</v>
      </c>
      <c r="G51" s="30" t="s">
        <v>80</v>
      </c>
      <c r="H51" s="31"/>
      <c r="I51" s="25">
        <v>2</v>
      </c>
      <c r="J51" s="23" t="s">
        <v>13</v>
      </c>
      <c r="K51" s="25">
        <v>0</v>
      </c>
      <c r="L51" s="26"/>
      <c r="M51" s="27"/>
    </row>
    <row r="52" spans="2:13" ht="15.75" customHeight="1">
      <c r="B52" s="32">
        <v>46</v>
      </c>
      <c r="C52" s="36" t="s">
        <v>130</v>
      </c>
      <c r="D52" s="23" t="s">
        <v>104</v>
      </c>
      <c r="E52" s="24" t="s">
        <v>88</v>
      </c>
      <c r="F52" s="23" t="s">
        <v>13</v>
      </c>
      <c r="G52" s="30" t="s">
        <v>73</v>
      </c>
      <c r="H52" s="31"/>
      <c r="I52" s="25">
        <v>1</v>
      </c>
      <c r="J52" s="23" t="s">
        <v>13</v>
      </c>
      <c r="K52" s="25">
        <v>2</v>
      </c>
      <c r="L52" s="26"/>
      <c r="M52" s="27"/>
    </row>
    <row r="53" spans="2:13" ht="15.75" customHeight="1">
      <c r="B53" s="32">
        <v>47</v>
      </c>
      <c r="C53" s="36" t="s">
        <v>131</v>
      </c>
      <c r="D53" s="23" t="s">
        <v>107</v>
      </c>
      <c r="E53" s="24" t="s">
        <v>64</v>
      </c>
      <c r="F53" s="23" t="s">
        <v>13</v>
      </c>
      <c r="G53" s="30" t="s">
        <v>79</v>
      </c>
      <c r="H53" s="31"/>
      <c r="I53" s="25">
        <v>2</v>
      </c>
      <c r="J53" s="23" t="s">
        <v>13</v>
      </c>
      <c r="K53" s="25">
        <v>0</v>
      </c>
      <c r="L53" s="26"/>
      <c r="M53" s="27"/>
    </row>
    <row r="54" spans="2:13" ht="15.75" customHeight="1">
      <c r="B54" s="32">
        <v>48</v>
      </c>
      <c r="C54" s="36" t="s">
        <v>132</v>
      </c>
      <c r="D54" s="23" t="s">
        <v>107</v>
      </c>
      <c r="E54" s="24" t="s">
        <v>72</v>
      </c>
      <c r="F54" s="23" t="s">
        <v>13</v>
      </c>
      <c r="G54" s="30" t="s">
        <v>87</v>
      </c>
      <c r="H54" s="31"/>
      <c r="I54" s="25">
        <v>1</v>
      </c>
      <c r="J54" s="23" t="s">
        <v>13</v>
      </c>
      <c r="K54" s="25">
        <v>0</v>
      </c>
      <c r="L54" s="26"/>
      <c r="M54" s="27"/>
    </row>
    <row r="55" spans="2:13" ht="15.75" customHeight="1">
      <c r="B55" s="32">
        <v>49</v>
      </c>
      <c r="C55" s="36" t="s">
        <v>133</v>
      </c>
      <c r="D55" s="23" t="s">
        <v>45</v>
      </c>
      <c r="E55" s="24" t="s">
        <v>34</v>
      </c>
      <c r="F55" s="23" t="s">
        <v>13</v>
      </c>
      <c r="G55" s="30" t="s">
        <v>26</v>
      </c>
      <c r="H55" s="31"/>
      <c r="I55" s="25">
        <v>0</v>
      </c>
      <c r="J55" s="23" t="s">
        <v>13</v>
      </c>
      <c r="K55" s="25">
        <v>2</v>
      </c>
      <c r="L55" s="26"/>
      <c r="M55" s="27"/>
    </row>
    <row r="56" spans="2:13" ht="15.75" customHeight="1">
      <c r="B56" s="32">
        <v>50</v>
      </c>
      <c r="C56" s="36" t="s">
        <v>133</v>
      </c>
      <c r="D56" s="23" t="s">
        <v>45</v>
      </c>
      <c r="E56" s="24" t="s">
        <v>41</v>
      </c>
      <c r="F56" s="23" t="s">
        <v>13</v>
      </c>
      <c r="G56" s="30" t="s">
        <v>46</v>
      </c>
      <c r="H56" s="31"/>
      <c r="I56" s="25">
        <v>1</v>
      </c>
      <c r="J56" s="23" t="s">
        <v>13</v>
      </c>
      <c r="K56" s="25">
        <v>0</v>
      </c>
      <c r="L56" s="26"/>
      <c r="M56" s="27"/>
    </row>
    <row r="57" spans="2:13" ht="15.75" customHeight="1">
      <c r="B57" s="32">
        <v>51</v>
      </c>
      <c r="C57" s="36" t="s">
        <v>134</v>
      </c>
      <c r="D57" s="23" t="s">
        <v>31</v>
      </c>
      <c r="E57" s="24" t="s">
        <v>25</v>
      </c>
      <c r="F57" s="23" t="s">
        <v>13</v>
      </c>
      <c r="G57" s="30" t="s">
        <v>32</v>
      </c>
      <c r="H57" s="31"/>
      <c r="I57" s="25">
        <v>1</v>
      </c>
      <c r="J57" s="23" t="s">
        <v>13</v>
      </c>
      <c r="K57" s="25">
        <v>0</v>
      </c>
      <c r="L57" s="26"/>
      <c r="M57" s="27"/>
    </row>
    <row r="58" spans="2:13" ht="15.75" customHeight="1">
      <c r="B58" s="32">
        <v>52</v>
      </c>
      <c r="C58" s="36" t="s">
        <v>134</v>
      </c>
      <c r="D58" s="23" t="s">
        <v>31</v>
      </c>
      <c r="E58" s="24" t="s">
        <v>33</v>
      </c>
      <c r="F58" s="23" t="s">
        <v>13</v>
      </c>
      <c r="G58" s="30" t="s">
        <v>47</v>
      </c>
      <c r="H58" s="31"/>
      <c r="I58" s="25">
        <v>1</v>
      </c>
      <c r="J58" s="23" t="s">
        <v>13</v>
      </c>
      <c r="K58" s="25">
        <v>0</v>
      </c>
      <c r="L58" s="26"/>
      <c r="M58" s="27"/>
    </row>
    <row r="59" spans="2:13" ht="15.75" customHeight="1">
      <c r="B59" s="32">
        <v>53</v>
      </c>
      <c r="C59" s="36" t="s">
        <v>135</v>
      </c>
      <c r="D59" s="23" t="s">
        <v>11</v>
      </c>
      <c r="E59" s="24" t="s">
        <v>24</v>
      </c>
      <c r="F59" s="23" t="s">
        <v>13</v>
      </c>
      <c r="G59" s="30" t="s">
        <v>12</v>
      </c>
      <c r="H59" s="31"/>
      <c r="I59" s="25">
        <v>0</v>
      </c>
      <c r="J59" s="23" t="s">
        <v>13</v>
      </c>
      <c r="K59" s="25">
        <v>1</v>
      </c>
      <c r="L59" s="26"/>
      <c r="M59" s="27"/>
    </row>
    <row r="60" spans="2:13" ht="15.75" customHeight="1">
      <c r="B60" s="32">
        <v>54</v>
      </c>
      <c r="C60" s="36" t="s">
        <v>135</v>
      </c>
      <c r="D60" s="23" t="s">
        <v>11</v>
      </c>
      <c r="E60" s="24" t="s">
        <v>14</v>
      </c>
      <c r="F60" s="23" t="s">
        <v>13</v>
      </c>
      <c r="G60" s="30" t="s">
        <v>23</v>
      </c>
      <c r="H60" s="31"/>
      <c r="I60" s="25">
        <v>1</v>
      </c>
      <c r="J60" s="23" t="s">
        <v>13</v>
      </c>
      <c r="K60" s="25">
        <v>0</v>
      </c>
      <c r="L60" s="26"/>
      <c r="M60" s="27"/>
    </row>
    <row r="61" spans="2:13" ht="15.75" customHeight="1">
      <c r="B61" s="32">
        <v>55</v>
      </c>
      <c r="C61" s="36" t="s">
        <v>136</v>
      </c>
      <c r="D61" s="23" t="s">
        <v>67</v>
      </c>
      <c r="E61" s="24" t="s">
        <v>49</v>
      </c>
      <c r="F61" s="23" t="s">
        <v>13</v>
      </c>
      <c r="G61" s="30" t="s">
        <v>42</v>
      </c>
      <c r="H61" s="31"/>
      <c r="I61" s="25">
        <v>0</v>
      </c>
      <c r="J61" s="23" t="s">
        <v>13</v>
      </c>
      <c r="K61" s="25">
        <v>2</v>
      </c>
      <c r="L61" s="26"/>
      <c r="M61" s="27"/>
    </row>
    <row r="62" spans="2:13" ht="15.75" customHeight="1">
      <c r="B62" s="32">
        <v>56</v>
      </c>
      <c r="C62" s="36" t="s">
        <v>136</v>
      </c>
      <c r="D62" s="23" t="s">
        <v>67</v>
      </c>
      <c r="E62" s="24" t="s">
        <v>36</v>
      </c>
      <c r="F62" s="23" t="s">
        <v>13</v>
      </c>
      <c r="G62" s="30" t="s">
        <v>28</v>
      </c>
      <c r="H62" s="31"/>
      <c r="I62" s="25">
        <v>0</v>
      </c>
      <c r="J62" s="23" t="s">
        <v>13</v>
      </c>
      <c r="K62" s="25">
        <v>2</v>
      </c>
      <c r="L62" s="26"/>
      <c r="M62" s="27"/>
    </row>
    <row r="63" spans="2:13" ht="15.75" customHeight="1">
      <c r="B63" s="32">
        <v>57</v>
      </c>
      <c r="C63" s="36" t="s">
        <v>137</v>
      </c>
      <c r="D63" s="23" t="s">
        <v>82</v>
      </c>
      <c r="E63" s="24" t="s">
        <v>43</v>
      </c>
      <c r="F63" s="23" t="s">
        <v>13</v>
      </c>
      <c r="G63" s="30" t="s">
        <v>37</v>
      </c>
      <c r="H63" s="31"/>
      <c r="I63" s="25">
        <v>0</v>
      </c>
      <c r="J63" s="23" t="s">
        <v>13</v>
      </c>
      <c r="K63" s="25">
        <v>1</v>
      </c>
      <c r="L63" s="26"/>
      <c r="M63" s="27"/>
    </row>
    <row r="64" spans="2:13" ht="15.75" customHeight="1">
      <c r="B64" s="32">
        <v>58</v>
      </c>
      <c r="C64" s="36" t="s">
        <v>137</v>
      </c>
      <c r="D64" s="23" t="s">
        <v>82</v>
      </c>
      <c r="E64" s="24" t="s">
        <v>50</v>
      </c>
      <c r="F64" s="23" t="s">
        <v>13</v>
      </c>
      <c r="G64" s="30" t="s">
        <v>29</v>
      </c>
      <c r="H64" s="31"/>
      <c r="I64" s="25">
        <v>0</v>
      </c>
      <c r="J64" s="23" t="s">
        <v>13</v>
      </c>
      <c r="K64" s="25">
        <v>1</v>
      </c>
      <c r="L64" s="26"/>
      <c r="M64" s="27"/>
    </row>
    <row r="65" spans="2:14" ht="15.75" customHeight="1">
      <c r="B65" s="32">
        <v>59</v>
      </c>
      <c r="C65" s="36" t="s">
        <v>138</v>
      </c>
      <c r="D65" s="23" t="s">
        <v>39</v>
      </c>
      <c r="E65" s="24" t="s">
        <v>27</v>
      </c>
      <c r="F65" s="23" t="s">
        <v>13</v>
      </c>
      <c r="G65" s="30" t="s">
        <v>35</v>
      </c>
      <c r="H65" s="31"/>
      <c r="I65" s="25">
        <v>1</v>
      </c>
      <c r="J65" s="23" t="s">
        <v>13</v>
      </c>
      <c r="K65" s="25">
        <v>0</v>
      </c>
      <c r="L65" s="26"/>
      <c r="M65" s="27"/>
      <c r="N65" s="1"/>
    </row>
    <row r="66" spans="2:14" ht="15.75" customHeight="1">
      <c r="B66" s="32">
        <v>60</v>
      </c>
      <c r="C66" s="36" t="s">
        <v>138</v>
      </c>
      <c r="D66" s="23" t="s">
        <v>39</v>
      </c>
      <c r="E66" s="24" t="s">
        <v>40</v>
      </c>
      <c r="F66" s="23" t="s">
        <v>13</v>
      </c>
      <c r="G66" s="30" t="s">
        <v>48</v>
      </c>
      <c r="H66" s="31"/>
      <c r="I66" s="25">
        <v>1</v>
      </c>
      <c r="J66" s="23" t="s">
        <v>13</v>
      </c>
      <c r="K66" s="25">
        <v>0</v>
      </c>
      <c r="L66" s="26"/>
      <c r="M66" s="27"/>
      <c r="N66" s="1"/>
    </row>
    <row r="67" spans="2:14" ht="15.75" customHeight="1">
      <c r="B67" s="32">
        <v>61</v>
      </c>
      <c r="C67" s="36" t="s">
        <v>139</v>
      </c>
      <c r="D67" s="23" t="s">
        <v>98</v>
      </c>
      <c r="E67" s="24" t="s">
        <v>70</v>
      </c>
      <c r="F67" s="23" t="s">
        <v>13</v>
      </c>
      <c r="G67" s="30" t="s">
        <v>62</v>
      </c>
      <c r="H67" s="31"/>
      <c r="I67" s="25">
        <v>0</v>
      </c>
      <c r="J67" s="23" t="s">
        <v>13</v>
      </c>
      <c r="K67" s="25">
        <v>2</v>
      </c>
      <c r="L67" s="26"/>
      <c r="M67" s="27"/>
      <c r="N67" s="1"/>
    </row>
    <row r="68" spans="2:14" ht="15.75" customHeight="1">
      <c r="B68" s="32">
        <v>62</v>
      </c>
      <c r="C68" s="36" t="s">
        <v>139</v>
      </c>
      <c r="D68" s="23" t="s">
        <v>98</v>
      </c>
      <c r="E68" s="24" t="s">
        <v>77</v>
      </c>
      <c r="F68" s="23" t="s">
        <v>13</v>
      </c>
      <c r="G68" s="30" t="s">
        <v>85</v>
      </c>
      <c r="H68" s="31"/>
      <c r="I68" s="25">
        <v>1</v>
      </c>
      <c r="J68" s="23" t="s">
        <v>13</v>
      </c>
      <c r="K68" s="25">
        <v>0</v>
      </c>
      <c r="L68" s="26"/>
      <c r="M68" s="27"/>
      <c r="N68" s="1"/>
    </row>
    <row r="69" spans="2:14" ht="15.75" customHeight="1">
      <c r="B69" s="32">
        <v>63</v>
      </c>
      <c r="C69" s="36" t="s">
        <v>140</v>
      </c>
      <c r="D69" s="23" t="s">
        <v>95</v>
      </c>
      <c r="E69" s="24" t="s">
        <v>68</v>
      </c>
      <c r="F69" s="23" t="s">
        <v>13</v>
      </c>
      <c r="G69" s="30" t="s">
        <v>83</v>
      </c>
      <c r="H69" s="31"/>
      <c r="I69" s="25">
        <v>1</v>
      </c>
      <c r="J69" s="23" t="s">
        <v>13</v>
      </c>
      <c r="K69" s="25">
        <v>0</v>
      </c>
      <c r="L69" s="26"/>
      <c r="M69" s="27"/>
      <c r="N69" s="1"/>
    </row>
    <row r="70" spans="2:14" ht="15.75" customHeight="1">
      <c r="B70" s="32">
        <v>64</v>
      </c>
      <c r="C70" s="36" t="s">
        <v>140</v>
      </c>
      <c r="D70" s="23" t="s">
        <v>95</v>
      </c>
      <c r="E70" s="24" t="s">
        <v>75</v>
      </c>
      <c r="F70" s="23" t="s">
        <v>13</v>
      </c>
      <c r="G70" s="30" t="s">
        <v>60</v>
      </c>
      <c r="H70" s="31"/>
      <c r="I70" s="25">
        <v>0</v>
      </c>
      <c r="J70" s="23" t="s">
        <v>13</v>
      </c>
      <c r="K70" s="25">
        <v>2</v>
      </c>
      <c r="L70" s="26"/>
      <c r="M70" s="27"/>
      <c r="N70" s="1"/>
    </row>
    <row r="71" spans="2:14" ht="15.75" customHeight="1">
      <c r="B71" s="32">
        <v>65</v>
      </c>
      <c r="C71" s="36" t="s">
        <v>141</v>
      </c>
      <c r="D71" s="23" t="s">
        <v>91</v>
      </c>
      <c r="E71" s="24" t="s">
        <v>76</v>
      </c>
      <c r="F71" s="23" t="s">
        <v>13</v>
      </c>
      <c r="G71" s="30" t="s">
        <v>84</v>
      </c>
      <c r="H71" s="31"/>
      <c r="I71" s="25">
        <v>0</v>
      </c>
      <c r="J71" s="23" t="s">
        <v>13</v>
      </c>
      <c r="K71" s="25">
        <v>1</v>
      </c>
      <c r="L71" s="26"/>
      <c r="M71" s="27"/>
      <c r="N71" s="1"/>
    </row>
    <row r="72" spans="2:14" ht="15.75" customHeight="1">
      <c r="B72" s="32">
        <v>66</v>
      </c>
      <c r="C72" s="36" t="s">
        <v>141</v>
      </c>
      <c r="D72" s="23" t="s">
        <v>91</v>
      </c>
      <c r="E72" s="24" t="s">
        <v>69</v>
      </c>
      <c r="F72" s="23" t="s">
        <v>13</v>
      </c>
      <c r="G72" s="30" t="s">
        <v>61</v>
      </c>
      <c r="H72" s="31"/>
      <c r="I72" s="25">
        <v>0</v>
      </c>
      <c r="J72" s="23" t="s">
        <v>13</v>
      </c>
      <c r="K72" s="25">
        <v>1</v>
      </c>
      <c r="L72" s="26"/>
      <c r="M72" s="27"/>
      <c r="N72" s="1"/>
    </row>
    <row r="73" spans="2:14" ht="15.75" customHeight="1">
      <c r="B73" s="32">
        <v>67</v>
      </c>
      <c r="C73" s="36" t="s">
        <v>142</v>
      </c>
      <c r="D73" s="23" t="s">
        <v>104</v>
      </c>
      <c r="E73" s="24" t="s">
        <v>88</v>
      </c>
      <c r="F73" s="23" t="s">
        <v>13</v>
      </c>
      <c r="G73" s="30" t="s">
        <v>65</v>
      </c>
      <c r="H73" s="31"/>
      <c r="I73" s="25">
        <v>0</v>
      </c>
      <c r="J73" s="23" t="s">
        <v>13</v>
      </c>
      <c r="K73" s="25">
        <v>1</v>
      </c>
      <c r="L73" s="26"/>
      <c r="M73" s="27"/>
      <c r="N73" s="1"/>
    </row>
    <row r="74" spans="2:14" ht="15.75" customHeight="1">
      <c r="B74" s="32">
        <v>68</v>
      </c>
      <c r="C74" s="36" t="s">
        <v>142</v>
      </c>
      <c r="D74" s="23" t="s">
        <v>104</v>
      </c>
      <c r="E74" s="24" t="s">
        <v>73</v>
      </c>
      <c r="F74" s="23" t="s">
        <v>13</v>
      </c>
      <c r="G74" s="30" t="s">
        <v>80</v>
      </c>
      <c r="H74" s="31"/>
      <c r="I74" s="25">
        <v>2</v>
      </c>
      <c r="J74" s="23" t="s">
        <v>13</v>
      </c>
      <c r="K74" s="25">
        <v>0</v>
      </c>
      <c r="L74" s="26"/>
      <c r="M74" s="27"/>
      <c r="N74" s="1"/>
    </row>
    <row r="75" spans="2:14" ht="15.75" customHeight="1">
      <c r="B75" s="32">
        <v>69</v>
      </c>
      <c r="C75" s="36" t="s">
        <v>143</v>
      </c>
      <c r="D75" s="23" t="s">
        <v>101</v>
      </c>
      <c r="E75" s="24" t="s">
        <v>78</v>
      </c>
      <c r="F75" s="23" t="s">
        <v>13</v>
      </c>
      <c r="G75" s="30" t="s">
        <v>71</v>
      </c>
      <c r="H75" s="31"/>
      <c r="I75" s="25">
        <v>0</v>
      </c>
      <c r="J75" s="23" t="s">
        <v>13</v>
      </c>
      <c r="K75" s="25">
        <v>1</v>
      </c>
      <c r="L75" s="26"/>
      <c r="M75" s="27"/>
      <c r="N75" s="1"/>
    </row>
    <row r="76" spans="2:14" ht="15.75" customHeight="1">
      <c r="B76" s="32">
        <v>70</v>
      </c>
      <c r="C76" s="36" t="s">
        <v>143</v>
      </c>
      <c r="D76" s="23" t="s">
        <v>101</v>
      </c>
      <c r="E76" s="24" t="s">
        <v>86</v>
      </c>
      <c r="F76" s="23" t="s">
        <v>13</v>
      </c>
      <c r="G76" s="30" t="s">
        <v>63</v>
      </c>
      <c r="H76" s="31"/>
      <c r="I76" s="25">
        <v>0</v>
      </c>
      <c r="J76" s="23" t="s">
        <v>13</v>
      </c>
      <c r="K76" s="25">
        <v>2</v>
      </c>
      <c r="L76" s="26"/>
      <c r="M76" s="27"/>
      <c r="N76" s="1"/>
    </row>
    <row r="77" spans="2:14" ht="15.75" customHeight="1">
      <c r="B77" s="32">
        <v>71</v>
      </c>
      <c r="C77" s="36" t="s">
        <v>144</v>
      </c>
      <c r="D77" s="23" t="s">
        <v>107</v>
      </c>
      <c r="E77" s="24" t="s">
        <v>72</v>
      </c>
      <c r="F77" s="23" t="s">
        <v>13</v>
      </c>
      <c r="G77" s="30" t="s">
        <v>64</v>
      </c>
      <c r="H77" s="31"/>
      <c r="I77" s="25">
        <v>0</v>
      </c>
      <c r="J77" s="23" t="s">
        <v>13</v>
      </c>
      <c r="K77" s="25">
        <v>1</v>
      </c>
      <c r="L77" s="26"/>
      <c r="M77" s="27"/>
      <c r="N77" s="1"/>
    </row>
    <row r="78" spans="2:14" ht="15.75" customHeight="1">
      <c r="B78" s="32">
        <v>72</v>
      </c>
      <c r="C78" s="36" t="s">
        <v>144</v>
      </c>
      <c r="D78" s="23" t="s">
        <v>107</v>
      </c>
      <c r="E78" s="24" t="s">
        <v>87</v>
      </c>
      <c r="F78" s="23" t="s">
        <v>13</v>
      </c>
      <c r="G78" s="30" t="s">
        <v>79</v>
      </c>
      <c r="H78" s="31"/>
      <c r="I78" s="25">
        <v>1</v>
      </c>
      <c r="J78" s="23" t="s">
        <v>13</v>
      </c>
      <c r="K78" s="25">
        <v>0</v>
      </c>
      <c r="L78" s="26"/>
      <c r="M78" s="27"/>
      <c r="N78" s="1"/>
    </row>
    <row r="79" spans="2:14" ht="15.75" customHeight="1">
      <c r="B79" s="1"/>
      <c r="C79" s="1"/>
      <c r="D79" s="2" t="s">
        <v>145</v>
      </c>
      <c r="E79" s="10" t="s">
        <v>26</v>
      </c>
      <c r="F79" s="5" t="s">
        <v>13</v>
      </c>
      <c r="G79" s="10" t="s">
        <v>62</v>
      </c>
      <c r="H79" s="1"/>
      <c r="I79" s="1"/>
      <c r="J79" s="1"/>
      <c r="K79" s="1"/>
      <c r="L79" s="14"/>
      <c r="M79" s="14"/>
      <c r="N79" s="15"/>
    </row>
    <row r="80" spans="2:14" ht="15.75" customHeight="1">
      <c r="B80" s="1"/>
      <c r="C80" s="37"/>
      <c r="D80" s="2" t="s">
        <v>146</v>
      </c>
      <c r="E80" s="11" t="s">
        <v>63</v>
      </c>
      <c r="F80" s="5" t="s">
        <v>13</v>
      </c>
      <c r="G80" s="11" t="s">
        <v>28</v>
      </c>
      <c r="H80" s="1"/>
      <c r="I80" s="1"/>
      <c r="J80" s="1"/>
      <c r="K80" s="1"/>
      <c r="L80" s="9"/>
      <c r="M80" s="9"/>
      <c r="N80" s="15"/>
    </row>
    <row r="81" spans="1:14" ht="15.75" customHeight="1">
      <c r="A81" s="1"/>
      <c r="B81" s="1"/>
      <c r="C81" s="37"/>
      <c r="D81" s="1"/>
      <c r="E81" s="1"/>
      <c r="F81" s="4"/>
      <c r="G81" s="1"/>
      <c r="H81" s="1"/>
      <c r="I81" s="1"/>
      <c r="J81" s="1"/>
      <c r="K81" s="4"/>
      <c r="L81" s="4"/>
      <c r="M81" s="4"/>
      <c r="N81" s="15"/>
    </row>
    <row r="82" spans="1:14" ht="15.75" customHeight="1">
      <c r="A82" s="1"/>
      <c r="B82" s="1"/>
      <c r="C82" s="37"/>
      <c r="D82" s="1"/>
      <c r="E82" s="1"/>
      <c r="F82" s="4"/>
      <c r="G82" s="1"/>
      <c r="H82" s="1"/>
      <c r="I82" s="1"/>
      <c r="J82" s="1"/>
      <c r="K82" s="4"/>
      <c r="L82" s="12" t="s">
        <v>147</v>
      </c>
      <c r="M82" s="8"/>
      <c r="N82" s="15"/>
    </row>
    <row r="83" spans="1:14" ht="15.75" customHeight="1">
      <c r="A83" s="1"/>
      <c r="B83" s="1"/>
      <c r="C83" s="37"/>
      <c r="D83" s="1"/>
      <c r="E83" s="1"/>
      <c r="F83" s="4"/>
      <c r="G83" s="1"/>
      <c r="H83" s="1"/>
      <c r="I83" s="1"/>
      <c r="J83" s="1"/>
      <c r="K83" s="4"/>
      <c r="L83" s="4"/>
      <c r="M83" s="4"/>
      <c r="N83" s="15"/>
    </row>
    <row r="84" spans="1:14" ht="15.75" customHeight="1">
      <c r="A84" s="2"/>
      <c r="B84" s="1"/>
      <c r="C84" s="37"/>
      <c r="D84" s="1"/>
      <c r="E84" s="1"/>
      <c r="F84" s="4"/>
      <c r="G84" s="5"/>
      <c r="H84" s="1"/>
      <c r="I84" s="1"/>
      <c r="J84" s="1"/>
      <c r="K84" s="4"/>
      <c r="L84" s="1"/>
      <c r="M84" s="1"/>
      <c r="N84" s="1"/>
    </row>
    <row r="85" spans="1:14" ht="15.75" customHeight="1">
      <c r="A85" s="2"/>
      <c r="B85" s="1"/>
      <c r="C85" s="37"/>
      <c r="D85" s="1"/>
      <c r="E85" s="1"/>
      <c r="F85" s="4"/>
      <c r="G85" s="5"/>
      <c r="H85" s="1"/>
      <c r="I85" s="1"/>
      <c r="J85" s="1"/>
      <c r="K85" s="4"/>
      <c r="L85" s="1"/>
      <c r="M85" s="1"/>
      <c r="N85" s="1"/>
    </row>
    <row r="86" spans="1:14" ht="15.75" customHeight="1">
      <c r="A86" s="2"/>
      <c r="B86" s="3"/>
      <c r="C86" s="38"/>
      <c r="D86" s="1"/>
      <c r="E86" s="1"/>
      <c r="F86" s="4"/>
      <c r="G86" s="5"/>
      <c r="H86" s="1"/>
      <c r="I86" s="1"/>
      <c r="J86" s="1"/>
      <c r="K86" s="4"/>
      <c r="L86" s="1"/>
      <c r="M86" s="1"/>
      <c r="N86" s="1"/>
    </row>
    <row r="87" spans="1:14" ht="15.75" customHeight="1">
      <c r="A87" s="2"/>
      <c r="B87" s="3"/>
      <c r="C87" s="38"/>
      <c r="D87" s="1"/>
      <c r="E87" s="1"/>
      <c r="F87" s="4"/>
      <c r="G87" s="5"/>
      <c r="H87" s="1"/>
      <c r="I87" s="1"/>
      <c r="J87" s="1"/>
      <c r="K87" s="4"/>
      <c r="L87" s="1"/>
      <c r="M87" s="1"/>
      <c r="N87" s="1"/>
    </row>
  </sheetData>
  <mergeCells count="1">
    <mergeCell ref="H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U87"/>
  <sheetViews>
    <sheetView workbookViewId="0"/>
  </sheetViews>
  <sheetFormatPr defaultRowHeight="15"/>
  <sheetData>
    <row r="2" spans="2:21" ht="15.75" customHeight="1">
      <c r="B2" s="1"/>
      <c r="C2" s="1"/>
      <c r="D2" s="1"/>
      <c r="E2" s="1"/>
      <c r="F2" s="1"/>
      <c r="G2" s="2" t="s">
        <v>0</v>
      </c>
      <c r="H2" s="292" t="s">
        <v>184</v>
      </c>
      <c r="I2" s="293"/>
      <c r="J2" s="293"/>
      <c r="K2" s="293"/>
      <c r="L2" s="293"/>
      <c r="M2" s="293"/>
      <c r="N2" s="4"/>
      <c r="O2" s="1"/>
      <c r="P2" s="1"/>
      <c r="Q2" s="1"/>
      <c r="R2" s="1"/>
      <c r="S2" s="1"/>
      <c r="T2" s="1"/>
      <c r="U2" s="1"/>
    </row>
    <row r="4" spans="2:21" ht="18" customHeight="1">
      <c r="B4" s="33" t="s">
        <v>2</v>
      </c>
      <c r="C4" s="1"/>
      <c r="D4" s="1"/>
      <c r="E4" s="1"/>
      <c r="F4" s="1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ht="15.75" customHeight="1">
      <c r="B5" s="1"/>
      <c r="C5" s="34"/>
      <c r="D5" s="1"/>
      <c r="E5" s="1"/>
      <c r="F5" s="1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 customHeight="1">
      <c r="B6" s="1"/>
      <c r="C6" s="35" t="s">
        <v>3</v>
      </c>
      <c r="D6" s="6" t="s">
        <v>4</v>
      </c>
      <c r="E6" s="7"/>
      <c r="F6" s="6" t="s">
        <v>5</v>
      </c>
      <c r="G6" s="7"/>
      <c r="H6" s="7"/>
      <c r="I6" s="7"/>
      <c r="J6" s="6" t="s">
        <v>6</v>
      </c>
      <c r="K6" s="6"/>
      <c r="L6" s="6" t="s">
        <v>7</v>
      </c>
      <c r="M6" s="6" t="s">
        <v>8</v>
      </c>
      <c r="N6" s="6"/>
      <c r="O6" s="20" t="s">
        <v>9</v>
      </c>
      <c r="P6" s="1"/>
      <c r="Q6" s="1"/>
      <c r="R6" s="1"/>
      <c r="S6" s="1"/>
      <c r="T6" s="1"/>
      <c r="U6" s="1"/>
    </row>
    <row r="7" spans="2:21" ht="16.5" customHeight="1">
      <c r="B7" s="32">
        <v>1</v>
      </c>
      <c r="C7" s="36" t="s">
        <v>10</v>
      </c>
      <c r="D7" s="23" t="s">
        <v>11</v>
      </c>
      <c r="E7" s="24" t="s">
        <v>12</v>
      </c>
      <c r="F7" s="23" t="s">
        <v>13</v>
      </c>
      <c r="G7" s="30" t="s">
        <v>14</v>
      </c>
      <c r="H7" s="31"/>
      <c r="I7" s="25">
        <v>2</v>
      </c>
      <c r="J7" s="23" t="s">
        <v>13</v>
      </c>
      <c r="K7" s="25">
        <v>0</v>
      </c>
      <c r="L7" s="26"/>
      <c r="M7" s="27"/>
      <c r="N7" s="15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 customHeight="1">
      <c r="B8" s="32">
        <v>2</v>
      </c>
      <c r="C8" s="36" t="s">
        <v>22</v>
      </c>
      <c r="D8" s="23" t="s">
        <v>11</v>
      </c>
      <c r="E8" s="24" t="s">
        <v>23</v>
      </c>
      <c r="F8" s="23" t="s">
        <v>13</v>
      </c>
      <c r="G8" s="30" t="s">
        <v>24</v>
      </c>
      <c r="H8" s="31"/>
      <c r="I8" s="25">
        <v>0</v>
      </c>
      <c r="J8" s="23" t="s">
        <v>13</v>
      </c>
      <c r="K8" s="25">
        <v>1</v>
      </c>
      <c r="L8" s="26"/>
      <c r="M8" s="27"/>
      <c r="N8" s="15"/>
      <c r="O8" s="16">
        <v>1</v>
      </c>
      <c r="P8" s="42" t="s">
        <v>24</v>
      </c>
      <c r="Q8" s="42" t="s">
        <v>32</v>
      </c>
      <c r="R8" s="42" t="s">
        <v>26</v>
      </c>
      <c r="S8" s="42" t="s">
        <v>35</v>
      </c>
      <c r="T8" s="42" t="s">
        <v>28</v>
      </c>
      <c r="U8" s="42" t="s">
        <v>29</v>
      </c>
    </row>
    <row r="9" spans="2:21" ht="15.75" customHeight="1">
      <c r="B9" s="32">
        <v>3</v>
      </c>
      <c r="C9" s="36" t="s">
        <v>30</v>
      </c>
      <c r="D9" s="23" t="s">
        <v>31</v>
      </c>
      <c r="E9" s="24" t="s">
        <v>32</v>
      </c>
      <c r="F9" s="23" t="s">
        <v>13</v>
      </c>
      <c r="G9" s="30" t="s">
        <v>33</v>
      </c>
      <c r="H9" s="31"/>
      <c r="I9" s="25">
        <v>2</v>
      </c>
      <c r="J9" s="23" t="s">
        <v>13</v>
      </c>
      <c r="K9" s="25">
        <v>1</v>
      </c>
      <c r="L9" s="26"/>
      <c r="M9" s="27"/>
      <c r="N9" s="15"/>
      <c r="O9" s="17">
        <v>2</v>
      </c>
      <c r="P9" s="42" t="s">
        <v>12</v>
      </c>
      <c r="Q9" s="42" t="s">
        <v>25</v>
      </c>
      <c r="R9" s="42" t="s">
        <v>41</v>
      </c>
      <c r="S9" s="42" t="s">
        <v>27</v>
      </c>
      <c r="T9" s="42" t="s">
        <v>36</v>
      </c>
      <c r="U9" s="42" t="s">
        <v>43</v>
      </c>
    </row>
    <row r="10" spans="2:21" ht="15.75" customHeight="1">
      <c r="B10" s="32">
        <v>4</v>
      </c>
      <c r="C10" s="36" t="s">
        <v>38</v>
      </c>
      <c r="D10" s="23" t="s">
        <v>39</v>
      </c>
      <c r="E10" s="24" t="s">
        <v>35</v>
      </c>
      <c r="F10" s="23" t="s">
        <v>13</v>
      </c>
      <c r="G10" s="30" t="s">
        <v>40</v>
      </c>
      <c r="H10" s="31"/>
      <c r="I10" s="25">
        <v>2</v>
      </c>
      <c r="J10" s="23" t="s">
        <v>13</v>
      </c>
      <c r="K10" s="25">
        <v>1</v>
      </c>
      <c r="L10" s="26"/>
      <c r="M10" s="27"/>
      <c r="N10" s="15"/>
      <c r="O10" s="17">
        <v>3</v>
      </c>
      <c r="P10" s="42" t="s">
        <v>23</v>
      </c>
      <c r="Q10" s="42" t="s">
        <v>33</v>
      </c>
      <c r="R10" s="42" t="s">
        <v>34</v>
      </c>
      <c r="S10" s="42" t="s">
        <v>40</v>
      </c>
      <c r="T10" s="42" t="s">
        <v>42</v>
      </c>
      <c r="U10" s="42" t="s">
        <v>37</v>
      </c>
    </row>
    <row r="11" spans="2:21" ht="15.75" customHeight="1">
      <c r="B11" s="32">
        <v>5</v>
      </c>
      <c r="C11" s="36" t="s">
        <v>44</v>
      </c>
      <c r="D11" s="23" t="s">
        <v>45</v>
      </c>
      <c r="E11" s="24" t="s">
        <v>46</v>
      </c>
      <c r="F11" s="23" t="s">
        <v>13</v>
      </c>
      <c r="G11" s="30" t="s">
        <v>34</v>
      </c>
      <c r="H11" s="31"/>
      <c r="I11" s="25">
        <v>0</v>
      </c>
      <c r="J11" s="23" t="s">
        <v>13</v>
      </c>
      <c r="K11" s="25">
        <v>2</v>
      </c>
      <c r="L11" s="26"/>
      <c r="M11" s="27"/>
      <c r="N11" s="15"/>
      <c r="O11" s="17">
        <v>4</v>
      </c>
      <c r="P11" s="42" t="s">
        <v>14</v>
      </c>
      <c r="Q11" s="42" t="s">
        <v>47</v>
      </c>
      <c r="R11" s="42" t="s">
        <v>46</v>
      </c>
      <c r="S11" s="42" t="s">
        <v>48</v>
      </c>
      <c r="T11" s="42" t="s">
        <v>49</v>
      </c>
      <c r="U11" s="42" t="s">
        <v>50</v>
      </c>
    </row>
    <row r="12" spans="2:21" ht="16.5" customHeight="1">
      <c r="B12" s="32">
        <v>6</v>
      </c>
      <c r="C12" s="36" t="s">
        <v>51</v>
      </c>
      <c r="D12" s="23" t="s">
        <v>39</v>
      </c>
      <c r="E12" s="24" t="s">
        <v>48</v>
      </c>
      <c r="F12" s="23" t="s">
        <v>13</v>
      </c>
      <c r="G12" s="30" t="s">
        <v>27</v>
      </c>
      <c r="H12" s="31"/>
      <c r="I12" s="25">
        <v>1</v>
      </c>
      <c r="J12" s="23" t="s">
        <v>13</v>
      </c>
      <c r="K12" s="25">
        <v>2</v>
      </c>
      <c r="L12" s="26"/>
      <c r="M12" s="27"/>
      <c r="N12" s="15"/>
      <c r="O12" s="1"/>
      <c r="P12" s="1"/>
      <c r="Q12" s="1"/>
      <c r="R12" s="1"/>
      <c r="S12" s="1"/>
      <c r="T12" s="1"/>
      <c r="U12" s="1"/>
    </row>
    <row r="13" spans="2:21" ht="16.5" customHeight="1">
      <c r="B13" s="32">
        <v>7</v>
      </c>
      <c r="C13" s="36" t="s">
        <v>52</v>
      </c>
      <c r="D13" s="23" t="s">
        <v>45</v>
      </c>
      <c r="E13" s="24" t="s">
        <v>26</v>
      </c>
      <c r="F13" s="23" t="s">
        <v>13</v>
      </c>
      <c r="G13" s="30" t="s">
        <v>41</v>
      </c>
      <c r="H13" s="31"/>
      <c r="I13" s="25">
        <v>1</v>
      </c>
      <c r="J13" s="23" t="s">
        <v>13</v>
      </c>
      <c r="K13" s="25">
        <v>0</v>
      </c>
      <c r="L13" s="26"/>
      <c r="M13" s="27"/>
      <c r="N13" s="15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 customHeight="1">
      <c r="B14" s="32">
        <v>8</v>
      </c>
      <c r="C14" s="36" t="s">
        <v>59</v>
      </c>
      <c r="D14" s="23" t="s">
        <v>31</v>
      </c>
      <c r="E14" s="24" t="s">
        <v>47</v>
      </c>
      <c r="F14" s="23" t="s">
        <v>13</v>
      </c>
      <c r="G14" s="30" t="s">
        <v>25</v>
      </c>
      <c r="H14" s="31"/>
      <c r="I14" s="25">
        <v>0</v>
      </c>
      <c r="J14" s="23" t="s">
        <v>13</v>
      </c>
      <c r="K14" s="25">
        <v>0</v>
      </c>
      <c r="L14" s="26"/>
      <c r="M14" s="27"/>
      <c r="N14" s="15"/>
      <c r="O14" s="16">
        <v>1</v>
      </c>
      <c r="P14" s="42" t="s">
        <v>60</v>
      </c>
      <c r="Q14" s="42" t="s">
        <v>61</v>
      </c>
      <c r="R14" s="42" t="s">
        <v>62</v>
      </c>
      <c r="S14" s="42" t="s">
        <v>63</v>
      </c>
      <c r="T14" s="42" t="s">
        <v>64</v>
      </c>
      <c r="U14" s="42" t="s">
        <v>65</v>
      </c>
    </row>
    <row r="15" spans="2:21" ht="15.75" customHeight="1">
      <c r="B15" s="32">
        <v>9</v>
      </c>
      <c r="C15" s="36" t="s">
        <v>66</v>
      </c>
      <c r="D15" s="23" t="s">
        <v>67</v>
      </c>
      <c r="E15" s="24" t="s">
        <v>42</v>
      </c>
      <c r="F15" s="23" t="s">
        <v>13</v>
      </c>
      <c r="G15" s="30" t="s">
        <v>36</v>
      </c>
      <c r="H15" s="31"/>
      <c r="I15" s="25">
        <v>1</v>
      </c>
      <c r="J15" s="23" t="s">
        <v>13</v>
      </c>
      <c r="K15" s="25">
        <v>1</v>
      </c>
      <c r="L15" s="26"/>
      <c r="M15" s="27"/>
      <c r="N15" s="15"/>
      <c r="O15" s="17">
        <v>2</v>
      </c>
      <c r="P15" s="42" t="s">
        <v>68</v>
      </c>
      <c r="Q15" s="42" t="s">
        <v>69</v>
      </c>
      <c r="R15" s="42" t="s">
        <v>70</v>
      </c>
      <c r="S15" s="42" t="s">
        <v>71</v>
      </c>
      <c r="T15" s="42" t="s">
        <v>72</v>
      </c>
      <c r="U15" s="42" t="s">
        <v>73</v>
      </c>
    </row>
    <row r="16" spans="2:21" ht="15.75" customHeight="1">
      <c r="B16" s="32">
        <v>10</v>
      </c>
      <c r="C16" s="36" t="s">
        <v>74</v>
      </c>
      <c r="D16" s="23" t="s">
        <v>67</v>
      </c>
      <c r="E16" s="24" t="s">
        <v>28</v>
      </c>
      <c r="F16" s="23" t="s">
        <v>13</v>
      </c>
      <c r="G16" s="30" t="s">
        <v>49</v>
      </c>
      <c r="H16" s="31"/>
      <c r="I16" s="25">
        <v>4</v>
      </c>
      <c r="J16" s="23" t="s">
        <v>13</v>
      </c>
      <c r="K16" s="25">
        <v>0</v>
      </c>
      <c r="L16" s="26"/>
      <c r="M16" s="27"/>
      <c r="N16" s="15"/>
      <c r="O16" s="17">
        <v>3</v>
      </c>
      <c r="P16" s="42" t="s">
        <v>83</v>
      </c>
      <c r="Q16" s="42" t="s">
        <v>84</v>
      </c>
      <c r="R16" s="42" t="s">
        <v>77</v>
      </c>
      <c r="S16" s="42" t="s">
        <v>78</v>
      </c>
      <c r="T16" s="42" t="s">
        <v>87</v>
      </c>
      <c r="U16" s="42" t="s">
        <v>80</v>
      </c>
    </row>
    <row r="17" spans="2:21" ht="15.75" customHeight="1">
      <c r="B17" s="32">
        <v>11</v>
      </c>
      <c r="C17" s="36" t="s">
        <v>81</v>
      </c>
      <c r="D17" s="23" t="s">
        <v>82</v>
      </c>
      <c r="E17" s="24" t="s">
        <v>29</v>
      </c>
      <c r="F17" s="23" t="s">
        <v>13</v>
      </c>
      <c r="G17" s="30" t="s">
        <v>43</v>
      </c>
      <c r="H17" s="31"/>
      <c r="I17" s="25">
        <v>2</v>
      </c>
      <c r="J17" s="23" t="s">
        <v>13</v>
      </c>
      <c r="K17" s="25">
        <v>1</v>
      </c>
      <c r="L17" s="26"/>
      <c r="M17" s="27"/>
      <c r="N17" s="15"/>
      <c r="O17" s="17">
        <v>4</v>
      </c>
      <c r="P17" s="42" t="s">
        <v>75</v>
      </c>
      <c r="Q17" s="42" t="s">
        <v>76</v>
      </c>
      <c r="R17" s="42" t="s">
        <v>85</v>
      </c>
      <c r="S17" s="42" t="s">
        <v>86</v>
      </c>
      <c r="T17" s="42" t="s">
        <v>79</v>
      </c>
      <c r="U17" s="42" t="s">
        <v>88</v>
      </c>
    </row>
    <row r="18" spans="2:21" ht="15.75" customHeight="1">
      <c r="B18" s="32">
        <v>12</v>
      </c>
      <c r="C18" s="36" t="s">
        <v>89</v>
      </c>
      <c r="D18" s="23" t="s">
        <v>82</v>
      </c>
      <c r="E18" s="24" t="s">
        <v>37</v>
      </c>
      <c r="F18" s="23" t="s">
        <v>13</v>
      </c>
      <c r="G18" s="30" t="s">
        <v>50</v>
      </c>
      <c r="H18" s="31"/>
      <c r="I18" s="25">
        <v>1</v>
      </c>
      <c r="J18" s="23" t="s">
        <v>13</v>
      </c>
      <c r="K18" s="25">
        <v>0</v>
      </c>
      <c r="L18" s="26"/>
      <c r="M18" s="27"/>
      <c r="N18" s="15"/>
      <c r="O18" s="1"/>
      <c r="P18" s="21"/>
      <c r="Q18" s="21"/>
      <c r="R18" s="21"/>
      <c r="S18" s="21"/>
      <c r="T18" s="21"/>
      <c r="U18" s="21"/>
    </row>
    <row r="19" spans="2:21" ht="15.75" customHeight="1">
      <c r="B19" s="32">
        <v>13</v>
      </c>
      <c r="C19" s="36" t="s">
        <v>90</v>
      </c>
      <c r="D19" s="23" t="s">
        <v>91</v>
      </c>
      <c r="E19" s="24" t="s">
        <v>84</v>
      </c>
      <c r="F19" s="23" t="s">
        <v>13</v>
      </c>
      <c r="G19" s="30" t="s">
        <v>69</v>
      </c>
      <c r="H19" s="31"/>
      <c r="I19" s="25">
        <v>0</v>
      </c>
      <c r="J19" s="23" t="s">
        <v>13</v>
      </c>
      <c r="K19" s="25">
        <v>1</v>
      </c>
      <c r="L19" s="26"/>
      <c r="M19" s="27"/>
      <c r="N19" s="15"/>
      <c r="O19" s="1"/>
      <c r="P19" s="1"/>
      <c r="Q19" s="1"/>
      <c r="R19" s="1"/>
      <c r="S19" s="1"/>
      <c r="T19" s="1"/>
      <c r="U19" s="1"/>
    </row>
    <row r="20" spans="2:21" ht="16.5" customHeight="1">
      <c r="B20" s="32">
        <v>14</v>
      </c>
      <c r="C20" s="36" t="s">
        <v>92</v>
      </c>
      <c r="D20" s="23" t="s">
        <v>91</v>
      </c>
      <c r="E20" s="24" t="s">
        <v>61</v>
      </c>
      <c r="F20" s="23" t="s">
        <v>13</v>
      </c>
      <c r="G20" s="30" t="s">
        <v>76</v>
      </c>
      <c r="H20" s="31"/>
      <c r="I20" s="25">
        <v>4</v>
      </c>
      <c r="J20" s="23" t="s">
        <v>13</v>
      </c>
      <c r="K20" s="25">
        <v>0</v>
      </c>
      <c r="L20" s="26"/>
      <c r="M20" s="27"/>
      <c r="N20" s="15"/>
      <c r="O20" s="13" t="s">
        <v>93</v>
      </c>
      <c r="P20" s="1"/>
      <c r="Q20" s="1"/>
      <c r="R20" s="1"/>
      <c r="S20" s="1"/>
      <c r="T20" s="1"/>
      <c r="U20" s="1"/>
    </row>
    <row r="21" spans="2:21" ht="16.5" customHeight="1">
      <c r="B21" s="32">
        <v>15</v>
      </c>
      <c r="C21" s="36" t="s">
        <v>94</v>
      </c>
      <c r="D21" s="23" t="s">
        <v>95</v>
      </c>
      <c r="E21" s="24" t="s">
        <v>83</v>
      </c>
      <c r="F21" s="23" t="s">
        <v>13</v>
      </c>
      <c r="G21" s="30" t="s">
        <v>75</v>
      </c>
      <c r="H21" s="31"/>
      <c r="I21" s="25">
        <v>1</v>
      </c>
      <c r="J21" s="23" t="s">
        <v>13</v>
      </c>
      <c r="K21" s="25">
        <v>0</v>
      </c>
      <c r="L21" s="26"/>
      <c r="M21" s="27"/>
      <c r="N21" s="15"/>
      <c r="O21" s="1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 customHeight="1">
      <c r="B22" s="32">
        <v>16</v>
      </c>
      <c r="C22" s="36" t="s">
        <v>96</v>
      </c>
      <c r="D22" s="23" t="s">
        <v>95</v>
      </c>
      <c r="E22" s="24" t="s">
        <v>60</v>
      </c>
      <c r="F22" s="23" t="s">
        <v>13</v>
      </c>
      <c r="G22" s="30" t="s">
        <v>68</v>
      </c>
      <c r="H22" s="31"/>
      <c r="I22" s="25">
        <v>2</v>
      </c>
      <c r="J22" s="23" t="s">
        <v>13</v>
      </c>
      <c r="K22" s="25">
        <v>1</v>
      </c>
      <c r="L22" s="26"/>
      <c r="M22" s="27"/>
      <c r="N22" s="15"/>
      <c r="O22" s="1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 customHeight="1">
      <c r="B23" s="32">
        <v>17</v>
      </c>
      <c r="C23" s="36" t="s">
        <v>97</v>
      </c>
      <c r="D23" s="23" t="s">
        <v>98</v>
      </c>
      <c r="E23" s="24" t="s">
        <v>62</v>
      </c>
      <c r="F23" s="23" t="s">
        <v>13</v>
      </c>
      <c r="G23" s="30" t="s">
        <v>77</v>
      </c>
      <c r="H23" s="31"/>
      <c r="I23" s="25">
        <v>2</v>
      </c>
      <c r="J23" s="23" t="s">
        <v>13</v>
      </c>
      <c r="K23" s="25">
        <v>0</v>
      </c>
      <c r="L23" s="26"/>
      <c r="M23" s="27"/>
      <c r="N23" s="15"/>
      <c r="O23" s="1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 customHeight="1">
      <c r="B24" s="32">
        <v>18</v>
      </c>
      <c r="C24" s="36" t="s">
        <v>99</v>
      </c>
      <c r="D24" s="23" t="s">
        <v>98</v>
      </c>
      <c r="E24" s="24" t="s">
        <v>85</v>
      </c>
      <c r="F24" s="23" t="s">
        <v>13</v>
      </c>
      <c r="G24" s="30" t="s">
        <v>70</v>
      </c>
      <c r="H24" s="31"/>
      <c r="I24" s="25">
        <v>0</v>
      </c>
      <c r="J24" s="23" t="s">
        <v>13</v>
      </c>
      <c r="K24" s="25">
        <v>2</v>
      </c>
      <c r="L24" s="26"/>
      <c r="M24" s="27"/>
      <c r="N24" s="15"/>
      <c r="O24" s="1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 customHeight="1">
      <c r="B25" s="32">
        <v>19</v>
      </c>
      <c r="C25" s="36" t="s">
        <v>100</v>
      </c>
      <c r="D25" s="23" t="s">
        <v>101</v>
      </c>
      <c r="E25" s="24" t="s">
        <v>63</v>
      </c>
      <c r="F25" s="23" t="s">
        <v>13</v>
      </c>
      <c r="G25" s="30" t="s">
        <v>78</v>
      </c>
      <c r="H25" s="31"/>
      <c r="I25" s="25">
        <v>2</v>
      </c>
      <c r="J25" s="23" t="s">
        <v>13</v>
      </c>
      <c r="K25" s="25">
        <v>0</v>
      </c>
      <c r="L25" s="26"/>
      <c r="M25" s="27"/>
      <c r="N25" s="15"/>
      <c r="O25" s="1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customHeight="1">
      <c r="B26" s="32">
        <v>20</v>
      </c>
      <c r="C26" s="36" t="s">
        <v>102</v>
      </c>
      <c r="D26" s="23" t="s">
        <v>101</v>
      </c>
      <c r="E26" s="24" t="s">
        <v>71</v>
      </c>
      <c r="F26" s="23" t="s">
        <v>13</v>
      </c>
      <c r="G26" s="30" t="s">
        <v>86</v>
      </c>
      <c r="H26" s="31"/>
      <c r="I26" s="25">
        <v>1</v>
      </c>
      <c r="J26" s="23" t="s">
        <v>13</v>
      </c>
      <c r="K26" s="25">
        <v>0</v>
      </c>
      <c r="L26" s="26"/>
      <c r="M26" s="27"/>
      <c r="N26" s="15"/>
      <c r="O26" s="1"/>
      <c r="P26" s="1"/>
      <c r="Q26" s="1"/>
      <c r="R26" s="1"/>
      <c r="S26" s="1"/>
      <c r="T26" s="1"/>
      <c r="U26" s="1"/>
    </row>
    <row r="27" spans="2:21" ht="16.5" customHeight="1">
      <c r="B27" s="32">
        <v>21</v>
      </c>
      <c r="C27" s="36" t="s">
        <v>103</v>
      </c>
      <c r="D27" s="23" t="s">
        <v>104</v>
      </c>
      <c r="E27" s="24" t="s">
        <v>80</v>
      </c>
      <c r="F27" s="23" t="s">
        <v>13</v>
      </c>
      <c r="G27" s="30" t="s">
        <v>88</v>
      </c>
      <c r="H27" s="31"/>
      <c r="I27" s="25">
        <v>2</v>
      </c>
      <c r="J27" s="23" t="s">
        <v>13</v>
      </c>
      <c r="K27" s="25">
        <v>0</v>
      </c>
      <c r="L27" s="26"/>
      <c r="M27" s="27"/>
      <c r="N27" s="15"/>
      <c r="O27" s="1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 customHeight="1">
      <c r="B28" s="32">
        <v>22</v>
      </c>
      <c r="C28" s="36" t="s">
        <v>105</v>
      </c>
      <c r="D28" s="23" t="s">
        <v>104</v>
      </c>
      <c r="E28" s="24" t="s">
        <v>65</v>
      </c>
      <c r="F28" s="23" t="s">
        <v>13</v>
      </c>
      <c r="G28" s="30" t="s">
        <v>73</v>
      </c>
      <c r="H28" s="31"/>
      <c r="I28" s="25">
        <v>2</v>
      </c>
      <c r="J28" s="23" t="s">
        <v>13</v>
      </c>
      <c r="K28" s="25">
        <v>1</v>
      </c>
      <c r="L28" s="26"/>
      <c r="M28" s="27"/>
      <c r="N28" s="15"/>
      <c r="O28" s="1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 customHeight="1">
      <c r="B29" s="32">
        <v>23</v>
      </c>
      <c r="C29" s="36" t="s">
        <v>106</v>
      </c>
      <c r="D29" s="23" t="s">
        <v>107</v>
      </c>
      <c r="E29" s="24" t="s">
        <v>64</v>
      </c>
      <c r="F29" s="23" t="s">
        <v>13</v>
      </c>
      <c r="G29" s="30" t="s">
        <v>87</v>
      </c>
      <c r="H29" s="31"/>
      <c r="I29" s="25">
        <v>3</v>
      </c>
      <c r="J29" s="23" t="s">
        <v>13</v>
      </c>
      <c r="K29" s="25">
        <v>0</v>
      </c>
      <c r="L29" s="26"/>
      <c r="M29" s="27"/>
      <c r="N29" s="15"/>
      <c r="O29" s="1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 customHeight="1">
      <c r="B30" s="32">
        <v>24</v>
      </c>
      <c r="C30" s="36" t="s">
        <v>108</v>
      </c>
      <c r="D30" s="23" t="s">
        <v>107</v>
      </c>
      <c r="E30" s="24" t="s">
        <v>79</v>
      </c>
      <c r="F30" s="23" t="s">
        <v>13</v>
      </c>
      <c r="G30" s="30" t="s">
        <v>72</v>
      </c>
      <c r="H30" s="31"/>
      <c r="I30" s="25">
        <v>0</v>
      </c>
      <c r="J30" s="23" t="s">
        <v>13</v>
      </c>
      <c r="K30" s="25">
        <v>2</v>
      </c>
      <c r="L30" s="26"/>
      <c r="M30" s="27"/>
      <c r="N30" s="15"/>
      <c r="O30" s="1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 customHeight="1">
      <c r="B31" s="32">
        <v>25</v>
      </c>
      <c r="C31" s="36" t="s">
        <v>109</v>
      </c>
      <c r="D31" s="23" t="s">
        <v>11</v>
      </c>
      <c r="E31" s="24" t="s">
        <v>24</v>
      </c>
      <c r="F31" s="23" t="s">
        <v>13</v>
      </c>
      <c r="G31" s="30" t="s">
        <v>14</v>
      </c>
      <c r="H31" s="31"/>
      <c r="I31" s="25">
        <v>2</v>
      </c>
      <c r="J31" s="23" t="s">
        <v>13</v>
      </c>
      <c r="K31" s="25">
        <v>0</v>
      </c>
      <c r="L31" s="26"/>
      <c r="M31" s="27"/>
      <c r="N31" s="15"/>
      <c r="O31" s="1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 customHeight="1">
      <c r="B32" s="32">
        <v>26</v>
      </c>
      <c r="C32" s="36" t="s">
        <v>110</v>
      </c>
      <c r="D32" s="23" t="s">
        <v>31</v>
      </c>
      <c r="E32" s="24" t="s">
        <v>25</v>
      </c>
      <c r="F32" s="23" t="s">
        <v>13</v>
      </c>
      <c r="G32" s="30" t="s">
        <v>33</v>
      </c>
      <c r="H32" s="31"/>
      <c r="I32" s="25">
        <v>1</v>
      </c>
      <c r="J32" s="23" t="s">
        <v>13</v>
      </c>
      <c r="K32" s="25">
        <v>1</v>
      </c>
      <c r="L32" s="26"/>
      <c r="M32" s="27"/>
      <c r="N32" s="15"/>
      <c r="O32" s="1"/>
      <c r="P32" s="1"/>
      <c r="Q32" s="1"/>
      <c r="R32" s="1"/>
      <c r="S32" s="1"/>
      <c r="T32" s="1"/>
      <c r="U32" s="1"/>
    </row>
    <row r="33" spans="2:14" ht="15.75" customHeight="1">
      <c r="B33" s="32">
        <v>27</v>
      </c>
      <c r="C33" s="36" t="s">
        <v>111</v>
      </c>
      <c r="D33" s="23" t="s">
        <v>31</v>
      </c>
      <c r="E33" s="24" t="s">
        <v>32</v>
      </c>
      <c r="F33" s="23" t="s">
        <v>13</v>
      </c>
      <c r="G33" s="30" t="s">
        <v>47</v>
      </c>
      <c r="H33" s="31"/>
      <c r="I33" s="25">
        <v>2</v>
      </c>
      <c r="J33" s="23" t="s">
        <v>13</v>
      </c>
      <c r="K33" s="25">
        <v>0</v>
      </c>
      <c r="L33" s="26"/>
      <c r="M33" s="27"/>
      <c r="N33" s="15"/>
    </row>
    <row r="34" spans="2:14" ht="15.75" customHeight="1">
      <c r="B34" s="32">
        <v>28</v>
      </c>
      <c r="C34" s="36" t="s">
        <v>112</v>
      </c>
      <c r="D34" s="23" t="s">
        <v>11</v>
      </c>
      <c r="E34" s="24" t="s">
        <v>12</v>
      </c>
      <c r="F34" s="23" t="s">
        <v>13</v>
      </c>
      <c r="G34" s="30" t="s">
        <v>23</v>
      </c>
      <c r="H34" s="31"/>
      <c r="I34" s="25">
        <v>1</v>
      </c>
      <c r="J34" s="23" t="s">
        <v>13</v>
      </c>
      <c r="K34" s="25">
        <v>1</v>
      </c>
      <c r="L34" s="26"/>
      <c r="M34" s="27"/>
      <c r="N34" s="15"/>
    </row>
    <row r="35" spans="2:14" ht="15.75" customHeight="1">
      <c r="B35" s="32">
        <v>29</v>
      </c>
      <c r="C35" s="36" t="s">
        <v>113</v>
      </c>
      <c r="D35" s="23" t="s">
        <v>45</v>
      </c>
      <c r="E35" s="24" t="s">
        <v>26</v>
      </c>
      <c r="F35" s="23" t="s">
        <v>13</v>
      </c>
      <c r="G35" s="30" t="s">
        <v>46</v>
      </c>
      <c r="H35" s="31"/>
      <c r="I35" s="25">
        <v>4</v>
      </c>
      <c r="J35" s="23" t="s">
        <v>13</v>
      </c>
      <c r="K35" s="25">
        <v>0</v>
      </c>
      <c r="L35" s="26"/>
      <c r="M35" s="27"/>
      <c r="N35" s="15"/>
    </row>
    <row r="36" spans="2:14" ht="15.75" customHeight="1">
      <c r="B36" s="32">
        <v>30</v>
      </c>
      <c r="C36" s="36" t="s">
        <v>114</v>
      </c>
      <c r="D36" s="23" t="s">
        <v>45</v>
      </c>
      <c r="E36" s="24" t="s">
        <v>34</v>
      </c>
      <c r="F36" s="23" t="s">
        <v>13</v>
      </c>
      <c r="G36" s="30" t="s">
        <v>41</v>
      </c>
      <c r="H36" s="31"/>
      <c r="I36" s="25">
        <v>0</v>
      </c>
      <c r="J36" s="23" t="s">
        <v>13</v>
      </c>
      <c r="K36" s="25">
        <v>0</v>
      </c>
      <c r="L36" s="26"/>
      <c r="M36" s="27"/>
      <c r="N36" s="15"/>
    </row>
    <row r="37" spans="2:14" ht="15.75" customHeight="1">
      <c r="B37" s="32">
        <v>31</v>
      </c>
      <c r="C37" s="36" t="s">
        <v>115</v>
      </c>
      <c r="D37" s="23" t="s">
        <v>39</v>
      </c>
      <c r="E37" s="24" t="s">
        <v>27</v>
      </c>
      <c r="F37" s="23" t="s">
        <v>13</v>
      </c>
      <c r="G37" s="30" t="s">
        <v>40</v>
      </c>
      <c r="H37" s="31"/>
      <c r="I37" s="25">
        <v>1</v>
      </c>
      <c r="J37" s="23" t="s">
        <v>13</v>
      </c>
      <c r="K37" s="25">
        <v>1</v>
      </c>
      <c r="L37" s="26"/>
      <c r="M37" s="27"/>
      <c r="N37" s="15"/>
    </row>
    <row r="38" spans="2:14" ht="15.75" customHeight="1">
      <c r="B38" s="32">
        <v>32</v>
      </c>
      <c r="C38" s="36" t="s">
        <v>116</v>
      </c>
      <c r="D38" s="23" t="s">
        <v>39</v>
      </c>
      <c r="E38" s="24" t="s">
        <v>35</v>
      </c>
      <c r="F38" s="23" t="s">
        <v>13</v>
      </c>
      <c r="G38" s="30" t="s">
        <v>48</v>
      </c>
      <c r="H38" s="31"/>
      <c r="I38" s="25">
        <v>3</v>
      </c>
      <c r="J38" s="23" t="s">
        <v>13</v>
      </c>
      <c r="K38" s="25">
        <v>1</v>
      </c>
      <c r="L38" s="26"/>
      <c r="M38" s="27"/>
      <c r="N38" s="15"/>
    </row>
    <row r="39" spans="2:14" ht="15.75" customHeight="1">
      <c r="B39" s="32">
        <v>33</v>
      </c>
      <c r="C39" s="36" t="s">
        <v>117</v>
      </c>
      <c r="D39" s="23" t="s">
        <v>67</v>
      </c>
      <c r="E39" s="24" t="s">
        <v>28</v>
      </c>
      <c r="F39" s="23" t="s">
        <v>13</v>
      </c>
      <c r="G39" s="30" t="s">
        <v>42</v>
      </c>
      <c r="H39" s="31"/>
      <c r="I39" s="25">
        <v>2</v>
      </c>
      <c r="J39" s="23" t="s">
        <v>13</v>
      </c>
      <c r="K39" s="25">
        <v>0</v>
      </c>
      <c r="L39" s="26"/>
      <c r="M39" s="27"/>
      <c r="N39" s="15"/>
    </row>
    <row r="40" spans="2:14" ht="15.75" customHeight="1">
      <c r="B40" s="32">
        <v>34</v>
      </c>
      <c r="C40" s="36" t="s">
        <v>118</v>
      </c>
      <c r="D40" s="23" t="s">
        <v>67</v>
      </c>
      <c r="E40" s="24" t="s">
        <v>36</v>
      </c>
      <c r="F40" s="23" t="s">
        <v>13</v>
      </c>
      <c r="G40" s="30" t="s">
        <v>49</v>
      </c>
      <c r="H40" s="31"/>
      <c r="I40" s="25">
        <v>2</v>
      </c>
      <c r="J40" s="23" t="s">
        <v>13</v>
      </c>
      <c r="K40" s="25">
        <v>0</v>
      </c>
      <c r="L40" s="26"/>
      <c r="M40" s="27"/>
      <c r="N40" s="15"/>
    </row>
    <row r="41" spans="2:14" ht="15.75" customHeight="1">
      <c r="B41" s="32">
        <v>35</v>
      </c>
      <c r="C41" s="36" t="s">
        <v>119</v>
      </c>
      <c r="D41" s="23" t="s">
        <v>82</v>
      </c>
      <c r="E41" s="24" t="s">
        <v>29</v>
      </c>
      <c r="F41" s="23" t="s">
        <v>13</v>
      </c>
      <c r="G41" s="30" t="s">
        <v>37</v>
      </c>
      <c r="H41" s="31"/>
      <c r="I41" s="25">
        <v>2</v>
      </c>
      <c r="J41" s="23" t="s">
        <v>13</v>
      </c>
      <c r="K41" s="25">
        <v>0</v>
      </c>
      <c r="L41" s="26"/>
      <c r="M41" s="27"/>
      <c r="N41" s="15"/>
    </row>
    <row r="42" spans="2:14" ht="15.75" customHeight="1">
      <c r="B42" s="32">
        <v>36</v>
      </c>
      <c r="C42" s="36" t="s">
        <v>120</v>
      </c>
      <c r="D42" s="23" t="s">
        <v>82</v>
      </c>
      <c r="E42" s="24" t="s">
        <v>50</v>
      </c>
      <c r="F42" s="23" t="s">
        <v>13</v>
      </c>
      <c r="G42" s="30" t="s">
        <v>43</v>
      </c>
      <c r="H42" s="31"/>
      <c r="I42" s="25">
        <v>0</v>
      </c>
      <c r="J42" s="23" t="s">
        <v>13</v>
      </c>
      <c r="K42" s="25">
        <v>2</v>
      </c>
      <c r="L42" s="26"/>
      <c r="M42" s="27"/>
      <c r="N42" s="15"/>
    </row>
    <row r="43" spans="2:14" ht="15.75" customHeight="1">
      <c r="B43" s="32">
        <v>37</v>
      </c>
      <c r="C43" s="36" t="s">
        <v>121</v>
      </c>
      <c r="D43" s="23" t="s">
        <v>91</v>
      </c>
      <c r="E43" s="24" t="s">
        <v>69</v>
      </c>
      <c r="F43" s="23" t="s">
        <v>13</v>
      </c>
      <c r="G43" s="30" t="s">
        <v>76</v>
      </c>
      <c r="H43" s="31"/>
      <c r="I43" s="25">
        <v>1</v>
      </c>
      <c r="J43" s="23" t="s">
        <v>13</v>
      </c>
      <c r="K43" s="25">
        <v>0</v>
      </c>
      <c r="L43" s="26"/>
      <c r="M43" s="27"/>
      <c r="N43" s="1"/>
    </row>
    <row r="44" spans="2:14" ht="15.75" customHeight="1">
      <c r="B44" s="32">
        <v>38</v>
      </c>
      <c r="C44" s="36" t="s">
        <v>122</v>
      </c>
      <c r="D44" s="23" t="s">
        <v>91</v>
      </c>
      <c r="E44" s="24" t="s">
        <v>61</v>
      </c>
      <c r="F44" s="23" t="s">
        <v>13</v>
      </c>
      <c r="G44" s="30" t="s">
        <v>84</v>
      </c>
      <c r="H44" s="31"/>
      <c r="I44" s="25">
        <v>2</v>
      </c>
      <c r="J44" s="23" t="s">
        <v>13</v>
      </c>
      <c r="K44" s="25">
        <v>0</v>
      </c>
      <c r="L44" s="26"/>
      <c r="M44" s="27"/>
      <c r="N44" s="1"/>
    </row>
    <row r="45" spans="2:14" ht="15.75" customHeight="1">
      <c r="B45" s="32">
        <v>39</v>
      </c>
      <c r="C45" s="36" t="s">
        <v>123</v>
      </c>
      <c r="D45" s="23" t="s">
        <v>95</v>
      </c>
      <c r="E45" s="24" t="s">
        <v>60</v>
      </c>
      <c r="F45" s="23" t="s">
        <v>13</v>
      </c>
      <c r="G45" s="30" t="s">
        <v>83</v>
      </c>
      <c r="H45" s="31"/>
      <c r="I45" s="25">
        <v>3</v>
      </c>
      <c r="J45" s="23" t="s">
        <v>13</v>
      </c>
      <c r="K45" s="25">
        <v>0</v>
      </c>
      <c r="L45" s="26"/>
      <c r="M45" s="27"/>
      <c r="N45" s="1"/>
    </row>
    <row r="46" spans="2:14" ht="15.75" customHeight="1">
      <c r="B46" s="32">
        <v>40</v>
      </c>
      <c r="C46" s="36" t="s">
        <v>124</v>
      </c>
      <c r="D46" s="23" t="s">
        <v>95</v>
      </c>
      <c r="E46" s="24" t="s">
        <v>75</v>
      </c>
      <c r="F46" s="23" t="s">
        <v>13</v>
      </c>
      <c r="G46" s="30" t="s">
        <v>68</v>
      </c>
      <c r="H46" s="31"/>
      <c r="I46" s="25">
        <v>0</v>
      </c>
      <c r="J46" s="23" t="s">
        <v>13</v>
      </c>
      <c r="K46" s="25">
        <v>2</v>
      </c>
      <c r="L46" s="26"/>
      <c r="M46" s="27"/>
      <c r="N46" s="1"/>
    </row>
    <row r="47" spans="2:14" ht="15.75" customHeight="1">
      <c r="B47" s="32">
        <v>41</v>
      </c>
      <c r="C47" s="36" t="s">
        <v>125</v>
      </c>
      <c r="D47" s="23" t="s">
        <v>98</v>
      </c>
      <c r="E47" s="24" t="s">
        <v>70</v>
      </c>
      <c r="F47" s="23" t="s">
        <v>13</v>
      </c>
      <c r="G47" s="30" t="s">
        <v>77</v>
      </c>
      <c r="H47" s="31"/>
      <c r="I47" s="25">
        <v>2</v>
      </c>
      <c r="J47" s="23" t="s">
        <v>13</v>
      </c>
      <c r="K47" s="25">
        <v>1</v>
      </c>
      <c r="L47" s="26"/>
      <c r="M47" s="27"/>
      <c r="N47" s="1"/>
    </row>
    <row r="48" spans="2:14" ht="15.75" customHeight="1">
      <c r="B48" s="32">
        <v>42</v>
      </c>
      <c r="C48" s="36" t="s">
        <v>126</v>
      </c>
      <c r="D48" s="23" t="s">
        <v>98</v>
      </c>
      <c r="E48" s="24" t="s">
        <v>62</v>
      </c>
      <c r="F48" s="23" t="s">
        <v>13</v>
      </c>
      <c r="G48" s="30" t="s">
        <v>85</v>
      </c>
      <c r="H48" s="31"/>
      <c r="I48" s="25">
        <v>2</v>
      </c>
      <c r="J48" s="23" t="s">
        <v>13</v>
      </c>
      <c r="K48" s="25">
        <v>0</v>
      </c>
      <c r="L48" s="26"/>
      <c r="M48" s="27"/>
      <c r="N48" s="1"/>
    </row>
    <row r="49" spans="2:13" ht="15.75" customHeight="1">
      <c r="B49" s="32">
        <v>43</v>
      </c>
      <c r="C49" s="36" t="s">
        <v>127</v>
      </c>
      <c r="D49" s="23" t="s">
        <v>101</v>
      </c>
      <c r="E49" s="24" t="s">
        <v>63</v>
      </c>
      <c r="F49" s="23" t="s">
        <v>13</v>
      </c>
      <c r="G49" s="30" t="s">
        <v>71</v>
      </c>
      <c r="H49" s="31"/>
      <c r="I49" s="25">
        <v>2</v>
      </c>
      <c r="J49" s="23" t="s">
        <v>13</v>
      </c>
      <c r="K49" s="25">
        <v>1</v>
      </c>
      <c r="L49" s="26"/>
      <c r="M49" s="27"/>
    </row>
    <row r="50" spans="2:13" ht="15.75" customHeight="1">
      <c r="B50" s="32">
        <v>44</v>
      </c>
      <c r="C50" s="36" t="s">
        <v>128</v>
      </c>
      <c r="D50" s="23" t="s">
        <v>101</v>
      </c>
      <c r="E50" s="24" t="s">
        <v>86</v>
      </c>
      <c r="F50" s="23" t="s">
        <v>13</v>
      </c>
      <c r="G50" s="30" t="s">
        <v>78</v>
      </c>
      <c r="H50" s="31"/>
      <c r="I50" s="25">
        <v>0</v>
      </c>
      <c r="J50" s="23" t="s">
        <v>13</v>
      </c>
      <c r="K50" s="25">
        <v>1</v>
      </c>
      <c r="L50" s="26"/>
      <c r="M50" s="27"/>
    </row>
    <row r="51" spans="2:13" ht="15.75" customHeight="1">
      <c r="B51" s="32">
        <v>45</v>
      </c>
      <c r="C51" s="36" t="s">
        <v>129</v>
      </c>
      <c r="D51" s="23" t="s">
        <v>104</v>
      </c>
      <c r="E51" s="24" t="s">
        <v>65</v>
      </c>
      <c r="F51" s="23" t="s">
        <v>13</v>
      </c>
      <c r="G51" s="30" t="s">
        <v>80</v>
      </c>
      <c r="H51" s="31"/>
      <c r="I51" s="25">
        <v>2</v>
      </c>
      <c r="J51" s="23" t="s">
        <v>13</v>
      </c>
      <c r="K51" s="25">
        <v>0</v>
      </c>
      <c r="L51" s="26"/>
      <c r="M51" s="27"/>
    </row>
    <row r="52" spans="2:13" ht="15.75" customHeight="1">
      <c r="B52" s="32">
        <v>46</v>
      </c>
      <c r="C52" s="36" t="s">
        <v>130</v>
      </c>
      <c r="D52" s="23" t="s">
        <v>104</v>
      </c>
      <c r="E52" s="24" t="s">
        <v>88</v>
      </c>
      <c r="F52" s="23" t="s">
        <v>13</v>
      </c>
      <c r="G52" s="30" t="s">
        <v>73</v>
      </c>
      <c r="H52" s="31"/>
      <c r="I52" s="25">
        <v>0</v>
      </c>
      <c r="J52" s="23" t="s">
        <v>13</v>
      </c>
      <c r="K52" s="25">
        <v>2</v>
      </c>
      <c r="L52" s="26"/>
      <c r="M52" s="27"/>
    </row>
    <row r="53" spans="2:13" ht="15.75" customHeight="1">
      <c r="B53" s="32">
        <v>47</v>
      </c>
      <c r="C53" s="36" t="s">
        <v>131</v>
      </c>
      <c r="D53" s="23" t="s">
        <v>107</v>
      </c>
      <c r="E53" s="24" t="s">
        <v>64</v>
      </c>
      <c r="F53" s="23" t="s">
        <v>13</v>
      </c>
      <c r="G53" s="30" t="s">
        <v>79</v>
      </c>
      <c r="H53" s="31"/>
      <c r="I53" s="25">
        <v>3</v>
      </c>
      <c r="J53" s="23" t="s">
        <v>13</v>
      </c>
      <c r="K53" s="25">
        <v>0</v>
      </c>
      <c r="L53" s="26"/>
      <c r="M53" s="27"/>
    </row>
    <row r="54" spans="2:13" ht="15.75" customHeight="1">
      <c r="B54" s="32">
        <v>48</v>
      </c>
      <c r="C54" s="36" t="s">
        <v>132</v>
      </c>
      <c r="D54" s="23" t="s">
        <v>107</v>
      </c>
      <c r="E54" s="24" t="s">
        <v>72</v>
      </c>
      <c r="F54" s="23" t="s">
        <v>13</v>
      </c>
      <c r="G54" s="30" t="s">
        <v>87</v>
      </c>
      <c r="H54" s="31"/>
      <c r="I54" s="25">
        <v>2</v>
      </c>
      <c r="J54" s="23" t="s">
        <v>13</v>
      </c>
      <c r="K54" s="25">
        <v>1</v>
      </c>
      <c r="L54" s="26"/>
      <c r="M54" s="27"/>
    </row>
    <row r="55" spans="2:13" ht="15.75" customHeight="1">
      <c r="B55" s="32">
        <v>49</v>
      </c>
      <c r="C55" s="36" t="s">
        <v>133</v>
      </c>
      <c r="D55" s="23" t="s">
        <v>45</v>
      </c>
      <c r="E55" s="24" t="s">
        <v>34</v>
      </c>
      <c r="F55" s="23" t="s">
        <v>13</v>
      </c>
      <c r="G55" s="30" t="s">
        <v>26</v>
      </c>
      <c r="H55" s="31"/>
      <c r="I55" s="25">
        <v>1</v>
      </c>
      <c r="J55" s="23" t="s">
        <v>13</v>
      </c>
      <c r="K55" s="25">
        <v>2</v>
      </c>
      <c r="L55" s="26"/>
      <c r="M55" s="27"/>
    </row>
    <row r="56" spans="2:13" ht="15.75" customHeight="1">
      <c r="B56" s="32">
        <v>50</v>
      </c>
      <c r="C56" s="36" t="s">
        <v>133</v>
      </c>
      <c r="D56" s="23" t="s">
        <v>45</v>
      </c>
      <c r="E56" s="24" t="s">
        <v>41</v>
      </c>
      <c r="F56" s="23" t="s">
        <v>13</v>
      </c>
      <c r="G56" s="30" t="s">
        <v>46</v>
      </c>
      <c r="H56" s="31"/>
      <c r="I56" s="25">
        <v>3</v>
      </c>
      <c r="J56" s="23" t="s">
        <v>13</v>
      </c>
      <c r="K56" s="25">
        <v>0</v>
      </c>
      <c r="L56" s="26"/>
      <c r="M56" s="27"/>
    </row>
    <row r="57" spans="2:13" ht="15.75" customHeight="1">
      <c r="B57" s="32">
        <v>51</v>
      </c>
      <c r="C57" s="36" t="s">
        <v>134</v>
      </c>
      <c r="D57" s="23" t="s">
        <v>31</v>
      </c>
      <c r="E57" s="24" t="s">
        <v>25</v>
      </c>
      <c r="F57" s="23" t="s">
        <v>13</v>
      </c>
      <c r="G57" s="30" t="s">
        <v>32</v>
      </c>
      <c r="H57" s="31"/>
      <c r="I57" s="25">
        <v>1</v>
      </c>
      <c r="J57" s="23" t="s">
        <v>13</v>
      </c>
      <c r="K57" s="25">
        <v>0</v>
      </c>
      <c r="L57" s="26"/>
      <c r="M57" s="27"/>
    </row>
    <row r="58" spans="2:13" ht="15.75" customHeight="1">
      <c r="B58" s="32">
        <v>52</v>
      </c>
      <c r="C58" s="36" t="s">
        <v>134</v>
      </c>
      <c r="D58" s="23" t="s">
        <v>31</v>
      </c>
      <c r="E58" s="24" t="s">
        <v>33</v>
      </c>
      <c r="F58" s="23" t="s">
        <v>13</v>
      </c>
      <c r="G58" s="30" t="s">
        <v>47</v>
      </c>
      <c r="H58" s="31"/>
      <c r="I58" s="25">
        <v>2</v>
      </c>
      <c r="J58" s="23" t="s">
        <v>13</v>
      </c>
      <c r="K58" s="25">
        <v>1</v>
      </c>
      <c r="L58" s="26"/>
      <c r="M58" s="27"/>
    </row>
    <row r="59" spans="2:13" ht="15.75" customHeight="1">
      <c r="B59" s="32">
        <v>53</v>
      </c>
      <c r="C59" s="36" t="s">
        <v>135</v>
      </c>
      <c r="D59" s="23" t="s">
        <v>11</v>
      </c>
      <c r="E59" s="24" t="s">
        <v>24</v>
      </c>
      <c r="F59" s="23" t="s">
        <v>13</v>
      </c>
      <c r="G59" s="30" t="s">
        <v>12</v>
      </c>
      <c r="H59" s="31"/>
      <c r="I59" s="25">
        <v>2</v>
      </c>
      <c r="J59" s="23" t="s">
        <v>13</v>
      </c>
      <c r="K59" s="25">
        <v>2</v>
      </c>
      <c r="L59" s="26"/>
      <c r="M59" s="27"/>
    </row>
    <row r="60" spans="2:13" ht="15.75" customHeight="1">
      <c r="B60" s="32">
        <v>54</v>
      </c>
      <c r="C60" s="36" t="s">
        <v>135</v>
      </c>
      <c r="D60" s="23" t="s">
        <v>11</v>
      </c>
      <c r="E60" s="24" t="s">
        <v>14</v>
      </c>
      <c r="F60" s="23" t="s">
        <v>13</v>
      </c>
      <c r="G60" s="30" t="s">
        <v>23</v>
      </c>
      <c r="H60" s="31"/>
      <c r="I60" s="25">
        <v>0</v>
      </c>
      <c r="J60" s="23" t="s">
        <v>13</v>
      </c>
      <c r="K60" s="25">
        <v>0</v>
      </c>
      <c r="L60" s="26"/>
      <c r="M60" s="27"/>
    </row>
    <row r="61" spans="2:13" ht="15.75" customHeight="1">
      <c r="B61" s="32">
        <v>55</v>
      </c>
      <c r="C61" s="36" t="s">
        <v>136</v>
      </c>
      <c r="D61" s="23" t="s">
        <v>67</v>
      </c>
      <c r="E61" s="24" t="s">
        <v>49</v>
      </c>
      <c r="F61" s="23" t="s">
        <v>13</v>
      </c>
      <c r="G61" s="30" t="s">
        <v>42</v>
      </c>
      <c r="H61" s="31"/>
      <c r="I61" s="25">
        <v>0</v>
      </c>
      <c r="J61" s="23" t="s">
        <v>13</v>
      </c>
      <c r="K61" s="25">
        <v>1</v>
      </c>
      <c r="L61" s="26"/>
      <c r="M61" s="27"/>
    </row>
    <row r="62" spans="2:13" ht="15.75" customHeight="1">
      <c r="B62" s="32">
        <v>56</v>
      </c>
      <c r="C62" s="36" t="s">
        <v>136</v>
      </c>
      <c r="D62" s="23" t="s">
        <v>67</v>
      </c>
      <c r="E62" s="24" t="s">
        <v>36</v>
      </c>
      <c r="F62" s="23" t="s">
        <v>13</v>
      </c>
      <c r="G62" s="30" t="s">
        <v>28</v>
      </c>
      <c r="H62" s="31"/>
      <c r="I62" s="25">
        <v>1</v>
      </c>
      <c r="J62" s="23" t="s">
        <v>13</v>
      </c>
      <c r="K62" s="25">
        <v>2</v>
      </c>
      <c r="L62" s="26"/>
      <c r="M62" s="27"/>
    </row>
    <row r="63" spans="2:13" ht="15.75" customHeight="1">
      <c r="B63" s="32">
        <v>57</v>
      </c>
      <c r="C63" s="36" t="s">
        <v>137</v>
      </c>
      <c r="D63" s="23" t="s">
        <v>82</v>
      </c>
      <c r="E63" s="24" t="s">
        <v>43</v>
      </c>
      <c r="F63" s="23" t="s">
        <v>13</v>
      </c>
      <c r="G63" s="30" t="s">
        <v>37</v>
      </c>
      <c r="H63" s="31"/>
      <c r="I63" s="25">
        <v>1</v>
      </c>
      <c r="J63" s="23" t="s">
        <v>13</v>
      </c>
      <c r="K63" s="25">
        <v>0</v>
      </c>
      <c r="L63" s="26"/>
      <c r="M63" s="27"/>
    </row>
    <row r="64" spans="2:13" ht="15.75" customHeight="1">
      <c r="B64" s="32">
        <v>58</v>
      </c>
      <c r="C64" s="36" t="s">
        <v>137</v>
      </c>
      <c r="D64" s="23" t="s">
        <v>82</v>
      </c>
      <c r="E64" s="24" t="s">
        <v>50</v>
      </c>
      <c r="F64" s="23" t="s">
        <v>13</v>
      </c>
      <c r="G64" s="30" t="s">
        <v>29</v>
      </c>
      <c r="H64" s="31"/>
      <c r="I64" s="25">
        <v>0</v>
      </c>
      <c r="J64" s="23" t="s">
        <v>13</v>
      </c>
      <c r="K64" s="25">
        <v>2</v>
      </c>
      <c r="L64" s="26"/>
      <c r="M64" s="27"/>
    </row>
    <row r="65" spans="2:14" ht="15.75" customHeight="1">
      <c r="B65" s="32">
        <v>59</v>
      </c>
      <c r="C65" s="36" t="s">
        <v>138</v>
      </c>
      <c r="D65" s="23" t="s">
        <v>39</v>
      </c>
      <c r="E65" s="24" t="s">
        <v>27</v>
      </c>
      <c r="F65" s="23" t="s">
        <v>13</v>
      </c>
      <c r="G65" s="30" t="s">
        <v>35</v>
      </c>
      <c r="H65" s="31"/>
      <c r="I65" s="25">
        <v>2</v>
      </c>
      <c r="J65" s="23" t="s">
        <v>13</v>
      </c>
      <c r="K65" s="25">
        <v>2</v>
      </c>
      <c r="L65" s="26"/>
      <c r="M65" s="27"/>
      <c r="N65" s="1"/>
    </row>
    <row r="66" spans="2:14" ht="15.75" customHeight="1">
      <c r="B66" s="32">
        <v>60</v>
      </c>
      <c r="C66" s="36" t="s">
        <v>138</v>
      </c>
      <c r="D66" s="23" t="s">
        <v>39</v>
      </c>
      <c r="E66" s="24" t="s">
        <v>40</v>
      </c>
      <c r="F66" s="23" t="s">
        <v>13</v>
      </c>
      <c r="G66" s="30" t="s">
        <v>48</v>
      </c>
      <c r="H66" s="31"/>
      <c r="I66" s="25">
        <v>1</v>
      </c>
      <c r="J66" s="23" t="s">
        <v>13</v>
      </c>
      <c r="K66" s="25">
        <v>0</v>
      </c>
      <c r="L66" s="26"/>
      <c r="M66" s="27"/>
      <c r="N66" s="1"/>
    </row>
    <row r="67" spans="2:14" ht="15.75" customHeight="1">
      <c r="B67" s="32">
        <v>61</v>
      </c>
      <c r="C67" s="36" t="s">
        <v>139</v>
      </c>
      <c r="D67" s="23" t="s">
        <v>98</v>
      </c>
      <c r="E67" s="24" t="s">
        <v>70</v>
      </c>
      <c r="F67" s="23" t="s">
        <v>13</v>
      </c>
      <c r="G67" s="30" t="s">
        <v>62</v>
      </c>
      <c r="H67" s="31"/>
      <c r="I67" s="25">
        <v>0</v>
      </c>
      <c r="J67" s="23" t="s">
        <v>13</v>
      </c>
      <c r="K67" s="25">
        <v>1</v>
      </c>
      <c r="L67" s="26"/>
      <c r="M67" s="27"/>
      <c r="N67" s="1"/>
    </row>
    <row r="68" spans="2:14" ht="15.75" customHeight="1">
      <c r="B68" s="32">
        <v>62</v>
      </c>
      <c r="C68" s="36" t="s">
        <v>139</v>
      </c>
      <c r="D68" s="23" t="s">
        <v>98</v>
      </c>
      <c r="E68" s="24" t="s">
        <v>77</v>
      </c>
      <c r="F68" s="23" t="s">
        <v>13</v>
      </c>
      <c r="G68" s="30" t="s">
        <v>85</v>
      </c>
      <c r="H68" s="31"/>
      <c r="I68" s="25">
        <v>2</v>
      </c>
      <c r="J68" s="23" t="s">
        <v>13</v>
      </c>
      <c r="K68" s="25">
        <v>0</v>
      </c>
      <c r="L68" s="26"/>
      <c r="M68" s="27"/>
      <c r="N68" s="1"/>
    </row>
    <row r="69" spans="2:14" ht="15.75" customHeight="1">
      <c r="B69" s="32">
        <v>63</v>
      </c>
      <c r="C69" s="36" t="s">
        <v>140</v>
      </c>
      <c r="D69" s="23" t="s">
        <v>95</v>
      </c>
      <c r="E69" s="24" t="s">
        <v>68</v>
      </c>
      <c r="F69" s="23" t="s">
        <v>13</v>
      </c>
      <c r="G69" s="30" t="s">
        <v>83</v>
      </c>
      <c r="H69" s="31"/>
      <c r="I69" s="25">
        <v>1</v>
      </c>
      <c r="J69" s="23" t="s">
        <v>13</v>
      </c>
      <c r="K69" s="25">
        <v>0</v>
      </c>
      <c r="L69" s="26"/>
      <c r="M69" s="27"/>
      <c r="N69" s="1"/>
    </row>
    <row r="70" spans="2:14" ht="15.75" customHeight="1">
      <c r="B70" s="32">
        <v>64</v>
      </c>
      <c r="C70" s="36" t="s">
        <v>140</v>
      </c>
      <c r="D70" s="23" t="s">
        <v>95</v>
      </c>
      <c r="E70" s="24" t="s">
        <v>75</v>
      </c>
      <c r="F70" s="23" t="s">
        <v>13</v>
      </c>
      <c r="G70" s="30" t="s">
        <v>60</v>
      </c>
      <c r="H70" s="31"/>
      <c r="I70" s="25">
        <v>0</v>
      </c>
      <c r="J70" s="23" t="s">
        <v>13</v>
      </c>
      <c r="K70" s="25">
        <v>3</v>
      </c>
      <c r="L70" s="26"/>
      <c r="M70" s="27"/>
      <c r="N70" s="1"/>
    </row>
    <row r="71" spans="2:14" ht="15.75" customHeight="1">
      <c r="B71" s="32">
        <v>65</v>
      </c>
      <c r="C71" s="36" t="s">
        <v>141</v>
      </c>
      <c r="D71" s="23" t="s">
        <v>91</v>
      </c>
      <c r="E71" s="24" t="s">
        <v>76</v>
      </c>
      <c r="F71" s="23" t="s">
        <v>13</v>
      </c>
      <c r="G71" s="30" t="s">
        <v>84</v>
      </c>
      <c r="H71" s="31"/>
      <c r="I71" s="25">
        <v>0</v>
      </c>
      <c r="J71" s="23" t="s">
        <v>13</v>
      </c>
      <c r="K71" s="25">
        <v>1</v>
      </c>
      <c r="L71" s="26"/>
      <c r="M71" s="27"/>
      <c r="N71" s="1"/>
    </row>
    <row r="72" spans="2:14" ht="15.75" customHeight="1">
      <c r="B72" s="32">
        <v>66</v>
      </c>
      <c r="C72" s="36" t="s">
        <v>141</v>
      </c>
      <c r="D72" s="23" t="s">
        <v>91</v>
      </c>
      <c r="E72" s="24" t="s">
        <v>69</v>
      </c>
      <c r="F72" s="23" t="s">
        <v>13</v>
      </c>
      <c r="G72" s="30" t="s">
        <v>61</v>
      </c>
      <c r="H72" s="31"/>
      <c r="I72" s="25">
        <v>1</v>
      </c>
      <c r="J72" s="23" t="s">
        <v>13</v>
      </c>
      <c r="K72" s="25">
        <v>1</v>
      </c>
      <c r="L72" s="26"/>
      <c r="M72" s="27"/>
      <c r="N72" s="1"/>
    </row>
    <row r="73" spans="2:14" ht="15.75" customHeight="1">
      <c r="B73" s="32">
        <v>67</v>
      </c>
      <c r="C73" s="36" t="s">
        <v>142</v>
      </c>
      <c r="D73" s="23" t="s">
        <v>104</v>
      </c>
      <c r="E73" s="24" t="s">
        <v>88</v>
      </c>
      <c r="F73" s="23" t="s">
        <v>13</v>
      </c>
      <c r="G73" s="30" t="s">
        <v>65</v>
      </c>
      <c r="H73" s="31"/>
      <c r="I73" s="25">
        <v>0</v>
      </c>
      <c r="J73" s="23" t="s">
        <v>13</v>
      </c>
      <c r="K73" s="25">
        <v>3</v>
      </c>
      <c r="L73" s="26"/>
      <c r="M73" s="27"/>
      <c r="N73" s="1"/>
    </row>
    <row r="74" spans="2:14" ht="15.75" customHeight="1">
      <c r="B74" s="32">
        <v>68</v>
      </c>
      <c r="C74" s="36" t="s">
        <v>142</v>
      </c>
      <c r="D74" s="23" t="s">
        <v>104</v>
      </c>
      <c r="E74" s="24" t="s">
        <v>73</v>
      </c>
      <c r="F74" s="23" t="s">
        <v>13</v>
      </c>
      <c r="G74" s="30" t="s">
        <v>80</v>
      </c>
      <c r="H74" s="31"/>
      <c r="I74" s="25">
        <v>1</v>
      </c>
      <c r="J74" s="23" t="s">
        <v>13</v>
      </c>
      <c r="K74" s="25">
        <v>0</v>
      </c>
      <c r="L74" s="26"/>
      <c r="M74" s="27"/>
      <c r="N74" s="1"/>
    </row>
    <row r="75" spans="2:14" ht="15.75" customHeight="1">
      <c r="B75" s="32">
        <v>69</v>
      </c>
      <c r="C75" s="36" t="s">
        <v>143</v>
      </c>
      <c r="D75" s="23" t="s">
        <v>101</v>
      </c>
      <c r="E75" s="24" t="s">
        <v>78</v>
      </c>
      <c r="F75" s="23" t="s">
        <v>13</v>
      </c>
      <c r="G75" s="30" t="s">
        <v>71</v>
      </c>
      <c r="H75" s="31"/>
      <c r="I75" s="25">
        <v>1</v>
      </c>
      <c r="J75" s="23" t="s">
        <v>13</v>
      </c>
      <c r="K75" s="25">
        <v>2</v>
      </c>
      <c r="L75" s="26"/>
      <c r="M75" s="27"/>
      <c r="N75" s="1"/>
    </row>
    <row r="76" spans="2:14" ht="15.75" customHeight="1">
      <c r="B76" s="32">
        <v>70</v>
      </c>
      <c r="C76" s="36" t="s">
        <v>143</v>
      </c>
      <c r="D76" s="23" t="s">
        <v>101</v>
      </c>
      <c r="E76" s="24" t="s">
        <v>86</v>
      </c>
      <c r="F76" s="23" t="s">
        <v>13</v>
      </c>
      <c r="G76" s="30" t="s">
        <v>63</v>
      </c>
      <c r="H76" s="31"/>
      <c r="I76" s="25">
        <v>0</v>
      </c>
      <c r="J76" s="23" t="s">
        <v>13</v>
      </c>
      <c r="K76" s="25">
        <v>3</v>
      </c>
      <c r="L76" s="26"/>
      <c r="M76" s="27"/>
      <c r="N76" s="1"/>
    </row>
    <row r="77" spans="2:14" ht="15.75" customHeight="1">
      <c r="B77" s="32">
        <v>71</v>
      </c>
      <c r="C77" s="36" t="s">
        <v>144</v>
      </c>
      <c r="D77" s="23" t="s">
        <v>107</v>
      </c>
      <c r="E77" s="24" t="s">
        <v>72</v>
      </c>
      <c r="F77" s="23" t="s">
        <v>13</v>
      </c>
      <c r="G77" s="30" t="s">
        <v>64</v>
      </c>
      <c r="H77" s="31"/>
      <c r="I77" s="25">
        <v>0</v>
      </c>
      <c r="J77" s="23" t="s">
        <v>13</v>
      </c>
      <c r="K77" s="25">
        <v>1</v>
      </c>
      <c r="L77" s="26"/>
      <c r="M77" s="27"/>
      <c r="N77" s="1"/>
    </row>
    <row r="78" spans="2:14" ht="15.75" customHeight="1">
      <c r="B78" s="32">
        <v>72</v>
      </c>
      <c r="C78" s="36" t="s">
        <v>144</v>
      </c>
      <c r="D78" s="23" t="s">
        <v>107</v>
      </c>
      <c r="E78" s="24" t="s">
        <v>87</v>
      </c>
      <c r="F78" s="23" t="s">
        <v>13</v>
      </c>
      <c r="G78" s="30" t="s">
        <v>79</v>
      </c>
      <c r="H78" s="31"/>
      <c r="I78" s="25">
        <v>1</v>
      </c>
      <c r="J78" s="23" t="s">
        <v>13</v>
      </c>
      <c r="K78" s="25">
        <v>0</v>
      </c>
      <c r="L78" s="26"/>
      <c r="M78" s="27"/>
      <c r="N78" s="1"/>
    </row>
    <row r="79" spans="2:14" ht="15.75" customHeight="1">
      <c r="B79" s="1"/>
      <c r="C79" s="1"/>
      <c r="D79" s="2" t="s">
        <v>145</v>
      </c>
      <c r="E79" s="42" t="s">
        <v>63</v>
      </c>
      <c r="F79" s="5" t="s">
        <v>13</v>
      </c>
      <c r="G79" s="42" t="s">
        <v>65</v>
      </c>
      <c r="H79" s="1"/>
      <c r="I79" s="1"/>
      <c r="J79" s="1"/>
      <c r="K79" s="1"/>
      <c r="L79" s="14"/>
      <c r="M79" s="14"/>
      <c r="N79" s="15"/>
    </row>
    <row r="80" spans="2:14" ht="15.75" customHeight="1">
      <c r="B80" s="1"/>
      <c r="C80" s="37"/>
      <c r="D80" s="2" t="s">
        <v>146</v>
      </c>
      <c r="E80" s="42" t="s">
        <v>61</v>
      </c>
      <c r="F80" s="5" t="s">
        <v>13</v>
      </c>
      <c r="G80" s="42" t="s">
        <v>29</v>
      </c>
      <c r="H80" s="1"/>
      <c r="I80" s="1"/>
      <c r="J80" s="1"/>
      <c r="K80" s="1"/>
      <c r="L80" s="9"/>
      <c r="M80" s="9"/>
      <c r="N80" s="15"/>
    </row>
    <row r="81" spans="1:14" ht="15.75" customHeight="1">
      <c r="A81" s="1"/>
      <c r="B81" s="1"/>
      <c r="C81" s="37"/>
      <c r="D81" s="1"/>
      <c r="E81" s="1"/>
      <c r="F81" s="4"/>
      <c r="G81" s="1"/>
      <c r="H81" s="1"/>
      <c r="I81" s="1"/>
      <c r="J81" s="1"/>
      <c r="K81" s="4"/>
      <c r="L81" s="4"/>
      <c r="M81" s="4"/>
      <c r="N81" s="15"/>
    </row>
    <row r="82" spans="1:14" ht="15.75" customHeight="1">
      <c r="A82" s="1"/>
      <c r="B82" s="1"/>
      <c r="C82" s="37"/>
      <c r="D82" s="1"/>
      <c r="E82" s="1"/>
      <c r="F82" s="4"/>
      <c r="G82" s="1"/>
      <c r="H82" s="1"/>
      <c r="I82" s="1"/>
      <c r="J82" s="1"/>
      <c r="K82" s="4"/>
      <c r="L82" s="12" t="s">
        <v>147</v>
      </c>
      <c r="M82" s="8"/>
      <c r="N82" s="15"/>
    </row>
    <row r="83" spans="1:14" ht="15.75" customHeight="1">
      <c r="A83" s="1"/>
      <c r="B83" s="1"/>
      <c r="C83" s="37"/>
      <c r="D83" s="1"/>
      <c r="E83" s="1"/>
      <c r="F83" s="4"/>
      <c r="G83" s="1"/>
      <c r="H83" s="1"/>
      <c r="I83" s="1"/>
      <c r="J83" s="1"/>
      <c r="K83" s="4"/>
      <c r="L83" s="4"/>
      <c r="M83" s="4"/>
      <c r="N83" s="15"/>
    </row>
    <row r="84" spans="1:14" ht="15.75" customHeight="1">
      <c r="A84" s="2"/>
      <c r="B84" s="1"/>
      <c r="C84" s="37"/>
      <c r="D84" s="1"/>
      <c r="E84" s="1"/>
      <c r="F84" s="4"/>
      <c r="G84" s="5"/>
      <c r="H84" s="1"/>
      <c r="I84" s="1"/>
      <c r="J84" s="1"/>
      <c r="K84" s="4"/>
      <c r="L84" s="1"/>
      <c r="M84" s="1"/>
      <c r="N84" s="1"/>
    </row>
    <row r="85" spans="1:14" ht="15.75" customHeight="1">
      <c r="A85" s="2"/>
      <c r="B85" s="1"/>
      <c r="C85" s="37"/>
      <c r="D85" s="1"/>
      <c r="E85" s="1"/>
      <c r="F85" s="4"/>
      <c r="G85" s="5"/>
      <c r="H85" s="1"/>
      <c r="I85" s="1"/>
      <c r="J85" s="1"/>
      <c r="K85" s="4"/>
      <c r="L85" s="1"/>
      <c r="M85" s="1"/>
      <c r="N85" s="1"/>
    </row>
    <row r="86" spans="1:14" ht="15.75" customHeight="1">
      <c r="A86" s="2"/>
      <c r="B86" s="3"/>
      <c r="C86" s="38"/>
      <c r="D86" s="1"/>
      <c r="E86" s="1"/>
      <c r="F86" s="4"/>
      <c r="G86" s="5"/>
      <c r="H86" s="1"/>
      <c r="I86" s="1"/>
      <c r="J86" s="1"/>
      <c r="K86" s="4"/>
      <c r="L86" s="1"/>
      <c r="M86" s="1"/>
      <c r="N86" s="1"/>
    </row>
    <row r="87" spans="1:14" ht="15.75" customHeight="1">
      <c r="A87" s="2"/>
      <c r="B87" s="3"/>
      <c r="C87" s="38"/>
      <c r="D87" s="1"/>
      <c r="E87" s="1"/>
      <c r="F87" s="4"/>
      <c r="G87" s="5"/>
      <c r="H87" s="1"/>
      <c r="I87" s="1"/>
      <c r="J87" s="1"/>
      <c r="K87" s="4"/>
      <c r="L87" s="1"/>
      <c r="M87" s="1"/>
      <c r="N87" s="1"/>
    </row>
  </sheetData>
  <mergeCells count="1">
    <mergeCell ref="H2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U87"/>
  <sheetViews>
    <sheetView workbookViewId="0"/>
  </sheetViews>
  <sheetFormatPr defaultRowHeight="15"/>
  <sheetData>
    <row r="2" spans="2:21" ht="15.75" customHeight="1">
      <c r="B2" s="1"/>
      <c r="C2" s="1"/>
      <c r="D2" s="1"/>
      <c r="E2" s="1"/>
      <c r="F2" s="1"/>
      <c r="G2" s="2" t="s">
        <v>0</v>
      </c>
      <c r="H2" s="292" t="s">
        <v>185</v>
      </c>
      <c r="I2" s="293"/>
      <c r="J2" s="293"/>
      <c r="K2" s="293"/>
      <c r="L2" s="293"/>
      <c r="M2" s="293"/>
      <c r="N2" s="4"/>
      <c r="O2" s="1"/>
      <c r="P2" s="1"/>
      <c r="Q2" s="1"/>
      <c r="R2" s="1"/>
      <c r="S2" s="1"/>
      <c r="T2" s="1"/>
      <c r="U2" s="1"/>
    </row>
    <row r="4" spans="2:21" ht="18" customHeight="1">
      <c r="B4" s="33" t="s">
        <v>2</v>
      </c>
      <c r="C4" s="1"/>
      <c r="D4" s="1"/>
      <c r="E4" s="1"/>
      <c r="F4" s="1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ht="15.75" customHeight="1">
      <c r="B5" s="1"/>
      <c r="C5" s="34"/>
      <c r="D5" s="1"/>
      <c r="E5" s="1"/>
      <c r="F5" s="1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 customHeight="1">
      <c r="B6" s="1"/>
      <c r="C6" s="35" t="s">
        <v>3</v>
      </c>
      <c r="D6" s="6" t="s">
        <v>4</v>
      </c>
      <c r="E6" s="7"/>
      <c r="F6" s="6" t="s">
        <v>5</v>
      </c>
      <c r="G6" s="7"/>
      <c r="H6" s="7"/>
      <c r="I6" s="7"/>
      <c r="J6" s="6" t="s">
        <v>6</v>
      </c>
      <c r="K6" s="6"/>
      <c r="L6" s="6" t="s">
        <v>7</v>
      </c>
      <c r="M6" s="6" t="s">
        <v>8</v>
      </c>
      <c r="N6" s="6"/>
      <c r="O6" s="20" t="s">
        <v>9</v>
      </c>
      <c r="P6" s="1"/>
      <c r="Q6" s="1"/>
      <c r="R6" s="1"/>
      <c r="S6" s="1"/>
      <c r="T6" s="1"/>
      <c r="U6" s="1"/>
    </row>
    <row r="7" spans="2:21" ht="16.5" customHeight="1">
      <c r="B7" s="32">
        <v>1</v>
      </c>
      <c r="C7" s="36" t="s">
        <v>10</v>
      </c>
      <c r="D7" s="23" t="s">
        <v>11</v>
      </c>
      <c r="E7" s="24" t="s">
        <v>12</v>
      </c>
      <c r="F7" s="23" t="s">
        <v>13</v>
      </c>
      <c r="G7" s="30" t="s">
        <v>14</v>
      </c>
      <c r="H7" s="31"/>
      <c r="I7" s="25">
        <v>2</v>
      </c>
      <c r="J7" s="23" t="s">
        <v>13</v>
      </c>
      <c r="K7" s="25">
        <v>0</v>
      </c>
      <c r="L7" s="26"/>
      <c r="M7" s="27"/>
      <c r="N7" s="15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 customHeight="1">
      <c r="B8" s="32">
        <v>2</v>
      </c>
      <c r="C8" s="36" t="s">
        <v>22</v>
      </c>
      <c r="D8" s="23" t="s">
        <v>11</v>
      </c>
      <c r="E8" s="24" t="s">
        <v>23</v>
      </c>
      <c r="F8" s="23" t="s">
        <v>13</v>
      </c>
      <c r="G8" s="30" t="s">
        <v>24</v>
      </c>
      <c r="H8" s="31"/>
      <c r="I8" s="25">
        <v>1</v>
      </c>
      <c r="J8" s="23" t="s">
        <v>13</v>
      </c>
      <c r="K8" s="25">
        <v>2</v>
      </c>
      <c r="L8" s="26"/>
      <c r="M8" s="27"/>
      <c r="N8" s="15"/>
      <c r="O8" s="40">
        <v>1</v>
      </c>
      <c r="P8" s="18" t="s">
        <v>12</v>
      </c>
      <c r="Q8" s="18" t="s">
        <v>32</v>
      </c>
      <c r="R8" s="19" t="s">
        <v>26</v>
      </c>
      <c r="S8" s="18" t="s">
        <v>35</v>
      </c>
      <c r="T8" s="19" t="s">
        <v>28</v>
      </c>
      <c r="U8" s="18" t="s">
        <v>29</v>
      </c>
    </row>
    <row r="9" spans="2:21" ht="15.75" customHeight="1">
      <c r="B9" s="32">
        <v>3</v>
      </c>
      <c r="C9" s="36" t="s">
        <v>30</v>
      </c>
      <c r="D9" s="23" t="s">
        <v>31</v>
      </c>
      <c r="E9" s="24" t="s">
        <v>32</v>
      </c>
      <c r="F9" s="23" t="s">
        <v>13</v>
      </c>
      <c r="G9" s="30" t="s">
        <v>33</v>
      </c>
      <c r="H9" s="31"/>
      <c r="I9" s="25">
        <v>2</v>
      </c>
      <c r="J9" s="23" t="s">
        <v>13</v>
      </c>
      <c r="K9" s="25">
        <v>0</v>
      </c>
      <c r="L9" s="26"/>
      <c r="M9" s="27"/>
      <c r="N9" s="15"/>
      <c r="O9" s="41">
        <v>2</v>
      </c>
      <c r="P9" s="19" t="s">
        <v>24</v>
      </c>
      <c r="Q9" s="19" t="s">
        <v>25</v>
      </c>
      <c r="R9" s="19" t="s">
        <v>34</v>
      </c>
      <c r="S9" s="19" t="s">
        <v>40</v>
      </c>
      <c r="T9" s="19" t="s">
        <v>36</v>
      </c>
      <c r="U9" s="19" t="s">
        <v>37</v>
      </c>
    </row>
    <row r="10" spans="2:21" ht="15.75" customHeight="1">
      <c r="B10" s="32">
        <v>4</v>
      </c>
      <c r="C10" s="36" t="s">
        <v>38</v>
      </c>
      <c r="D10" s="23" t="s">
        <v>39</v>
      </c>
      <c r="E10" s="24" t="s">
        <v>35</v>
      </c>
      <c r="F10" s="23" t="s">
        <v>13</v>
      </c>
      <c r="G10" s="30" t="s">
        <v>40</v>
      </c>
      <c r="H10" s="31"/>
      <c r="I10" s="25">
        <v>2</v>
      </c>
      <c r="J10" s="23" t="s">
        <v>13</v>
      </c>
      <c r="K10" s="25">
        <v>0</v>
      </c>
      <c r="L10" s="26"/>
      <c r="M10" s="27"/>
      <c r="N10" s="15"/>
      <c r="O10" s="41">
        <v>3</v>
      </c>
      <c r="P10" s="19" t="s">
        <v>14</v>
      </c>
      <c r="Q10" s="19" t="s">
        <v>33</v>
      </c>
      <c r="R10" s="19" t="s">
        <v>41</v>
      </c>
      <c r="S10" s="19" t="s">
        <v>48</v>
      </c>
      <c r="T10" s="18" t="s">
        <v>42</v>
      </c>
      <c r="U10" s="19" t="s">
        <v>43</v>
      </c>
    </row>
    <row r="11" spans="2:21" ht="15.75" customHeight="1">
      <c r="B11" s="32">
        <v>5</v>
      </c>
      <c r="C11" s="36" t="s">
        <v>44</v>
      </c>
      <c r="D11" s="23" t="s">
        <v>45</v>
      </c>
      <c r="E11" s="24" t="s">
        <v>46</v>
      </c>
      <c r="F11" s="23" t="s">
        <v>13</v>
      </c>
      <c r="G11" s="30" t="s">
        <v>34</v>
      </c>
      <c r="H11" s="31"/>
      <c r="I11" s="25">
        <v>1</v>
      </c>
      <c r="J11" s="23" t="s">
        <v>13</v>
      </c>
      <c r="K11" s="25">
        <v>1</v>
      </c>
      <c r="L11" s="26"/>
      <c r="M11" s="27"/>
      <c r="N11" s="15"/>
      <c r="O11" s="41">
        <v>4</v>
      </c>
      <c r="P11" s="19" t="s">
        <v>23</v>
      </c>
      <c r="Q11" s="19" t="s">
        <v>47</v>
      </c>
      <c r="R11" s="18" t="s">
        <v>46</v>
      </c>
      <c r="S11" s="19" t="s">
        <v>27</v>
      </c>
      <c r="T11" s="19" t="s">
        <v>49</v>
      </c>
      <c r="U11" s="19" t="s">
        <v>50</v>
      </c>
    </row>
    <row r="12" spans="2:21" ht="16.5" customHeight="1">
      <c r="B12" s="32">
        <v>6</v>
      </c>
      <c r="C12" s="36" t="s">
        <v>51</v>
      </c>
      <c r="D12" s="23" t="s">
        <v>39</v>
      </c>
      <c r="E12" s="24" t="s">
        <v>48</v>
      </c>
      <c r="F12" s="23" t="s">
        <v>13</v>
      </c>
      <c r="G12" s="30" t="s">
        <v>27</v>
      </c>
      <c r="H12" s="31"/>
      <c r="I12" s="25">
        <v>0</v>
      </c>
      <c r="J12" s="23" t="s">
        <v>13</v>
      </c>
      <c r="K12" s="25">
        <v>2</v>
      </c>
      <c r="L12" s="26"/>
      <c r="M12" s="27"/>
      <c r="N12" s="15"/>
      <c r="O12" s="1"/>
      <c r="P12" s="1"/>
      <c r="Q12" s="1"/>
      <c r="R12" s="1"/>
      <c r="S12" s="1"/>
      <c r="T12" s="1"/>
      <c r="U12" s="1"/>
    </row>
    <row r="13" spans="2:21" ht="16.5" customHeight="1">
      <c r="B13" s="32">
        <v>7</v>
      </c>
      <c r="C13" s="36" t="s">
        <v>52</v>
      </c>
      <c r="D13" s="23" t="s">
        <v>45</v>
      </c>
      <c r="E13" s="24" t="s">
        <v>26</v>
      </c>
      <c r="F13" s="23" t="s">
        <v>13</v>
      </c>
      <c r="G13" s="30" t="s">
        <v>41</v>
      </c>
      <c r="H13" s="31"/>
      <c r="I13" s="25">
        <v>3</v>
      </c>
      <c r="J13" s="23" t="s">
        <v>13</v>
      </c>
      <c r="K13" s="25">
        <v>0</v>
      </c>
      <c r="L13" s="26"/>
      <c r="M13" s="27"/>
      <c r="N13" s="15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 customHeight="1">
      <c r="B14" s="32">
        <v>8</v>
      </c>
      <c r="C14" s="36" t="s">
        <v>59</v>
      </c>
      <c r="D14" s="23" t="s">
        <v>31</v>
      </c>
      <c r="E14" s="24" t="s">
        <v>47</v>
      </c>
      <c r="F14" s="23" t="s">
        <v>13</v>
      </c>
      <c r="G14" s="30" t="s">
        <v>25</v>
      </c>
      <c r="H14" s="31"/>
      <c r="I14" s="25">
        <v>1</v>
      </c>
      <c r="J14" s="23" t="s">
        <v>13</v>
      </c>
      <c r="K14" s="25">
        <v>2</v>
      </c>
      <c r="L14" s="26"/>
      <c r="M14" s="27"/>
      <c r="N14" s="15"/>
      <c r="O14" s="40">
        <v>1</v>
      </c>
      <c r="P14" s="19" t="s">
        <v>60</v>
      </c>
      <c r="Q14" s="19" t="s">
        <v>61</v>
      </c>
      <c r="R14" s="18" t="s">
        <v>62</v>
      </c>
      <c r="S14" s="18" t="s">
        <v>63</v>
      </c>
      <c r="T14" s="18" t="s">
        <v>64</v>
      </c>
      <c r="U14" s="19" t="s">
        <v>65</v>
      </c>
    </row>
    <row r="15" spans="2:21" ht="15.75" customHeight="1">
      <c r="B15" s="32">
        <v>9</v>
      </c>
      <c r="C15" s="36" t="s">
        <v>66</v>
      </c>
      <c r="D15" s="23" t="s">
        <v>67</v>
      </c>
      <c r="E15" s="24" t="s">
        <v>42</v>
      </c>
      <c r="F15" s="23" t="s">
        <v>13</v>
      </c>
      <c r="G15" s="30" t="s">
        <v>36</v>
      </c>
      <c r="H15" s="31"/>
      <c r="I15" s="25">
        <v>1</v>
      </c>
      <c r="J15" s="23" t="s">
        <v>13</v>
      </c>
      <c r="K15" s="25">
        <v>2</v>
      </c>
      <c r="L15" s="26"/>
      <c r="M15" s="27"/>
      <c r="N15" s="15"/>
      <c r="O15" s="41">
        <v>2</v>
      </c>
      <c r="P15" s="19" t="s">
        <v>75</v>
      </c>
      <c r="Q15" s="19" t="s">
        <v>69</v>
      </c>
      <c r="R15" s="19" t="s">
        <v>70</v>
      </c>
      <c r="S15" s="19" t="s">
        <v>71</v>
      </c>
      <c r="T15" s="19" t="s">
        <v>72</v>
      </c>
      <c r="U15" s="19" t="s">
        <v>88</v>
      </c>
    </row>
    <row r="16" spans="2:21" ht="15.75" customHeight="1">
      <c r="B16" s="32">
        <v>10</v>
      </c>
      <c r="C16" s="36" t="s">
        <v>74</v>
      </c>
      <c r="D16" s="23" t="s">
        <v>67</v>
      </c>
      <c r="E16" s="24" t="s">
        <v>28</v>
      </c>
      <c r="F16" s="23" t="s">
        <v>13</v>
      </c>
      <c r="G16" s="30" t="s">
        <v>49</v>
      </c>
      <c r="H16" s="31"/>
      <c r="I16" s="25">
        <v>3</v>
      </c>
      <c r="J16" s="23" t="s">
        <v>13</v>
      </c>
      <c r="K16" s="25">
        <v>0</v>
      </c>
      <c r="L16" s="26"/>
      <c r="M16" s="27"/>
      <c r="N16" s="15"/>
      <c r="O16" s="41">
        <v>3</v>
      </c>
      <c r="P16" s="19" t="s">
        <v>68</v>
      </c>
      <c r="Q16" s="18" t="s">
        <v>84</v>
      </c>
      <c r="R16" s="19" t="s">
        <v>85</v>
      </c>
      <c r="S16" s="19" t="s">
        <v>78</v>
      </c>
      <c r="T16" s="19" t="s">
        <v>79</v>
      </c>
      <c r="U16" s="18" t="s">
        <v>80</v>
      </c>
    </row>
    <row r="17" spans="2:21" ht="15.75" customHeight="1">
      <c r="B17" s="32">
        <v>11</v>
      </c>
      <c r="C17" s="36" t="s">
        <v>81</v>
      </c>
      <c r="D17" s="23" t="s">
        <v>82</v>
      </c>
      <c r="E17" s="24" t="s">
        <v>29</v>
      </c>
      <c r="F17" s="23" t="s">
        <v>13</v>
      </c>
      <c r="G17" s="30" t="s">
        <v>43</v>
      </c>
      <c r="H17" s="31"/>
      <c r="I17" s="25">
        <v>2</v>
      </c>
      <c r="J17" s="23" t="s">
        <v>13</v>
      </c>
      <c r="K17" s="25">
        <v>1</v>
      </c>
      <c r="L17" s="26"/>
      <c r="M17" s="27"/>
      <c r="N17" s="15"/>
      <c r="O17" s="41">
        <v>4</v>
      </c>
      <c r="P17" s="18" t="s">
        <v>83</v>
      </c>
      <c r="Q17" s="19" t="s">
        <v>76</v>
      </c>
      <c r="R17" s="19" t="s">
        <v>77</v>
      </c>
      <c r="S17" s="19" t="s">
        <v>86</v>
      </c>
      <c r="T17" s="19" t="s">
        <v>87</v>
      </c>
      <c r="U17" s="19" t="s">
        <v>73</v>
      </c>
    </row>
    <row r="18" spans="2:21" ht="15.75" customHeight="1">
      <c r="B18" s="32">
        <v>12</v>
      </c>
      <c r="C18" s="36" t="s">
        <v>89</v>
      </c>
      <c r="D18" s="23" t="s">
        <v>82</v>
      </c>
      <c r="E18" s="24" t="s">
        <v>37</v>
      </c>
      <c r="F18" s="23" t="s">
        <v>13</v>
      </c>
      <c r="G18" s="30" t="s">
        <v>50</v>
      </c>
      <c r="H18" s="31"/>
      <c r="I18" s="25">
        <v>1</v>
      </c>
      <c r="J18" s="23" t="s">
        <v>13</v>
      </c>
      <c r="K18" s="25">
        <v>1</v>
      </c>
      <c r="L18" s="26"/>
      <c r="M18" s="27"/>
      <c r="N18" s="15"/>
      <c r="O18" s="1"/>
      <c r="P18" s="1"/>
      <c r="Q18" s="1"/>
      <c r="R18" s="1"/>
      <c r="S18" s="1"/>
      <c r="T18" s="1"/>
      <c r="U18" s="1"/>
    </row>
    <row r="19" spans="2:21" ht="15.75" customHeight="1">
      <c r="B19" s="32">
        <v>13</v>
      </c>
      <c r="C19" s="36" t="s">
        <v>90</v>
      </c>
      <c r="D19" s="23" t="s">
        <v>91</v>
      </c>
      <c r="E19" s="24" t="s">
        <v>84</v>
      </c>
      <c r="F19" s="23" t="s">
        <v>13</v>
      </c>
      <c r="G19" s="30" t="s">
        <v>69</v>
      </c>
      <c r="H19" s="31"/>
      <c r="I19" s="25">
        <v>0</v>
      </c>
      <c r="J19" s="23" t="s">
        <v>13</v>
      </c>
      <c r="K19" s="25">
        <v>2</v>
      </c>
      <c r="L19" s="26"/>
      <c r="M19" s="27"/>
      <c r="N19" s="15"/>
      <c r="O19" s="1"/>
      <c r="P19" s="1"/>
      <c r="Q19" s="1"/>
      <c r="R19" s="1"/>
      <c r="S19" s="1"/>
      <c r="T19" s="1"/>
      <c r="U19" s="1"/>
    </row>
    <row r="20" spans="2:21" ht="16.5" customHeight="1">
      <c r="B20" s="32">
        <v>14</v>
      </c>
      <c r="C20" s="36" t="s">
        <v>92</v>
      </c>
      <c r="D20" s="23" t="s">
        <v>91</v>
      </c>
      <c r="E20" s="24" t="s">
        <v>61</v>
      </c>
      <c r="F20" s="23" t="s">
        <v>13</v>
      </c>
      <c r="G20" s="30" t="s">
        <v>76</v>
      </c>
      <c r="H20" s="31"/>
      <c r="I20" s="25">
        <v>4</v>
      </c>
      <c r="J20" s="23" t="s">
        <v>13</v>
      </c>
      <c r="K20" s="25">
        <v>0</v>
      </c>
      <c r="L20" s="26"/>
      <c r="M20" s="27"/>
      <c r="N20" s="15"/>
      <c r="O20" s="13" t="s">
        <v>93</v>
      </c>
      <c r="P20" s="1"/>
      <c r="Q20" s="1"/>
      <c r="R20" s="1"/>
      <c r="S20" s="1"/>
      <c r="T20" s="1"/>
      <c r="U20" s="1"/>
    </row>
    <row r="21" spans="2:21" ht="16.5" customHeight="1">
      <c r="B21" s="32">
        <v>15</v>
      </c>
      <c r="C21" s="36" t="s">
        <v>94</v>
      </c>
      <c r="D21" s="23" t="s">
        <v>95</v>
      </c>
      <c r="E21" s="24" t="s">
        <v>83</v>
      </c>
      <c r="F21" s="23" t="s">
        <v>13</v>
      </c>
      <c r="G21" s="30" t="s">
        <v>75</v>
      </c>
      <c r="H21" s="31"/>
      <c r="I21" s="25">
        <v>0</v>
      </c>
      <c r="J21" s="23" t="s">
        <v>13</v>
      </c>
      <c r="K21" s="25">
        <v>3</v>
      </c>
      <c r="L21" s="26"/>
      <c r="M21" s="27"/>
      <c r="N21" s="15"/>
      <c r="O21" s="1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 customHeight="1">
      <c r="B22" s="32">
        <v>16</v>
      </c>
      <c r="C22" s="36" t="s">
        <v>96</v>
      </c>
      <c r="D22" s="23" t="s">
        <v>95</v>
      </c>
      <c r="E22" s="24" t="s">
        <v>60</v>
      </c>
      <c r="F22" s="23" t="s">
        <v>13</v>
      </c>
      <c r="G22" s="30" t="s">
        <v>68</v>
      </c>
      <c r="H22" s="31"/>
      <c r="I22" s="25">
        <v>2</v>
      </c>
      <c r="J22" s="23" t="s">
        <v>13</v>
      </c>
      <c r="K22" s="25">
        <v>0</v>
      </c>
      <c r="L22" s="26"/>
      <c r="M22" s="27"/>
      <c r="N22" s="15"/>
      <c r="O22" s="1"/>
      <c r="P22" s="22" t="s">
        <v>12</v>
      </c>
      <c r="Q22" s="22" t="s">
        <v>32</v>
      </c>
      <c r="R22" s="21" t="s">
        <v>26</v>
      </c>
      <c r="S22" s="22" t="s">
        <v>35</v>
      </c>
      <c r="T22" s="21" t="s">
        <v>28</v>
      </c>
      <c r="U22" s="22" t="s">
        <v>29</v>
      </c>
    </row>
    <row r="23" spans="2:21" ht="15.75" customHeight="1">
      <c r="B23" s="32">
        <v>17</v>
      </c>
      <c r="C23" s="36" t="s">
        <v>97</v>
      </c>
      <c r="D23" s="23" t="s">
        <v>98</v>
      </c>
      <c r="E23" s="24" t="s">
        <v>62</v>
      </c>
      <c r="F23" s="23" t="s">
        <v>13</v>
      </c>
      <c r="G23" s="30" t="s">
        <v>77</v>
      </c>
      <c r="H23" s="31"/>
      <c r="I23" s="25">
        <v>2</v>
      </c>
      <c r="J23" s="23" t="s">
        <v>13</v>
      </c>
      <c r="K23" s="25">
        <v>0</v>
      </c>
      <c r="L23" s="26"/>
      <c r="M23" s="27"/>
      <c r="N23" s="15"/>
      <c r="O23" s="1"/>
      <c r="P23" s="21" t="s">
        <v>24</v>
      </c>
      <c r="Q23" s="21" t="s">
        <v>25</v>
      </c>
      <c r="R23" s="21" t="s">
        <v>34</v>
      </c>
      <c r="S23" s="21" t="s">
        <v>48</v>
      </c>
      <c r="T23" s="21" t="s">
        <v>36</v>
      </c>
      <c r="U23" s="21" t="s">
        <v>43</v>
      </c>
    </row>
    <row r="24" spans="2:21" ht="15.75" customHeight="1">
      <c r="B24" s="32">
        <v>18</v>
      </c>
      <c r="C24" s="36" t="s">
        <v>99</v>
      </c>
      <c r="D24" s="23" t="s">
        <v>98</v>
      </c>
      <c r="E24" s="24" t="s">
        <v>85</v>
      </c>
      <c r="F24" s="23" t="s">
        <v>13</v>
      </c>
      <c r="G24" s="30" t="s">
        <v>70</v>
      </c>
      <c r="H24" s="31"/>
      <c r="I24" s="25">
        <v>1</v>
      </c>
      <c r="J24" s="23" t="s">
        <v>13</v>
      </c>
      <c r="K24" s="25">
        <v>2</v>
      </c>
      <c r="L24" s="26"/>
      <c r="M24" s="27"/>
      <c r="N24" s="15"/>
      <c r="O24" s="1"/>
      <c r="P24" s="21" t="s">
        <v>23</v>
      </c>
      <c r="Q24" s="21" t="s">
        <v>33</v>
      </c>
      <c r="R24" s="21" t="s">
        <v>41</v>
      </c>
      <c r="S24" s="21" t="s">
        <v>40</v>
      </c>
      <c r="T24" s="22" t="s">
        <v>42</v>
      </c>
      <c r="U24" s="21" t="s">
        <v>37</v>
      </c>
    </row>
    <row r="25" spans="2:21" ht="15.75" customHeight="1">
      <c r="B25" s="32">
        <v>19</v>
      </c>
      <c r="C25" s="36" t="s">
        <v>100</v>
      </c>
      <c r="D25" s="23" t="s">
        <v>101</v>
      </c>
      <c r="E25" s="24" t="s">
        <v>63</v>
      </c>
      <c r="F25" s="23" t="s">
        <v>13</v>
      </c>
      <c r="G25" s="30" t="s">
        <v>78</v>
      </c>
      <c r="H25" s="31"/>
      <c r="I25" s="25">
        <v>2</v>
      </c>
      <c r="J25" s="23" t="s">
        <v>13</v>
      </c>
      <c r="K25" s="25">
        <v>0</v>
      </c>
      <c r="L25" s="26"/>
      <c r="M25" s="27"/>
      <c r="N25" s="15"/>
      <c r="O25" s="1"/>
      <c r="P25" s="21" t="s">
        <v>14</v>
      </c>
      <c r="Q25" s="21" t="s">
        <v>47</v>
      </c>
      <c r="R25" s="22" t="s">
        <v>46</v>
      </c>
      <c r="S25" s="21" t="s">
        <v>27</v>
      </c>
      <c r="T25" s="21" t="s">
        <v>49</v>
      </c>
      <c r="U25" s="21" t="s">
        <v>50</v>
      </c>
    </row>
    <row r="26" spans="2:21" ht="16.5" customHeight="1">
      <c r="B26" s="32">
        <v>20</v>
      </c>
      <c r="C26" s="36" t="s">
        <v>102</v>
      </c>
      <c r="D26" s="23" t="s">
        <v>101</v>
      </c>
      <c r="E26" s="24" t="s">
        <v>71</v>
      </c>
      <c r="F26" s="23" t="s">
        <v>13</v>
      </c>
      <c r="G26" s="30" t="s">
        <v>86</v>
      </c>
      <c r="H26" s="31"/>
      <c r="I26" s="25">
        <v>2</v>
      </c>
      <c r="J26" s="23" t="s">
        <v>13</v>
      </c>
      <c r="K26" s="25">
        <v>0</v>
      </c>
      <c r="L26" s="26"/>
      <c r="M26" s="27"/>
      <c r="N26" s="15"/>
      <c r="O26" s="1"/>
      <c r="P26" s="1"/>
      <c r="Q26" s="1"/>
      <c r="R26" s="1"/>
      <c r="S26" s="1"/>
      <c r="T26" s="1"/>
      <c r="U26" s="1"/>
    </row>
    <row r="27" spans="2:21" ht="16.5" customHeight="1">
      <c r="B27" s="32">
        <v>21</v>
      </c>
      <c r="C27" s="36" t="s">
        <v>103</v>
      </c>
      <c r="D27" s="23" t="s">
        <v>104</v>
      </c>
      <c r="E27" s="24" t="s">
        <v>80</v>
      </c>
      <c r="F27" s="23" t="s">
        <v>13</v>
      </c>
      <c r="G27" s="30" t="s">
        <v>88</v>
      </c>
      <c r="H27" s="31"/>
      <c r="I27" s="25">
        <v>1</v>
      </c>
      <c r="J27" s="23" t="s">
        <v>13</v>
      </c>
      <c r="K27" s="25">
        <v>1</v>
      </c>
      <c r="L27" s="26"/>
      <c r="M27" s="27"/>
      <c r="N27" s="15"/>
      <c r="O27" s="1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 customHeight="1">
      <c r="B28" s="32">
        <v>22</v>
      </c>
      <c r="C28" s="36" t="s">
        <v>105</v>
      </c>
      <c r="D28" s="23" t="s">
        <v>104</v>
      </c>
      <c r="E28" s="24" t="s">
        <v>65</v>
      </c>
      <c r="F28" s="23" t="s">
        <v>13</v>
      </c>
      <c r="G28" s="30" t="s">
        <v>73</v>
      </c>
      <c r="H28" s="31"/>
      <c r="I28" s="25">
        <v>1</v>
      </c>
      <c r="J28" s="23" t="s">
        <v>13</v>
      </c>
      <c r="K28" s="25">
        <v>1</v>
      </c>
      <c r="L28" s="26"/>
      <c r="M28" s="27"/>
      <c r="N28" s="15"/>
      <c r="O28" s="1"/>
      <c r="P28" s="21" t="s">
        <v>60</v>
      </c>
      <c r="Q28" s="21" t="s">
        <v>61</v>
      </c>
      <c r="R28" s="22" t="s">
        <v>62</v>
      </c>
      <c r="S28" s="22" t="s">
        <v>63</v>
      </c>
      <c r="T28" s="22" t="s">
        <v>64</v>
      </c>
      <c r="U28" s="21" t="s">
        <v>65</v>
      </c>
    </row>
    <row r="29" spans="2:21" ht="15.75" customHeight="1">
      <c r="B29" s="32">
        <v>23</v>
      </c>
      <c r="C29" s="36" t="s">
        <v>106</v>
      </c>
      <c r="D29" s="23" t="s">
        <v>107</v>
      </c>
      <c r="E29" s="24" t="s">
        <v>64</v>
      </c>
      <c r="F29" s="23" t="s">
        <v>13</v>
      </c>
      <c r="G29" s="30" t="s">
        <v>87</v>
      </c>
      <c r="H29" s="31"/>
      <c r="I29" s="25">
        <v>2</v>
      </c>
      <c r="J29" s="23" t="s">
        <v>13</v>
      </c>
      <c r="K29" s="25">
        <v>0</v>
      </c>
      <c r="L29" s="26"/>
      <c r="M29" s="27"/>
      <c r="N29" s="15"/>
      <c r="O29" s="1"/>
      <c r="P29" s="21" t="s">
        <v>75</v>
      </c>
      <c r="Q29" s="21" t="s">
        <v>69</v>
      </c>
      <c r="R29" s="21" t="s">
        <v>70</v>
      </c>
      <c r="S29" s="21" t="s">
        <v>71</v>
      </c>
      <c r="T29" s="21" t="s">
        <v>72</v>
      </c>
      <c r="U29" s="21" t="s">
        <v>73</v>
      </c>
    </row>
    <row r="30" spans="2:21" ht="15.75" customHeight="1">
      <c r="B30" s="32">
        <v>24</v>
      </c>
      <c r="C30" s="36" t="s">
        <v>108</v>
      </c>
      <c r="D30" s="23" t="s">
        <v>107</v>
      </c>
      <c r="E30" s="24" t="s">
        <v>79</v>
      </c>
      <c r="F30" s="23" t="s">
        <v>13</v>
      </c>
      <c r="G30" s="30" t="s">
        <v>72</v>
      </c>
      <c r="H30" s="31"/>
      <c r="I30" s="25">
        <v>1</v>
      </c>
      <c r="J30" s="23" t="s">
        <v>13</v>
      </c>
      <c r="K30" s="25">
        <v>3</v>
      </c>
      <c r="L30" s="26"/>
      <c r="M30" s="27"/>
      <c r="N30" s="15"/>
      <c r="O30" s="1"/>
      <c r="P30" s="21" t="s">
        <v>68</v>
      </c>
      <c r="Q30" s="22" t="s">
        <v>84</v>
      </c>
      <c r="R30" s="21" t="s">
        <v>77</v>
      </c>
      <c r="S30" s="21" t="s">
        <v>78</v>
      </c>
      <c r="T30" s="21" t="s">
        <v>79</v>
      </c>
      <c r="U30" s="21" t="s">
        <v>88</v>
      </c>
    </row>
    <row r="31" spans="2:21" ht="15.75" customHeight="1">
      <c r="B31" s="32">
        <v>25</v>
      </c>
      <c r="C31" s="36" t="s">
        <v>109</v>
      </c>
      <c r="D31" s="23" t="s">
        <v>11</v>
      </c>
      <c r="E31" s="24" t="s">
        <v>24</v>
      </c>
      <c r="F31" s="23" t="s">
        <v>13</v>
      </c>
      <c r="G31" s="30" t="s">
        <v>14</v>
      </c>
      <c r="H31" s="31"/>
      <c r="I31" s="25">
        <v>2</v>
      </c>
      <c r="J31" s="23" t="s">
        <v>13</v>
      </c>
      <c r="K31" s="25">
        <v>1</v>
      </c>
      <c r="L31" s="26"/>
      <c r="M31" s="27"/>
      <c r="N31" s="15"/>
      <c r="O31" s="1"/>
      <c r="P31" s="22" t="s">
        <v>83</v>
      </c>
      <c r="Q31" s="21" t="s">
        <v>76</v>
      </c>
      <c r="R31" s="21" t="s">
        <v>85</v>
      </c>
      <c r="S31" s="21" t="s">
        <v>86</v>
      </c>
      <c r="T31" s="21" t="s">
        <v>87</v>
      </c>
      <c r="U31" s="22" t="s">
        <v>80</v>
      </c>
    </row>
    <row r="32" spans="2:21" ht="15.75" customHeight="1">
      <c r="B32" s="32">
        <v>26</v>
      </c>
      <c r="C32" s="36" t="s">
        <v>110</v>
      </c>
      <c r="D32" s="23" t="s">
        <v>31</v>
      </c>
      <c r="E32" s="24" t="s">
        <v>25</v>
      </c>
      <c r="F32" s="23" t="s">
        <v>13</v>
      </c>
      <c r="G32" s="30" t="s">
        <v>33</v>
      </c>
      <c r="H32" s="31"/>
      <c r="I32" s="25">
        <v>3</v>
      </c>
      <c r="J32" s="23" t="s">
        <v>13</v>
      </c>
      <c r="K32" s="25">
        <v>0</v>
      </c>
      <c r="L32" s="26"/>
      <c r="M32" s="27"/>
      <c r="N32" s="15"/>
      <c r="O32" s="1"/>
      <c r="P32" s="1"/>
      <c r="Q32" s="1"/>
      <c r="R32" s="1"/>
      <c r="S32" s="1"/>
      <c r="T32" s="1"/>
      <c r="U32" s="1"/>
    </row>
    <row r="33" spans="2:14" ht="15.75" customHeight="1">
      <c r="B33" s="32">
        <v>27</v>
      </c>
      <c r="C33" s="36" t="s">
        <v>111</v>
      </c>
      <c r="D33" s="23" t="s">
        <v>31</v>
      </c>
      <c r="E33" s="24" t="s">
        <v>32</v>
      </c>
      <c r="F33" s="23" t="s">
        <v>13</v>
      </c>
      <c r="G33" s="30" t="s">
        <v>47</v>
      </c>
      <c r="H33" s="31"/>
      <c r="I33" s="25">
        <v>2</v>
      </c>
      <c r="J33" s="23" t="s">
        <v>13</v>
      </c>
      <c r="K33" s="25">
        <v>0</v>
      </c>
      <c r="L33" s="26"/>
      <c r="M33" s="27"/>
      <c r="N33" s="15"/>
    </row>
    <row r="34" spans="2:14" ht="15.75" customHeight="1">
      <c r="B34" s="32">
        <v>28</v>
      </c>
      <c r="C34" s="36" t="s">
        <v>112</v>
      </c>
      <c r="D34" s="23" t="s">
        <v>11</v>
      </c>
      <c r="E34" s="24" t="s">
        <v>12</v>
      </c>
      <c r="F34" s="23" t="s">
        <v>13</v>
      </c>
      <c r="G34" s="30" t="s">
        <v>23</v>
      </c>
      <c r="H34" s="31"/>
      <c r="I34" s="25">
        <v>2</v>
      </c>
      <c r="J34" s="23" t="s">
        <v>13</v>
      </c>
      <c r="K34" s="25">
        <v>1</v>
      </c>
      <c r="L34" s="26"/>
      <c r="M34" s="27"/>
      <c r="N34" s="15"/>
    </row>
    <row r="35" spans="2:14" ht="15.75" customHeight="1">
      <c r="B35" s="32">
        <v>29</v>
      </c>
      <c r="C35" s="36" t="s">
        <v>113</v>
      </c>
      <c r="D35" s="23" t="s">
        <v>45</v>
      </c>
      <c r="E35" s="24" t="s">
        <v>26</v>
      </c>
      <c r="F35" s="23" t="s">
        <v>13</v>
      </c>
      <c r="G35" s="30" t="s">
        <v>46</v>
      </c>
      <c r="H35" s="31"/>
      <c r="I35" s="25">
        <v>4</v>
      </c>
      <c r="J35" s="23" t="s">
        <v>13</v>
      </c>
      <c r="K35" s="25">
        <v>0</v>
      </c>
      <c r="L35" s="26"/>
      <c r="M35" s="27"/>
      <c r="N35" s="15"/>
    </row>
    <row r="36" spans="2:14" ht="15.75" customHeight="1">
      <c r="B36" s="32">
        <v>30</v>
      </c>
      <c r="C36" s="36" t="s">
        <v>114</v>
      </c>
      <c r="D36" s="23" t="s">
        <v>45</v>
      </c>
      <c r="E36" s="24" t="s">
        <v>34</v>
      </c>
      <c r="F36" s="23" t="s">
        <v>13</v>
      </c>
      <c r="G36" s="30" t="s">
        <v>41</v>
      </c>
      <c r="H36" s="31"/>
      <c r="I36" s="25">
        <v>1</v>
      </c>
      <c r="J36" s="23" t="s">
        <v>13</v>
      </c>
      <c r="K36" s="25">
        <v>1</v>
      </c>
      <c r="L36" s="26"/>
      <c r="M36" s="27"/>
      <c r="N36" s="15"/>
    </row>
    <row r="37" spans="2:14" ht="15.75" customHeight="1">
      <c r="B37" s="32">
        <v>31</v>
      </c>
      <c r="C37" s="36" t="s">
        <v>115</v>
      </c>
      <c r="D37" s="23" t="s">
        <v>39</v>
      </c>
      <c r="E37" s="24" t="s">
        <v>27</v>
      </c>
      <c r="F37" s="23" t="s">
        <v>13</v>
      </c>
      <c r="G37" s="30" t="s">
        <v>40</v>
      </c>
      <c r="H37" s="31"/>
      <c r="I37" s="25">
        <v>1</v>
      </c>
      <c r="J37" s="23" t="s">
        <v>13</v>
      </c>
      <c r="K37" s="25">
        <v>2</v>
      </c>
      <c r="L37" s="26"/>
      <c r="M37" s="27"/>
      <c r="N37" s="15"/>
    </row>
    <row r="38" spans="2:14" ht="15.75" customHeight="1">
      <c r="B38" s="32">
        <v>32</v>
      </c>
      <c r="C38" s="36" t="s">
        <v>116</v>
      </c>
      <c r="D38" s="23" t="s">
        <v>39</v>
      </c>
      <c r="E38" s="24" t="s">
        <v>35</v>
      </c>
      <c r="F38" s="23" t="s">
        <v>13</v>
      </c>
      <c r="G38" s="30" t="s">
        <v>48</v>
      </c>
      <c r="H38" s="31"/>
      <c r="I38" s="25">
        <v>2</v>
      </c>
      <c r="J38" s="23" t="s">
        <v>13</v>
      </c>
      <c r="K38" s="25">
        <v>0</v>
      </c>
      <c r="L38" s="26"/>
      <c r="M38" s="27"/>
      <c r="N38" s="15"/>
    </row>
    <row r="39" spans="2:14" ht="15.75" customHeight="1">
      <c r="B39" s="32">
        <v>33</v>
      </c>
      <c r="C39" s="36" t="s">
        <v>117</v>
      </c>
      <c r="D39" s="23" t="s">
        <v>67</v>
      </c>
      <c r="E39" s="24" t="s">
        <v>28</v>
      </c>
      <c r="F39" s="23" t="s">
        <v>13</v>
      </c>
      <c r="G39" s="30" t="s">
        <v>42</v>
      </c>
      <c r="H39" s="31"/>
      <c r="I39" s="25">
        <v>3</v>
      </c>
      <c r="J39" s="23" t="s">
        <v>13</v>
      </c>
      <c r="K39" s="25">
        <v>1</v>
      </c>
      <c r="L39" s="26"/>
      <c r="M39" s="27"/>
      <c r="N39" s="15"/>
    </row>
    <row r="40" spans="2:14" ht="15.75" customHeight="1">
      <c r="B40" s="32">
        <v>34</v>
      </c>
      <c r="C40" s="36" t="s">
        <v>118</v>
      </c>
      <c r="D40" s="23" t="s">
        <v>67</v>
      </c>
      <c r="E40" s="24" t="s">
        <v>36</v>
      </c>
      <c r="F40" s="23" t="s">
        <v>13</v>
      </c>
      <c r="G40" s="30" t="s">
        <v>49</v>
      </c>
      <c r="H40" s="31"/>
      <c r="I40" s="25">
        <v>1</v>
      </c>
      <c r="J40" s="23" t="s">
        <v>13</v>
      </c>
      <c r="K40" s="25">
        <v>0</v>
      </c>
      <c r="L40" s="26"/>
      <c r="M40" s="27"/>
      <c r="N40" s="15"/>
    </row>
    <row r="41" spans="2:14" ht="15.75" customHeight="1">
      <c r="B41" s="32">
        <v>35</v>
      </c>
      <c r="C41" s="36" t="s">
        <v>119</v>
      </c>
      <c r="D41" s="23" t="s">
        <v>82</v>
      </c>
      <c r="E41" s="24" t="s">
        <v>29</v>
      </c>
      <c r="F41" s="23" t="s">
        <v>13</v>
      </c>
      <c r="G41" s="30" t="s">
        <v>37</v>
      </c>
      <c r="H41" s="31"/>
      <c r="I41" s="25">
        <v>1</v>
      </c>
      <c r="J41" s="23" t="s">
        <v>13</v>
      </c>
      <c r="K41" s="25">
        <v>1</v>
      </c>
      <c r="L41" s="26"/>
      <c r="M41" s="27"/>
      <c r="N41" s="15"/>
    </row>
    <row r="42" spans="2:14" ht="15.75" customHeight="1">
      <c r="B42" s="32">
        <v>36</v>
      </c>
      <c r="C42" s="36" t="s">
        <v>120</v>
      </c>
      <c r="D42" s="23" t="s">
        <v>82</v>
      </c>
      <c r="E42" s="24" t="s">
        <v>50</v>
      </c>
      <c r="F42" s="23" t="s">
        <v>13</v>
      </c>
      <c r="G42" s="30" t="s">
        <v>43</v>
      </c>
      <c r="H42" s="31"/>
      <c r="I42" s="25">
        <v>1</v>
      </c>
      <c r="J42" s="23" t="s">
        <v>13</v>
      </c>
      <c r="K42" s="25">
        <v>1</v>
      </c>
      <c r="L42" s="26"/>
      <c r="M42" s="27"/>
      <c r="N42" s="15"/>
    </row>
    <row r="43" spans="2:14" ht="15.75" customHeight="1">
      <c r="B43" s="32">
        <v>37</v>
      </c>
      <c r="C43" s="36" t="s">
        <v>121</v>
      </c>
      <c r="D43" s="23" t="s">
        <v>91</v>
      </c>
      <c r="E43" s="24" t="s">
        <v>69</v>
      </c>
      <c r="F43" s="23" t="s">
        <v>13</v>
      </c>
      <c r="G43" s="30" t="s">
        <v>76</v>
      </c>
      <c r="H43" s="31"/>
      <c r="I43" s="25">
        <v>2</v>
      </c>
      <c r="J43" s="23" t="s">
        <v>13</v>
      </c>
      <c r="K43" s="25">
        <v>0</v>
      </c>
      <c r="L43" s="26"/>
      <c r="M43" s="27"/>
      <c r="N43" s="1"/>
    </row>
    <row r="44" spans="2:14" ht="15.75" customHeight="1">
      <c r="B44" s="32">
        <v>38</v>
      </c>
      <c r="C44" s="36" t="s">
        <v>122</v>
      </c>
      <c r="D44" s="23" t="s">
        <v>91</v>
      </c>
      <c r="E44" s="24" t="s">
        <v>61</v>
      </c>
      <c r="F44" s="23" t="s">
        <v>13</v>
      </c>
      <c r="G44" s="30" t="s">
        <v>84</v>
      </c>
      <c r="H44" s="31"/>
      <c r="I44" s="25">
        <v>3</v>
      </c>
      <c r="J44" s="23" t="s">
        <v>13</v>
      </c>
      <c r="K44" s="25">
        <v>0</v>
      </c>
      <c r="L44" s="26"/>
      <c r="M44" s="27"/>
      <c r="N44" s="1"/>
    </row>
    <row r="45" spans="2:14" ht="15.75" customHeight="1">
      <c r="B45" s="32">
        <v>39</v>
      </c>
      <c r="C45" s="36" t="s">
        <v>123</v>
      </c>
      <c r="D45" s="23" t="s">
        <v>95</v>
      </c>
      <c r="E45" s="24" t="s">
        <v>60</v>
      </c>
      <c r="F45" s="23" t="s">
        <v>13</v>
      </c>
      <c r="G45" s="30" t="s">
        <v>83</v>
      </c>
      <c r="H45" s="31"/>
      <c r="I45" s="25">
        <v>3</v>
      </c>
      <c r="J45" s="23" t="s">
        <v>13</v>
      </c>
      <c r="K45" s="25">
        <v>0</v>
      </c>
      <c r="L45" s="26"/>
      <c r="M45" s="27"/>
      <c r="N45" s="1"/>
    </row>
    <row r="46" spans="2:14" ht="15.75" customHeight="1">
      <c r="B46" s="32">
        <v>40</v>
      </c>
      <c r="C46" s="36" t="s">
        <v>124</v>
      </c>
      <c r="D46" s="23" t="s">
        <v>95</v>
      </c>
      <c r="E46" s="24" t="s">
        <v>75</v>
      </c>
      <c r="F46" s="23" t="s">
        <v>13</v>
      </c>
      <c r="G46" s="30" t="s">
        <v>68</v>
      </c>
      <c r="H46" s="31"/>
      <c r="I46" s="25">
        <v>1</v>
      </c>
      <c r="J46" s="23" t="s">
        <v>13</v>
      </c>
      <c r="K46" s="25">
        <v>1</v>
      </c>
      <c r="L46" s="26"/>
      <c r="M46" s="27"/>
      <c r="N46" s="1"/>
    </row>
    <row r="47" spans="2:14" ht="15.75" customHeight="1">
      <c r="B47" s="32">
        <v>41</v>
      </c>
      <c r="C47" s="36" t="s">
        <v>125</v>
      </c>
      <c r="D47" s="23" t="s">
        <v>98</v>
      </c>
      <c r="E47" s="24" t="s">
        <v>70</v>
      </c>
      <c r="F47" s="23" t="s">
        <v>13</v>
      </c>
      <c r="G47" s="30" t="s">
        <v>77</v>
      </c>
      <c r="H47" s="31"/>
      <c r="I47" s="25">
        <v>2</v>
      </c>
      <c r="J47" s="23" t="s">
        <v>13</v>
      </c>
      <c r="K47" s="25">
        <v>1</v>
      </c>
      <c r="L47" s="26"/>
      <c r="M47" s="27"/>
      <c r="N47" s="1"/>
    </row>
    <row r="48" spans="2:14" ht="15.75" customHeight="1">
      <c r="B48" s="32">
        <v>42</v>
      </c>
      <c r="C48" s="36" t="s">
        <v>126</v>
      </c>
      <c r="D48" s="23" t="s">
        <v>98</v>
      </c>
      <c r="E48" s="24" t="s">
        <v>62</v>
      </c>
      <c r="F48" s="23" t="s">
        <v>13</v>
      </c>
      <c r="G48" s="30" t="s">
        <v>85</v>
      </c>
      <c r="H48" s="31"/>
      <c r="I48" s="25">
        <v>2</v>
      </c>
      <c r="J48" s="23" t="s">
        <v>13</v>
      </c>
      <c r="K48" s="25">
        <v>0</v>
      </c>
      <c r="L48" s="26"/>
      <c r="M48" s="27"/>
      <c r="N48" s="1"/>
    </row>
    <row r="49" spans="2:13" ht="15.75" customHeight="1">
      <c r="B49" s="32">
        <v>43</v>
      </c>
      <c r="C49" s="36" t="s">
        <v>127</v>
      </c>
      <c r="D49" s="23" t="s">
        <v>101</v>
      </c>
      <c r="E49" s="24" t="s">
        <v>63</v>
      </c>
      <c r="F49" s="23" t="s">
        <v>13</v>
      </c>
      <c r="G49" s="30" t="s">
        <v>71</v>
      </c>
      <c r="H49" s="31"/>
      <c r="I49" s="25">
        <v>2</v>
      </c>
      <c r="J49" s="23" t="s">
        <v>13</v>
      </c>
      <c r="K49" s="25">
        <v>1</v>
      </c>
      <c r="L49" s="26"/>
      <c r="M49" s="27"/>
    </row>
    <row r="50" spans="2:13" ht="15.75" customHeight="1">
      <c r="B50" s="32">
        <v>44</v>
      </c>
      <c r="C50" s="36" t="s">
        <v>128</v>
      </c>
      <c r="D50" s="23" t="s">
        <v>101</v>
      </c>
      <c r="E50" s="24" t="s">
        <v>86</v>
      </c>
      <c r="F50" s="23" t="s">
        <v>13</v>
      </c>
      <c r="G50" s="30" t="s">
        <v>78</v>
      </c>
      <c r="H50" s="31"/>
      <c r="I50" s="25">
        <v>1</v>
      </c>
      <c r="J50" s="23" t="s">
        <v>13</v>
      </c>
      <c r="K50" s="25">
        <v>1</v>
      </c>
      <c r="L50" s="26"/>
      <c r="M50" s="27"/>
    </row>
    <row r="51" spans="2:13" ht="15.75" customHeight="1">
      <c r="B51" s="32">
        <v>45</v>
      </c>
      <c r="C51" s="36" t="s">
        <v>129</v>
      </c>
      <c r="D51" s="23" t="s">
        <v>104</v>
      </c>
      <c r="E51" s="24" t="s">
        <v>65</v>
      </c>
      <c r="F51" s="23" t="s">
        <v>13</v>
      </c>
      <c r="G51" s="30" t="s">
        <v>80</v>
      </c>
      <c r="H51" s="31"/>
      <c r="I51" s="25">
        <v>2</v>
      </c>
      <c r="J51" s="23" t="s">
        <v>13</v>
      </c>
      <c r="K51" s="25">
        <v>0</v>
      </c>
      <c r="L51" s="26"/>
      <c r="M51" s="27"/>
    </row>
    <row r="52" spans="2:13" ht="15.75" customHeight="1">
      <c r="B52" s="32">
        <v>46</v>
      </c>
      <c r="C52" s="36" t="s">
        <v>130</v>
      </c>
      <c r="D52" s="23" t="s">
        <v>104</v>
      </c>
      <c r="E52" s="24" t="s">
        <v>88</v>
      </c>
      <c r="F52" s="23" t="s">
        <v>13</v>
      </c>
      <c r="G52" s="30" t="s">
        <v>73</v>
      </c>
      <c r="H52" s="31"/>
      <c r="I52" s="25">
        <v>1</v>
      </c>
      <c r="J52" s="23" t="s">
        <v>13</v>
      </c>
      <c r="K52" s="25">
        <v>2</v>
      </c>
      <c r="L52" s="26"/>
      <c r="M52" s="27"/>
    </row>
    <row r="53" spans="2:13" ht="15.75" customHeight="1">
      <c r="B53" s="32">
        <v>47</v>
      </c>
      <c r="C53" s="36" t="s">
        <v>131</v>
      </c>
      <c r="D53" s="23" t="s">
        <v>107</v>
      </c>
      <c r="E53" s="24" t="s">
        <v>64</v>
      </c>
      <c r="F53" s="23" t="s">
        <v>13</v>
      </c>
      <c r="G53" s="30" t="s">
        <v>79</v>
      </c>
      <c r="H53" s="31"/>
      <c r="I53" s="25">
        <v>3</v>
      </c>
      <c r="J53" s="23" t="s">
        <v>13</v>
      </c>
      <c r="K53" s="25">
        <v>0</v>
      </c>
      <c r="L53" s="26"/>
      <c r="M53" s="27"/>
    </row>
    <row r="54" spans="2:13" ht="15.75" customHeight="1">
      <c r="B54" s="32">
        <v>48</v>
      </c>
      <c r="C54" s="36" t="s">
        <v>132</v>
      </c>
      <c r="D54" s="23" t="s">
        <v>107</v>
      </c>
      <c r="E54" s="24" t="s">
        <v>72</v>
      </c>
      <c r="F54" s="23" t="s">
        <v>13</v>
      </c>
      <c r="G54" s="30" t="s">
        <v>87</v>
      </c>
      <c r="H54" s="31"/>
      <c r="I54" s="25">
        <v>3</v>
      </c>
      <c r="J54" s="23" t="s">
        <v>13</v>
      </c>
      <c r="K54" s="25">
        <v>0</v>
      </c>
      <c r="L54" s="26"/>
      <c r="M54" s="27"/>
    </row>
    <row r="55" spans="2:13" ht="15.75" customHeight="1">
      <c r="B55" s="32">
        <v>49</v>
      </c>
      <c r="C55" s="36" t="s">
        <v>133</v>
      </c>
      <c r="D55" s="23" t="s">
        <v>45</v>
      </c>
      <c r="E55" s="24" t="s">
        <v>34</v>
      </c>
      <c r="F55" s="23" t="s">
        <v>13</v>
      </c>
      <c r="G55" s="30" t="s">
        <v>26</v>
      </c>
      <c r="H55" s="31"/>
      <c r="I55" s="25">
        <v>0</v>
      </c>
      <c r="J55" s="23" t="s">
        <v>13</v>
      </c>
      <c r="K55" s="25">
        <v>3</v>
      </c>
      <c r="L55" s="26"/>
      <c r="M55" s="27"/>
    </row>
    <row r="56" spans="2:13" ht="15.75" customHeight="1">
      <c r="B56" s="32">
        <v>50</v>
      </c>
      <c r="C56" s="36" t="s">
        <v>133</v>
      </c>
      <c r="D56" s="23" t="s">
        <v>45</v>
      </c>
      <c r="E56" s="24" t="s">
        <v>41</v>
      </c>
      <c r="F56" s="23" t="s">
        <v>13</v>
      </c>
      <c r="G56" s="30" t="s">
        <v>46</v>
      </c>
      <c r="H56" s="31"/>
      <c r="I56" s="25">
        <v>2</v>
      </c>
      <c r="J56" s="23" t="s">
        <v>13</v>
      </c>
      <c r="K56" s="25">
        <v>1</v>
      </c>
      <c r="L56" s="26"/>
      <c r="M56" s="27"/>
    </row>
    <row r="57" spans="2:13" ht="15.75" customHeight="1">
      <c r="B57" s="32">
        <v>51</v>
      </c>
      <c r="C57" s="36" t="s">
        <v>134</v>
      </c>
      <c r="D57" s="23" t="s">
        <v>31</v>
      </c>
      <c r="E57" s="24" t="s">
        <v>25</v>
      </c>
      <c r="F57" s="23" t="s">
        <v>13</v>
      </c>
      <c r="G57" s="30" t="s">
        <v>32</v>
      </c>
      <c r="H57" s="31"/>
      <c r="I57" s="25">
        <v>1</v>
      </c>
      <c r="J57" s="23" t="s">
        <v>13</v>
      </c>
      <c r="K57" s="25">
        <v>1</v>
      </c>
      <c r="L57" s="26"/>
      <c r="M57" s="27"/>
    </row>
    <row r="58" spans="2:13" ht="15.75" customHeight="1">
      <c r="B58" s="32">
        <v>52</v>
      </c>
      <c r="C58" s="36" t="s">
        <v>134</v>
      </c>
      <c r="D58" s="23" t="s">
        <v>31</v>
      </c>
      <c r="E58" s="24" t="s">
        <v>33</v>
      </c>
      <c r="F58" s="23" t="s">
        <v>13</v>
      </c>
      <c r="G58" s="30" t="s">
        <v>47</v>
      </c>
      <c r="H58" s="31"/>
      <c r="I58" s="25">
        <v>2</v>
      </c>
      <c r="J58" s="23" t="s">
        <v>13</v>
      </c>
      <c r="K58" s="25">
        <v>1</v>
      </c>
      <c r="L58" s="26"/>
      <c r="M58" s="27"/>
    </row>
    <row r="59" spans="2:13" ht="15.75" customHeight="1">
      <c r="B59" s="32">
        <v>53</v>
      </c>
      <c r="C59" s="36" t="s">
        <v>135</v>
      </c>
      <c r="D59" s="23" t="s">
        <v>11</v>
      </c>
      <c r="E59" s="24" t="s">
        <v>24</v>
      </c>
      <c r="F59" s="23" t="s">
        <v>13</v>
      </c>
      <c r="G59" s="30" t="s">
        <v>12</v>
      </c>
      <c r="H59" s="31"/>
      <c r="I59" s="25">
        <v>1</v>
      </c>
      <c r="J59" s="23" t="s">
        <v>13</v>
      </c>
      <c r="K59" s="25">
        <v>1</v>
      </c>
      <c r="L59" s="26"/>
      <c r="M59" s="27"/>
    </row>
    <row r="60" spans="2:13" ht="15.75" customHeight="1">
      <c r="B60" s="32">
        <v>54</v>
      </c>
      <c r="C60" s="36" t="s">
        <v>135</v>
      </c>
      <c r="D60" s="23" t="s">
        <v>11</v>
      </c>
      <c r="E60" s="24" t="s">
        <v>14</v>
      </c>
      <c r="F60" s="23" t="s">
        <v>13</v>
      </c>
      <c r="G60" s="30" t="s">
        <v>23</v>
      </c>
      <c r="H60" s="31"/>
      <c r="I60" s="25">
        <v>2</v>
      </c>
      <c r="J60" s="23" t="s">
        <v>13</v>
      </c>
      <c r="K60" s="25">
        <v>1</v>
      </c>
      <c r="L60" s="26"/>
      <c r="M60" s="27"/>
    </row>
    <row r="61" spans="2:13" ht="15.75" customHeight="1">
      <c r="B61" s="32">
        <v>55</v>
      </c>
      <c r="C61" s="36" t="s">
        <v>136</v>
      </c>
      <c r="D61" s="23" t="s">
        <v>67</v>
      </c>
      <c r="E61" s="24" t="s">
        <v>49</v>
      </c>
      <c r="F61" s="23" t="s">
        <v>13</v>
      </c>
      <c r="G61" s="30" t="s">
        <v>42</v>
      </c>
      <c r="H61" s="31"/>
      <c r="I61" s="25">
        <v>1</v>
      </c>
      <c r="J61" s="23" t="s">
        <v>13</v>
      </c>
      <c r="K61" s="25">
        <v>1</v>
      </c>
      <c r="L61" s="26"/>
      <c r="M61" s="27"/>
    </row>
    <row r="62" spans="2:13" ht="15.75" customHeight="1">
      <c r="B62" s="32">
        <v>56</v>
      </c>
      <c r="C62" s="36" t="s">
        <v>136</v>
      </c>
      <c r="D62" s="23" t="s">
        <v>67</v>
      </c>
      <c r="E62" s="24" t="s">
        <v>36</v>
      </c>
      <c r="F62" s="23" t="s">
        <v>13</v>
      </c>
      <c r="G62" s="30" t="s">
        <v>28</v>
      </c>
      <c r="H62" s="31"/>
      <c r="I62" s="25">
        <v>0</v>
      </c>
      <c r="J62" s="23" t="s">
        <v>13</v>
      </c>
      <c r="K62" s="25">
        <v>2</v>
      </c>
      <c r="L62" s="26"/>
      <c r="M62" s="27"/>
    </row>
    <row r="63" spans="2:13" ht="15.75" customHeight="1">
      <c r="B63" s="32">
        <v>57</v>
      </c>
      <c r="C63" s="36" t="s">
        <v>137</v>
      </c>
      <c r="D63" s="23" t="s">
        <v>82</v>
      </c>
      <c r="E63" s="24" t="s">
        <v>43</v>
      </c>
      <c r="F63" s="23" t="s">
        <v>13</v>
      </c>
      <c r="G63" s="30" t="s">
        <v>37</v>
      </c>
      <c r="H63" s="31"/>
      <c r="I63" s="25">
        <v>1</v>
      </c>
      <c r="J63" s="23" t="s">
        <v>13</v>
      </c>
      <c r="K63" s="25">
        <v>1</v>
      </c>
      <c r="L63" s="26"/>
      <c r="M63" s="27"/>
    </row>
    <row r="64" spans="2:13" ht="15.75" customHeight="1">
      <c r="B64" s="32">
        <v>58</v>
      </c>
      <c r="C64" s="36" t="s">
        <v>137</v>
      </c>
      <c r="D64" s="23" t="s">
        <v>82</v>
      </c>
      <c r="E64" s="24" t="s">
        <v>50</v>
      </c>
      <c r="F64" s="23" t="s">
        <v>13</v>
      </c>
      <c r="G64" s="30" t="s">
        <v>29</v>
      </c>
      <c r="H64" s="31"/>
      <c r="I64" s="25">
        <v>0</v>
      </c>
      <c r="J64" s="23" t="s">
        <v>13</v>
      </c>
      <c r="K64" s="25">
        <v>1</v>
      </c>
      <c r="L64" s="26"/>
      <c r="M64" s="27"/>
    </row>
    <row r="65" spans="2:14" ht="15.75" customHeight="1">
      <c r="B65" s="32">
        <v>59</v>
      </c>
      <c r="C65" s="36" t="s">
        <v>138</v>
      </c>
      <c r="D65" s="23" t="s">
        <v>39</v>
      </c>
      <c r="E65" s="24" t="s">
        <v>27</v>
      </c>
      <c r="F65" s="23" t="s">
        <v>13</v>
      </c>
      <c r="G65" s="30" t="s">
        <v>35</v>
      </c>
      <c r="H65" s="31"/>
      <c r="I65" s="25">
        <v>1</v>
      </c>
      <c r="J65" s="23" t="s">
        <v>13</v>
      </c>
      <c r="K65" s="25">
        <v>1</v>
      </c>
      <c r="L65" s="26"/>
      <c r="M65" s="27"/>
      <c r="N65" s="1"/>
    </row>
    <row r="66" spans="2:14" ht="15.75" customHeight="1">
      <c r="B66" s="32">
        <v>60</v>
      </c>
      <c r="C66" s="36" t="s">
        <v>138</v>
      </c>
      <c r="D66" s="23" t="s">
        <v>39</v>
      </c>
      <c r="E66" s="24" t="s">
        <v>40</v>
      </c>
      <c r="F66" s="23" t="s">
        <v>13</v>
      </c>
      <c r="G66" s="30" t="s">
        <v>48</v>
      </c>
      <c r="H66" s="31"/>
      <c r="I66" s="25">
        <v>1</v>
      </c>
      <c r="J66" s="23" t="s">
        <v>13</v>
      </c>
      <c r="K66" s="25">
        <v>1</v>
      </c>
      <c r="L66" s="26"/>
      <c r="M66" s="27"/>
      <c r="N66" s="1"/>
    </row>
    <row r="67" spans="2:14" ht="15.75" customHeight="1">
      <c r="B67" s="32">
        <v>61</v>
      </c>
      <c r="C67" s="36" t="s">
        <v>139</v>
      </c>
      <c r="D67" s="23" t="s">
        <v>98</v>
      </c>
      <c r="E67" s="24" t="s">
        <v>70</v>
      </c>
      <c r="F67" s="23" t="s">
        <v>13</v>
      </c>
      <c r="G67" s="30" t="s">
        <v>62</v>
      </c>
      <c r="H67" s="31"/>
      <c r="I67" s="25">
        <v>0</v>
      </c>
      <c r="J67" s="23" t="s">
        <v>13</v>
      </c>
      <c r="K67" s="25">
        <v>1</v>
      </c>
      <c r="L67" s="26"/>
      <c r="M67" s="27"/>
      <c r="N67" s="1"/>
    </row>
    <row r="68" spans="2:14" ht="15.75" customHeight="1">
      <c r="B68" s="32">
        <v>62</v>
      </c>
      <c r="C68" s="36" t="s">
        <v>139</v>
      </c>
      <c r="D68" s="23" t="s">
        <v>98</v>
      </c>
      <c r="E68" s="24" t="s">
        <v>77</v>
      </c>
      <c r="F68" s="23" t="s">
        <v>13</v>
      </c>
      <c r="G68" s="30" t="s">
        <v>85</v>
      </c>
      <c r="H68" s="31"/>
      <c r="I68" s="25">
        <v>1</v>
      </c>
      <c r="J68" s="23" t="s">
        <v>13</v>
      </c>
      <c r="K68" s="25">
        <v>1</v>
      </c>
      <c r="L68" s="26"/>
      <c r="M68" s="27"/>
      <c r="N68" s="1"/>
    </row>
    <row r="69" spans="2:14" ht="15.75" customHeight="1">
      <c r="B69" s="32">
        <v>63</v>
      </c>
      <c r="C69" s="36" t="s">
        <v>140</v>
      </c>
      <c r="D69" s="23" t="s">
        <v>95</v>
      </c>
      <c r="E69" s="24" t="s">
        <v>68</v>
      </c>
      <c r="F69" s="23" t="s">
        <v>13</v>
      </c>
      <c r="G69" s="30" t="s">
        <v>83</v>
      </c>
      <c r="H69" s="31"/>
      <c r="I69" s="25">
        <v>3</v>
      </c>
      <c r="J69" s="23" t="s">
        <v>13</v>
      </c>
      <c r="K69" s="25">
        <v>0</v>
      </c>
      <c r="L69" s="26"/>
      <c r="M69" s="27"/>
      <c r="N69" s="1"/>
    </row>
    <row r="70" spans="2:14" ht="15.75" customHeight="1">
      <c r="B70" s="32">
        <v>64</v>
      </c>
      <c r="C70" s="36" t="s">
        <v>140</v>
      </c>
      <c r="D70" s="23" t="s">
        <v>95</v>
      </c>
      <c r="E70" s="24" t="s">
        <v>75</v>
      </c>
      <c r="F70" s="23" t="s">
        <v>13</v>
      </c>
      <c r="G70" s="30" t="s">
        <v>60</v>
      </c>
      <c r="H70" s="31"/>
      <c r="I70" s="25">
        <v>0</v>
      </c>
      <c r="J70" s="23" t="s">
        <v>13</v>
      </c>
      <c r="K70" s="25">
        <v>1</v>
      </c>
      <c r="L70" s="26"/>
      <c r="M70" s="27"/>
      <c r="N70" s="1"/>
    </row>
    <row r="71" spans="2:14" ht="15.75" customHeight="1">
      <c r="B71" s="32">
        <v>65</v>
      </c>
      <c r="C71" s="36" t="s">
        <v>141</v>
      </c>
      <c r="D71" s="23" t="s">
        <v>91</v>
      </c>
      <c r="E71" s="24" t="s">
        <v>76</v>
      </c>
      <c r="F71" s="23" t="s">
        <v>13</v>
      </c>
      <c r="G71" s="30" t="s">
        <v>84</v>
      </c>
      <c r="H71" s="31"/>
      <c r="I71" s="25">
        <v>1</v>
      </c>
      <c r="J71" s="23" t="s">
        <v>13</v>
      </c>
      <c r="K71" s="25">
        <v>1</v>
      </c>
      <c r="L71" s="26"/>
      <c r="M71" s="27"/>
      <c r="N71" s="1"/>
    </row>
    <row r="72" spans="2:14" ht="15.75" customHeight="1">
      <c r="B72" s="32">
        <v>66</v>
      </c>
      <c r="C72" s="36" t="s">
        <v>141</v>
      </c>
      <c r="D72" s="23" t="s">
        <v>91</v>
      </c>
      <c r="E72" s="24" t="s">
        <v>69</v>
      </c>
      <c r="F72" s="23" t="s">
        <v>13</v>
      </c>
      <c r="G72" s="30" t="s">
        <v>61</v>
      </c>
      <c r="H72" s="31"/>
      <c r="I72" s="25">
        <v>1</v>
      </c>
      <c r="J72" s="23" t="s">
        <v>13</v>
      </c>
      <c r="K72" s="25">
        <v>1</v>
      </c>
      <c r="L72" s="26"/>
      <c r="M72" s="27"/>
      <c r="N72" s="1"/>
    </row>
    <row r="73" spans="2:14" ht="15.75" customHeight="1">
      <c r="B73" s="32">
        <v>67</v>
      </c>
      <c r="C73" s="36" t="s">
        <v>142</v>
      </c>
      <c r="D73" s="23" t="s">
        <v>104</v>
      </c>
      <c r="E73" s="24" t="s">
        <v>88</v>
      </c>
      <c r="F73" s="23" t="s">
        <v>13</v>
      </c>
      <c r="G73" s="30" t="s">
        <v>65</v>
      </c>
      <c r="H73" s="31"/>
      <c r="I73" s="25">
        <v>1</v>
      </c>
      <c r="J73" s="23" t="s">
        <v>13</v>
      </c>
      <c r="K73" s="25">
        <v>1</v>
      </c>
      <c r="L73" s="26"/>
      <c r="M73" s="27"/>
      <c r="N73" s="1"/>
    </row>
    <row r="74" spans="2:14" ht="15.75" customHeight="1">
      <c r="B74" s="32">
        <v>68</v>
      </c>
      <c r="C74" s="36" t="s">
        <v>142</v>
      </c>
      <c r="D74" s="23" t="s">
        <v>104</v>
      </c>
      <c r="E74" s="24" t="s">
        <v>73</v>
      </c>
      <c r="F74" s="23" t="s">
        <v>13</v>
      </c>
      <c r="G74" s="30" t="s">
        <v>80</v>
      </c>
      <c r="H74" s="31"/>
      <c r="I74" s="25">
        <v>1</v>
      </c>
      <c r="J74" s="23" t="s">
        <v>13</v>
      </c>
      <c r="K74" s="25">
        <v>1</v>
      </c>
      <c r="L74" s="26"/>
      <c r="M74" s="27"/>
      <c r="N74" s="1"/>
    </row>
    <row r="75" spans="2:14" ht="15.75" customHeight="1">
      <c r="B75" s="32">
        <v>69</v>
      </c>
      <c r="C75" s="36" t="s">
        <v>143</v>
      </c>
      <c r="D75" s="23" t="s">
        <v>101</v>
      </c>
      <c r="E75" s="24" t="s">
        <v>78</v>
      </c>
      <c r="F75" s="23" t="s">
        <v>13</v>
      </c>
      <c r="G75" s="30" t="s">
        <v>71</v>
      </c>
      <c r="H75" s="31"/>
      <c r="I75" s="25">
        <v>0</v>
      </c>
      <c r="J75" s="23" t="s">
        <v>13</v>
      </c>
      <c r="K75" s="25">
        <v>1</v>
      </c>
      <c r="L75" s="26"/>
      <c r="M75" s="27"/>
      <c r="N75" s="1"/>
    </row>
    <row r="76" spans="2:14" ht="15.75" customHeight="1">
      <c r="B76" s="32">
        <v>70</v>
      </c>
      <c r="C76" s="36" t="s">
        <v>143</v>
      </c>
      <c r="D76" s="23" t="s">
        <v>101</v>
      </c>
      <c r="E76" s="24" t="s">
        <v>86</v>
      </c>
      <c r="F76" s="23" t="s">
        <v>13</v>
      </c>
      <c r="G76" s="30" t="s">
        <v>63</v>
      </c>
      <c r="H76" s="31"/>
      <c r="I76" s="25">
        <v>0</v>
      </c>
      <c r="J76" s="23" t="s">
        <v>13</v>
      </c>
      <c r="K76" s="25">
        <v>2</v>
      </c>
      <c r="L76" s="26"/>
      <c r="M76" s="27"/>
      <c r="N76" s="1"/>
    </row>
    <row r="77" spans="2:14" ht="15.75" customHeight="1">
      <c r="B77" s="32">
        <v>71</v>
      </c>
      <c r="C77" s="36" t="s">
        <v>144</v>
      </c>
      <c r="D77" s="23" t="s">
        <v>107</v>
      </c>
      <c r="E77" s="24" t="s">
        <v>72</v>
      </c>
      <c r="F77" s="23" t="s">
        <v>13</v>
      </c>
      <c r="G77" s="30" t="s">
        <v>64</v>
      </c>
      <c r="H77" s="31"/>
      <c r="I77" s="25">
        <v>1</v>
      </c>
      <c r="J77" s="23" t="s">
        <v>13</v>
      </c>
      <c r="K77" s="25">
        <v>1</v>
      </c>
      <c r="L77" s="26"/>
      <c r="M77" s="27"/>
      <c r="N77" s="1"/>
    </row>
    <row r="78" spans="2:14" ht="15.75" customHeight="1">
      <c r="B78" s="32">
        <v>72</v>
      </c>
      <c r="C78" s="36" t="s">
        <v>144</v>
      </c>
      <c r="D78" s="23" t="s">
        <v>107</v>
      </c>
      <c r="E78" s="24" t="s">
        <v>87</v>
      </c>
      <c r="F78" s="23" t="s">
        <v>13</v>
      </c>
      <c r="G78" s="30" t="s">
        <v>79</v>
      </c>
      <c r="H78" s="31"/>
      <c r="I78" s="25">
        <v>1</v>
      </c>
      <c r="J78" s="23" t="s">
        <v>13</v>
      </c>
      <c r="K78" s="25">
        <v>1</v>
      </c>
      <c r="L78" s="26"/>
      <c r="M78" s="27"/>
      <c r="N78" s="1"/>
    </row>
    <row r="79" spans="2:14" ht="15.75" customHeight="1">
      <c r="B79" s="1"/>
      <c r="C79" s="1"/>
      <c r="D79" s="2" t="s">
        <v>145</v>
      </c>
      <c r="E79" s="10" t="s">
        <v>28</v>
      </c>
      <c r="F79" s="5" t="s">
        <v>13</v>
      </c>
      <c r="G79" s="10" t="s">
        <v>65</v>
      </c>
      <c r="H79" s="1"/>
      <c r="I79" s="1"/>
      <c r="J79" s="1"/>
      <c r="K79" s="1"/>
      <c r="L79" s="14"/>
      <c r="M79" s="14"/>
      <c r="N79" s="15"/>
    </row>
    <row r="80" spans="2:14" ht="15.75" customHeight="1">
      <c r="B80" s="1"/>
      <c r="C80" s="37"/>
      <c r="D80" s="2" t="s">
        <v>146</v>
      </c>
      <c r="E80" s="11" t="s">
        <v>26</v>
      </c>
      <c r="F80" s="5" t="s">
        <v>13</v>
      </c>
      <c r="G80" s="11" t="s">
        <v>61</v>
      </c>
      <c r="H80" s="1"/>
      <c r="I80" s="1"/>
      <c r="J80" s="1"/>
      <c r="K80" s="1"/>
      <c r="L80" s="9"/>
      <c r="M80" s="9"/>
      <c r="N80" s="15"/>
    </row>
    <row r="81" spans="1:14" ht="15.75" customHeight="1">
      <c r="A81" s="1"/>
      <c r="B81" s="1"/>
      <c r="C81" s="37"/>
      <c r="D81" s="1"/>
      <c r="E81" s="1"/>
      <c r="F81" s="4"/>
      <c r="G81" s="1"/>
      <c r="H81" s="1"/>
      <c r="I81" s="1"/>
      <c r="J81" s="1"/>
      <c r="K81" s="4"/>
      <c r="L81" s="4"/>
      <c r="M81" s="4"/>
      <c r="N81" s="15"/>
    </row>
    <row r="82" spans="1:14" ht="15.75" customHeight="1">
      <c r="A82" s="1"/>
      <c r="B82" s="1"/>
      <c r="C82" s="37"/>
      <c r="D82" s="1"/>
      <c r="E82" s="1"/>
      <c r="F82" s="4"/>
      <c r="G82" s="1"/>
      <c r="H82" s="1"/>
      <c r="I82" s="1"/>
      <c r="J82" s="1"/>
      <c r="K82" s="4"/>
      <c r="L82" s="12" t="s">
        <v>147</v>
      </c>
      <c r="M82" s="8"/>
      <c r="N82" s="15"/>
    </row>
    <row r="83" spans="1:14" ht="15.75" customHeight="1">
      <c r="A83" s="1"/>
      <c r="B83" s="1"/>
      <c r="C83" s="37"/>
      <c r="D83" s="1"/>
      <c r="E83" s="1"/>
      <c r="F83" s="4"/>
      <c r="G83" s="1"/>
      <c r="H83" s="1"/>
      <c r="I83" s="1"/>
      <c r="J83" s="1"/>
      <c r="K83" s="4"/>
      <c r="L83" s="4"/>
      <c r="M83" s="4"/>
      <c r="N83" s="15"/>
    </row>
    <row r="84" spans="1:14" ht="15.75" customHeight="1">
      <c r="A84" s="2"/>
      <c r="B84" s="1"/>
      <c r="C84" s="37"/>
      <c r="D84" s="1"/>
      <c r="E84" s="1"/>
      <c r="F84" s="4"/>
      <c r="G84" s="5"/>
      <c r="H84" s="1"/>
      <c r="I84" s="1"/>
      <c r="J84" s="1"/>
      <c r="K84" s="4"/>
      <c r="L84" s="1"/>
      <c r="M84" s="1"/>
      <c r="N84" s="1"/>
    </row>
    <row r="85" spans="1:14" ht="15.75" customHeight="1">
      <c r="A85" s="2"/>
      <c r="B85" s="1"/>
      <c r="C85" s="37"/>
      <c r="D85" s="1"/>
      <c r="E85" s="1"/>
      <c r="F85" s="4"/>
      <c r="G85" s="5"/>
      <c r="H85" s="1"/>
      <c r="I85" s="1"/>
      <c r="J85" s="1"/>
      <c r="K85" s="4"/>
      <c r="L85" s="1"/>
      <c r="M85" s="1"/>
      <c r="N85" s="1"/>
    </row>
    <row r="86" spans="1:14" ht="15.75" customHeight="1">
      <c r="A86" s="2"/>
      <c r="B86" s="3"/>
      <c r="C86" s="38"/>
      <c r="D86" s="1"/>
      <c r="E86" s="1"/>
      <c r="F86" s="4"/>
      <c r="G86" s="5"/>
      <c r="H86" s="1"/>
      <c r="I86" s="1"/>
      <c r="J86" s="1"/>
      <c r="K86" s="4"/>
      <c r="L86" s="1"/>
      <c r="M86" s="1"/>
      <c r="N86" s="1"/>
    </row>
    <row r="87" spans="1:14" ht="15.75" customHeight="1">
      <c r="A87" s="2"/>
      <c r="B87" s="3"/>
      <c r="C87" s="38"/>
      <c r="D87" s="1"/>
      <c r="E87" s="1"/>
      <c r="F87" s="4"/>
      <c r="G87" s="5"/>
      <c r="H87" s="1"/>
      <c r="I87" s="1"/>
      <c r="J87" s="1"/>
      <c r="K87" s="4"/>
      <c r="L87" s="1"/>
      <c r="M87" s="1"/>
      <c r="N87" s="1"/>
    </row>
  </sheetData>
  <mergeCells count="1">
    <mergeCell ref="H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U87"/>
  <sheetViews>
    <sheetView workbookViewId="0">
      <selection activeCell="H2" sqref="H2:M2"/>
    </sheetView>
  </sheetViews>
  <sheetFormatPr defaultRowHeight="15"/>
  <sheetData>
    <row r="2" spans="2:21" ht="15.75">
      <c r="B2" s="96"/>
      <c r="C2" s="96"/>
      <c r="D2" s="96"/>
      <c r="E2" s="96"/>
      <c r="F2" s="96"/>
      <c r="G2" s="97" t="s">
        <v>0</v>
      </c>
      <c r="H2" s="296" t="s">
        <v>376</v>
      </c>
      <c r="I2" s="297"/>
      <c r="J2" s="297"/>
      <c r="K2" s="297"/>
      <c r="L2" s="297"/>
      <c r="M2" s="297"/>
      <c r="N2" s="99"/>
      <c r="O2" s="96"/>
      <c r="P2" s="96"/>
      <c r="Q2" s="96"/>
      <c r="R2" s="96"/>
      <c r="S2" s="96"/>
      <c r="T2" s="96"/>
      <c r="U2" s="96"/>
    </row>
    <row r="4" spans="2:21" ht="18">
      <c r="B4" s="124" t="s">
        <v>2</v>
      </c>
      <c r="C4" s="96"/>
      <c r="D4" s="96"/>
      <c r="E4" s="96"/>
      <c r="F4" s="96"/>
      <c r="G4" s="97"/>
      <c r="H4" s="97"/>
      <c r="I4" s="97"/>
      <c r="J4" s="97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</row>
    <row r="5" spans="2:21" ht="15.75">
      <c r="B5" s="96"/>
      <c r="C5" s="125"/>
      <c r="D5" s="96"/>
      <c r="E5" s="96"/>
      <c r="F5" s="96"/>
      <c r="G5" s="97"/>
      <c r="H5" s="97"/>
      <c r="I5" s="97"/>
      <c r="J5" s="97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</row>
    <row r="6" spans="2:21" ht="18.75" thickBot="1">
      <c r="B6" s="96"/>
      <c r="C6" s="126" t="s">
        <v>3</v>
      </c>
      <c r="D6" s="101" t="s">
        <v>4</v>
      </c>
      <c r="E6" s="102"/>
      <c r="F6" s="101" t="s">
        <v>5</v>
      </c>
      <c r="G6" s="102"/>
      <c r="H6" s="102"/>
      <c r="I6" s="102"/>
      <c r="J6" s="101" t="s">
        <v>6</v>
      </c>
      <c r="K6" s="101"/>
      <c r="L6" s="101" t="s">
        <v>7</v>
      </c>
      <c r="M6" s="101" t="s">
        <v>8</v>
      </c>
      <c r="N6" s="101"/>
      <c r="O6" s="115" t="s">
        <v>9</v>
      </c>
      <c r="P6" s="96"/>
      <c r="Q6" s="96"/>
      <c r="R6" s="96"/>
      <c r="S6" s="96"/>
      <c r="T6" s="96"/>
      <c r="U6" s="96"/>
    </row>
    <row r="7" spans="2:21" ht="16.5" thickBot="1">
      <c r="B7" s="123">
        <v>1</v>
      </c>
      <c r="C7" s="127" t="s">
        <v>10</v>
      </c>
      <c r="D7" s="119" t="s">
        <v>11</v>
      </c>
      <c r="E7" s="24" t="s">
        <v>12</v>
      </c>
      <c r="F7" s="119" t="s">
        <v>13</v>
      </c>
      <c r="G7" s="30" t="s">
        <v>14</v>
      </c>
      <c r="H7" s="122"/>
      <c r="I7" s="25">
        <v>2</v>
      </c>
      <c r="J7" s="119" t="s">
        <v>13</v>
      </c>
      <c r="K7" s="25">
        <v>0</v>
      </c>
      <c r="L7" s="120"/>
      <c r="M7" s="121"/>
      <c r="N7" s="110"/>
      <c r="O7" s="131" t="s">
        <v>15</v>
      </c>
      <c r="P7" s="132" t="s">
        <v>16</v>
      </c>
      <c r="Q7" s="132" t="s">
        <v>17</v>
      </c>
      <c r="R7" s="132" t="s">
        <v>18</v>
      </c>
      <c r="S7" s="132" t="s">
        <v>19</v>
      </c>
      <c r="T7" s="132" t="s">
        <v>20</v>
      </c>
      <c r="U7" s="132" t="s">
        <v>21</v>
      </c>
    </row>
    <row r="8" spans="2:21" ht="15.75">
      <c r="B8" s="123">
        <v>2</v>
      </c>
      <c r="C8" s="127" t="s">
        <v>22</v>
      </c>
      <c r="D8" s="119" t="s">
        <v>11</v>
      </c>
      <c r="E8" s="24" t="s">
        <v>23</v>
      </c>
      <c r="F8" s="119" t="s">
        <v>13</v>
      </c>
      <c r="G8" s="30" t="s">
        <v>24</v>
      </c>
      <c r="H8" s="122"/>
      <c r="I8" s="25">
        <v>0</v>
      </c>
      <c r="J8" s="119" t="s">
        <v>13</v>
      </c>
      <c r="K8" s="25">
        <v>1</v>
      </c>
      <c r="L8" s="120"/>
      <c r="M8" s="121"/>
      <c r="N8" s="110"/>
      <c r="O8" s="111">
        <v>1</v>
      </c>
      <c r="P8" s="113" t="s">
        <v>12</v>
      </c>
      <c r="Q8" s="113" t="s">
        <v>32</v>
      </c>
      <c r="R8" s="113" t="s">
        <v>26</v>
      </c>
      <c r="S8" s="113" t="s">
        <v>35</v>
      </c>
      <c r="T8" s="113" t="s">
        <v>28</v>
      </c>
      <c r="U8" s="113" t="s">
        <v>29</v>
      </c>
    </row>
    <row r="9" spans="2:21" ht="15.75">
      <c r="B9" s="123">
        <v>3</v>
      </c>
      <c r="C9" s="127" t="s">
        <v>30</v>
      </c>
      <c r="D9" s="119" t="s">
        <v>31</v>
      </c>
      <c r="E9" s="24" t="s">
        <v>32</v>
      </c>
      <c r="F9" s="119" t="s">
        <v>13</v>
      </c>
      <c r="G9" s="30" t="s">
        <v>33</v>
      </c>
      <c r="H9" s="122"/>
      <c r="I9" s="25">
        <v>2</v>
      </c>
      <c r="J9" s="119" t="s">
        <v>13</v>
      </c>
      <c r="K9" s="25">
        <v>0</v>
      </c>
      <c r="L9" s="120"/>
      <c r="M9" s="121"/>
      <c r="N9" s="110"/>
      <c r="O9" s="112">
        <v>2</v>
      </c>
      <c r="P9" s="114" t="s">
        <v>24</v>
      </c>
      <c r="Q9" s="114" t="s">
        <v>25</v>
      </c>
      <c r="R9" s="114" t="s">
        <v>41</v>
      </c>
      <c r="S9" s="114" t="s">
        <v>40</v>
      </c>
      <c r="T9" s="114" t="s">
        <v>36</v>
      </c>
      <c r="U9" s="114" t="s">
        <v>43</v>
      </c>
    </row>
    <row r="10" spans="2:21" ht="60.75">
      <c r="B10" s="123">
        <v>4</v>
      </c>
      <c r="C10" s="127" t="s">
        <v>38</v>
      </c>
      <c r="D10" s="119" t="s">
        <v>39</v>
      </c>
      <c r="E10" s="24" t="s">
        <v>35</v>
      </c>
      <c r="F10" s="119" t="s">
        <v>13</v>
      </c>
      <c r="G10" s="30" t="s">
        <v>40</v>
      </c>
      <c r="H10" s="122"/>
      <c r="I10" s="25">
        <v>1</v>
      </c>
      <c r="J10" s="119" t="s">
        <v>13</v>
      </c>
      <c r="K10" s="25">
        <v>0</v>
      </c>
      <c r="L10" s="120"/>
      <c r="M10" s="121"/>
      <c r="N10" s="110"/>
      <c r="O10" s="112">
        <v>3</v>
      </c>
      <c r="P10" s="114" t="s">
        <v>23</v>
      </c>
      <c r="Q10" s="130" t="s">
        <v>33</v>
      </c>
      <c r="R10" s="114" t="s">
        <v>34</v>
      </c>
      <c r="S10" s="114" t="s">
        <v>48</v>
      </c>
      <c r="T10" s="114" t="s">
        <v>42</v>
      </c>
      <c r="U10" s="114" t="s">
        <v>37</v>
      </c>
    </row>
    <row r="11" spans="2:21" ht="15.75">
      <c r="B11" s="123">
        <v>5</v>
      </c>
      <c r="C11" s="127" t="s">
        <v>44</v>
      </c>
      <c r="D11" s="119" t="s">
        <v>45</v>
      </c>
      <c r="E11" s="24" t="s">
        <v>46</v>
      </c>
      <c r="F11" s="119" t="s">
        <v>13</v>
      </c>
      <c r="G11" s="30" t="s">
        <v>34</v>
      </c>
      <c r="H11" s="122"/>
      <c r="I11" s="25">
        <v>1</v>
      </c>
      <c r="J11" s="119" t="s">
        <v>13</v>
      </c>
      <c r="K11" s="25">
        <v>2</v>
      </c>
      <c r="L11" s="120"/>
      <c r="M11" s="121"/>
      <c r="N11" s="110"/>
      <c r="O11" s="112">
        <v>4</v>
      </c>
      <c r="P11" s="114" t="s">
        <v>14</v>
      </c>
      <c r="Q11" s="114" t="s">
        <v>47</v>
      </c>
      <c r="R11" s="114" t="s">
        <v>46</v>
      </c>
      <c r="S11" s="114" t="s">
        <v>27</v>
      </c>
      <c r="T11" s="114" t="s">
        <v>49</v>
      </c>
      <c r="U11" s="114" t="s">
        <v>50</v>
      </c>
    </row>
    <row r="12" spans="2:21" ht="16.5" thickBot="1">
      <c r="B12" s="123">
        <v>6</v>
      </c>
      <c r="C12" s="127" t="s">
        <v>51</v>
      </c>
      <c r="D12" s="119" t="s">
        <v>39</v>
      </c>
      <c r="E12" s="24" t="s">
        <v>48</v>
      </c>
      <c r="F12" s="119" t="s">
        <v>13</v>
      </c>
      <c r="G12" s="30" t="s">
        <v>27</v>
      </c>
      <c r="H12" s="122"/>
      <c r="I12" s="25">
        <v>1</v>
      </c>
      <c r="J12" s="119" t="s">
        <v>13</v>
      </c>
      <c r="K12" s="25">
        <v>1</v>
      </c>
      <c r="L12" s="120"/>
      <c r="M12" s="121"/>
      <c r="N12" s="110"/>
      <c r="O12" s="96"/>
      <c r="P12" s="96"/>
      <c r="Q12" s="96"/>
      <c r="R12" s="96"/>
      <c r="S12" s="96"/>
      <c r="T12" s="96"/>
      <c r="U12" s="96"/>
    </row>
    <row r="13" spans="2:21" ht="16.5" thickBot="1">
      <c r="B13" s="123">
        <v>7</v>
      </c>
      <c r="C13" s="127" t="s">
        <v>52</v>
      </c>
      <c r="D13" s="119" t="s">
        <v>45</v>
      </c>
      <c r="E13" s="24" t="s">
        <v>26</v>
      </c>
      <c r="F13" s="119" t="s">
        <v>13</v>
      </c>
      <c r="G13" s="30" t="s">
        <v>41</v>
      </c>
      <c r="H13" s="122"/>
      <c r="I13" s="25">
        <v>3</v>
      </c>
      <c r="J13" s="119" t="s">
        <v>13</v>
      </c>
      <c r="K13" s="25">
        <v>0</v>
      </c>
      <c r="L13" s="120"/>
      <c r="M13" s="121"/>
      <c r="N13" s="110"/>
      <c r="O13" s="131" t="s">
        <v>15</v>
      </c>
      <c r="P13" s="132" t="s">
        <v>53</v>
      </c>
      <c r="Q13" s="132" t="s">
        <v>54</v>
      </c>
      <c r="R13" s="132" t="s">
        <v>55</v>
      </c>
      <c r="S13" s="132" t="s">
        <v>56</v>
      </c>
      <c r="T13" s="132" t="s">
        <v>57</v>
      </c>
      <c r="U13" s="132" t="s">
        <v>58</v>
      </c>
    </row>
    <row r="14" spans="2:21" ht="15.75">
      <c r="B14" s="123">
        <v>8</v>
      </c>
      <c r="C14" s="127" t="s">
        <v>59</v>
      </c>
      <c r="D14" s="119" t="s">
        <v>31</v>
      </c>
      <c r="E14" s="24" t="s">
        <v>47</v>
      </c>
      <c r="F14" s="119" t="s">
        <v>13</v>
      </c>
      <c r="G14" s="30" t="s">
        <v>25</v>
      </c>
      <c r="H14" s="122"/>
      <c r="I14" s="25">
        <v>0</v>
      </c>
      <c r="J14" s="119" t="s">
        <v>13</v>
      </c>
      <c r="K14" s="25">
        <v>2</v>
      </c>
      <c r="L14" s="120"/>
      <c r="M14" s="121"/>
      <c r="N14" s="110"/>
      <c r="O14" s="111">
        <v>1</v>
      </c>
      <c r="P14" s="113" t="s">
        <v>60</v>
      </c>
      <c r="Q14" s="113" t="s">
        <v>61</v>
      </c>
      <c r="R14" s="113" t="s">
        <v>62</v>
      </c>
      <c r="S14" s="113" t="s">
        <v>63</v>
      </c>
      <c r="T14" s="113" t="s">
        <v>64</v>
      </c>
      <c r="U14" s="113" t="s">
        <v>65</v>
      </c>
    </row>
    <row r="15" spans="2:21" ht="15.75">
      <c r="B15" s="123">
        <v>9</v>
      </c>
      <c r="C15" s="127" t="s">
        <v>66</v>
      </c>
      <c r="D15" s="119" t="s">
        <v>67</v>
      </c>
      <c r="E15" s="24" t="s">
        <v>42</v>
      </c>
      <c r="F15" s="119" t="s">
        <v>13</v>
      </c>
      <c r="G15" s="30" t="s">
        <v>36</v>
      </c>
      <c r="H15" s="122"/>
      <c r="I15" s="25">
        <v>0</v>
      </c>
      <c r="J15" s="119" t="s">
        <v>13</v>
      </c>
      <c r="K15" s="25">
        <v>1</v>
      </c>
      <c r="L15" s="120"/>
      <c r="M15" s="121"/>
      <c r="N15" s="110"/>
      <c r="O15" s="112">
        <v>2</v>
      </c>
      <c r="P15" s="114" t="s">
        <v>68</v>
      </c>
      <c r="Q15" s="114" t="s">
        <v>69</v>
      </c>
      <c r="R15" s="114" t="s">
        <v>77</v>
      </c>
      <c r="S15" s="114" t="s">
        <v>71</v>
      </c>
      <c r="T15" s="114" t="s">
        <v>72</v>
      </c>
      <c r="U15" s="114" t="s">
        <v>73</v>
      </c>
    </row>
    <row r="16" spans="2:21" ht="15.75">
      <c r="B16" s="123">
        <v>10</v>
      </c>
      <c r="C16" s="127" t="s">
        <v>74</v>
      </c>
      <c r="D16" s="119" t="s">
        <v>67</v>
      </c>
      <c r="E16" s="24" t="s">
        <v>28</v>
      </c>
      <c r="F16" s="119" t="s">
        <v>13</v>
      </c>
      <c r="G16" s="30" t="s">
        <v>49</v>
      </c>
      <c r="H16" s="122"/>
      <c r="I16" s="25">
        <v>3</v>
      </c>
      <c r="J16" s="119" t="s">
        <v>13</v>
      </c>
      <c r="K16" s="25">
        <v>0</v>
      </c>
      <c r="L16" s="120"/>
      <c r="M16" s="121"/>
      <c r="N16" s="110"/>
      <c r="O16" s="112">
        <v>3</v>
      </c>
      <c r="P16" s="114" t="s">
        <v>75</v>
      </c>
      <c r="Q16" s="114" t="s">
        <v>84</v>
      </c>
      <c r="R16" s="114" t="s">
        <v>70</v>
      </c>
      <c r="S16" s="114" t="s">
        <v>78</v>
      </c>
      <c r="T16" s="114" t="s">
        <v>87</v>
      </c>
      <c r="U16" s="114" t="s">
        <v>88</v>
      </c>
    </row>
    <row r="17" spans="2:21" ht="15.75">
      <c r="B17" s="123">
        <v>11</v>
      </c>
      <c r="C17" s="127" t="s">
        <v>81</v>
      </c>
      <c r="D17" s="119" t="s">
        <v>82</v>
      </c>
      <c r="E17" s="24" t="s">
        <v>29</v>
      </c>
      <c r="F17" s="119" t="s">
        <v>13</v>
      </c>
      <c r="G17" s="30" t="s">
        <v>43</v>
      </c>
      <c r="H17" s="122"/>
      <c r="I17" s="25">
        <v>3</v>
      </c>
      <c r="J17" s="119" t="s">
        <v>13</v>
      </c>
      <c r="K17" s="25">
        <v>1</v>
      </c>
      <c r="L17" s="120"/>
      <c r="M17" s="121"/>
      <c r="N17" s="110"/>
      <c r="O17" s="112">
        <v>4</v>
      </c>
      <c r="P17" s="114" t="s">
        <v>83</v>
      </c>
      <c r="Q17" s="114" t="s">
        <v>76</v>
      </c>
      <c r="R17" s="114" t="s">
        <v>85</v>
      </c>
      <c r="S17" s="114" t="s">
        <v>86</v>
      </c>
      <c r="T17" s="114" t="s">
        <v>79</v>
      </c>
      <c r="U17" s="114" t="s">
        <v>80</v>
      </c>
    </row>
    <row r="18" spans="2:21" ht="15.75">
      <c r="B18" s="123">
        <v>12</v>
      </c>
      <c r="C18" s="127" t="s">
        <v>89</v>
      </c>
      <c r="D18" s="119" t="s">
        <v>82</v>
      </c>
      <c r="E18" s="24" t="s">
        <v>37</v>
      </c>
      <c r="F18" s="119" t="s">
        <v>13</v>
      </c>
      <c r="G18" s="30" t="s">
        <v>50</v>
      </c>
      <c r="H18" s="122"/>
      <c r="I18" s="25">
        <v>1</v>
      </c>
      <c r="J18" s="119" t="s">
        <v>13</v>
      </c>
      <c r="K18" s="25">
        <v>0</v>
      </c>
      <c r="L18" s="120"/>
      <c r="M18" s="121"/>
      <c r="N18" s="110"/>
      <c r="O18" s="96"/>
      <c r="P18" s="116"/>
      <c r="Q18" s="116"/>
      <c r="R18" s="116"/>
      <c r="S18" s="116"/>
      <c r="T18" s="116"/>
      <c r="U18" s="116"/>
    </row>
    <row r="19" spans="2:21" ht="15.75">
      <c r="B19" s="123">
        <v>13</v>
      </c>
      <c r="C19" s="127" t="s">
        <v>90</v>
      </c>
      <c r="D19" s="119" t="s">
        <v>91</v>
      </c>
      <c r="E19" s="24" t="s">
        <v>84</v>
      </c>
      <c r="F19" s="119" t="s">
        <v>13</v>
      </c>
      <c r="G19" s="30" t="s">
        <v>69</v>
      </c>
      <c r="H19" s="122"/>
      <c r="I19" s="25">
        <v>1</v>
      </c>
      <c r="J19" s="119" t="s">
        <v>13</v>
      </c>
      <c r="K19" s="25">
        <v>2</v>
      </c>
      <c r="L19" s="120"/>
      <c r="M19" s="121"/>
      <c r="N19" s="110"/>
      <c r="O19" s="96"/>
      <c r="P19" s="96"/>
      <c r="Q19" s="96"/>
      <c r="R19" s="96"/>
      <c r="S19" s="96"/>
      <c r="T19" s="96"/>
      <c r="U19" s="96"/>
    </row>
    <row r="20" spans="2:21" ht="16.5" thickBot="1">
      <c r="B20" s="123">
        <v>14</v>
      </c>
      <c r="C20" s="127" t="s">
        <v>92</v>
      </c>
      <c r="D20" s="119" t="s">
        <v>91</v>
      </c>
      <c r="E20" s="24" t="s">
        <v>61</v>
      </c>
      <c r="F20" s="119" t="s">
        <v>13</v>
      </c>
      <c r="G20" s="30" t="s">
        <v>76</v>
      </c>
      <c r="H20" s="122"/>
      <c r="I20" s="25">
        <v>2</v>
      </c>
      <c r="J20" s="119" t="s">
        <v>13</v>
      </c>
      <c r="K20" s="25">
        <v>0</v>
      </c>
      <c r="L20" s="120"/>
      <c r="M20" s="121"/>
      <c r="N20" s="110"/>
      <c r="O20" s="108" t="s">
        <v>93</v>
      </c>
      <c r="P20" s="96"/>
      <c r="Q20" s="96"/>
      <c r="R20" s="96"/>
      <c r="S20" s="96"/>
      <c r="T20" s="96"/>
      <c r="U20" s="96"/>
    </row>
    <row r="21" spans="2:21" ht="16.5" thickBot="1">
      <c r="B21" s="123">
        <v>15</v>
      </c>
      <c r="C21" s="127" t="s">
        <v>94</v>
      </c>
      <c r="D21" s="119" t="s">
        <v>95</v>
      </c>
      <c r="E21" s="24" t="s">
        <v>83</v>
      </c>
      <c r="F21" s="119" t="s">
        <v>13</v>
      </c>
      <c r="G21" s="30" t="s">
        <v>75</v>
      </c>
      <c r="H21" s="122"/>
      <c r="I21" s="25">
        <v>0</v>
      </c>
      <c r="J21" s="119" t="s">
        <v>13</v>
      </c>
      <c r="K21" s="25">
        <v>1</v>
      </c>
      <c r="L21" s="120"/>
      <c r="M21" s="121"/>
      <c r="N21" s="110"/>
      <c r="O21" s="96"/>
      <c r="P21" s="131" t="s">
        <v>16</v>
      </c>
      <c r="Q21" s="132" t="s">
        <v>17</v>
      </c>
      <c r="R21" s="132" t="s">
        <v>18</v>
      </c>
      <c r="S21" s="132" t="s">
        <v>19</v>
      </c>
      <c r="T21" s="132" t="s">
        <v>20</v>
      </c>
      <c r="U21" s="132" t="s">
        <v>21</v>
      </c>
    </row>
    <row r="22" spans="2:21" ht="15.75">
      <c r="B22" s="123">
        <v>16</v>
      </c>
      <c r="C22" s="127" t="s">
        <v>96</v>
      </c>
      <c r="D22" s="119" t="s">
        <v>95</v>
      </c>
      <c r="E22" s="24" t="s">
        <v>60</v>
      </c>
      <c r="F22" s="119" t="s">
        <v>13</v>
      </c>
      <c r="G22" s="30" t="s">
        <v>68</v>
      </c>
      <c r="H22" s="122"/>
      <c r="I22" s="25">
        <v>2</v>
      </c>
      <c r="J22" s="119" t="s">
        <v>13</v>
      </c>
      <c r="K22" s="25">
        <v>1</v>
      </c>
      <c r="L22" s="120"/>
      <c r="M22" s="121"/>
      <c r="N22" s="110"/>
      <c r="O22" s="96"/>
      <c r="P22" s="117" t="s">
        <v>12</v>
      </c>
      <c r="Q22" s="117" t="s">
        <v>32</v>
      </c>
      <c r="R22" s="117" t="s">
        <v>46</v>
      </c>
      <c r="S22" s="117" t="s">
        <v>35</v>
      </c>
      <c r="T22" s="117" t="s">
        <v>42</v>
      </c>
      <c r="U22" s="117" t="s">
        <v>29</v>
      </c>
    </row>
    <row r="23" spans="2:21" ht="15.75">
      <c r="B23" s="123">
        <v>17</v>
      </c>
      <c r="C23" s="127" t="s">
        <v>97</v>
      </c>
      <c r="D23" s="119" t="s">
        <v>98</v>
      </c>
      <c r="E23" s="24" t="s">
        <v>62</v>
      </c>
      <c r="F23" s="119" t="s">
        <v>13</v>
      </c>
      <c r="G23" s="30" t="s">
        <v>77</v>
      </c>
      <c r="H23" s="122"/>
      <c r="I23" s="25">
        <v>2</v>
      </c>
      <c r="J23" s="119" t="s">
        <v>13</v>
      </c>
      <c r="K23" s="25">
        <v>0</v>
      </c>
      <c r="L23" s="120"/>
      <c r="M23" s="121"/>
      <c r="N23" s="110"/>
      <c r="O23" s="96"/>
      <c r="P23" s="116" t="s">
        <v>14</v>
      </c>
      <c r="Q23" s="116" t="s">
        <v>33</v>
      </c>
      <c r="R23" s="116" t="s">
        <v>34</v>
      </c>
      <c r="S23" s="116" t="s">
        <v>40</v>
      </c>
      <c r="T23" s="116" t="s">
        <v>36</v>
      </c>
      <c r="U23" s="116" t="s">
        <v>43</v>
      </c>
    </row>
    <row r="24" spans="2:21" ht="15.75">
      <c r="B24" s="123">
        <v>18</v>
      </c>
      <c r="C24" s="127" t="s">
        <v>99</v>
      </c>
      <c r="D24" s="119" t="s">
        <v>98</v>
      </c>
      <c r="E24" s="24" t="s">
        <v>85</v>
      </c>
      <c r="F24" s="119" t="s">
        <v>13</v>
      </c>
      <c r="G24" s="30" t="s">
        <v>70</v>
      </c>
      <c r="H24" s="122"/>
      <c r="I24" s="25">
        <v>2</v>
      </c>
      <c r="J24" s="119" t="s">
        <v>13</v>
      </c>
      <c r="K24" s="25">
        <v>3</v>
      </c>
      <c r="L24" s="120"/>
      <c r="M24" s="121"/>
      <c r="N24" s="110"/>
      <c r="O24" s="96"/>
      <c r="P24" s="116" t="s">
        <v>23</v>
      </c>
      <c r="Q24" s="116" t="s">
        <v>47</v>
      </c>
      <c r="R24" s="116" t="s">
        <v>26</v>
      </c>
      <c r="S24" s="116" t="s">
        <v>48</v>
      </c>
      <c r="T24" s="116" t="s">
        <v>28</v>
      </c>
      <c r="U24" s="116" t="s">
        <v>37</v>
      </c>
    </row>
    <row r="25" spans="2:21" ht="15.75">
      <c r="B25" s="123">
        <v>19</v>
      </c>
      <c r="C25" s="127" t="s">
        <v>100</v>
      </c>
      <c r="D25" s="119" t="s">
        <v>101</v>
      </c>
      <c r="E25" s="24" t="s">
        <v>63</v>
      </c>
      <c r="F25" s="119" t="s">
        <v>13</v>
      </c>
      <c r="G25" s="30" t="s">
        <v>78</v>
      </c>
      <c r="H25" s="122"/>
      <c r="I25" s="25">
        <v>3</v>
      </c>
      <c r="J25" s="119" t="s">
        <v>13</v>
      </c>
      <c r="K25" s="25">
        <v>0</v>
      </c>
      <c r="L25" s="120"/>
      <c r="M25" s="121"/>
      <c r="N25" s="110"/>
      <c r="O25" s="96"/>
      <c r="P25" s="116" t="s">
        <v>24</v>
      </c>
      <c r="Q25" s="116" t="s">
        <v>25</v>
      </c>
      <c r="R25" s="116" t="s">
        <v>41</v>
      </c>
      <c r="S25" s="116" t="s">
        <v>27</v>
      </c>
      <c r="T25" s="116" t="s">
        <v>49</v>
      </c>
      <c r="U25" s="116" t="s">
        <v>50</v>
      </c>
    </row>
    <row r="26" spans="2:21" ht="16.5" thickBot="1">
      <c r="B26" s="123">
        <v>20</v>
      </c>
      <c r="C26" s="127" t="s">
        <v>102</v>
      </c>
      <c r="D26" s="119" t="s">
        <v>101</v>
      </c>
      <c r="E26" s="24" t="s">
        <v>71</v>
      </c>
      <c r="F26" s="119" t="s">
        <v>13</v>
      </c>
      <c r="G26" s="30" t="s">
        <v>86</v>
      </c>
      <c r="H26" s="122"/>
      <c r="I26" s="25">
        <v>1</v>
      </c>
      <c r="J26" s="119" t="s">
        <v>13</v>
      </c>
      <c r="K26" s="25">
        <v>1</v>
      </c>
      <c r="L26" s="120"/>
      <c r="M26" s="121"/>
      <c r="N26" s="110"/>
      <c r="O26" s="96"/>
      <c r="P26" s="96"/>
      <c r="Q26" s="96"/>
      <c r="R26" s="96"/>
      <c r="S26" s="96"/>
      <c r="T26" s="96"/>
      <c r="U26" s="96"/>
    </row>
    <row r="27" spans="2:21" ht="16.5" thickBot="1">
      <c r="B27" s="123">
        <v>21</v>
      </c>
      <c r="C27" s="127" t="s">
        <v>103</v>
      </c>
      <c r="D27" s="119" t="s">
        <v>104</v>
      </c>
      <c r="E27" s="24" t="s">
        <v>80</v>
      </c>
      <c r="F27" s="119" t="s">
        <v>13</v>
      </c>
      <c r="G27" s="30" t="s">
        <v>88</v>
      </c>
      <c r="H27" s="122"/>
      <c r="I27" s="25">
        <v>0</v>
      </c>
      <c r="J27" s="119" t="s">
        <v>13</v>
      </c>
      <c r="K27" s="25">
        <v>1</v>
      </c>
      <c r="L27" s="120"/>
      <c r="M27" s="121"/>
      <c r="N27" s="110"/>
      <c r="O27" s="96"/>
      <c r="P27" s="131" t="s">
        <v>53</v>
      </c>
      <c r="Q27" s="132" t="s">
        <v>54</v>
      </c>
      <c r="R27" s="132" t="s">
        <v>55</v>
      </c>
      <c r="S27" s="132" t="s">
        <v>56</v>
      </c>
      <c r="T27" s="132" t="s">
        <v>57</v>
      </c>
      <c r="U27" s="132" t="s">
        <v>58</v>
      </c>
    </row>
    <row r="28" spans="2:21" ht="15.75">
      <c r="B28" s="123">
        <v>22</v>
      </c>
      <c r="C28" s="127" t="s">
        <v>105</v>
      </c>
      <c r="D28" s="119" t="s">
        <v>104</v>
      </c>
      <c r="E28" s="24" t="s">
        <v>65</v>
      </c>
      <c r="F28" s="119" t="s">
        <v>13</v>
      </c>
      <c r="G28" s="30" t="s">
        <v>73</v>
      </c>
      <c r="H28" s="122"/>
      <c r="I28" s="25">
        <v>1</v>
      </c>
      <c r="J28" s="119" t="s">
        <v>13</v>
      </c>
      <c r="K28" s="25">
        <v>0</v>
      </c>
      <c r="L28" s="120"/>
      <c r="M28" s="121"/>
      <c r="N28" s="110"/>
      <c r="O28" s="96"/>
      <c r="P28" s="117" t="s">
        <v>83</v>
      </c>
      <c r="Q28" s="117" t="s">
        <v>84</v>
      </c>
      <c r="R28" s="117" t="s">
        <v>62</v>
      </c>
      <c r="S28" s="117" t="s">
        <v>63</v>
      </c>
      <c r="T28" s="117" t="s">
        <v>64</v>
      </c>
      <c r="U28" s="117" t="s">
        <v>80</v>
      </c>
    </row>
    <row r="29" spans="2:21" ht="15.75">
      <c r="B29" s="123">
        <v>23</v>
      </c>
      <c r="C29" s="127" t="s">
        <v>106</v>
      </c>
      <c r="D29" s="119" t="s">
        <v>107</v>
      </c>
      <c r="E29" s="24" t="s">
        <v>64</v>
      </c>
      <c r="F29" s="119" t="s">
        <v>13</v>
      </c>
      <c r="G29" s="30" t="s">
        <v>87</v>
      </c>
      <c r="H29" s="122"/>
      <c r="I29" s="25">
        <v>2</v>
      </c>
      <c r="J29" s="119" t="s">
        <v>13</v>
      </c>
      <c r="K29" s="25">
        <v>0</v>
      </c>
      <c r="L29" s="120"/>
      <c r="M29" s="121"/>
      <c r="N29" s="110"/>
      <c r="O29" s="96"/>
      <c r="P29" s="116" t="s">
        <v>75</v>
      </c>
      <c r="Q29" s="116" t="s">
        <v>69</v>
      </c>
      <c r="R29" s="116" t="s">
        <v>77</v>
      </c>
      <c r="S29" s="116" t="s">
        <v>78</v>
      </c>
      <c r="T29" s="116" t="s">
        <v>87</v>
      </c>
      <c r="U29" s="116" t="s">
        <v>88</v>
      </c>
    </row>
    <row r="30" spans="2:21" ht="15.75">
      <c r="B30" s="123">
        <v>24</v>
      </c>
      <c r="C30" s="127" t="s">
        <v>108</v>
      </c>
      <c r="D30" s="119" t="s">
        <v>107</v>
      </c>
      <c r="E30" s="24" t="s">
        <v>79</v>
      </c>
      <c r="F30" s="119" t="s">
        <v>13</v>
      </c>
      <c r="G30" s="30" t="s">
        <v>72</v>
      </c>
      <c r="H30" s="122"/>
      <c r="I30" s="25">
        <v>1</v>
      </c>
      <c r="J30" s="119" t="s">
        <v>13</v>
      </c>
      <c r="K30" s="25">
        <v>2</v>
      </c>
      <c r="L30" s="120"/>
      <c r="M30" s="121"/>
      <c r="N30" s="110"/>
      <c r="O30" s="96"/>
      <c r="P30" s="116" t="s">
        <v>60</v>
      </c>
      <c r="Q30" s="116" t="s">
        <v>61</v>
      </c>
      <c r="R30" s="116" t="s">
        <v>85</v>
      </c>
      <c r="S30" s="116" t="s">
        <v>71</v>
      </c>
      <c r="T30" s="116" t="s">
        <v>79</v>
      </c>
      <c r="U30" s="116" t="s">
        <v>65</v>
      </c>
    </row>
    <row r="31" spans="2:21" ht="15.75">
      <c r="B31" s="123">
        <v>25</v>
      </c>
      <c r="C31" s="127" t="s">
        <v>109</v>
      </c>
      <c r="D31" s="119" t="s">
        <v>11</v>
      </c>
      <c r="E31" s="24" t="s">
        <v>24</v>
      </c>
      <c r="F31" s="119" t="s">
        <v>13</v>
      </c>
      <c r="G31" s="30" t="s">
        <v>14</v>
      </c>
      <c r="H31" s="122"/>
      <c r="I31" s="25">
        <v>2</v>
      </c>
      <c r="J31" s="119" t="s">
        <v>13</v>
      </c>
      <c r="K31" s="25">
        <v>1</v>
      </c>
      <c r="L31" s="120"/>
      <c r="M31" s="121"/>
      <c r="N31" s="110"/>
      <c r="O31" s="96"/>
      <c r="P31" s="116" t="s">
        <v>68</v>
      </c>
      <c r="Q31" s="116" t="s">
        <v>76</v>
      </c>
      <c r="R31" s="116" t="s">
        <v>70</v>
      </c>
      <c r="S31" s="116" t="s">
        <v>86</v>
      </c>
      <c r="T31" s="116" t="s">
        <v>72</v>
      </c>
      <c r="U31" s="116" t="s">
        <v>73</v>
      </c>
    </row>
    <row r="32" spans="2:21" ht="15.75">
      <c r="B32" s="123">
        <v>26</v>
      </c>
      <c r="C32" s="127" t="s">
        <v>110</v>
      </c>
      <c r="D32" s="119" t="s">
        <v>31</v>
      </c>
      <c r="E32" s="24" t="s">
        <v>25</v>
      </c>
      <c r="F32" s="119" t="s">
        <v>13</v>
      </c>
      <c r="G32" s="30" t="s">
        <v>33</v>
      </c>
      <c r="H32" s="122"/>
      <c r="I32" s="25">
        <v>1</v>
      </c>
      <c r="J32" s="119" t="s">
        <v>13</v>
      </c>
      <c r="K32" s="25">
        <v>0</v>
      </c>
      <c r="L32" s="120"/>
      <c r="M32" s="121"/>
      <c r="N32" s="110"/>
      <c r="O32" s="96"/>
      <c r="P32" s="96"/>
      <c r="Q32" s="96"/>
      <c r="R32" s="96"/>
      <c r="S32" s="96"/>
      <c r="T32" s="96"/>
      <c r="U32" s="96"/>
    </row>
    <row r="33" spans="2:14" ht="15.75">
      <c r="B33" s="123">
        <v>27</v>
      </c>
      <c r="C33" s="127" t="s">
        <v>111</v>
      </c>
      <c r="D33" s="119" t="s">
        <v>31</v>
      </c>
      <c r="E33" s="24" t="s">
        <v>32</v>
      </c>
      <c r="F33" s="119" t="s">
        <v>13</v>
      </c>
      <c r="G33" s="30" t="s">
        <v>47</v>
      </c>
      <c r="H33" s="122"/>
      <c r="I33" s="25">
        <v>2</v>
      </c>
      <c r="J33" s="119" t="s">
        <v>13</v>
      </c>
      <c r="K33" s="25">
        <v>0</v>
      </c>
      <c r="L33" s="120"/>
      <c r="M33" s="121"/>
      <c r="N33" s="110"/>
    </row>
    <row r="34" spans="2:14" ht="15.75">
      <c r="B34" s="123">
        <v>28</v>
      </c>
      <c r="C34" s="127" t="s">
        <v>112</v>
      </c>
      <c r="D34" s="119" t="s">
        <v>11</v>
      </c>
      <c r="E34" s="24" t="s">
        <v>12</v>
      </c>
      <c r="F34" s="119" t="s">
        <v>13</v>
      </c>
      <c r="G34" s="30" t="s">
        <v>23</v>
      </c>
      <c r="H34" s="122"/>
      <c r="I34" s="25">
        <v>2</v>
      </c>
      <c r="J34" s="119" t="s">
        <v>13</v>
      </c>
      <c r="K34" s="25">
        <v>1</v>
      </c>
      <c r="L34" s="120"/>
      <c r="M34" s="121"/>
      <c r="N34" s="110"/>
    </row>
    <row r="35" spans="2:14" ht="15.75">
      <c r="B35" s="123">
        <v>29</v>
      </c>
      <c r="C35" s="127" t="s">
        <v>113</v>
      </c>
      <c r="D35" s="119" t="s">
        <v>45</v>
      </c>
      <c r="E35" s="24" t="s">
        <v>26</v>
      </c>
      <c r="F35" s="119" t="s">
        <v>13</v>
      </c>
      <c r="G35" s="30" t="s">
        <v>46</v>
      </c>
      <c r="H35" s="122"/>
      <c r="I35" s="25">
        <v>4</v>
      </c>
      <c r="J35" s="119" t="s">
        <v>13</v>
      </c>
      <c r="K35" s="25">
        <v>1</v>
      </c>
      <c r="L35" s="120"/>
      <c r="M35" s="121"/>
      <c r="N35" s="110"/>
    </row>
    <row r="36" spans="2:14" ht="15.75">
      <c r="B36" s="123">
        <v>30</v>
      </c>
      <c r="C36" s="127" t="s">
        <v>114</v>
      </c>
      <c r="D36" s="119" t="s">
        <v>45</v>
      </c>
      <c r="E36" s="24" t="s">
        <v>34</v>
      </c>
      <c r="F36" s="119" t="s">
        <v>13</v>
      </c>
      <c r="G36" s="30" t="s">
        <v>41</v>
      </c>
      <c r="H36" s="122"/>
      <c r="I36" s="25">
        <v>1</v>
      </c>
      <c r="J36" s="119" t="s">
        <v>13</v>
      </c>
      <c r="K36" s="25">
        <v>2</v>
      </c>
      <c r="L36" s="120"/>
      <c r="M36" s="121"/>
      <c r="N36" s="110"/>
    </row>
    <row r="37" spans="2:14" ht="15.75">
      <c r="B37" s="123">
        <v>31</v>
      </c>
      <c r="C37" s="127" t="s">
        <v>115</v>
      </c>
      <c r="D37" s="119" t="s">
        <v>39</v>
      </c>
      <c r="E37" s="24" t="s">
        <v>27</v>
      </c>
      <c r="F37" s="119" t="s">
        <v>13</v>
      </c>
      <c r="G37" s="30" t="s">
        <v>40</v>
      </c>
      <c r="H37" s="122"/>
      <c r="I37" s="25">
        <v>0</v>
      </c>
      <c r="J37" s="119" t="s">
        <v>13</v>
      </c>
      <c r="K37" s="25">
        <v>2</v>
      </c>
      <c r="L37" s="120"/>
      <c r="M37" s="121"/>
      <c r="N37" s="110"/>
    </row>
    <row r="38" spans="2:14" ht="15.75">
      <c r="B38" s="123">
        <v>32</v>
      </c>
      <c r="C38" s="127" t="s">
        <v>116</v>
      </c>
      <c r="D38" s="119" t="s">
        <v>39</v>
      </c>
      <c r="E38" s="24" t="s">
        <v>35</v>
      </c>
      <c r="F38" s="119" t="s">
        <v>13</v>
      </c>
      <c r="G38" s="30" t="s">
        <v>48</v>
      </c>
      <c r="H38" s="122"/>
      <c r="I38" s="25">
        <v>2</v>
      </c>
      <c r="J38" s="119" t="s">
        <v>13</v>
      </c>
      <c r="K38" s="25">
        <v>1</v>
      </c>
      <c r="L38" s="120"/>
      <c r="M38" s="121"/>
      <c r="N38" s="110"/>
    </row>
    <row r="39" spans="2:14" ht="15.75">
      <c r="B39" s="123">
        <v>33</v>
      </c>
      <c r="C39" s="127" t="s">
        <v>117</v>
      </c>
      <c r="D39" s="119" t="s">
        <v>67</v>
      </c>
      <c r="E39" s="24" t="s">
        <v>28</v>
      </c>
      <c r="F39" s="119" t="s">
        <v>13</v>
      </c>
      <c r="G39" s="30" t="s">
        <v>42</v>
      </c>
      <c r="H39" s="122"/>
      <c r="I39" s="25">
        <v>2</v>
      </c>
      <c r="J39" s="119" t="s">
        <v>13</v>
      </c>
      <c r="K39" s="25">
        <v>1</v>
      </c>
      <c r="L39" s="120"/>
      <c r="M39" s="121"/>
      <c r="N39" s="110"/>
    </row>
    <row r="40" spans="2:14" ht="15.75">
      <c r="B40" s="123">
        <v>34</v>
      </c>
      <c r="C40" s="127" t="s">
        <v>118</v>
      </c>
      <c r="D40" s="119" t="s">
        <v>67</v>
      </c>
      <c r="E40" s="24" t="s">
        <v>36</v>
      </c>
      <c r="F40" s="119" t="s">
        <v>13</v>
      </c>
      <c r="G40" s="30" t="s">
        <v>49</v>
      </c>
      <c r="H40" s="122"/>
      <c r="I40" s="25">
        <v>1</v>
      </c>
      <c r="J40" s="119" t="s">
        <v>13</v>
      </c>
      <c r="K40" s="25">
        <v>0</v>
      </c>
      <c r="L40" s="120"/>
      <c r="M40" s="121"/>
      <c r="N40" s="110"/>
    </row>
    <row r="41" spans="2:14" ht="15.75">
      <c r="B41" s="123">
        <v>35</v>
      </c>
      <c r="C41" s="127" t="s">
        <v>119</v>
      </c>
      <c r="D41" s="119" t="s">
        <v>82</v>
      </c>
      <c r="E41" s="24" t="s">
        <v>29</v>
      </c>
      <c r="F41" s="119" t="s">
        <v>13</v>
      </c>
      <c r="G41" s="30" t="s">
        <v>37</v>
      </c>
      <c r="H41" s="122"/>
      <c r="I41" s="25">
        <v>3</v>
      </c>
      <c r="J41" s="119" t="s">
        <v>13</v>
      </c>
      <c r="K41" s="25">
        <v>1</v>
      </c>
      <c r="L41" s="120"/>
      <c r="M41" s="121"/>
      <c r="N41" s="110"/>
    </row>
    <row r="42" spans="2:14" ht="15.75">
      <c r="B42" s="123">
        <v>36</v>
      </c>
      <c r="C42" s="127" t="s">
        <v>120</v>
      </c>
      <c r="D42" s="119" t="s">
        <v>82</v>
      </c>
      <c r="E42" s="24" t="s">
        <v>50</v>
      </c>
      <c r="F42" s="119" t="s">
        <v>13</v>
      </c>
      <c r="G42" s="30" t="s">
        <v>43</v>
      </c>
      <c r="H42" s="122"/>
      <c r="I42" s="25">
        <v>1</v>
      </c>
      <c r="J42" s="119" t="s">
        <v>13</v>
      </c>
      <c r="K42" s="25">
        <v>2</v>
      </c>
      <c r="L42" s="120"/>
      <c r="M42" s="121"/>
      <c r="N42" s="110"/>
    </row>
    <row r="43" spans="2:14" ht="15.75">
      <c r="B43" s="123">
        <v>37</v>
      </c>
      <c r="C43" s="127" t="s">
        <v>121</v>
      </c>
      <c r="D43" s="119" t="s">
        <v>91</v>
      </c>
      <c r="E43" s="24" t="s">
        <v>69</v>
      </c>
      <c r="F43" s="119" t="s">
        <v>13</v>
      </c>
      <c r="G43" s="30" t="s">
        <v>76</v>
      </c>
      <c r="H43" s="122"/>
      <c r="I43" s="25">
        <v>3</v>
      </c>
      <c r="J43" s="119" t="s">
        <v>13</v>
      </c>
      <c r="K43" s="25">
        <v>1</v>
      </c>
      <c r="L43" s="120"/>
      <c r="M43" s="121"/>
      <c r="N43" s="96"/>
    </row>
    <row r="44" spans="2:14" ht="15.75">
      <c r="B44" s="123">
        <v>38</v>
      </c>
      <c r="C44" s="127" t="s">
        <v>122</v>
      </c>
      <c r="D44" s="119" t="s">
        <v>91</v>
      </c>
      <c r="E44" s="24" t="s">
        <v>61</v>
      </c>
      <c r="F44" s="119" t="s">
        <v>13</v>
      </c>
      <c r="G44" s="30" t="s">
        <v>84</v>
      </c>
      <c r="H44" s="122"/>
      <c r="I44" s="25">
        <v>3</v>
      </c>
      <c r="J44" s="119" t="s">
        <v>13</v>
      </c>
      <c r="K44" s="25">
        <v>0</v>
      </c>
      <c r="L44" s="120"/>
      <c r="M44" s="121"/>
      <c r="N44" s="96"/>
    </row>
    <row r="45" spans="2:14" ht="15.75">
      <c r="B45" s="123">
        <v>39</v>
      </c>
      <c r="C45" s="127" t="s">
        <v>123</v>
      </c>
      <c r="D45" s="119" t="s">
        <v>95</v>
      </c>
      <c r="E45" s="24" t="s">
        <v>60</v>
      </c>
      <c r="F45" s="119" t="s">
        <v>13</v>
      </c>
      <c r="G45" s="30" t="s">
        <v>83</v>
      </c>
      <c r="H45" s="122"/>
      <c r="I45" s="25">
        <v>3</v>
      </c>
      <c r="J45" s="119" t="s">
        <v>13</v>
      </c>
      <c r="K45" s="25">
        <v>0</v>
      </c>
      <c r="L45" s="120"/>
      <c r="M45" s="121"/>
      <c r="N45" s="96"/>
    </row>
    <row r="46" spans="2:14" ht="15.75">
      <c r="B46" s="123">
        <v>40</v>
      </c>
      <c r="C46" s="127" t="s">
        <v>124</v>
      </c>
      <c r="D46" s="119" t="s">
        <v>95</v>
      </c>
      <c r="E46" s="24" t="s">
        <v>75</v>
      </c>
      <c r="F46" s="119" t="s">
        <v>13</v>
      </c>
      <c r="G46" s="30" t="s">
        <v>68</v>
      </c>
      <c r="H46" s="122"/>
      <c r="I46" s="25">
        <v>1</v>
      </c>
      <c r="J46" s="119" t="s">
        <v>13</v>
      </c>
      <c r="K46" s="25">
        <v>1</v>
      </c>
      <c r="L46" s="120"/>
      <c r="M46" s="121"/>
      <c r="N46" s="96"/>
    </row>
    <row r="47" spans="2:14" ht="15.75">
      <c r="B47" s="123">
        <v>41</v>
      </c>
      <c r="C47" s="127" t="s">
        <v>125</v>
      </c>
      <c r="D47" s="119" t="s">
        <v>98</v>
      </c>
      <c r="E47" s="24" t="s">
        <v>70</v>
      </c>
      <c r="F47" s="119" t="s">
        <v>13</v>
      </c>
      <c r="G47" s="30" t="s">
        <v>77</v>
      </c>
      <c r="H47" s="122"/>
      <c r="I47" s="25">
        <v>1</v>
      </c>
      <c r="J47" s="119" t="s">
        <v>13</v>
      </c>
      <c r="K47" s="25">
        <v>2</v>
      </c>
      <c r="L47" s="120"/>
      <c r="M47" s="121"/>
      <c r="N47" s="96"/>
    </row>
    <row r="48" spans="2:14" ht="15.75">
      <c r="B48" s="123">
        <v>42</v>
      </c>
      <c r="C48" s="127" t="s">
        <v>126</v>
      </c>
      <c r="D48" s="119" t="s">
        <v>98</v>
      </c>
      <c r="E48" s="24" t="s">
        <v>62</v>
      </c>
      <c r="F48" s="119" t="s">
        <v>13</v>
      </c>
      <c r="G48" s="30" t="s">
        <v>85</v>
      </c>
      <c r="H48" s="122"/>
      <c r="I48" s="25">
        <v>3</v>
      </c>
      <c r="J48" s="119" t="s">
        <v>13</v>
      </c>
      <c r="K48" s="25">
        <v>0</v>
      </c>
      <c r="L48" s="120"/>
      <c r="M48" s="121"/>
      <c r="N48" s="96"/>
    </row>
    <row r="49" spans="2:13" ht="15.75">
      <c r="B49" s="123">
        <v>43</v>
      </c>
      <c r="C49" s="127" t="s">
        <v>127</v>
      </c>
      <c r="D49" s="119" t="s">
        <v>101</v>
      </c>
      <c r="E49" s="24" t="s">
        <v>63</v>
      </c>
      <c r="F49" s="119" t="s">
        <v>13</v>
      </c>
      <c r="G49" s="30" t="s">
        <v>71</v>
      </c>
      <c r="H49" s="122"/>
      <c r="I49" s="25">
        <v>2</v>
      </c>
      <c r="J49" s="119" t="s">
        <v>13</v>
      </c>
      <c r="K49" s="25">
        <v>0</v>
      </c>
      <c r="L49" s="120"/>
      <c r="M49" s="121"/>
    </row>
    <row r="50" spans="2:13" ht="15.75">
      <c r="B50" s="123">
        <v>44</v>
      </c>
      <c r="C50" s="127" t="s">
        <v>128</v>
      </c>
      <c r="D50" s="119" t="s">
        <v>101</v>
      </c>
      <c r="E50" s="24" t="s">
        <v>86</v>
      </c>
      <c r="F50" s="119" t="s">
        <v>13</v>
      </c>
      <c r="G50" s="30" t="s">
        <v>78</v>
      </c>
      <c r="H50" s="122"/>
      <c r="I50" s="25">
        <v>1</v>
      </c>
      <c r="J50" s="119" t="s">
        <v>13</v>
      </c>
      <c r="K50" s="25">
        <v>1</v>
      </c>
      <c r="L50" s="120"/>
      <c r="M50" s="121"/>
    </row>
    <row r="51" spans="2:13" ht="15.75">
      <c r="B51" s="123">
        <v>45</v>
      </c>
      <c r="C51" s="127" t="s">
        <v>129</v>
      </c>
      <c r="D51" s="119" t="s">
        <v>104</v>
      </c>
      <c r="E51" s="24" t="s">
        <v>65</v>
      </c>
      <c r="F51" s="119" t="s">
        <v>13</v>
      </c>
      <c r="G51" s="30" t="s">
        <v>80</v>
      </c>
      <c r="H51" s="122"/>
      <c r="I51" s="25">
        <v>3</v>
      </c>
      <c r="J51" s="119" t="s">
        <v>13</v>
      </c>
      <c r="K51" s="25">
        <v>0</v>
      </c>
      <c r="L51" s="120"/>
      <c r="M51" s="121"/>
    </row>
    <row r="52" spans="2:13" ht="15.75">
      <c r="B52" s="123">
        <v>46</v>
      </c>
      <c r="C52" s="127" t="s">
        <v>130</v>
      </c>
      <c r="D52" s="119" t="s">
        <v>104</v>
      </c>
      <c r="E52" s="24" t="s">
        <v>88</v>
      </c>
      <c r="F52" s="119" t="s">
        <v>13</v>
      </c>
      <c r="G52" s="30" t="s">
        <v>73</v>
      </c>
      <c r="H52" s="122"/>
      <c r="I52" s="25">
        <v>0</v>
      </c>
      <c r="J52" s="119" t="s">
        <v>13</v>
      </c>
      <c r="K52" s="25">
        <v>2</v>
      </c>
      <c r="L52" s="120"/>
      <c r="M52" s="121"/>
    </row>
    <row r="53" spans="2:13" ht="15.75">
      <c r="B53" s="123">
        <v>47</v>
      </c>
      <c r="C53" s="127" t="s">
        <v>131</v>
      </c>
      <c r="D53" s="119" t="s">
        <v>107</v>
      </c>
      <c r="E53" s="24" t="s">
        <v>64</v>
      </c>
      <c r="F53" s="119" t="s">
        <v>13</v>
      </c>
      <c r="G53" s="30" t="s">
        <v>79</v>
      </c>
      <c r="H53" s="122"/>
      <c r="I53" s="25">
        <v>3</v>
      </c>
      <c r="J53" s="119" t="s">
        <v>13</v>
      </c>
      <c r="K53" s="25">
        <v>0</v>
      </c>
      <c r="L53" s="120"/>
      <c r="M53" s="121"/>
    </row>
    <row r="54" spans="2:13" ht="15.75">
      <c r="B54" s="123">
        <v>48</v>
      </c>
      <c r="C54" s="127" t="s">
        <v>132</v>
      </c>
      <c r="D54" s="119" t="s">
        <v>107</v>
      </c>
      <c r="E54" s="24" t="s">
        <v>72</v>
      </c>
      <c r="F54" s="119" t="s">
        <v>13</v>
      </c>
      <c r="G54" s="30" t="s">
        <v>87</v>
      </c>
      <c r="H54" s="122"/>
      <c r="I54" s="25">
        <v>2</v>
      </c>
      <c r="J54" s="119" t="s">
        <v>13</v>
      </c>
      <c r="K54" s="25">
        <v>1</v>
      </c>
      <c r="L54" s="120"/>
      <c r="M54" s="121"/>
    </row>
    <row r="55" spans="2:13" ht="15.75">
      <c r="B55" s="123">
        <v>49</v>
      </c>
      <c r="C55" s="127" t="s">
        <v>133</v>
      </c>
      <c r="D55" s="119" t="s">
        <v>45</v>
      </c>
      <c r="E55" s="24" t="s">
        <v>34</v>
      </c>
      <c r="F55" s="119" t="s">
        <v>13</v>
      </c>
      <c r="G55" s="30" t="s">
        <v>26</v>
      </c>
      <c r="H55" s="122"/>
      <c r="I55" s="25">
        <v>1</v>
      </c>
      <c r="J55" s="119" t="s">
        <v>13</v>
      </c>
      <c r="K55" s="25">
        <v>2</v>
      </c>
      <c r="L55" s="120"/>
      <c r="M55" s="121"/>
    </row>
    <row r="56" spans="2:13" ht="15.75">
      <c r="B56" s="123">
        <v>50</v>
      </c>
      <c r="C56" s="127" t="s">
        <v>133</v>
      </c>
      <c r="D56" s="119" t="s">
        <v>45</v>
      </c>
      <c r="E56" s="24" t="s">
        <v>41</v>
      </c>
      <c r="F56" s="119" t="s">
        <v>13</v>
      </c>
      <c r="G56" s="30" t="s">
        <v>46</v>
      </c>
      <c r="H56" s="122"/>
      <c r="I56" s="25">
        <v>2</v>
      </c>
      <c r="J56" s="119" t="s">
        <v>13</v>
      </c>
      <c r="K56" s="25">
        <v>0</v>
      </c>
      <c r="L56" s="120"/>
      <c r="M56" s="121"/>
    </row>
    <row r="57" spans="2:13" ht="15.75">
      <c r="B57" s="123">
        <v>51</v>
      </c>
      <c r="C57" s="127" t="s">
        <v>134</v>
      </c>
      <c r="D57" s="119" t="s">
        <v>31</v>
      </c>
      <c r="E57" s="24" t="s">
        <v>25</v>
      </c>
      <c r="F57" s="119" t="s">
        <v>13</v>
      </c>
      <c r="G57" s="30" t="s">
        <v>32</v>
      </c>
      <c r="H57" s="122"/>
      <c r="I57" s="25">
        <v>0</v>
      </c>
      <c r="J57" s="119" t="s">
        <v>13</v>
      </c>
      <c r="K57" s="25">
        <v>1</v>
      </c>
      <c r="L57" s="120"/>
      <c r="M57" s="121"/>
    </row>
    <row r="58" spans="2:13" ht="15.75">
      <c r="B58" s="123">
        <v>52</v>
      </c>
      <c r="C58" s="127" t="s">
        <v>134</v>
      </c>
      <c r="D58" s="119" t="s">
        <v>31</v>
      </c>
      <c r="E58" s="24" t="s">
        <v>33</v>
      </c>
      <c r="F58" s="119" t="s">
        <v>13</v>
      </c>
      <c r="G58" s="30" t="s">
        <v>47</v>
      </c>
      <c r="H58" s="122"/>
      <c r="I58" s="25">
        <v>1</v>
      </c>
      <c r="J58" s="119" t="s">
        <v>13</v>
      </c>
      <c r="K58" s="25">
        <v>0</v>
      </c>
      <c r="L58" s="120"/>
      <c r="M58" s="121"/>
    </row>
    <row r="59" spans="2:13" ht="15.75">
      <c r="B59" s="123">
        <v>53</v>
      </c>
      <c r="C59" s="127" t="s">
        <v>135</v>
      </c>
      <c r="D59" s="119" t="s">
        <v>11</v>
      </c>
      <c r="E59" s="24" t="s">
        <v>24</v>
      </c>
      <c r="F59" s="119" t="s">
        <v>13</v>
      </c>
      <c r="G59" s="30" t="s">
        <v>12</v>
      </c>
      <c r="H59" s="122"/>
      <c r="I59" s="25">
        <v>0</v>
      </c>
      <c r="J59" s="119" t="s">
        <v>13</v>
      </c>
      <c r="K59" s="25">
        <v>2</v>
      </c>
      <c r="L59" s="120"/>
      <c r="M59" s="121"/>
    </row>
    <row r="60" spans="2:13" ht="15.75">
      <c r="B60" s="123">
        <v>54</v>
      </c>
      <c r="C60" s="127" t="s">
        <v>135</v>
      </c>
      <c r="D60" s="119" t="s">
        <v>11</v>
      </c>
      <c r="E60" s="24" t="s">
        <v>14</v>
      </c>
      <c r="F60" s="119" t="s">
        <v>13</v>
      </c>
      <c r="G60" s="30" t="s">
        <v>23</v>
      </c>
      <c r="H60" s="122"/>
      <c r="I60" s="25">
        <v>1</v>
      </c>
      <c r="J60" s="119" t="s">
        <v>13</v>
      </c>
      <c r="K60" s="25">
        <v>1</v>
      </c>
      <c r="L60" s="120"/>
      <c r="M60" s="121"/>
    </row>
    <row r="61" spans="2:13" ht="15.75">
      <c r="B61" s="123">
        <v>55</v>
      </c>
      <c r="C61" s="127" t="s">
        <v>136</v>
      </c>
      <c r="D61" s="119" t="s">
        <v>67</v>
      </c>
      <c r="E61" s="24" t="s">
        <v>49</v>
      </c>
      <c r="F61" s="119" t="s">
        <v>13</v>
      </c>
      <c r="G61" s="30" t="s">
        <v>42</v>
      </c>
      <c r="H61" s="122"/>
      <c r="I61" s="25">
        <v>0</v>
      </c>
      <c r="J61" s="119" t="s">
        <v>13</v>
      </c>
      <c r="K61" s="25">
        <v>1</v>
      </c>
      <c r="L61" s="120"/>
      <c r="M61" s="121"/>
    </row>
    <row r="62" spans="2:13" ht="15.75">
      <c r="B62" s="123">
        <v>56</v>
      </c>
      <c r="C62" s="127" t="s">
        <v>136</v>
      </c>
      <c r="D62" s="119" t="s">
        <v>67</v>
      </c>
      <c r="E62" s="24" t="s">
        <v>36</v>
      </c>
      <c r="F62" s="119" t="s">
        <v>13</v>
      </c>
      <c r="G62" s="30" t="s">
        <v>28</v>
      </c>
      <c r="H62" s="122"/>
      <c r="I62" s="25">
        <v>0</v>
      </c>
      <c r="J62" s="119" t="s">
        <v>13</v>
      </c>
      <c r="K62" s="25">
        <v>2</v>
      </c>
      <c r="L62" s="120"/>
      <c r="M62" s="121"/>
    </row>
    <row r="63" spans="2:13" ht="15.75">
      <c r="B63" s="123">
        <v>57</v>
      </c>
      <c r="C63" s="127" t="s">
        <v>137</v>
      </c>
      <c r="D63" s="119" t="s">
        <v>82</v>
      </c>
      <c r="E63" s="24" t="s">
        <v>43</v>
      </c>
      <c r="F63" s="119" t="s">
        <v>13</v>
      </c>
      <c r="G63" s="30" t="s">
        <v>37</v>
      </c>
      <c r="H63" s="122"/>
      <c r="I63" s="25">
        <v>2</v>
      </c>
      <c r="J63" s="119" t="s">
        <v>13</v>
      </c>
      <c r="K63" s="25">
        <v>1</v>
      </c>
      <c r="L63" s="120"/>
      <c r="M63" s="121"/>
    </row>
    <row r="64" spans="2:13" ht="15.75">
      <c r="B64" s="123">
        <v>58</v>
      </c>
      <c r="C64" s="127" t="s">
        <v>137</v>
      </c>
      <c r="D64" s="119" t="s">
        <v>82</v>
      </c>
      <c r="E64" s="24" t="s">
        <v>50</v>
      </c>
      <c r="F64" s="119" t="s">
        <v>13</v>
      </c>
      <c r="G64" s="30" t="s">
        <v>29</v>
      </c>
      <c r="H64" s="122"/>
      <c r="I64" s="25">
        <v>1</v>
      </c>
      <c r="J64" s="119" t="s">
        <v>13</v>
      </c>
      <c r="K64" s="25">
        <v>3</v>
      </c>
      <c r="L64" s="120"/>
      <c r="M64" s="121"/>
    </row>
    <row r="65" spans="2:14" ht="15.75">
      <c r="B65" s="123">
        <v>59</v>
      </c>
      <c r="C65" s="127" t="s">
        <v>138</v>
      </c>
      <c r="D65" s="119" t="s">
        <v>39</v>
      </c>
      <c r="E65" s="24" t="s">
        <v>27</v>
      </c>
      <c r="F65" s="119" t="s">
        <v>13</v>
      </c>
      <c r="G65" s="30" t="s">
        <v>35</v>
      </c>
      <c r="H65" s="122"/>
      <c r="I65" s="25">
        <v>1</v>
      </c>
      <c r="J65" s="119" t="s">
        <v>13</v>
      </c>
      <c r="K65" s="25">
        <v>2</v>
      </c>
      <c r="L65" s="120"/>
      <c r="M65" s="121"/>
      <c r="N65" s="96"/>
    </row>
    <row r="66" spans="2:14" ht="15.75">
      <c r="B66" s="123">
        <v>60</v>
      </c>
      <c r="C66" s="127" t="s">
        <v>138</v>
      </c>
      <c r="D66" s="119" t="s">
        <v>39</v>
      </c>
      <c r="E66" s="24" t="s">
        <v>40</v>
      </c>
      <c r="F66" s="119" t="s">
        <v>13</v>
      </c>
      <c r="G66" s="30" t="s">
        <v>48</v>
      </c>
      <c r="H66" s="122"/>
      <c r="I66" s="25">
        <v>2</v>
      </c>
      <c r="J66" s="119" t="s">
        <v>13</v>
      </c>
      <c r="K66" s="25">
        <v>1</v>
      </c>
      <c r="L66" s="120"/>
      <c r="M66" s="121"/>
      <c r="N66" s="96"/>
    </row>
    <row r="67" spans="2:14" ht="15.75">
      <c r="B67" s="123">
        <v>61</v>
      </c>
      <c r="C67" s="127" t="s">
        <v>139</v>
      </c>
      <c r="D67" s="119" t="s">
        <v>98</v>
      </c>
      <c r="E67" s="24" t="s">
        <v>70</v>
      </c>
      <c r="F67" s="119" t="s">
        <v>13</v>
      </c>
      <c r="G67" s="30" t="s">
        <v>62</v>
      </c>
      <c r="H67" s="122"/>
      <c r="I67" s="25">
        <v>1</v>
      </c>
      <c r="J67" s="119" t="s">
        <v>13</v>
      </c>
      <c r="K67" s="25">
        <v>3</v>
      </c>
      <c r="L67" s="120"/>
      <c r="M67" s="121"/>
      <c r="N67" s="96"/>
    </row>
    <row r="68" spans="2:14" ht="15.75">
      <c r="B68" s="123">
        <v>62</v>
      </c>
      <c r="C68" s="127" t="s">
        <v>139</v>
      </c>
      <c r="D68" s="119" t="s">
        <v>98</v>
      </c>
      <c r="E68" s="24" t="s">
        <v>77</v>
      </c>
      <c r="F68" s="119" t="s">
        <v>13</v>
      </c>
      <c r="G68" s="30" t="s">
        <v>85</v>
      </c>
      <c r="H68" s="122"/>
      <c r="I68" s="25">
        <v>1</v>
      </c>
      <c r="J68" s="119" t="s">
        <v>13</v>
      </c>
      <c r="K68" s="25">
        <v>1</v>
      </c>
      <c r="L68" s="120"/>
      <c r="M68" s="121"/>
      <c r="N68" s="96"/>
    </row>
    <row r="69" spans="2:14" ht="15.75">
      <c r="B69" s="123">
        <v>63</v>
      </c>
      <c r="C69" s="127" t="s">
        <v>140</v>
      </c>
      <c r="D69" s="119" t="s">
        <v>95</v>
      </c>
      <c r="E69" s="24" t="s">
        <v>68</v>
      </c>
      <c r="F69" s="119" t="s">
        <v>13</v>
      </c>
      <c r="G69" s="30" t="s">
        <v>83</v>
      </c>
      <c r="H69" s="122"/>
      <c r="I69" s="25">
        <v>2</v>
      </c>
      <c r="J69" s="119" t="s">
        <v>13</v>
      </c>
      <c r="K69" s="25">
        <v>1</v>
      </c>
      <c r="L69" s="120"/>
      <c r="M69" s="121"/>
      <c r="N69" s="96"/>
    </row>
    <row r="70" spans="2:14" ht="15.75">
      <c r="B70" s="123">
        <v>64</v>
      </c>
      <c r="C70" s="127" t="s">
        <v>140</v>
      </c>
      <c r="D70" s="119" t="s">
        <v>95</v>
      </c>
      <c r="E70" s="24" t="s">
        <v>75</v>
      </c>
      <c r="F70" s="119" t="s">
        <v>13</v>
      </c>
      <c r="G70" s="30" t="s">
        <v>60</v>
      </c>
      <c r="H70" s="122"/>
      <c r="I70" s="25">
        <v>0</v>
      </c>
      <c r="J70" s="119" t="s">
        <v>13</v>
      </c>
      <c r="K70" s="25">
        <v>1</v>
      </c>
      <c r="L70" s="120"/>
      <c r="M70" s="121"/>
      <c r="N70" s="96"/>
    </row>
    <row r="71" spans="2:14" ht="15.75">
      <c r="B71" s="123">
        <v>65</v>
      </c>
      <c r="C71" s="127" t="s">
        <v>141</v>
      </c>
      <c r="D71" s="119" t="s">
        <v>91</v>
      </c>
      <c r="E71" s="24" t="s">
        <v>76</v>
      </c>
      <c r="F71" s="119" t="s">
        <v>13</v>
      </c>
      <c r="G71" s="30" t="s">
        <v>84</v>
      </c>
      <c r="H71" s="122"/>
      <c r="I71" s="25">
        <v>0</v>
      </c>
      <c r="J71" s="119" t="s">
        <v>13</v>
      </c>
      <c r="K71" s="25">
        <v>1</v>
      </c>
      <c r="L71" s="120"/>
      <c r="M71" s="121"/>
      <c r="N71" s="96"/>
    </row>
    <row r="72" spans="2:14" ht="15.75">
      <c r="B72" s="123">
        <v>66</v>
      </c>
      <c r="C72" s="127" t="s">
        <v>141</v>
      </c>
      <c r="D72" s="119" t="s">
        <v>91</v>
      </c>
      <c r="E72" s="24" t="s">
        <v>69</v>
      </c>
      <c r="F72" s="119" t="s">
        <v>13</v>
      </c>
      <c r="G72" s="30" t="s">
        <v>61</v>
      </c>
      <c r="H72" s="122"/>
      <c r="I72" s="25">
        <v>1</v>
      </c>
      <c r="J72" s="119" t="s">
        <v>13</v>
      </c>
      <c r="K72" s="25">
        <v>2</v>
      </c>
      <c r="L72" s="120"/>
      <c r="M72" s="121"/>
      <c r="N72" s="96"/>
    </row>
    <row r="73" spans="2:14" ht="15.75">
      <c r="B73" s="123">
        <v>67</v>
      </c>
      <c r="C73" s="127" t="s">
        <v>142</v>
      </c>
      <c r="D73" s="119" t="s">
        <v>104</v>
      </c>
      <c r="E73" s="24" t="s">
        <v>88</v>
      </c>
      <c r="F73" s="119" t="s">
        <v>13</v>
      </c>
      <c r="G73" s="30" t="s">
        <v>65</v>
      </c>
      <c r="H73" s="122"/>
      <c r="I73" s="25">
        <v>0</v>
      </c>
      <c r="J73" s="119" t="s">
        <v>13</v>
      </c>
      <c r="K73" s="25">
        <v>2</v>
      </c>
      <c r="L73" s="120"/>
      <c r="M73" s="121"/>
      <c r="N73" s="96"/>
    </row>
    <row r="74" spans="2:14" ht="15.75">
      <c r="B74" s="123">
        <v>68</v>
      </c>
      <c r="C74" s="127" t="s">
        <v>142</v>
      </c>
      <c r="D74" s="119" t="s">
        <v>104</v>
      </c>
      <c r="E74" s="24" t="s">
        <v>73</v>
      </c>
      <c r="F74" s="119" t="s">
        <v>13</v>
      </c>
      <c r="G74" s="30" t="s">
        <v>80</v>
      </c>
      <c r="H74" s="122"/>
      <c r="I74" s="25">
        <v>2</v>
      </c>
      <c r="J74" s="119" t="s">
        <v>13</v>
      </c>
      <c r="K74" s="25">
        <v>0</v>
      </c>
      <c r="L74" s="120"/>
      <c r="M74" s="121"/>
      <c r="N74" s="96"/>
    </row>
    <row r="75" spans="2:14" ht="15.75">
      <c r="B75" s="123">
        <v>69</v>
      </c>
      <c r="C75" s="127" t="s">
        <v>143</v>
      </c>
      <c r="D75" s="119" t="s">
        <v>101</v>
      </c>
      <c r="E75" s="24" t="s">
        <v>78</v>
      </c>
      <c r="F75" s="119" t="s">
        <v>13</v>
      </c>
      <c r="G75" s="30" t="s">
        <v>71</v>
      </c>
      <c r="H75" s="122"/>
      <c r="I75" s="25">
        <v>0</v>
      </c>
      <c r="J75" s="119" t="s">
        <v>13</v>
      </c>
      <c r="K75" s="25">
        <v>1</v>
      </c>
      <c r="L75" s="120"/>
      <c r="M75" s="121"/>
      <c r="N75" s="96"/>
    </row>
    <row r="76" spans="2:14" ht="15.75">
      <c r="B76" s="123">
        <v>70</v>
      </c>
      <c r="C76" s="127" t="s">
        <v>143</v>
      </c>
      <c r="D76" s="119" t="s">
        <v>101</v>
      </c>
      <c r="E76" s="24" t="s">
        <v>86</v>
      </c>
      <c r="F76" s="119" t="s">
        <v>13</v>
      </c>
      <c r="G76" s="30" t="s">
        <v>63</v>
      </c>
      <c r="H76" s="122"/>
      <c r="I76" s="25">
        <v>0</v>
      </c>
      <c r="J76" s="119" t="s">
        <v>13</v>
      </c>
      <c r="K76" s="25">
        <v>3</v>
      </c>
      <c r="L76" s="120"/>
      <c r="M76" s="121"/>
      <c r="N76" s="96"/>
    </row>
    <row r="77" spans="2:14" ht="15.75">
      <c r="B77" s="123">
        <v>71</v>
      </c>
      <c r="C77" s="127" t="s">
        <v>144</v>
      </c>
      <c r="D77" s="119" t="s">
        <v>107</v>
      </c>
      <c r="E77" s="24" t="s">
        <v>72</v>
      </c>
      <c r="F77" s="119" t="s">
        <v>13</v>
      </c>
      <c r="G77" s="30" t="s">
        <v>64</v>
      </c>
      <c r="H77" s="122"/>
      <c r="I77" s="25">
        <v>1</v>
      </c>
      <c r="J77" s="119" t="s">
        <v>13</v>
      </c>
      <c r="K77" s="25">
        <v>2</v>
      </c>
      <c r="L77" s="120"/>
      <c r="M77" s="121"/>
      <c r="N77" s="96"/>
    </row>
    <row r="78" spans="2:14" ht="15.75">
      <c r="B78" s="123">
        <v>72</v>
      </c>
      <c r="C78" s="127" t="s">
        <v>144</v>
      </c>
      <c r="D78" s="119" t="s">
        <v>107</v>
      </c>
      <c r="E78" s="24" t="s">
        <v>87</v>
      </c>
      <c r="F78" s="119" t="s">
        <v>13</v>
      </c>
      <c r="G78" s="30" t="s">
        <v>79</v>
      </c>
      <c r="H78" s="122"/>
      <c r="I78" s="25">
        <v>1</v>
      </c>
      <c r="J78" s="119" t="s">
        <v>13</v>
      </c>
      <c r="K78" s="25">
        <v>1</v>
      </c>
      <c r="L78" s="120"/>
      <c r="M78" s="121"/>
      <c r="N78" s="96"/>
    </row>
    <row r="79" spans="2:14" ht="15.75">
      <c r="B79" s="96"/>
      <c r="C79" s="96"/>
      <c r="D79" s="97" t="s">
        <v>145</v>
      </c>
      <c r="E79" s="105" t="s">
        <v>62</v>
      </c>
      <c r="F79" s="118" t="s">
        <v>13</v>
      </c>
      <c r="G79" s="105" t="s">
        <v>65</v>
      </c>
      <c r="H79" s="96"/>
      <c r="I79" s="96"/>
      <c r="J79" s="96"/>
      <c r="K79" s="96"/>
      <c r="L79" s="109"/>
      <c r="M79" s="109"/>
      <c r="N79" s="110"/>
    </row>
    <row r="80" spans="2:14" ht="15.75">
      <c r="B80" s="96"/>
      <c r="C80" s="128"/>
      <c r="D80" s="97" t="s">
        <v>146</v>
      </c>
      <c r="E80" s="106" t="s">
        <v>63</v>
      </c>
      <c r="F80" s="118" t="s">
        <v>13</v>
      </c>
      <c r="G80" s="106" t="s">
        <v>61</v>
      </c>
      <c r="H80" s="96"/>
      <c r="I80" s="96"/>
      <c r="J80" s="96"/>
      <c r="K80" s="96"/>
      <c r="L80" s="104"/>
      <c r="M80" s="104"/>
      <c r="N80" s="110"/>
    </row>
    <row r="81" spans="1:14" ht="15.75">
      <c r="A81" s="96"/>
      <c r="B81" s="96"/>
      <c r="C81" s="128"/>
      <c r="D81" s="96"/>
      <c r="E81" s="96"/>
      <c r="F81" s="99"/>
      <c r="G81" s="96"/>
      <c r="H81" s="96"/>
      <c r="I81" s="96"/>
      <c r="J81" s="96"/>
      <c r="K81" s="99"/>
      <c r="L81" s="99"/>
      <c r="M81" s="99"/>
      <c r="N81" s="110"/>
    </row>
    <row r="82" spans="1:14" ht="15.75">
      <c r="A82" s="96"/>
      <c r="B82" s="96"/>
      <c r="C82" s="128"/>
      <c r="D82" s="96"/>
      <c r="E82" s="96"/>
      <c r="F82" s="99"/>
      <c r="G82" s="96"/>
      <c r="H82" s="96"/>
      <c r="I82" s="96"/>
      <c r="J82" s="96"/>
      <c r="K82" s="99"/>
      <c r="L82" s="107" t="s">
        <v>147</v>
      </c>
      <c r="M82" s="103"/>
      <c r="N82" s="110"/>
    </row>
    <row r="83" spans="1:14" ht="15.75">
      <c r="A83" s="96"/>
      <c r="B83" s="96"/>
      <c r="C83" s="128"/>
      <c r="D83" s="96"/>
      <c r="E83" s="96"/>
      <c r="F83" s="99"/>
      <c r="G83" s="96"/>
      <c r="H83" s="96"/>
      <c r="I83" s="96"/>
      <c r="J83" s="96"/>
      <c r="K83" s="99"/>
      <c r="L83" s="99"/>
      <c r="M83" s="99"/>
      <c r="N83" s="110"/>
    </row>
    <row r="84" spans="1:14" ht="15.75">
      <c r="A84" s="97"/>
      <c r="B84" s="96"/>
      <c r="C84" s="128"/>
      <c r="D84" s="96"/>
      <c r="E84" s="96"/>
      <c r="F84" s="99"/>
      <c r="G84" s="100"/>
      <c r="H84" s="96"/>
      <c r="I84" s="96"/>
      <c r="J84" s="96"/>
      <c r="K84" s="99"/>
      <c r="L84" s="96"/>
      <c r="M84" s="96"/>
      <c r="N84" s="96"/>
    </row>
    <row r="85" spans="1:14" ht="15.75">
      <c r="A85" s="97"/>
      <c r="B85" s="96"/>
      <c r="C85" s="128"/>
      <c r="D85" s="96"/>
      <c r="E85" s="96"/>
      <c r="F85" s="99"/>
      <c r="G85" s="100"/>
      <c r="H85" s="96"/>
      <c r="I85" s="96"/>
      <c r="J85" s="96"/>
      <c r="K85" s="99"/>
      <c r="L85" s="96"/>
      <c r="M85" s="96"/>
      <c r="N85" s="96"/>
    </row>
    <row r="86" spans="1:14" ht="15.75">
      <c r="A86" s="97"/>
      <c r="B86" s="98"/>
      <c r="C86" s="129"/>
      <c r="D86" s="96"/>
      <c r="E86" s="96"/>
      <c r="F86" s="99"/>
      <c r="G86" s="100"/>
      <c r="H86" s="96"/>
      <c r="I86" s="96"/>
      <c r="J86" s="96"/>
      <c r="K86" s="99"/>
      <c r="L86" s="96"/>
      <c r="M86" s="96"/>
      <c r="N86" s="96"/>
    </row>
    <row r="87" spans="1:14" ht="15.75">
      <c r="A87" s="97"/>
      <c r="B87" s="98"/>
      <c r="C87" s="129"/>
      <c r="D87" s="96"/>
      <c r="E87" s="96"/>
      <c r="F87" s="99"/>
      <c r="G87" s="100"/>
      <c r="H87" s="96"/>
      <c r="I87" s="96"/>
      <c r="J87" s="96"/>
      <c r="K87" s="99"/>
      <c r="L87" s="96"/>
      <c r="M87" s="96"/>
      <c r="N87" s="96"/>
    </row>
  </sheetData>
  <mergeCells count="1">
    <mergeCell ref="H2:M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U87"/>
  <sheetViews>
    <sheetView workbookViewId="0">
      <selection sqref="A1:U87"/>
    </sheetView>
  </sheetViews>
  <sheetFormatPr defaultRowHeight="15"/>
  <sheetData>
    <row r="2" spans="2:21" ht="15.75">
      <c r="B2" s="133"/>
      <c r="C2" s="133"/>
      <c r="D2" s="133"/>
      <c r="E2" s="133"/>
      <c r="F2" s="133"/>
      <c r="G2" s="134" t="s">
        <v>0</v>
      </c>
      <c r="H2" s="298" t="s">
        <v>377</v>
      </c>
      <c r="I2" s="299"/>
      <c r="J2" s="299"/>
      <c r="K2" s="299"/>
      <c r="L2" s="299"/>
      <c r="M2" s="299"/>
      <c r="N2" s="136"/>
      <c r="O2" s="133"/>
      <c r="P2" s="133"/>
      <c r="Q2" s="133"/>
      <c r="R2" s="133"/>
      <c r="S2" s="133"/>
      <c r="T2" s="133"/>
      <c r="U2" s="133"/>
    </row>
    <row r="4" spans="2:21" ht="18">
      <c r="B4" s="166" t="s">
        <v>2</v>
      </c>
      <c r="C4" s="133"/>
      <c r="D4" s="133"/>
      <c r="E4" s="133"/>
      <c r="F4" s="133"/>
      <c r="G4" s="134"/>
      <c r="H4" s="134"/>
      <c r="I4" s="134"/>
      <c r="J4" s="13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</row>
    <row r="5" spans="2:21" ht="15.75">
      <c r="B5" s="133"/>
      <c r="C5" s="167"/>
      <c r="D5" s="133"/>
      <c r="E5" s="133"/>
      <c r="F5" s="133"/>
      <c r="G5" s="134"/>
      <c r="H5" s="134"/>
      <c r="I5" s="134"/>
      <c r="J5" s="134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</row>
    <row r="6" spans="2:21" ht="18.75" thickBot="1">
      <c r="B6" s="133"/>
      <c r="C6" s="168" t="s">
        <v>3</v>
      </c>
      <c r="D6" s="138" t="s">
        <v>4</v>
      </c>
      <c r="E6" s="139"/>
      <c r="F6" s="138" t="s">
        <v>5</v>
      </c>
      <c r="G6" s="139"/>
      <c r="H6" s="139"/>
      <c r="I6" s="139"/>
      <c r="J6" s="138" t="s">
        <v>6</v>
      </c>
      <c r="K6" s="138"/>
      <c r="L6" s="138" t="s">
        <v>7</v>
      </c>
      <c r="M6" s="138" t="s">
        <v>8</v>
      </c>
      <c r="N6" s="138"/>
      <c r="O6" s="152" t="s">
        <v>9</v>
      </c>
      <c r="P6" s="133"/>
      <c r="Q6" s="133"/>
      <c r="R6" s="133"/>
      <c r="S6" s="133"/>
      <c r="T6" s="133"/>
      <c r="U6" s="133"/>
    </row>
    <row r="7" spans="2:21" ht="16.5" thickBot="1">
      <c r="B7" s="165">
        <v>1</v>
      </c>
      <c r="C7" s="169" t="s">
        <v>10</v>
      </c>
      <c r="D7" s="156" t="s">
        <v>11</v>
      </c>
      <c r="E7" s="157" t="s">
        <v>12</v>
      </c>
      <c r="F7" s="156" t="s">
        <v>13</v>
      </c>
      <c r="G7" s="163" t="s">
        <v>14</v>
      </c>
      <c r="H7" s="164"/>
      <c r="I7" s="158">
        <v>2</v>
      </c>
      <c r="J7" s="156" t="s">
        <v>13</v>
      </c>
      <c r="K7" s="158">
        <v>0</v>
      </c>
      <c r="L7" s="159"/>
      <c r="M7" s="160"/>
      <c r="N7" s="147"/>
      <c r="O7" s="161" t="s">
        <v>15</v>
      </c>
      <c r="P7" s="162" t="s">
        <v>16</v>
      </c>
      <c r="Q7" s="162" t="s">
        <v>17</v>
      </c>
      <c r="R7" s="162" t="s">
        <v>18</v>
      </c>
      <c r="S7" s="162" t="s">
        <v>19</v>
      </c>
      <c r="T7" s="162" t="s">
        <v>20</v>
      </c>
      <c r="U7" s="162" t="s">
        <v>21</v>
      </c>
    </row>
    <row r="8" spans="2:21" ht="15.75">
      <c r="B8" s="165">
        <v>2</v>
      </c>
      <c r="C8" s="169" t="s">
        <v>22</v>
      </c>
      <c r="D8" s="156" t="s">
        <v>11</v>
      </c>
      <c r="E8" s="157" t="s">
        <v>23</v>
      </c>
      <c r="F8" s="156" t="s">
        <v>13</v>
      </c>
      <c r="G8" s="163" t="s">
        <v>24</v>
      </c>
      <c r="H8" s="164"/>
      <c r="I8" s="158">
        <v>1</v>
      </c>
      <c r="J8" s="156" t="s">
        <v>13</v>
      </c>
      <c r="K8" s="158">
        <v>1</v>
      </c>
      <c r="L8" s="159"/>
      <c r="M8" s="160"/>
      <c r="N8" s="147"/>
      <c r="O8" s="148">
        <v>1</v>
      </c>
      <c r="P8" s="150" t="s">
        <v>12</v>
      </c>
      <c r="Q8" s="150" t="s">
        <v>25</v>
      </c>
      <c r="R8" s="150" t="s">
        <v>26</v>
      </c>
      <c r="S8" s="150" t="s">
        <v>27</v>
      </c>
      <c r="T8" s="150" t="s">
        <v>28</v>
      </c>
      <c r="U8" s="150" t="s">
        <v>29</v>
      </c>
    </row>
    <row r="9" spans="2:21" ht="15.75">
      <c r="B9" s="165">
        <v>3</v>
      </c>
      <c r="C9" s="169" t="s">
        <v>30</v>
      </c>
      <c r="D9" s="156" t="s">
        <v>31</v>
      </c>
      <c r="E9" s="157" t="s">
        <v>32</v>
      </c>
      <c r="F9" s="156" t="s">
        <v>13</v>
      </c>
      <c r="G9" s="163" t="s">
        <v>33</v>
      </c>
      <c r="H9" s="164"/>
      <c r="I9" s="158">
        <v>2</v>
      </c>
      <c r="J9" s="156" t="s">
        <v>13</v>
      </c>
      <c r="K9" s="158">
        <v>1</v>
      </c>
      <c r="L9" s="159"/>
      <c r="M9" s="160"/>
      <c r="N9" s="147"/>
      <c r="O9" s="149">
        <v>2</v>
      </c>
      <c r="P9" s="151" t="s">
        <v>169</v>
      </c>
      <c r="Q9" s="151" t="s">
        <v>32</v>
      </c>
      <c r="R9" s="151" t="s">
        <v>41</v>
      </c>
      <c r="S9" s="151" t="s">
        <v>35</v>
      </c>
      <c r="T9" s="151" t="s">
        <v>36</v>
      </c>
      <c r="U9" s="151" t="s">
        <v>43</v>
      </c>
    </row>
    <row r="10" spans="2:21" ht="15.75">
      <c r="B10" s="165">
        <v>4</v>
      </c>
      <c r="C10" s="169" t="s">
        <v>38</v>
      </c>
      <c r="D10" s="156" t="s">
        <v>39</v>
      </c>
      <c r="E10" s="157" t="s">
        <v>35</v>
      </c>
      <c r="F10" s="156" t="s">
        <v>13</v>
      </c>
      <c r="G10" s="163" t="s">
        <v>40</v>
      </c>
      <c r="H10" s="164"/>
      <c r="I10" s="158">
        <v>1</v>
      </c>
      <c r="J10" s="156" t="s">
        <v>13</v>
      </c>
      <c r="K10" s="158">
        <v>1</v>
      </c>
      <c r="L10" s="159"/>
      <c r="M10" s="160"/>
      <c r="N10" s="147"/>
      <c r="O10" s="149">
        <v>3</v>
      </c>
      <c r="P10" s="151" t="s">
        <v>23</v>
      </c>
      <c r="Q10" s="151" t="s">
        <v>33</v>
      </c>
      <c r="R10" s="151" t="s">
        <v>34</v>
      </c>
      <c r="S10" s="151" t="s">
        <v>40</v>
      </c>
      <c r="T10" s="151" t="s">
        <v>42</v>
      </c>
      <c r="U10" s="151" t="s">
        <v>37</v>
      </c>
    </row>
    <row r="11" spans="2:21" ht="15.75">
      <c r="B11" s="165">
        <v>5</v>
      </c>
      <c r="C11" s="169" t="s">
        <v>44</v>
      </c>
      <c r="D11" s="156" t="s">
        <v>45</v>
      </c>
      <c r="E11" s="157" t="s">
        <v>46</v>
      </c>
      <c r="F11" s="156" t="s">
        <v>13</v>
      </c>
      <c r="G11" s="163" t="s">
        <v>34</v>
      </c>
      <c r="H11" s="164"/>
      <c r="I11" s="158">
        <v>0</v>
      </c>
      <c r="J11" s="156" t="s">
        <v>13</v>
      </c>
      <c r="K11" s="158">
        <v>2</v>
      </c>
      <c r="L11" s="159"/>
      <c r="M11" s="160"/>
      <c r="N11" s="147"/>
      <c r="O11" s="149">
        <v>4</v>
      </c>
      <c r="P11" s="151" t="s">
        <v>14</v>
      </c>
      <c r="Q11" s="151" t="s">
        <v>47</v>
      </c>
      <c r="R11" s="151" t="s">
        <v>46</v>
      </c>
      <c r="S11" s="151" t="s">
        <v>48</v>
      </c>
      <c r="T11" s="151" t="s">
        <v>49</v>
      </c>
      <c r="U11" s="151" t="s">
        <v>50</v>
      </c>
    </row>
    <row r="12" spans="2:21" ht="16.5" thickBot="1">
      <c r="B12" s="165">
        <v>6</v>
      </c>
      <c r="C12" s="169" t="s">
        <v>51</v>
      </c>
      <c r="D12" s="156" t="s">
        <v>39</v>
      </c>
      <c r="E12" s="157" t="s">
        <v>48</v>
      </c>
      <c r="F12" s="156" t="s">
        <v>13</v>
      </c>
      <c r="G12" s="163" t="s">
        <v>27</v>
      </c>
      <c r="H12" s="164"/>
      <c r="I12" s="158">
        <v>1</v>
      </c>
      <c r="J12" s="156" t="s">
        <v>13</v>
      </c>
      <c r="K12" s="158">
        <v>2</v>
      </c>
      <c r="L12" s="159"/>
      <c r="M12" s="160"/>
      <c r="N12" s="147"/>
      <c r="O12" s="133"/>
      <c r="P12" s="133"/>
      <c r="Q12" s="133"/>
      <c r="R12" s="133"/>
      <c r="S12" s="133"/>
      <c r="T12" s="133"/>
      <c r="U12" s="133"/>
    </row>
    <row r="13" spans="2:21" ht="16.5" thickBot="1">
      <c r="B13" s="165">
        <v>7</v>
      </c>
      <c r="C13" s="169" t="s">
        <v>52</v>
      </c>
      <c r="D13" s="156" t="s">
        <v>45</v>
      </c>
      <c r="E13" s="157" t="s">
        <v>26</v>
      </c>
      <c r="F13" s="156" t="s">
        <v>13</v>
      </c>
      <c r="G13" s="163" t="s">
        <v>41</v>
      </c>
      <c r="H13" s="164"/>
      <c r="I13" s="158">
        <v>3</v>
      </c>
      <c r="J13" s="156" t="s">
        <v>13</v>
      </c>
      <c r="K13" s="158">
        <v>0</v>
      </c>
      <c r="L13" s="159"/>
      <c r="M13" s="160"/>
      <c r="N13" s="147"/>
      <c r="O13" s="161" t="s">
        <v>15</v>
      </c>
      <c r="P13" s="162" t="s">
        <v>53</v>
      </c>
      <c r="Q13" s="162" t="s">
        <v>54</v>
      </c>
      <c r="R13" s="162" t="s">
        <v>55</v>
      </c>
      <c r="S13" s="162" t="s">
        <v>56</v>
      </c>
      <c r="T13" s="162" t="s">
        <v>57</v>
      </c>
      <c r="U13" s="162" t="s">
        <v>58</v>
      </c>
    </row>
    <row r="14" spans="2:21" ht="15.75">
      <c r="B14" s="165">
        <v>8</v>
      </c>
      <c r="C14" s="169" t="s">
        <v>59</v>
      </c>
      <c r="D14" s="156" t="s">
        <v>31</v>
      </c>
      <c r="E14" s="157" t="s">
        <v>47</v>
      </c>
      <c r="F14" s="156" t="s">
        <v>13</v>
      </c>
      <c r="G14" s="163" t="s">
        <v>25</v>
      </c>
      <c r="H14" s="164"/>
      <c r="I14" s="158">
        <v>0</v>
      </c>
      <c r="J14" s="156" t="s">
        <v>13</v>
      </c>
      <c r="K14" s="158">
        <v>2</v>
      </c>
      <c r="L14" s="159"/>
      <c r="M14" s="160"/>
      <c r="N14" s="147"/>
      <c r="O14" s="148">
        <v>1</v>
      </c>
      <c r="P14" s="150" t="s">
        <v>60</v>
      </c>
      <c r="Q14" s="150" t="s">
        <v>61</v>
      </c>
      <c r="R14" s="150" t="s">
        <v>62</v>
      </c>
      <c r="S14" s="150" t="s">
        <v>63</v>
      </c>
      <c r="T14" s="150" t="s">
        <v>64</v>
      </c>
      <c r="U14" s="150" t="s">
        <v>65</v>
      </c>
    </row>
    <row r="15" spans="2:21" ht="15.75">
      <c r="B15" s="165">
        <v>9</v>
      </c>
      <c r="C15" s="169" t="s">
        <v>66</v>
      </c>
      <c r="D15" s="156" t="s">
        <v>67</v>
      </c>
      <c r="E15" s="157" t="s">
        <v>42</v>
      </c>
      <c r="F15" s="156" t="s">
        <v>13</v>
      </c>
      <c r="G15" s="163" t="s">
        <v>36</v>
      </c>
      <c r="H15" s="164"/>
      <c r="I15" s="158">
        <v>1</v>
      </c>
      <c r="J15" s="156" t="s">
        <v>13</v>
      </c>
      <c r="K15" s="158">
        <v>1</v>
      </c>
      <c r="L15" s="159"/>
      <c r="M15" s="160"/>
      <c r="N15" s="147"/>
      <c r="O15" s="149">
        <v>2</v>
      </c>
      <c r="P15" s="151" t="s">
        <v>83</v>
      </c>
      <c r="Q15" s="151" t="s">
        <v>69</v>
      </c>
      <c r="R15" s="151" t="s">
        <v>70</v>
      </c>
      <c r="S15" s="151" t="s">
        <v>71</v>
      </c>
      <c r="T15" s="151" t="s">
        <v>72</v>
      </c>
      <c r="U15" s="151" t="s">
        <v>73</v>
      </c>
    </row>
    <row r="16" spans="2:21" ht="15.75">
      <c r="B16" s="165">
        <v>10</v>
      </c>
      <c r="C16" s="169" t="s">
        <v>74</v>
      </c>
      <c r="D16" s="156" t="s">
        <v>67</v>
      </c>
      <c r="E16" s="157" t="s">
        <v>28</v>
      </c>
      <c r="F16" s="156" t="s">
        <v>13</v>
      </c>
      <c r="G16" s="163" t="s">
        <v>49</v>
      </c>
      <c r="H16" s="164"/>
      <c r="I16" s="158">
        <v>4</v>
      </c>
      <c r="J16" s="156" t="s">
        <v>13</v>
      </c>
      <c r="K16" s="158">
        <v>0</v>
      </c>
      <c r="L16" s="159"/>
      <c r="M16" s="160"/>
      <c r="N16" s="147"/>
      <c r="O16" s="149">
        <v>3</v>
      </c>
      <c r="P16" s="151" t="s">
        <v>68</v>
      </c>
      <c r="Q16" s="151" t="s">
        <v>76</v>
      </c>
      <c r="R16" s="151" t="s">
        <v>77</v>
      </c>
      <c r="S16" s="151" t="s">
        <v>78</v>
      </c>
      <c r="T16" s="151" t="s">
        <v>87</v>
      </c>
      <c r="U16" s="151" t="s">
        <v>80</v>
      </c>
    </row>
    <row r="17" spans="2:21" ht="15.75">
      <c r="B17" s="165">
        <v>11</v>
      </c>
      <c r="C17" s="169" t="s">
        <v>81</v>
      </c>
      <c r="D17" s="156" t="s">
        <v>82</v>
      </c>
      <c r="E17" s="157" t="s">
        <v>29</v>
      </c>
      <c r="F17" s="156" t="s">
        <v>13</v>
      </c>
      <c r="G17" s="163" t="s">
        <v>43</v>
      </c>
      <c r="H17" s="164"/>
      <c r="I17" s="158">
        <v>2</v>
      </c>
      <c r="J17" s="156" t="s">
        <v>13</v>
      </c>
      <c r="K17" s="158">
        <v>1</v>
      </c>
      <c r="L17" s="159"/>
      <c r="M17" s="160"/>
      <c r="N17" s="147"/>
      <c r="O17" s="149">
        <v>4</v>
      </c>
      <c r="P17" s="151" t="s">
        <v>75</v>
      </c>
      <c r="Q17" s="151" t="s">
        <v>84</v>
      </c>
      <c r="R17" s="151" t="s">
        <v>85</v>
      </c>
      <c r="S17" s="151" t="s">
        <v>86</v>
      </c>
      <c r="T17" s="151" t="s">
        <v>79</v>
      </c>
      <c r="U17" s="151" t="s">
        <v>88</v>
      </c>
    </row>
    <row r="18" spans="2:21" ht="15.75">
      <c r="B18" s="165">
        <v>12</v>
      </c>
      <c r="C18" s="169" t="s">
        <v>89</v>
      </c>
      <c r="D18" s="156" t="s">
        <v>82</v>
      </c>
      <c r="E18" s="157" t="s">
        <v>37</v>
      </c>
      <c r="F18" s="156" t="s">
        <v>13</v>
      </c>
      <c r="G18" s="163" t="s">
        <v>50</v>
      </c>
      <c r="H18" s="164"/>
      <c r="I18" s="158">
        <v>2</v>
      </c>
      <c r="J18" s="156" t="s">
        <v>13</v>
      </c>
      <c r="K18" s="158">
        <v>0</v>
      </c>
      <c r="L18" s="159"/>
      <c r="M18" s="160"/>
      <c r="N18" s="147"/>
      <c r="O18" s="133"/>
      <c r="P18" s="153"/>
      <c r="Q18" s="153"/>
      <c r="R18" s="153"/>
      <c r="S18" s="153"/>
      <c r="T18" s="153"/>
      <c r="U18" s="153"/>
    </row>
    <row r="19" spans="2:21" ht="15.75">
      <c r="B19" s="165">
        <v>13</v>
      </c>
      <c r="C19" s="169" t="s">
        <v>90</v>
      </c>
      <c r="D19" s="156" t="s">
        <v>91</v>
      </c>
      <c r="E19" s="157" t="s">
        <v>84</v>
      </c>
      <c r="F19" s="156" t="s">
        <v>13</v>
      </c>
      <c r="G19" s="163" t="s">
        <v>69</v>
      </c>
      <c r="H19" s="164"/>
      <c r="I19" s="158">
        <v>0</v>
      </c>
      <c r="J19" s="156" t="s">
        <v>13</v>
      </c>
      <c r="K19" s="158">
        <v>2</v>
      </c>
      <c r="L19" s="159"/>
      <c r="M19" s="160"/>
      <c r="N19" s="147"/>
      <c r="O19" s="133"/>
      <c r="P19" s="133"/>
      <c r="Q19" s="133"/>
      <c r="R19" s="133"/>
      <c r="S19" s="133"/>
      <c r="T19" s="133"/>
      <c r="U19" s="133"/>
    </row>
    <row r="20" spans="2:21" ht="16.5" thickBot="1">
      <c r="B20" s="165">
        <v>14</v>
      </c>
      <c r="C20" s="169" t="s">
        <v>92</v>
      </c>
      <c r="D20" s="156" t="s">
        <v>91</v>
      </c>
      <c r="E20" s="157" t="s">
        <v>61</v>
      </c>
      <c r="F20" s="156" t="s">
        <v>13</v>
      </c>
      <c r="G20" s="163" t="s">
        <v>76</v>
      </c>
      <c r="H20" s="164"/>
      <c r="I20" s="158">
        <v>3</v>
      </c>
      <c r="J20" s="156" t="s">
        <v>13</v>
      </c>
      <c r="K20" s="158">
        <v>0</v>
      </c>
      <c r="L20" s="159"/>
      <c r="M20" s="160"/>
      <c r="N20" s="147"/>
      <c r="O20" s="145" t="s">
        <v>93</v>
      </c>
      <c r="P20" s="133"/>
      <c r="Q20" s="133"/>
      <c r="R20" s="133"/>
      <c r="S20" s="133"/>
      <c r="T20" s="133"/>
      <c r="U20" s="133"/>
    </row>
    <row r="21" spans="2:21" ht="16.5" thickBot="1">
      <c r="B21" s="165">
        <v>15</v>
      </c>
      <c r="C21" s="169" t="s">
        <v>94</v>
      </c>
      <c r="D21" s="156" t="s">
        <v>95</v>
      </c>
      <c r="E21" s="157" t="s">
        <v>83</v>
      </c>
      <c r="F21" s="156" t="s">
        <v>13</v>
      </c>
      <c r="G21" s="163" t="s">
        <v>75</v>
      </c>
      <c r="H21" s="164"/>
      <c r="I21" s="158">
        <v>1</v>
      </c>
      <c r="J21" s="156" t="s">
        <v>13</v>
      </c>
      <c r="K21" s="158">
        <v>0</v>
      </c>
      <c r="L21" s="159"/>
      <c r="M21" s="160"/>
      <c r="N21" s="147"/>
      <c r="O21" s="133"/>
      <c r="P21" s="161" t="s">
        <v>16</v>
      </c>
      <c r="Q21" s="162" t="s">
        <v>17</v>
      </c>
      <c r="R21" s="162" t="s">
        <v>18</v>
      </c>
      <c r="S21" s="162" t="s">
        <v>19</v>
      </c>
      <c r="T21" s="162" t="s">
        <v>20</v>
      </c>
      <c r="U21" s="162" t="s">
        <v>21</v>
      </c>
    </row>
    <row r="22" spans="2:21" ht="15.75">
      <c r="B22" s="165">
        <v>16</v>
      </c>
      <c r="C22" s="169" t="s">
        <v>96</v>
      </c>
      <c r="D22" s="156" t="s">
        <v>95</v>
      </c>
      <c r="E22" s="157" t="s">
        <v>60</v>
      </c>
      <c r="F22" s="156" t="s">
        <v>13</v>
      </c>
      <c r="G22" s="163" t="s">
        <v>68</v>
      </c>
      <c r="H22" s="164"/>
      <c r="I22" s="158">
        <v>2</v>
      </c>
      <c r="J22" s="156" t="s">
        <v>13</v>
      </c>
      <c r="K22" s="158">
        <v>0</v>
      </c>
      <c r="L22" s="159"/>
      <c r="M22" s="160"/>
      <c r="N22" s="147"/>
      <c r="O22" s="133"/>
      <c r="P22" s="154" t="s">
        <v>12</v>
      </c>
      <c r="Q22" s="154" t="s">
        <v>32</v>
      </c>
      <c r="R22" s="154" t="s">
        <v>46</v>
      </c>
      <c r="S22" s="154" t="s">
        <v>35</v>
      </c>
      <c r="T22" s="154" t="s">
        <v>42</v>
      </c>
      <c r="U22" s="154" t="s">
        <v>29</v>
      </c>
    </row>
    <row r="23" spans="2:21" ht="15.75">
      <c r="B23" s="165">
        <v>17</v>
      </c>
      <c r="C23" s="169" t="s">
        <v>97</v>
      </c>
      <c r="D23" s="156" t="s">
        <v>98</v>
      </c>
      <c r="E23" s="157" t="s">
        <v>62</v>
      </c>
      <c r="F23" s="156" t="s">
        <v>13</v>
      </c>
      <c r="G23" s="163" t="s">
        <v>77</v>
      </c>
      <c r="H23" s="164"/>
      <c r="I23" s="158">
        <v>2</v>
      </c>
      <c r="J23" s="156" t="s">
        <v>13</v>
      </c>
      <c r="K23" s="158">
        <v>1</v>
      </c>
      <c r="L23" s="159"/>
      <c r="M23" s="160"/>
      <c r="N23" s="147"/>
      <c r="O23" s="133"/>
      <c r="P23" s="153" t="s">
        <v>14</v>
      </c>
      <c r="Q23" s="153" t="s">
        <v>33</v>
      </c>
      <c r="R23" s="153" t="s">
        <v>34</v>
      </c>
      <c r="S23" s="153" t="s">
        <v>40</v>
      </c>
      <c r="T23" s="153" t="s">
        <v>36</v>
      </c>
      <c r="U23" s="153" t="s">
        <v>43</v>
      </c>
    </row>
    <row r="24" spans="2:21" ht="15.75">
      <c r="B24" s="165">
        <v>18</v>
      </c>
      <c r="C24" s="169" t="s">
        <v>99</v>
      </c>
      <c r="D24" s="156" t="s">
        <v>98</v>
      </c>
      <c r="E24" s="157" t="s">
        <v>85</v>
      </c>
      <c r="F24" s="156" t="s">
        <v>13</v>
      </c>
      <c r="G24" s="163" t="s">
        <v>70</v>
      </c>
      <c r="H24" s="164"/>
      <c r="I24" s="158">
        <v>0</v>
      </c>
      <c r="J24" s="156" t="s">
        <v>13</v>
      </c>
      <c r="K24" s="158">
        <v>2</v>
      </c>
      <c r="L24" s="159"/>
      <c r="M24" s="160"/>
      <c r="N24" s="147"/>
      <c r="O24" s="133"/>
      <c r="P24" s="153" t="s">
        <v>23</v>
      </c>
      <c r="Q24" s="153" t="s">
        <v>47</v>
      </c>
      <c r="R24" s="153" t="s">
        <v>26</v>
      </c>
      <c r="S24" s="153" t="s">
        <v>48</v>
      </c>
      <c r="T24" s="153" t="s">
        <v>28</v>
      </c>
      <c r="U24" s="153" t="s">
        <v>37</v>
      </c>
    </row>
    <row r="25" spans="2:21" ht="15.75">
      <c r="B25" s="165">
        <v>19</v>
      </c>
      <c r="C25" s="169" t="s">
        <v>100</v>
      </c>
      <c r="D25" s="156" t="s">
        <v>101</v>
      </c>
      <c r="E25" s="157" t="s">
        <v>63</v>
      </c>
      <c r="F25" s="156" t="s">
        <v>13</v>
      </c>
      <c r="G25" s="163" t="s">
        <v>78</v>
      </c>
      <c r="H25" s="164"/>
      <c r="I25" s="158">
        <v>2</v>
      </c>
      <c r="J25" s="156" t="s">
        <v>13</v>
      </c>
      <c r="K25" s="158">
        <v>0</v>
      </c>
      <c r="L25" s="159"/>
      <c r="M25" s="160"/>
      <c r="N25" s="147"/>
      <c r="O25" s="133"/>
      <c r="P25" s="153" t="s">
        <v>24</v>
      </c>
      <c r="Q25" s="153" t="s">
        <v>25</v>
      </c>
      <c r="R25" s="153" t="s">
        <v>41</v>
      </c>
      <c r="S25" s="153" t="s">
        <v>27</v>
      </c>
      <c r="T25" s="153" t="s">
        <v>49</v>
      </c>
      <c r="U25" s="153" t="s">
        <v>50</v>
      </c>
    </row>
    <row r="26" spans="2:21" ht="16.5" thickBot="1">
      <c r="B26" s="165">
        <v>20</v>
      </c>
      <c r="C26" s="169" t="s">
        <v>102</v>
      </c>
      <c r="D26" s="156" t="s">
        <v>101</v>
      </c>
      <c r="E26" s="157" t="s">
        <v>71</v>
      </c>
      <c r="F26" s="156" t="s">
        <v>13</v>
      </c>
      <c r="G26" s="163" t="s">
        <v>86</v>
      </c>
      <c r="H26" s="164"/>
      <c r="I26" s="158">
        <v>2</v>
      </c>
      <c r="J26" s="156" t="s">
        <v>13</v>
      </c>
      <c r="K26" s="158">
        <v>0</v>
      </c>
      <c r="L26" s="159"/>
      <c r="M26" s="160"/>
      <c r="N26" s="147"/>
      <c r="O26" s="133"/>
      <c r="P26" s="133"/>
      <c r="Q26" s="133"/>
      <c r="R26" s="133"/>
      <c r="S26" s="133"/>
      <c r="T26" s="133"/>
      <c r="U26" s="133"/>
    </row>
    <row r="27" spans="2:21" ht="16.5" thickBot="1">
      <c r="B27" s="165">
        <v>21</v>
      </c>
      <c r="C27" s="169" t="s">
        <v>103</v>
      </c>
      <c r="D27" s="156" t="s">
        <v>104</v>
      </c>
      <c r="E27" s="157" t="s">
        <v>80</v>
      </c>
      <c r="F27" s="156" t="s">
        <v>13</v>
      </c>
      <c r="G27" s="163" t="s">
        <v>88</v>
      </c>
      <c r="H27" s="164"/>
      <c r="I27" s="158">
        <v>2</v>
      </c>
      <c r="J27" s="156" t="s">
        <v>13</v>
      </c>
      <c r="K27" s="158">
        <v>0</v>
      </c>
      <c r="L27" s="159"/>
      <c r="M27" s="160"/>
      <c r="N27" s="147"/>
      <c r="O27" s="133"/>
      <c r="P27" s="161" t="s">
        <v>53</v>
      </c>
      <c r="Q27" s="162" t="s">
        <v>54</v>
      </c>
      <c r="R27" s="162" t="s">
        <v>55</v>
      </c>
      <c r="S27" s="162" t="s">
        <v>56</v>
      </c>
      <c r="T27" s="162" t="s">
        <v>57</v>
      </c>
      <c r="U27" s="162" t="s">
        <v>58</v>
      </c>
    </row>
    <row r="28" spans="2:21" ht="15.75">
      <c r="B28" s="165">
        <v>22</v>
      </c>
      <c r="C28" s="169" t="s">
        <v>105</v>
      </c>
      <c r="D28" s="156" t="s">
        <v>104</v>
      </c>
      <c r="E28" s="157" t="s">
        <v>65</v>
      </c>
      <c r="F28" s="156" t="s">
        <v>13</v>
      </c>
      <c r="G28" s="163" t="s">
        <v>73</v>
      </c>
      <c r="H28" s="164"/>
      <c r="I28" s="158">
        <v>2</v>
      </c>
      <c r="J28" s="156" t="s">
        <v>13</v>
      </c>
      <c r="K28" s="158">
        <v>1</v>
      </c>
      <c r="L28" s="159"/>
      <c r="M28" s="160"/>
      <c r="N28" s="147"/>
      <c r="O28" s="133"/>
      <c r="P28" s="154" t="s">
        <v>83</v>
      </c>
      <c r="Q28" s="154" t="s">
        <v>84</v>
      </c>
      <c r="R28" s="154" t="s">
        <v>62</v>
      </c>
      <c r="S28" s="154" t="s">
        <v>63</v>
      </c>
      <c r="T28" s="154" t="s">
        <v>64</v>
      </c>
      <c r="U28" s="154" t="s">
        <v>80</v>
      </c>
    </row>
    <row r="29" spans="2:21" ht="15.75">
      <c r="B29" s="165">
        <v>23</v>
      </c>
      <c r="C29" s="169" t="s">
        <v>106</v>
      </c>
      <c r="D29" s="156" t="s">
        <v>107</v>
      </c>
      <c r="E29" s="157" t="s">
        <v>64</v>
      </c>
      <c r="F29" s="156" t="s">
        <v>13</v>
      </c>
      <c r="G29" s="163" t="s">
        <v>87</v>
      </c>
      <c r="H29" s="164"/>
      <c r="I29" s="158">
        <v>2</v>
      </c>
      <c r="J29" s="156" t="s">
        <v>13</v>
      </c>
      <c r="K29" s="158">
        <v>0</v>
      </c>
      <c r="L29" s="159"/>
      <c r="M29" s="160"/>
      <c r="N29" s="147"/>
      <c r="O29" s="133"/>
      <c r="P29" s="153" t="s">
        <v>75</v>
      </c>
      <c r="Q29" s="153" t="s">
        <v>69</v>
      </c>
      <c r="R29" s="153" t="s">
        <v>77</v>
      </c>
      <c r="S29" s="153" t="s">
        <v>78</v>
      </c>
      <c r="T29" s="153" t="s">
        <v>87</v>
      </c>
      <c r="U29" s="153" t="s">
        <v>88</v>
      </c>
    </row>
    <row r="30" spans="2:21" ht="15.75">
      <c r="B30" s="165">
        <v>24</v>
      </c>
      <c r="C30" s="169" t="s">
        <v>108</v>
      </c>
      <c r="D30" s="156" t="s">
        <v>107</v>
      </c>
      <c r="E30" s="157" t="s">
        <v>79</v>
      </c>
      <c r="F30" s="156" t="s">
        <v>13</v>
      </c>
      <c r="G30" s="163" t="s">
        <v>72</v>
      </c>
      <c r="H30" s="164"/>
      <c r="I30" s="158">
        <v>0</v>
      </c>
      <c r="J30" s="156" t="s">
        <v>13</v>
      </c>
      <c r="K30" s="158">
        <v>2</v>
      </c>
      <c r="L30" s="159"/>
      <c r="M30" s="160"/>
      <c r="N30" s="147"/>
      <c r="O30" s="133"/>
      <c r="P30" s="153" t="s">
        <v>60</v>
      </c>
      <c r="Q30" s="153" t="s">
        <v>61</v>
      </c>
      <c r="R30" s="153" t="s">
        <v>85</v>
      </c>
      <c r="S30" s="153" t="s">
        <v>71</v>
      </c>
      <c r="T30" s="153" t="s">
        <v>79</v>
      </c>
      <c r="U30" s="153" t="s">
        <v>65</v>
      </c>
    </row>
    <row r="31" spans="2:21" ht="15.75">
      <c r="B31" s="165">
        <v>25</v>
      </c>
      <c r="C31" s="169" t="s">
        <v>109</v>
      </c>
      <c r="D31" s="156" t="s">
        <v>11</v>
      </c>
      <c r="E31" s="157" t="s">
        <v>24</v>
      </c>
      <c r="F31" s="156" t="s">
        <v>13</v>
      </c>
      <c r="G31" s="163" t="s">
        <v>14</v>
      </c>
      <c r="H31" s="164"/>
      <c r="I31" s="158">
        <v>2</v>
      </c>
      <c r="J31" s="156" t="s">
        <v>13</v>
      </c>
      <c r="K31" s="158">
        <v>1</v>
      </c>
      <c r="L31" s="159"/>
      <c r="M31" s="160"/>
      <c r="N31" s="147"/>
      <c r="O31" s="133"/>
      <c r="P31" s="153" t="s">
        <v>68</v>
      </c>
      <c r="Q31" s="153" t="s">
        <v>76</v>
      </c>
      <c r="R31" s="153" t="s">
        <v>70</v>
      </c>
      <c r="S31" s="153" t="s">
        <v>86</v>
      </c>
      <c r="T31" s="153" t="s">
        <v>72</v>
      </c>
      <c r="U31" s="153" t="s">
        <v>73</v>
      </c>
    </row>
    <row r="32" spans="2:21" ht="15.75">
      <c r="B32" s="165">
        <v>26</v>
      </c>
      <c r="C32" s="169" t="s">
        <v>110</v>
      </c>
      <c r="D32" s="156" t="s">
        <v>31</v>
      </c>
      <c r="E32" s="157" t="s">
        <v>25</v>
      </c>
      <c r="F32" s="156" t="s">
        <v>13</v>
      </c>
      <c r="G32" s="163" t="s">
        <v>33</v>
      </c>
      <c r="H32" s="164"/>
      <c r="I32" s="158">
        <v>2</v>
      </c>
      <c r="J32" s="156" t="s">
        <v>13</v>
      </c>
      <c r="K32" s="158">
        <v>0</v>
      </c>
      <c r="L32" s="159"/>
      <c r="M32" s="160"/>
      <c r="N32" s="147"/>
      <c r="O32" s="133"/>
      <c r="P32" s="133"/>
      <c r="Q32" s="133"/>
      <c r="R32" s="133"/>
      <c r="S32" s="133"/>
      <c r="T32" s="133"/>
      <c r="U32" s="133"/>
    </row>
    <row r="33" spans="2:14" ht="15.75">
      <c r="B33" s="165">
        <v>27</v>
      </c>
      <c r="C33" s="169" t="s">
        <v>111</v>
      </c>
      <c r="D33" s="156" t="s">
        <v>31</v>
      </c>
      <c r="E33" s="157" t="s">
        <v>32</v>
      </c>
      <c r="F33" s="156" t="s">
        <v>13</v>
      </c>
      <c r="G33" s="163" t="s">
        <v>47</v>
      </c>
      <c r="H33" s="164"/>
      <c r="I33" s="158">
        <v>2</v>
      </c>
      <c r="J33" s="156" t="s">
        <v>13</v>
      </c>
      <c r="K33" s="158">
        <v>0</v>
      </c>
      <c r="L33" s="159"/>
      <c r="M33" s="160"/>
      <c r="N33" s="147"/>
    </row>
    <row r="34" spans="2:14" ht="15.75">
      <c r="B34" s="165">
        <v>28</v>
      </c>
      <c r="C34" s="169" t="s">
        <v>112</v>
      </c>
      <c r="D34" s="156" t="s">
        <v>11</v>
      </c>
      <c r="E34" s="157" t="s">
        <v>12</v>
      </c>
      <c r="F34" s="156" t="s">
        <v>13</v>
      </c>
      <c r="G34" s="163" t="s">
        <v>23</v>
      </c>
      <c r="H34" s="164"/>
      <c r="I34" s="158">
        <v>1</v>
      </c>
      <c r="J34" s="156" t="s">
        <v>13</v>
      </c>
      <c r="K34" s="158">
        <v>1</v>
      </c>
      <c r="L34" s="159"/>
      <c r="M34" s="160"/>
      <c r="N34" s="147"/>
    </row>
    <row r="35" spans="2:14" ht="15.75">
      <c r="B35" s="165">
        <v>29</v>
      </c>
      <c r="C35" s="169" t="s">
        <v>113</v>
      </c>
      <c r="D35" s="156" t="s">
        <v>45</v>
      </c>
      <c r="E35" s="157" t="s">
        <v>26</v>
      </c>
      <c r="F35" s="156" t="s">
        <v>13</v>
      </c>
      <c r="G35" s="163" t="s">
        <v>46</v>
      </c>
      <c r="H35" s="164"/>
      <c r="I35" s="158">
        <v>3</v>
      </c>
      <c r="J35" s="156" t="s">
        <v>13</v>
      </c>
      <c r="K35" s="158">
        <v>0</v>
      </c>
      <c r="L35" s="159"/>
      <c r="M35" s="160"/>
      <c r="N35" s="147"/>
    </row>
    <row r="36" spans="2:14" ht="15.75">
      <c r="B36" s="165">
        <v>30</v>
      </c>
      <c r="C36" s="169" t="s">
        <v>114</v>
      </c>
      <c r="D36" s="156" t="s">
        <v>45</v>
      </c>
      <c r="E36" s="157" t="s">
        <v>34</v>
      </c>
      <c r="F36" s="156" t="s">
        <v>13</v>
      </c>
      <c r="G36" s="163" t="s">
        <v>41</v>
      </c>
      <c r="H36" s="164"/>
      <c r="I36" s="158">
        <v>1</v>
      </c>
      <c r="J36" s="156" t="s">
        <v>13</v>
      </c>
      <c r="K36" s="158">
        <v>1</v>
      </c>
      <c r="L36" s="159"/>
      <c r="M36" s="160"/>
      <c r="N36" s="147"/>
    </row>
    <row r="37" spans="2:14" ht="15.75">
      <c r="B37" s="165">
        <v>31</v>
      </c>
      <c r="C37" s="169" t="s">
        <v>115</v>
      </c>
      <c r="D37" s="156" t="s">
        <v>39</v>
      </c>
      <c r="E37" s="157" t="s">
        <v>27</v>
      </c>
      <c r="F37" s="156" t="s">
        <v>13</v>
      </c>
      <c r="G37" s="163" t="s">
        <v>40</v>
      </c>
      <c r="H37" s="164"/>
      <c r="I37" s="158">
        <v>1</v>
      </c>
      <c r="J37" s="156" t="s">
        <v>13</v>
      </c>
      <c r="K37" s="158">
        <v>1</v>
      </c>
      <c r="L37" s="159"/>
      <c r="M37" s="160"/>
      <c r="N37" s="147"/>
    </row>
    <row r="38" spans="2:14" ht="15.75">
      <c r="B38" s="165">
        <v>32</v>
      </c>
      <c r="C38" s="169" t="s">
        <v>116</v>
      </c>
      <c r="D38" s="156" t="s">
        <v>39</v>
      </c>
      <c r="E38" s="157" t="s">
        <v>35</v>
      </c>
      <c r="F38" s="156" t="s">
        <v>13</v>
      </c>
      <c r="G38" s="163" t="s">
        <v>48</v>
      </c>
      <c r="H38" s="164"/>
      <c r="I38" s="158">
        <v>2</v>
      </c>
      <c r="J38" s="156" t="s">
        <v>13</v>
      </c>
      <c r="K38" s="158">
        <v>1</v>
      </c>
      <c r="L38" s="159"/>
      <c r="M38" s="160"/>
      <c r="N38" s="147"/>
    </row>
    <row r="39" spans="2:14" ht="15.75">
      <c r="B39" s="165">
        <v>33</v>
      </c>
      <c r="C39" s="169" t="s">
        <v>117</v>
      </c>
      <c r="D39" s="156" t="s">
        <v>67</v>
      </c>
      <c r="E39" s="157" t="s">
        <v>28</v>
      </c>
      <c r="F39" s="156" t="s">
        <v>13</v>
      </c>
      <c r="G39" s="163" t="s">
        <v>42</v>
      </c>
      <c r="H39" s="164"/>
      <c r="I39" s="158">
        <v>2</v>
      </c>
      <c r="J39" s="156" t="s">
        <v>13</v>
      </c>
      <c r="K39" s="158">
        <v>0</v>
      </c>
      <c r="L39" s="159"/>
      <c r="M39" s="160"/>
      <c r="N39" s="147"/>
    </row>
    <row r="40" spans="2:14" ht="15.75">
      <c r="B40" s="165">
        <v>34</v>
      </c>
      <c r="C40" s="169" t="s">
        <v>118</v>
      </c>
      <c r="D40" s="156" t="s">
        <v>67</v>
      </c>
      <c r="E40" s="157" t="s">
        <v>36</v>
      </c>
      <c r="F40" s="156" t="s">
        <v>13</v>
      </c>
      <c r="G40" s="163" t="s">
        <v>49</v>
      </c>
      <c r="H40" s="164"/>
      <c r="I40" s="158">
        <v>2</v>
      </c>
      <c r="J40" s="156" t="s">
        <v>13</v>
      </c>
      <c r="K40" s="158">
        <v>0</v>
      </c>
      <c r="L40" s="159"/>
      <c r="M40" s="160"/>
      <c r="N40" s="147"/>
    </row>
    <row r="41" spans="2:14" ht="15.75">
      <c r="B41" s="165">
        <v>35</v>
      </c>
      <c r="C41" s="169" t="s">
        <v>119</v>
      </c>
      <c r="D41" s="156" t="s">
        <v>82</v>
      </c>
      <c r="E41" s="157" t="s">
        <v>29</v>
      </c>
      <c r="F41" s="156" t="s">
        <v>13</v>
      </c>
      <c r="G41" s="163" t="s">
        <v>37</v>
      </c>
      <c r="H41" s="164"/>
      <c r="I41" s="158">
        <v>2</v>
      </c>
      <c r="J41" s="156" t="s">
        <v>13</v>
      </c>
      <c r="K41" s="158">
        <v>1</v>
      </c>
      <c r="L41" s="159"/>
      <c r="M41" s="160"/>
      <c r="N41" s="147"/>
    </row>
    <row r="42" spans="2:14" ht="15.75">
      <c r="B42" s="165">
        <v>36</v>
      </c>
      <c r="C42" s="169" t="s">
        <v>120</v>
      </c>
      <c r="D42" s="156" t="s">
        <v>82</v>
      </c>
      <c r="E42" s="157" t="s">
        <v>50</v>
      </c>
      <c r="F42" s="156" t="s">
        <v>13</v>
      </c>
      <c r="G42" s="163" t="s">
        <v>43</v>
      </c>
      <c r="H42" s="164"/>
      <c r="I42" s="158">
        <v>1</v>
      </c>
      <c r="J42" s="156" t="s">
        <v>13</v>
      </c>
      <c r="K42" s="158">
        <v>2</v>
      </c>
      <c r="L42" s="159"/>
      <c r="M42" s="160"/>
      <c r="N42" s="147"/>
    </row>
    <row r="43" spans="2:14" ht="15.75">
      <c r="B43" s="165">
        <v>37</v>
      </c>
      <c r="C43" s="169" t="s">
        <v>121</v>
      </c>
      <c r="D43" s="156" t="s">
        <v>91</v>
      </c>
      <c r="E43" s="157" t="s">
        <v>69</v>
      </c>
      <c r="F43" s="156" t="s">
        <v>13</v>
      </c>
      <c r="G43" s="163" t="s">
        <v>76</v>
      </c>
      <c r="H43" s="164"/>
      <c r="I43" s="158">
        <v>2</v>
      </c>
      <c r="J43" s="156" t="s">
        <v>13</v>
      </c>
      <c r="K43" s="158">
        <v>0</v>
      </c>
      <c r="L43" s="159"/>
      <c r="M43" s="160"/>
      <c r="N43" s="133"/>
    </row>
    <row r="44" spans="2:14" ht="15.75">
      <c r="B44" s="165">
        <v>38</v>
      </c>
      <c r="C44" s="169" t="s">
        <v>122</v>
      </c>
      <c r="D44" s="156" t="s">
        <v>91</v>
      </c>
      <c r="E44" s="157" t="s">
        <v>61</v>
      </c>
      <c r="F44" s="156" t="s">
        <v>13</v>
      </c>
      <c r="G44" s="163" t="s">
        <v>84</v>
      </c>
      <c r="H44" s="164"/>
      <c r="I44" s="158">
        <v>2</v>
      </c>
      <c r="J44" s="156" t="s">
        <v>13</v>
      </c>
      <c r="K44" s="158">
        <v>0</v>
      </c>
      <c r="L44" s="159"/>
      <c r="M44" s="160"/>
      <c r="N44" s="133"/>
    </row>
    <row r="45" spans="2:14" ht="15.75">
      <c r="B45" s="165">
        <v>39</v>
      </c>
      <c r="C45" s="169" t="s">
        <v>123</v>
      </c>
      <c r="D45" s="156" t="s">
        <v>95</v>
      </c>
      <c r="E45" s="157" t="s">
        <v>60</v>
      </c>
      <c r="F45" s="156" t="s">
        <v>13</v>
      </c>
      <c r="G45" s="163" t="s">
        <v>83</v>
      </c>
      <c r="H45" s="164"/>
      <c r="I45" s="158">
        <v>2</v>
      </c>
      <c r="J45" s="156" t="s">
        <v>13</v>
      </c>
      <c r="K45" s="158">
        <v>1</v>
      </c>
      <c r="L45" s="159"/>
      <c r="M45" s="160"/>
      <c r="N45" s="133"/>
    </row>
    <row r="46" spans="2:14" ht="15.75">
      <c r="B46" s="165">
        <v>40</v>
      </c>
      <c r="C46" s="169" t="s">
        <v>124</v>
      </c>
      <c r="D46" s="156" t="s">
        <v>95</v>
      </c>
      <c r="E46" s="157" t="s">
        <v>75</v>
      </c>
      <c r="F46" s="156" t="s">
        <v>13</v>
      </c>
      <c r="G46" s="163" t="s">
        <v>68</v>
      </c>
      <c r="H46" s="164"/>
      <c r="I46" s="158">
        <v>1</v>
      </c>
      <c r="J46" s="156" t="s">
        <v>13</v>
      </c>
      <c r="K46" s="158">
        <v>2</v>
      </c>
      <c r="L46" s="159"/>
      <c r="M46" s="160"/>
      <c r="N46" s="133"/>
    </row>
    <row r="47" spans="2:14" ht="15.75">
      <c r="B47" s="165">
        <v>41</v>
      </c>
      <c r="C47" s="169" t="s">
        <v>125</v>
      </c>
      <c r="D47" s="156" t="s">
        <v>98</v>
      </c>
      <c r="E47" s="157" t="s">
        <v>70</v>
      </c>
      <c r="F47" s="156" t="s">
        <v>13</v>
      </c>
      <c r="G47" s="163" t="s">
        <v>77</v>
      </c>
      <c r="H47" s="164"/>
      <c r="I47" s="158">
        <v>1</v>
      </c>
      <c r="J47" s="156" t="s">
        <v>13</v>
      </c>
      <c r="K47" s="158">
        <v>1</v>
      </c>
      <c r="L47" s="159"/>
      <c r="M47" s="160"/>
      <c r="N47" s="133"/>
    </row>
    <row r="48" spans="2:14" ht="15.75">
      <c r="B48" s="165">
        <v>42</v>
      </c>
      <c r="C48" s="169" t="s">
        <v>126</v>
      </c>
      <c r="D48" s="156" t="s">
        <v>98</v>
      </c>
      <c r="E48" s="157" t="s">
        <v>62</v>
      </c>
      <c r="F48" s="156" t="s">
        <v>13</v>
      </c>
      <c r="G48" s="163" t="s">
        <v>85</v>
      </c>
      <c r="H48" s="164"/>
      <c r="I48" s="158">
        <v>3</v>
      </c>
      <c r="J48" s="156" t="s">
        <v>13</v>
      </c>
      <c r="K48" s="158">
        <v>0</v>
      </c>
      <c r="L48" s="159"/>
      <c r="M48" s="160"/>
      <c r="N48" s="133"/>
    </row>
    <row r="49" spans="2:13" ht="15.75">
      <c r="B49" s="165">
        <v>43</v>
      </c>
      <c r="C49" s="169" t="s">
        <v>127</v>
      </c>
      <c r="D49" s="156" t="s">
        <v>101</v>
      </c>
      <c r="E49" s="157" t="s">
        <v>63</v>
      </c>
      <c r="F49" s="156" t="s">
        <v>13</v>
      </c>
      <c r="G49" s="163" t="s">
        <v>71</v>
      </c>
      <c r="H49" s="164"/>
      <c r="I49" s="158">
        <v>2</v>
      </c>
      <c r="J49" s="156" t="s">
        <v>13</v>
      </c>
      <c r="K49" s="158">
        <v>0</v>
      </c>
      <c r="L49" s="159"/>
      <c r="M49" s="160"/>
    </row>
    <row r="50" spans="2:13" ht="15.75">
      <c r="B50" s="165">
        <v>44</v>
      </c>
      <c r="C50" s="169" t="s">
        <v>128</v>
      </c>
      <c r="D50" s="156" t="s">
        <v>101</v>
      </c>
      <c r="E50" s="157" t="s">
        <v>86</v>
      </c>
      <c r="F50" s="156" t="s">
        <v>13</v>
      </c>
      <c r="G50" s="163" t="s">
        <v>78</v>
      </c>
      <c r="H50" s="164"/>
      <c r="I50" s="158">
        <v>1</v>
      </c>
      <c r="J50" s="156" t="s">
        <v>13</v>
      </c>
      <c r="K50" s="158">
        <v>1</v>
      </c>
      <c r="L50" s="159"/>
      <c r="M50" s="160"/>
    </row>
    <row r="51" spans="2:13" ht="15.75">
      <c r="B51" s="165">
        <v>45</v>
      </c>
      <c r="C51" s="169" t="s">
        <v>129</v>
      </c>
      <c r="D51" s="156" t="s">
        <v>104</v>
      </c>
      <c r="E51" s="157" t="s">
        <v>65</v>
      </c>
      <c r="F51" s="156" t="s">
        <v>13</v>
      </c>
      <c r="G51" s="163" t="s">
        <v>80</v>
      </c>
      <c r="H51" s="164"/>
      <c r="I51" s="158">
        <v>2</v>
      </c>
      <c r="J51" s="156" t="s">
        <v>13</v>
      </c>
      <c r="K51" s="158">
        <v>0</v>
      </c>
      <c r="L51" s="159"/>
      <c r="M51" s="160"/>
    </row>
    <row r="52" spans="2:13" ht="15.75">
      <c r="B52" s="165">
        <v>46</v>
      </c>
      <c r="C52" s="169" t="s">
        <v>130</v>
      </c>
      <c r="D52" s="156" t="s">
        <v>104</v>
      </c>
      <c r="E52" s="157" t="s">
        <v>88</v>
      </c>
      <c r="F52" s="156" t="s">
        <v>13</v>
      </c>
      <c r="G52" s="163" t="s">
        <v>73</v>
      </c>
      <c r="H52" s="164"/>
      <c r="I52" s="158">
        <v>0</v>
      </c>
      <c r="J52" s="156" t="s">
        <v>13</v>
      </c>
      <c r="K52" s="158">
        <v>2</v>
      </c>
      <c r="L52" s="159"/>
      <c r="M52" s="160"/>
    </row>
    <row r="53" spans="2:13" ht="15.75">
      <c r="B53" s="165">
        <v>47</v>
      </c>
      <c r="C53" s="169" t="s">
        <v>131</v>
      </c>
      <c r="D53" s="156" t="s">
        <v>107</v>
      </c>
      <c r="E53" s="157" t="s">
        <v>64</v>
      </c>
      <c r="F53" s="156" t="s">
        <v>13</v>
      </c>
      <c r="G53" s="163" t="s">
        <v>79</v>
      </c>
      <c r="H53" s="164"/>
      <c r="I53" s="158">
        <v>2</v>
      </c>
      <c r="J53" s="156" t="s">
        <v>13</v>
      </c>
      <c r="K53" s="158">
        <v>0</v>
      </c>
      <c r="L53" s="159"/>
      <c r="M53" s="160"/>
    </row>
    <row r="54" spans="2:13" ht="15.75">
      <c r="B54" s="165">
        <v>48</v>
      </c>
      <c r="C54" s="169" t="s">
        <v>132</v>
      </c>
      <c r="D54" s="156" t="s">
        <v>107</v>
      </c>
      <c r="E54" s="157" t="s">
        <v>72</v>
      </c>
      <c r="F54" s="156" t="s">
        <v>13</v>
      </c>
      <c r="G54" s="163" t="s">
        <v>87</v>
      </c>
      <c r="H54" s="164"/>
      <c r="I54" s="158">
        <v>2</v>
      </c>
      <c r="J54" s="156" t="s">
        <v>13</v>
      </c>
      <c r="K54" s="158">
        <v>0</v>
      </c>
      <c r="L54" s="159"/>
      <c r="M54" s="160"/>
    </row>
    <row r="55" spans="2:13" ht="15.75">
      <c r="B55" s="165">
        <v>49</v>
      </c>
      <c r="C55" s="169" t="s">
        <v>133</v>
      </c>
      <c r="D55" s="156" t="s">
        <v>45</v>
      </c>
      <c r="E55" s="157" t="s">
        <v>34</v>
      </c>
      <c r="F55" s="156" t="s">
        <v>13</v>
      </c>
      <c r="G55" s="163" t="s">
        <v>26</v>
      </c>
      <c r="H55" s="164"/>
      <c r="I55" s="158">
        <v>0</v>
      </c>
      <c r="J55" s="156" t="s">
        <v>13</v>
      </c>
      <c r="K55" s="158">
        <v>2</v>
      </c>
      <c r="L55" s="159"/>
      <c r="M55" s="160"/>
    </row>
    <row r="56" spans="2:13" ht="15.75">
      <c r="B56" s="165">
        <v>50</v>
      </c>
      <c r="C56" s="169" t="s">
        <v>133</v>
      </c>
      <c r="D56" s="156" t="s">
        <v>45</v>
      </c>
      <c r="E56" s="157" t="s">
        <v>41</v>
      </c>
      <c r="F56" s="156" t="s">
        <v>13</v>
      </c>
      <c r="G56" s="163" t="s">
        <v>46</v>
      </c>
      <c r="H56" s="164"/>
      <c r="I56" s="158">
        <v>2</v>
      </c>
      <c r="J56" s="156" t="s">
        <v>13</v>
      </c>
      <c r="K56" s="158">
        <v>0</v>
      </c>
      <c r="L56" s="159"/>
      <c r="M56" s="160"/>
    </row>
    <row r="57" spans="2:13" ht="15.75">
      <c r="B57" s="165">
        <v>51</v>
      </c>
      <c r="C57" s="169" t="s">
        <v>134</v>
      </c>
      <c r="D57" s="156" t="s">
        <v>31</v>
      </c>
      <c r="E57" s="157" t="s">
        <v>25</v>
      </c>
      <c r="F57" s="156" t="s">
        <v>13</v>
      </c>
      <c r="G57" s="163" t="s">
        <v>32</v>
      </c>
      <c r="H57" s="164"/>
      <c r="I57" s="158">
        <v>1</v>
      </c>
      <c r="J57" s="156" t="s">
        <v>13</v>
      </c>
      <c r="K57" s="158">
        <v>1</v>
      </c>
      <c r="L57" s="159"/>
      <c r="M57" s="160"/>
    </row>
    <row r="58" spans="2:13" ht="15.75">
      <c r="B58" s="165">
        <v>52</v>
      </c>
      <c r="C58" s="169" t="s">
        <v>134</v>
      </c>
      <c r="D58" s="156" t="s">
        <v>31</v>
      </c>
      <c r="E58" s="157" t="s">
        <v>33</v>
      </c>
      <c r="F58" s="156" t="s">
        <v>13</v>
      </c>
      <c r="G58" s="163" t="s">
        <v>47</v>
      </c>
      <c r="H58" s="164"/>
      <c r="I58" s="158">
        <v>2</v>
      </c>
      <c r="J58" s="156" t="s">
        <v>13</v>
      </c>
      <c r="K58" s="158">
        <v>1</v>
      </c>
      <c r="L58" s="159"/>
      <c r="M58" s="160"/>
    </row>
    <row r="59" spans="2:13" ht="15.75">
      <c r="B59" s="165">
        <v>53</v>
      </c>
      <c r="C59" s="169" t="s">
        <v>135</v>
      </c>
      <c r="D59" s="156" t="s">
        <v>11</v>
      </c>
      <c r="E59" s="157" t="s">
        <v>24</v>
      </c>
      <c r="F59" s="156" t="s">
        <v>13</v>
      </c>
      <c r="G59" s="163" t="s">
        <v>12</v>
      </c>
      <c r="H59" s="164"/>
      <c r="I59" s="158">
        <v>1</v>
      </c>
      <c r="J59" s="156" t="s">
        <v>13</v>
      </c>
      <c r="K59" s="158">
        <v>2</v>
      </c>
      <c r="L59" s="159"/>
      <c r="M59" s="160"/>
    </row>
    <row r="60" spans="2:13" ht="15.75">
      <c r="B60" s="165">
        <v>54</v>
      </c>
      <c r="C60" s="169" t="s">
        <v>135</v>
      </c>
      <c r="D60" s="156" t="s">
        <v>11</v>
      </c>
      <c r="E60" s="157" t="s">
        <v>14</v>
      </c>
      <c r="F60" s="156" t="s">
        <v>13</v>
      </c>
      <c r="G60" s="163" t="s">
        <v>23</v>
      </c>
      <c r="H60" s="164"/>
      <c r="I60" s="158">
        <v>0</v>
      </c>
      <c r="J60" s="156" t="s">
        <v>13</v>
      </c>
      <c r="K60" s="158">
        <v>2</v>
      </c>
      <c r="L60" s="159"/>
      <c r="M60" s="160"/>
    </row>
    <row r="61" spans="2:13" ht="15.75">
      <c r="B61" s="165">
        <v>55</v>
      </c>
      <c r="C61" s="169" t="s">
        <v>136</v>
      </c>
      <c r="D61" s="156" t="s">
        <v>67</v>
      </c>
      <c r="E61" s="157" t="s">
        <v>49</v>
      </c>
      <c r="F61" s="156" t="s">
        <v>13</v>
      </c>
      <c r="G61" s="163" t="s">
        <v>42</v>
      </c>
      <c r="H61" s="164"/>
      <c r="I61" s="158">
        <v>0</v>
      </c>
      <c r="J61" s="156" t="s">
        <v>13</v>
      </c>
      <c r="K61" s="158">
        <v>1</v>
      </c>
      <c r="L61" s="159"/>
      <c r="M61" s="160"/>
    </row>
    <row r="62" spans="2:13" ht="15.75">
      <c r="B62" s="165">
        <v>56</v>
      </c>
      <c r="C62" s="169" t="s">
        <v>136</v>
      </c>
      <c r="D62" s="156" t="s">
        <v>67</v>
      </c>
      <c r="E62" s="157" t="s">
        <v>36</v>
      </c>
      <c r="F62" s="156" t="s">
        <v>13</v>
      </c>
      <c r="G62" s="163" t="s">
        <v>28</v>
      </c>
      <c r="H62" s="164"/>
      <c r="I62" s="158">
        <v>1</v>
      </c>
      <c r="J62" s="156" t="s">
        <v>13</v>
      </c>
      <c r="K62" s="158">
        <v>2</v>
      </c>
      <c r="L62" s="159"/>
      <c r="M62" s="160"/>
    </row>
    <row r="63" spans="2:13" ht="15.75">
      <c r="B63" s="165">
        <v>57</v>
      </c>
      <c r="C63" s="169" t="s">
        <v>137</v>
      </c>
      <c r="D63" s="156" t="s">
        <v>82</v>
      </c>
      <c r="E63" s="157" t="s">
        <v>43</v>
      </c>
      <c r="F63" s="156" t="s">
        <v>13</v>
      </c>
      <c r="G63" s="163" t="s">
        <v>37</v>
      </c>
      <c r="H63" s="164"/>
      <c r="I63" s="158">
        <v>1</v>
      </c>
      <c r="J63" s="156" t="s">
        <v>13</v>
      </c>
      <c r="K63" s="158">
        <v>1</v>
      </c>
      <c r="L63" s="159"/>
      <c r="M63" s="160"/>
    </row>
    <row r="64" spans="2:13" ht="15.75">
      <c r="B64" s="165">
        <v>58</v>
      </c>
      <c r="C64" s="169" t="s">
        <v>137</v>
      </c>
      <c r="D64" s="156" t="s">
        <v>82</v>
      </c>
      <c r="E64" s="157" t="s">
        <v>50</v>
      </c>
      <c r="F64" s="156" t="s">
        <v>13</v>
      </c>
      <c r="G64" s="163" t="s">
        <v>29</v>
      </c>
      <c r="H64" s="164"/>
      <c r="I64" s="158">
        <v>0</v>
      </c>
      <c r="J64" s="156" t="s">
        <v>13</v>
      </c>
      <c r="K64" s="158">
        <v>3</v>
      </c>
      <c r="L64" s="159"/>
      <c r="M64" s="160"/>
    </row>
    <row r="65" spans="2:14" ht="15.75">
      <c r="B65" s="165">
        <v>59</v>
      </c>
      <c r="C65" s="169" t="s">
        <v>138</v>
      </c>
      <c r="D65" s="156" t="s">
        <v>39</v>
      </c>
      <c r="E65" s="157" t="s">
        <v>27</v>
      </c>
      <c r="F65" s="156" t="s">
        <v>13</v>
      </c>
      <c r="G65" s="163" t="s">
        <v>35</v>
      </c>
      <c r="H65" s="164"/>
      <c r="I65" s="158">
        <v>1</v>
      </c>
      <c r="J65" s="156" t="s">
        <v>13</v>
      </c>
      <c r="K65" s="158">
        <v>1</v>
      </c>
      <c r="L65" s="159"/>
      <c r="M65" s="160"/>
      <c r="N65" s="133"/>
    </row>
    <row r="66" spans="2:14" ht="15.75">
      <c r="B66" s="165">
        <v>60</v>
      </c>
      <c r="C66" s="169" t="s">
        <v>138</v>
      </c>
      <c r="D66" s="156" t="s">
        <v>39</v>
      </c>
      <c r="E66" s="157" t="s">
        <v>40</v>
      </c>
      <c r="F66" s="156" t="s">
        <v>13</v>
      </c>
      <c r="G66" s="163" t="s">
        <v>48</v>
      </c>
      <c r="H66" s="164"/>
      <c r="I66" s="158">
        <v>1</v>
      </c>
      <c r="J66" s="156" t="s">
        <v>13</v>
      </c>
      <c r="K66" s="158">
        <v>1</v>
      </c>
      <c r="L66" s="159"/>
      <c r="M66" s="160"/>
      <c r="N66" s="133"/>
    </row>
    <row r="67" spans="2:14" ht="15.75">
      <c r="B67" s="165">
        <v>61</v>
      </c>
      <c r="C67" s="169" t="s">
        <v>139</v>
      </c>
      <c r="D67" s="156" t="s">
        <v>98</v>
      </c>
      <c r="E67" s="157" t="s">
        <v>70</v>
      </c>
      <c r="F67" s="156" t="s">
        <v>13</v>
      </c>
      <c r="G67" s="163" t="s">
        <v>62</v>
      </c>
      <c r="H67" s="164"/>
      <c r="I67" s="158">
        <v>1</v>
      </c>
      <c r="J67" s="156" t="s">
        <v>13</v>
      </c>
      <c r="K67" s="158">
        <v>2</v>
      </c>
      <c r="L67" s="159"/>
      <c r="M67" s="160"/>
      <c r="N67" s="133"/>
    </row>
    <row r="68" spans="2:14" ht="15.75">
      <c r="B68" s="165">
        <v>62</v>
      </c>
      <c r="C68" s="169" t="s">
        <v>139</v>
      </c>
      <c r="D68" s="156" t="s">
        <v>98</v>
      </c>
      <c r="E68" s="157" t="s">
        <v>77</v>
      </c>
      <c r="F68" s="156" t="s">
        <v>13</v>
      </c>
      <c r="G68" s="163" t="s">
        <v>85</v>
      </c>
      <c r="H68" s="164"/>
      <c r="I68" s="158">
        <v>2</v>
      </c>
      <c r="J68" s="156" t="s">
        <v>13</v>
      </c>
      <c r="K68" s="158">
        <v>0</v>
      </c>
      <c r="L68" s="159"/>
      <c r="M68" s="160"/>
      <c r="N68" s="133"/>
    </row>
    <row r="69" spans="2:14" ht="15.75">
      <c r="B69" s="165">
        <v>63</v>
      </c>
      <c r="C69" s="169" t="s">
        <v>140</v>
      </c>
      <c r="D69" s="156" t="s">
        <v>95</v>
      </c>
      <c r="E69" s="157" t="s">
        <v>68</v>
      </c>
      <c r="F69" s="156" t="s">
        <v>13</v>
      </c>
      <c r="G69" s="163" t="s">
        <v>83</v>
      </c>
      <c r="H69" s="164"/>
      <c r="I69" s="158">
        <v>1</v>
      </c>
      <c r="J69" s="156" t="s">
        <v>13</v>
      </c>
      <c r="K69" s="158">
        <v>1</v>
      </c>
      <c r="L69" s="159"/>
      <c r="M69" s="160"/>
      <c r="N69" s="133"/>
    </row>
    <row r="70" spans="2:14" ht="15.75">
      <c r="B70" s="165">
        <v>64</v>
      </c>
      <c r="C70" s="169" t="s">
        <v>140</v>
      </c>
      <c r="D70" s="156" t="s">
        <v>95</v>
      </c>
      <c r="E70" s="157" t="s">
        <v>75</v>
      </c>
      <c r="F70" s="156" t="s">
        <v>13</v>
      </c>
      <c r="G70" s="163" t="s">
        <v>60</v>
      </c>
      <c r="H70" s="164"/>
      <c r="I70" s="158">
        <v>0</v>
      </c>
      <c r="J70" s="156" t="s">
        <v>13</v>
      </c>
      <c r="K70" s="158">
        <v>2</v>
      </c>
      <c r="L70" s="159"/>
      <c r="M70" s="160"/>
      <c r="N70" s="133"/>
    </row>
    <row r="71" spans="2:14" ht="15.75">
      <c r="B71" s="165">
        <v>65</v>
      </c>
      <c r="C71" s="169" t="s">
        <v>141</v>
      </c>
      <c r="D71" s="156" t="s">
        <v>91</v>
      </c>
      <c r="E71" s="157" t="s">
        <v>76</v>
      </c>
      <c r="F71" s="156" t="s">
        <v>13</v>
      </c>
      <c r="G71" s="163" t="s">
        <v>84</v>
      </c>
      <c r="H71" s="164"/>
      <c r="I71" s="158">
        <v>1</v>
      </c>
      <c r="J71" s="156" t="s">
        <v>13</v>
      </c>
      <c r="K71" s="158">
        <v>1</v>
      </c>
      <c r="L71" s="159"/>
      <c r="M71" s="160"/>
      <c r="N71" s="133"/>
    </row>
    <row r="72" spans="2:14" ht="15.75">
      <c r="B72" s="165">
        <v>66</v>
      </c>
      <c r="C72" s="169" t="s">
        <v>141</v>
      </c>
      <c r="D72" s="156" t="s">
        <v>91</v>
      </c>
      <c r="E72" s="157" t="s">
        <v>69</v>
      </c>
      <c r="F72" s="156" t="s">
        <v>13</v>
      </c>
      <c r="G72" s="163" t="s">
        <v>61</v>
      </c>
      <c r="H72" s="164"/>
      <c r="I72" s="158">
        <v>2</v>
      </c>
      <c r="J72" s="156" t="s">
        <v>13</v>
      </c>
      <c r="K72" s="158">
        <v>0</v>
      </c>
      <c r="L72" s="159"/>
      <c r="M72" s="160"/>
      <c r="N72" s="133"/>
    </row>
    <row r="73" spans="2:14" ht="15.75">
      <c r="B73" s="165">
        <v>67</v>
      </c>
      <c r="C73" s="169" t="s">
        <v>142</v>
      </c>
      <c r="D73" s="156" t="s">
        <v>104</v>
      </c>
      <c r="E73" s="157" t="s">
        <v>88</v>
      </c>
      <c r="F73" s="156" t="s">
        <v>13</v>
      </c>
      <c r="G73" s="163" t="s">
        <v>65</v>
      </c>
      <c r="H73" s="164"/>
      <c r="I73" s="158">
        <v>0</v>
      </c>
      <c r="J73" s="156" t="s">
        <v>13</v>
      </c>
      <c r="K73" s="158">
        <v>3</v>
      </c>
      <c r="L73" s="159"/>
      <c r="M73" s="160"/>
      <c r="N73" s="133"/>
    </row>
    <row r="74" spans="2:14" ht="15.75">
      <c r="B74" s="165">
        <v>68</v>
      </c>
      <c r="C74" s="169" t="s">
        <v>142</v>
      </c>
      <c r="D74" s="156" t="s">
        <v>104</v>
      </c>
      <c r="E74" s="157" t="s">
        <v>73</v>
      </c>
      <c r="F74" s="156" t="s">
        <v>13</v>
      </c>
      <c r="G74" s="163" t="s">
        <v>80</v>
      </c>
      <c r="H74" s="164"/>
      <c r="I74" s="158">
        <v>2</v>
      </c>
      <c r="J74" s="156" t="s">
        <v>13</v>
      </c>
      <c r="K74" s="158">
        <v>0</v>
      </c>
      <c r="L74" s="159"/>
      <c r="M74" s="160"/>
      <c r="N74" s="133"/>
    </row>
    <row r="75" spans="2:14" ht="15.75">
      <c r="B75" s="165">
        <v>69</v>
      </c>
      <c r="C75" s="169" t="s">
        <v>143</v>
      </c>
      <c r="D75" s="156" t="s">
        <v>101</v>
      </c>
      <c r="E75" s="157" t="s">
        <v>78</v>
      </c>
      <c r="F75" s="156" t="s">
        <v>13</v>
      </c>
      <c r="G75" s="163" t="s">
        <v>71</v>
      </c>
      <c r="H75" s="164"/>
      <c r="I75" s="158">
        <v>1</v>
      </c>
      <c r="J75" s="156" t="s">
        <v>13</v>
      </c>
      <c r="K75" s="158">
        <v>1</v>
      </c>
      <c r="L75" s="159"/>
      <c r="M75" s="160"/>
      <c r="N75" s="133"/>
    </row>
    <row r="76" spans="2:14" ht="15.75">
      <c r="B76" s="165">
        <v>70</v>
      </c>
      <c r="C76" s="169" t="s">
        <v>143</v>
      </c>
      <c r="D76" s="156" t="s">
        <v>101</v>
      </c>
      <c r="E76" s="157" t="s">
        <v>86</v>
      </c>
      <c r="F76" s="156" t="s">
        <v>13</v>
      </c>
      <c r="G76" s="163" t="s">
        <v>63</v>
      </c>
      <c r="H76" s="164"/>
      <c r="I76" s="158">
        <v>0</v>
      </c>
      <c r="J76" s="156" t="s">
        <v>13</v>
      </c>
      <c r="K76" s="158">
        <v>3</v>
      </c>
      <c r="L76" s="159"/>
      <c r="M76" s="160"/>
      <c r="N76" s="133"/>
    </row>
    <row r="77" spans="2:14" ht="15.75">
      <c r="B77" s="165">
        <v>71</v>
      </c>
      <c r="C77" s="169" t="s">
        <v>144</v>
      </c>
      <c r="D77" s="156" t="s">
        <v>107</v>
      </c>
      <c r="E77" s="157" t="s">
        <v>72</v>
      </c>
      <c r="F77" s="156" t="s">
        <v>13</v>
      </c>
      <c r="G77" s="163" t="s">
        <v>64</v>
      </c>
      <c r="H77" s="164"/>
      <c r="I77" s="158">
        <v>1</v>
      </c>
      <c r="J77" s="156" t="s">
        <v>13</v>
      </c>
      <c r="K77" s="158">
        <v>1</v>
      </c>
      <c r="L77" s="159"/>
      <c r="M77" s="160"/>
      <c r="N77" s="133"/>
    </row>
    <row r="78" spans="2:14" ht="15.75">
      <c r="B78" s="165">
        <v>72</v>
      </c>
      <c r="C78" s="169" t="s">
        <v>144</v>
      </c>
      <c r="D78" s="156" t="s">
        <v>107</v>
      </c>
      <c r="E78" s="157" t="s">
        <v>87</v>
      </c>
      <c r="F78" s="156" t="s">
        <v>13</v>
      </c>
      <c r="G78" s="163" t="s">
        <v>79</v>
      </c>
      <c r="H78" s="164"/>
      <c r="I78" s="158">
        <v>1</v>
      </c>
      <c r="J78" s="156" t="s">
        <v>13</v>
      </c>
      <c r="K78" s="158">
        <v>1</v>
      </c>
      <c r="L78" s="159"/>
      <c r="M78" s="160"/>
      <c r="N78" s="133"/>
    </row>
    <row r="79" spans="2:14" ht="15.75">
      <c r="B79" s="133"/>
      <c r="C79" s="133"/>
      <c r="D79" s="134" t="s">
        <v>145</v>
      </c>
      <c r="E79" s="142" t="s">
        <v>26</v>
      </c>
      <c r="F79" s="155" t="s">
        <v>13</v>
      </c>
      <c r="G79" s="142" t="s">
        <v>62</v>
      </c>
      <c r="H79" s="133"/>
      <c r="I79" s="133"/>
      <c r="J79" s="133"/>
      <c r="K79" s="133"/>
      <c r="L79" s="146"/>
      <c r="M79" s="146"/>
      <c r="N79" s="147"/>
    </row>
    <row r="80" spans="2:14" ht="15.75">
      <c r="B80" s="133"/>
      <c r="C80" s="170"/>
      <c r="D80" s="134" t="s">
        <v>146</v>
      </c>
      <c r="E80" s="143" t="s">
        <v>63</v>
      </c>
      <c r="F80" s="155" t="s">
        <v>13</v>
      </c>
      <c r="G80" s="143" t="s">
        <v>28</v>
      </c>
      <c r="H80" s="133"/>
      <c r="I80" s="133"/>
      <c r="J80" s="133"/>
      <c r="K80" s="133"/>
      <c r="L80" s="141"/>
      <c r="M80" s="141"/>
      <c r="N80" s="147"/>
    </row>
    <row r="81" spans="1:14" ht="15.75">
      <c r="A81" s="133"/>
      <c r="B81" s="133"/>
      <c r="C81" s="170"/>
      <c r="D81" s="133"/>
      <c r="E81" s="133"/>
      <c r="F81" s="136"/>
      <c r="G81" s="133"/>
      <c r="H81" s="133"/>
      <c r="I81" s="133"/>
      <c r="J81" s="133"/>
      <c r="K81" s="136"/>
      <c r="L81" s="136"/>
      <c r="M81" s="136"/>
      <c r="N81" s="147"/>
    </row>
    <row r="82" spans="1:14" ht="15.75">
      <c r="A82" s="133"/>
      <c r="B82" s="133"/>
      <c r="C82" s="170"/>
      <c r="D82" s="133"/>
      <c r="E82" s="133"/>
      <c r="F82" s="136"/>
      <c r="G82" s="133"/>
      <c r="H82" s="133"/>
      <c r="I82" s="133"/>
      <c r="J82" s="133"/>
      <c r="K82" s="136"/>
      <c r="L82" s="144" t="s">
        <v>147</v>
      </c>
      <c r="M82" s="140"/>
      <c r="N82" s="147"/>
    </row>
    <row r="83" spans="1:14" ht="15.75">
      <c r="A83" s="133"/>
      <c r="B83" s="133"/>
      <c r="C83" s="170"/>
      <c r="D83" s="133"/>
      <c r="E83" s="133"/>
      <c r="F83" s="136"/>
      <c r="G83" s="133"/>
      <c r="H83" s="133"/>
      <c r="I83" s="133"/>
      <c r="J83" s="133"/>
      <c r="K83" s="136"/>
      <c r="L83" s="136"/>
      <c r="M83" s="136"/>
      <c r="N83" s="147"/>
    </row>
    <row r="84" spans="1:14" ht="15.75">
      <c r="A84" s="134"/>
      <c r="B84" s="133"/>
      <c r="C84" s="170"/>
      <c r="D84" s="133"/>
      <c r="E84" s="133"/>
      <c r="F84" s="136"/>
      <c r="G84" s="137"/>
      <c r="H84" s="133"/>
      <c r="I84" s="133"/>
      <c r="J84" s="133"/>
      <c r="K84" s="136"/>
      <c r="L84" s="133"/>
      <c r="M84" s="133"/>
      <c r="N84" s="133"/>
    </row>
    <row r="85" spans="1:14" ht="15.75">
      <c r="A85" s="134"/>
      <c r="B85" s="133"/>
      <c r="C85" s="170"/>
      <c r="D85" s="133"/>
      <c r="E85" s="133"/>
      <c r="F85" s="136"/>
      <c r="G85" s="137"/>
      <c r="H85" s="133"/>
      <c r="I85" s="133"/>
      <c r="J85" s="133"/>
      <c r="K85" s="136"/>
      <c r="L85" s="133"/>
      <c r="M85" s="133"/>
      <c r="N85" s="133"/>
    </row>
    <row r="86" spans="1:14" ht="15.75">
      <c r="A86" s="134"/>
      <c r="B86" s="135"/>
      <c r="C86" s="171"/>
      <c r="D86" s="133"/>
      <c r="E86" s="133"/>
      <c r="F86" s="136"/>
      <c r="G86" s="137"/>
      <c r="H86" s="133"/>
      <c r="I86" s="133"/>
      <c r="J86" s="133"/>
      <c r="K86" s="136"/>
      <c r="L86" s="133"/>
      <c r="M86" s="133"/>
      <c r="N86" s="133"/>
    </row>
    <row r="87" spans="1:14" ht="15.75">
      <c r="A87" s="134"/>
      <c r="B87" s="135"/>
      <c r="C87" s="171"/>
      <c r="D87" s="133"/>
      <c r="E87" s="133"/>
      <c r="F87" s="136"/>
      <c r="G87" s="137"/>
      <c r="H87" s="133"/>
      <c r="I87" s="133"/>
      <c r="J87" s="133"/>
      <c r="K87" s="136"/>
      <c r="L87" s="133"/>
      <c r="M87" s="133"/>
      <c r="N87" s="133"/>
    </row>
  </sheetData>
  <mergeCells count="1">
    <mergeCell ref="H2:M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87"/>
  <sheetViews>
    <sheetView workbookViewId="0">
      <selection activeCell="H3" sqref="H3"/>
    </sheetView>
  </sheetViews>
  <sheetFormatPr defaultRowHeight="15"/>
  <sheetData>
    <row r="2" spans="2:21" ht="15.75">
      <c r="B2" s="133"/>
      <c r="C2" s="133"/>
      <c r="D2" s="133"/>
      <c r="E2" s="133"/>
      <c r="F2" s="133"/>
      <c r="G2" s="134" t="s">
        <v>0</v>
      </c>
      <c r="H2" s="300" t="s">
        <v>417</v>
      </c>
      <c r="I2" s="299"/>
      <c r="J2" s="299"/>
      <c r="K2" s="299"/>
      <c r="L2" s="299"/>
      <c r="M2" s="299"/>
      <c r="N2" s="136"/>
      <c r="O2" s="133"/>
      <c r="P2" s="133"/>
      <c r="Q2" s="133"/>
      <c r="R2" s="133"/>
      <c r="S2" s="133"/>
      <c r="T2" s="133"/>
      <c r="U2" s="133"/>
    </row>
    <row r="4" spans="2:21" ht="18">
      <c r="B4" s="166" t="s">
        <v>2</v>
      </c>
      <c r="C4" s="133"/>
      <c r="D4" s="133"/>
      <c r="E4" s="133"/>
      <c r="F4" s="133"/>
      <c r="G4" s="134"/>
      <c r="H4" s="134"/>
      <c r="I4" s="134"/>
      <c r="J4" s="13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</row>
    <row r="5" spans="2:21" ht="15.75">
      <c r="B5" s="133"/>
      <c r="C5" s="167"/>
      <c r="D5" s="133"/>
      <c r="E5" s="133"/>
      <c r="F5" s="133"/>
      <c r="G5" s="134"/>
      <c r="H5" s="134"/>
      <c r="I5" s="134"/>
      <c r="J5" s="134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</row>
    <row r="6" spans="2:21" ht="18.75" thickBot="1">
      <c r="B6" s="133"/>
      <c r="C6" s="168" t="s">
        <v>3</v>
      </c>
      <c r="D6" s="138" t="s">
        <v>4</v>
      </c>
      <c r="E6" s="139"/>
      <c r="F6" s="138" t="s">
        <v>5</v>
      </c>
      <c r="G6" s="139"/>
      <c r="H6" s="139"/>
      <c r="I6" s="139"/>
      <c r="J6" s="138" t="s">
        <v>6</v>
      </c>
      <c r="K6" s="138"/>
      <c r="L6" s="138" t="s">
        <v>7</v>
      </c>
      <c r="M6" s="138" t="s">
        <v>8</v>
      </c>
      <c r="N6" s="138"/>
      <c r="O6" s="152" t="s">
        <v>9</v>
      </c>
      <c r="P6" s="133"/>
      <c r="Q6" s="133"/>
      <c r="R6" s="133"/>
      <c r="S6" s="133"/>
      <c r="T6" s="133"/>
      <c r="U6" s="133"/>
    </row>
    <row r="7" spans="2:21" ht="16.5" thickBot="1">
      <c r="B7" s="165">
        <v>1</v>
      </c>
      <c r="C7" s="169" t="s">
        <v>10</v>
      </c>
      <c r="D7" s="156" t="s">
        <v>11</v>
      </c>
      <c r="E7" s="157" t="s">
        <v>12</v>
      </c>
      <c r="F7" s="156" t="s">
        <v>13</v>
      </c>
      <c r="G7" s="163" t="s">
        <v>14</v>
      </c>
      <c r="H7" s="164"/>
      <c r="I7" s="158">
        <v>2</v>
      </c>
      <c r="J7" s="156" t="s">
        <v>13</v>
      </c>
      <c r="K7" s="158">
        <v>0</v>
      </c>
      <c r="L7" s="159"/>
      <c r="M7" s="160"/>
      <c r="N7" s="147"/>
      <c r="O7" s="161" t="s">
        <v>15</v>
      </c>
      <c r="P7" s="162" t="s">
        <v>16</v>
      </c>
      <c r="Q7" s="162" t="s">
        <v>17</v>
      </c>
      <c r="R7" s="162" t="s">
        <v>18</v>
      </c>
      <c r="S7" s="162" t="s">
        <v>19</v>
      </c>
      <c r="T7" s="162" t="s">
        <v>20</v>
      </c>
      <c r="U7" s="162" t="s">
        <v>21</v>
      </c>
    </row>
    <row r="8" spans="2:21" ht="15.75">
      <c r="B8" s="165">
        <v>2</v>
      </c>
      <c r="C8" s="169" t="s">
        <v>22</v>
      </c>
      <c r="D8" s="156" t="s">
        <v>11</v>
      </c>
      <c r="E8" s="157" t="s">
        <v>23</v>
      </c>
      <c r="F8" s="156" t="s">
        <v>13</v>
      </c>
      <c r="G8" s="163" t="s">
        <v>24</v>
      </c>
      <c r="H8" s="164"/>
      <c r="I8" s="158">
        <v>1</v>
      </c>
      <c r="J8" s="156" t="s">
        <v>13</v>
      </c>
      <c r="K8" s="158">
        <v>1</v>
      </c>
      <c r="L8" s="159"/>
      <c r="M8" s="160"/>
      <c r="N8" s="147"/>
      <c r="O8" s="148">
        <v>1</v>
      </c>
      <c r="P8" s="150" t="s">
        <v>12</v>
      </c>
      <c r="Q8" s="150" t="s">
        <v>33</v>
      </c>
      <c r="R8" s="150" t="s">
        <v>26</v>
      </c>
      <c r="S8" s="150" t="s">
        <v>35</v>
      </c>
      <c r="T8" s="150" t="s">
        <v>28</v>
      </c>
      <c r="U8" s="150" t="s">
        <v>29</v>
      </c>
    </row>
    <row r="9" spans="2:21" ht="15.75">
      <c r="B9" s="165">
        <v>3</v>
      </c>
      <c r="C9" s="169" t="s">
        <v>30</v>
      </c>
      <c r="D9" s="156" t="s">
        <v>31</v>
      </c>
      <c r="E9" s="157" t="s">
        <v>32</v>
      </c>
      <c r="F9" s="156" t="s">
        <v>13</v>
      </c>
      <c r="G9" s="163" t="s">
        <v>33</v>
      </c>
      <c r="H9" s="164"/>
      <c r="I9" s="158">
        <v>1</v>
      </c>
      <c r="J9" s="156" t="s">
        <v>13</v>
      </c>
      <c r="K9" s="158">
        <v>0</v>
      </c>
      <c r="L9" s="159"/>
      <c r="M9" s="160"/>
      <c r="N9" s="147"/>
      <c r="O9" s="149">
        <v>2</v>
      </c>
      <c r="P9" s="151" t="s">
        <v>378</v>
      </c>
      <c r="Q9" s="151" t="s">
        <v>32</v>
      </c>
      <c r="R9" s="151" t="s">
        <v>41</v>
      </c>
      <c r="S9" s="151" t="s">
        <v>27</v>
      </c>
      <c r="T9" s="151" t="s">
        <v>42</v>
      </c>
      <c r="U9" s="151" t="s">
        <v>43</v>
      </c>
    </row>
    <row r="10" spans="2:21" ht="15.75">
      <c r="B10" s="165">
        <v>4</v>
      </c>
      <c r="C10" s="169" t="s">
        <v>38</v>
      </c>
      <c r="D10" s="156" t="s">
        <v>39</v>
      </c>
      <c r="E10" s="157" t="s">
        <v>35</v>
      </c>
      <c r="F10" s="156" t="s">
        <v>13</v>
      </c>
      <c r="G10" s="163" t="s">
        <v>40</v>
      </c>
      <c r="H10" s="164"/>
      <c r="I10" s="158">
        <v>2</v>
      </c>
      <c r="J10" s="156" t="s">
        <v>13</v>
      </c>
      <c r="K10" s="158">
        <v>1</v>
      </c>
      <c r="L10" s="159"/>
      <c r="M10" s="160"/>
      <c r="N10" s="147"/>
      <c r="O10" s="149">
        <v>3</v>
      </c>
      <c r="P10" s="151" t="s">
        <v>14</v>
      </c>
      <c r="Q10" s="151" t="s">
        <v>25</v>
      </c>
      <c r="R10" s="151" t="s">
        <v>34</v>
      </c>
      <c r="S10" s="151" t="s">
        <v>40</v>
      </c>
      <c r="T10" s="151" t="s">
        <v>36</v>
      </c>
      <c r="U10" s="151" t="s">
        <v>37</v>
      </c>
    </row>
    <row r="11" spans="2:21" ht="15.75">
      <c r="B11" s="165">
        <v>5</v>
      </c>
      <c r="C11" s="169" t="s">
        <v>44</v>
      </c>
      <c r="D11" s="156" t="s">
        <v>45</v>
      </c>
      <c r="E11" s="157" t="s">
        <v>46</v>
      </c>
      <c r="F11" s="156" t="s">
        <v>13</v>
      </c>
      <c r="G11" s="163" t="s">
        <v>34</v>
      </c>
      <c r="H11" s="164"/>
      <c r="I11" s="158">
        <v>0</v>
      </c>
      <c r="J11" s="156" t="s">
        <v>13</v>
      </c>
      <c r="K11" s="158">
        <v>2</v>
      </c>
      <c r="L11" s="159"/>
      <c r="M11" s="160"/>
      <c r="N11" s="147"/>
      <c r="O11" s="149">
        <v>4</v>
      </c>
      <c r="P11" s="151" t="s">
        <v>24</v>
      </c>
      <c r="Q11" s="151" t="s">
        <v>47</v>
      </c>
      <c r="R11" s="151" t="s">
        <v>46</v>
      </c>
      <c r="S11" s="151" t="s">
        <v>48</v>
      </c>
      <c r="T11" s="151" t="s">
        <v>49</v>
      </c>
      <c r="U11" s="151" t="s">
        <v>50</v>
      </c>
    </row>
    <row r="12" spans="2:21" ht="16.5" thickBot="1">
      <c r="B12" s="165">
        <v>6</v>
      </c>
      <c r="C12" s="169" t="s">
        <v>51</v>
      </c>
      <c r="D12" s="156" t="s">
        <v>39</v>
      </c>
      <c r="E12" s="157" t="s">
        <v>48</v>
      </c>
      <c r="F12" s="156" t="s">
        <v>13</v>
      </c>
      <c r="G12" s="163" t="s">
        <v>27</v>
      </c>
      <c r="H12" s="164"/>
      <c r="I12" s="158">
        <v>1</v>
      </c>
      <c r="J12" s="156" t="s">
        <v>13</v>
      </c>
      <c r="K12" s="158">
        <v>3</v>
      </c>
      <c r="L12" s="159"/>
      <c r="M12" s="160"/>
      <c r="N12" s="147"/>
      <c r="O12" s="133"/>
      <c r="P12" s="133"/>
      <c r="Q12" s="133"/>
      <c r="R12" s="133"/>
      <c r="S12" s="133"/>
      <c r="T12" s="133"/>
      <c r="U12" s="133"/>
    </row>
    <row r="13" spans="2:21" ht="16.5" thickBot="1">
      <c r="B13" s="165">
        <v>7</v>
      </c>
      <c r="C13" s="169" t="s">
        <v>52</v>
      </c>
      <c r="D13" s="156" t="s">
        <v>45</v>
      </c>
      <c r="E13" s="157" t="s">
        <v>26</v>
      </c>
      <c r="F13" s="156" t="s">
        <v>13</v>
      </c>
      <c r="G13" s="163" t="s">
        <v>41</v>
      </c>
      <c r="H13" s="164"/>
      <c r="I13" s="158">
        <v>4</v>
      </c>
      <c r="J13" s="156" t="s">
        <v>13</v>
      </c>
      <c r="K13" s="158">
        <v>0</v>
      </c>
      <c r="L13" s="159"/>
      <c r="M13" s="160"/>
      <c r="N13" s="147"/>
      <c r="O13" s="161" t="s">
        <v>15</v>
      </c>
      <c r="P13" s="162" t="s">
        <v>53</v>
      </c>
      <c r="Q13" s="162" t="s">
        <v>54</v>
      </c>
      <c r="R13" s="162" t="s">
        <v>55</v>
      </c>
      <c r="S13" s="162" t="s">
        <v>56</v>
      </c>
      <c r="T13" s="162" t="s">
        <v>57</v>
      </c>
      <c r="U13" s="162" t="s">
        <v>58</v>
      </c>
    </row>
    <row r="14" spans="2:21" ht="15.75">
      <c r="B14" s="165">
        <v>8</v>
      </c>
      <c r="C14" s="169" t="s">
        <v>59</v>
      </c>
      <c r="D14" s="156" t="s">
        <v>31</v>
      </c>
      <c r="E14" s="157" t="s">
        <v>47</v>
      </c>
      <c r="F14" s="156" t="s">
        <v>13</v>
      </c>
      <c r="G14" s="163" t="s">
        <v>25</v>
      </c>
      <c r="H14" s="164"/>
      <c r="I14" s="158">
        <v>0</v>
      </c>
      <c r="J14" s="156" t="s">
        <v>13</v>
      </c>
      <c r="K14" s="158">
        <v>1</v>
      </c>
      <c r="L14" s="159"/>
      <c r="M14" s="160"/>
      <c r="N14" s="147"/>
      <c r="O14" s="148">
        <v>1</v>
      </c>
      <c r="P14" s="150" t="s">
        <v>60</v>
      </c>
      <c r="Q14" s="150" t="s">
        <v>61</v>
      </c>
      <c r="R14" s="150" t="s">
        <v>62</v>
      </c>
      <c r="S14" s="150" t="s">
        <v>63</v>
      </c>
      <c r="T14" s="150" t="s">
        <v>72</v>
      </c>
      <c r="U14" s="150" t="s">
        <v>73</v>
      </c>
    </row>
    <row r="15" spans="2:21" ht="15.75">
      <c r="B15" s="165">
        <v>9</v>
      </c>
      <c r="C15" s="169" t="s">
        <v>66</v>
      </c>
      <c r="D15" s="156" t="s">
        <v>67</v>
      </c>
      <c r="E15" s="157" t="s">
        <v>42</v>
      </c>
      <c r="F15" s="156" t="s">
        <v>13</v>
      </c>
      <c r="G15" s="163" t="s">
        <v>36</v>
      </c>
      <c r="H15" s="164"/>
      <c r="I15" s="158">
        <v>3</v>
      </c>
      <c r="J15" s="156" t="s">
        <v>13</v>
      </c>
      <c r="K15" s="158">
        <v>0</v>
      </c>
      <c r="L15" s="159"/>
      <c r="M15" s="160"/>
      <c r="N15" s="147"/>
      <c r="O15" s="149">
        <v>2</v>
      </c>
      <c r="P15" s="151" t="s">
        <v>68</v>
      </c>
      <c r="Q15" s="151" t="s">
        <v>69</v>
      </c>
      <c r="R15" s="151" t="s">
        <v>77</v>
      </c>
      <c r="S15" s="151" t="s">
        <v>78</v>
      </c>
      <c r="T15" s="151" t="s">
        <v>64</v>
      </c>
      <c r="U15" s="151" t="s">
        <v>65</v>
      </c>
    </row>
    <row r="16" spans="2:21" ht="15.75">
      <c r="B16" s="165">
        <v>10</v>
      </c>
      <c r="C16" s="169" t="s">
        <v>74</v>
      </c>
      <c r="D16" s="156" t="s">
        <v>67</v>
      </c>
      <c r="E16" s="157" t="s">
        <v>28</v>
      </c>
      <c r="F16" s="156" t="s">
        <v>13</v>
      </c>
      <c r="G16" s="163" t="s">
        <v>49</v>
      </c>
      <c r="H16" s="164"/>
      <c r="I16" s="158">
        <v>5</v>
      </c>
      <c r="J16" s="156" t="s">
        <v>13</v>
      </c>
      <c r="K16" s="158">
        <v>0</v>
      </c>
      <c r="L16" s="159"/>
      <c r="M16" s="160"/>
      <c r="N16" s="147"/>
      <c r="O16" s="149">
        <v>3</v>
      </c>
      <c r="P16" s="151" t="s">
        <v>83</v>
      </c>
      <c r="Q16" s="151" t="s">
        <v>84</v>
      </c>
      <c r="R16" s="151" t="s">
        <v>70</v>
      </c>
      <c r="S16" s="151" t="s">
        <v>71</v>
      </c>
      <c r="T16" s="151" t="s">
        <v>87</v>
      </c>
      <c r="U16" s="151" t="s">
        <v>80</v>
      </c>
    </row>
    <row r="17" spans="2:21" ht="15.75">
      <c r="B17" s="165">
        <v>11</v>
      </c>
      <c r="C17" s="169" t="s">
        <v>81</v>
      </c>
      <c r="D17" s="156" t="s">
        <v>82</v>
      </c>
      <c r="E17" s="157" t="s">
        <v>29</v>
      </c>
      <c r="F17" s="156" t="s">
        <v>13</v>
      </c>
      <c r="G17" s="163" t="s">
        <v>43</v>
      </c>
      <c r="H17" s="164"/>
      <c r="I17" s="158">
        <v>3</v>
      </c>
      <c r="J17" s="156" t="s">
        <v>13</v>
      </c>
      <c r="K17" s="158">
        <v>1</v>
      </c>
      <c r="L17" s="159"/>
      <c r="M17" s="160"/>
      <c r="N17" s="147"/>
      <c r="O17" s="149">
        <v>4</v>
      </c>
      <c r="P17" s="151" t="s">
        <v>75</v>
      </c>
      <c r="Q17" s="151" t="s">
        <v>76</v>
      </c>
      <c r="R17" s="151" t="s">
        <v>85</v>
      </c>
      <c r="S17" s="151" t="s">
        <v>86</v>
      </c>
      <c r="T17" s="151" t="s">
        <v>79</v>
      </c>
      <c r="U17" s="151" t="s">
        <v>88</v>
      </c>
    </row>
    <row r="18" spans="2:21" ht="15.75">
      <c r="B18" s="165">
        <v>12</v>
      </c>
      <c r="C18" s="169" t="s">
        <v>89</v>
      </c>
      <c r="D18" s="156" t="s">
        <v>82</v>
      </c>
      <c r="E18" s="157" t="s">
        <v>37</v>
      </c>
      <c r="F18" s="156" t="s">
        <v>13</v>
      </c>
      <c r="G18" s="163" t="s">
        <v>50</v>
      </c>
      <c r="H18" s="164"/>
      <c r="I18" s="158">
        <v>1</v>
      </c>
      <c r="J18" s="156" t="s">
        <v>13</v>
      </c>
      <c r="K18" s="158">
        <v>1</v>
      </c>
      <c r="L18" s="159"/>
      <c r="M18" s="160"/>
      <c r="N18" s="147"/>
      <c r="O18" s="133"/>
      <c r="P18" s="153"/>
      <c r="Q18" s="153"/>
      <c r="R18" s="153"/>
      <c r="S18" s="153"/>
      <c r="T18" s="153"/>
      <c r="U18" s="153"/>
    </row>
    <row r="19" spans="2:21" ht="15.75">
      <c r="B19" s="165">
        <v>13</v>
      </c>
      <c r="C19" s="169" t="s">
        <v>90</v>
      </c>
      <c r="D19" s="156" t="s">
        <v>91</v>
      </c>
      <c r="E19" s="157" t="s">
        <v>84</v>
      </c>
      <c r="F19" s="156" t="s">
        <v>13</v>
      </c>
      <c r="G19" s="163" t="s">
        <v>69</v>
      </c>
      <c r="H19" s="164"/>
      <c r="I19" s="158">
        <v>0</v>
      </c>
      <c r="J19" s="156" t="s">
        <v>13</v>
      </c>
      <c r="K19" s="158">
        <v>4</v>
      </c>
      <c r="L19" s="159"/>
      <c r="M19" s="160"/>
      <c r="N19" s="147"/>
      <c r="O19" s="133"/>
      <c r="P19" s="133"/>
      <c r="Q19" s="133"/>
      <c r="R19" s="133"/>
      <c r="S19" s="133"/>
      <c r="T19" s="133"/>
      <c r="U19" s="133"/>
    </row>
    <row r="20" spans="2:21" ht="16.5" thickBot="1">
      <c r="B20" s="165">
        <v>14</v>
      </c>
      <c r="C20" s="169" t="s">
        <v>92</v>
      </c>
      <c r="D20" s="156" t="s">
        <v>91</v>
      </c>
      <c r="E20" s="157" t="s">
        <v>61</v>
      </c>
      <c r="F20" s="156" t="s">
        <v>13</v>
      </c>
      <c r="G20" s="163" t="s">
        <v>76</v>
      </c>
      <c r="H20" s="164"/>
      <c r="I20" s="158">
        <v>6</v>
      </c>
      <c r="J20" s="156" t="s">
        <v>13</v>
      </c>
      <c r="K20" s="158">
        <v>0</v>
      </c>
      <c r="L20" s="159"/>
      <c r="M20" s="160"/>
      <c r="N20" s="147"/>
      <c r="O20" s="145" t="s">
        <v>93</v>
      </c>
      <c r="P20" s="133"/>
      <c r="Q20" s="133"/>
      <c r="R20" s="133"/>
      <c r="S20" s="133"/>
      <c r="T20" s="133"/>
      <c r="U20" s="133"/>
    </row>
    <row r="21" spans="2:21" ht="16.5" thickBot="1">
      <c r="B21" s="165">
        <v>15</v>
      </c>
      <c r="C21" s="169" t="s">
        <v>94</v>
      </c>
      <c r="D21" s="156" t="s">
        <v>95</v>
      </c>
      <c r="E21" s="157" t="s">
        <v>83</v>
      </c>
      <c r="F21" s="156" t="s">
        <v>13</v>
      </c>
      <c r="G21" s="163" t="s">
        <v>75</v>
      </c>
      <c r="H21" s="164"/>
      <c r="I21" s="158">
        <v>2</v>
      </c>
      <c r="J21" s="156" t="s">
        <v>13</v>
      </c>
      <c r="K21" s="158">
        <v>1</v>
      </c>
      <c r="L21" s="159"/>
      <c r="M21" s="160"/>
      <c r="N21" s="147"/>
      <c r="O21" s="133"/>
      <c r="P21" s="161" t="s">
        <v>16</v>
      </c>
      <c r="Q21" s="162" t="s">
        <v>17</v>
      </c>
      <c r="R21" s="162" t="s">
        <v>18</v>
      </c>
      <c r="S21" s="162" t="s">
        <v>19</v>
      </c>
      <c r="T21" s="162" t="s">
        <v>20</v>
      </c>
      <c r="U21" s="162" t="s">
        <v>21</v>
      </c>
    </row>
    <row r="22" spans="2:21" ht="15.75">
      <c r="B22" s="165">
        <v>16</v>
      </c>
      <c r="C22" s="169" t="s">
        <v>96</v>
      </c>
      <c r="D22" s="156" t="s">
        <v>95</v>
      </c>
      <c r="E22" s="157" t="s">
        <v>60</v>
      </c>
      <c r="F22" s="156" t="s">
        <v>13</v>
      </c>
      <c r="G22" s="163" t="s">
        <v>68</v>
      </c>
      <c r="H22" s="164"/>
      <c r="I22" s="158">
        <v>2</v>
      </c>
      <c r="J22" s="156" t="s">
        <v>13</v>
      </c>
      <c r="K22" s="158">
        <v>1</v>
      </c>
      <c r="L22" s="159"/>
      <c r="M22" s="160"/>
      <c r="N22" s="147"/>
      <c r="O22" s="133"/>
      <c r="P22" s="154" t="s">
        <v>12</v>
      </c>
      <c r="Q22" s="154" t="s">
        <v>32</v>
      </c>
      <c r="R22" s="154" t="s">
        <v>46</v>
      </c>
      <c r="S22" s="154" t="s">
        <v>35</v>
      </c>
      <c r="T22" s="154" t="s">
        <v>42</v>
      </c>
      <c r="U22" s="154" t="s">
        <v>29</v>
      </c>
    </row>
    <row r="23" spans="2:21" ht="15.75">
      <c r="B23" s="165">
        <v>17</v>
      </c>
      <c r="C23" s="169" t="s">
        <v>97</v>
      </c>
      <c r="D23" s="156" t="s">
        <v>98</v>
      </c>
      <c r="E23" s="157" t="s">
        <v>62</v>
      </c>
      <c r="F23" s="156" t="s">
        <v>13</v>
      </c>
      <c r="G23" s="163" t="s">
        <v>77</v>
      </c>
      <c r="H23" s="164"/>
      <c r="I23" s="158">
        <v>3</v>
      </c>
      <c r="J23" s="156" t="s">
        <v>13</v>
      </c>
      <c r="K23" s="158">
        <v>1</v>
      </c>
      <c r="L23" s="159"/>
      <c r="M23" s="160"/>
      <c r="N23" s="147"/>
      <c r="O23" s="133"/>
      <c r="P23" s="153" t="s">
        <v>14</v>
      </c>
      <c r="Q23" s="153" t="s">
        <v>33</v>
      </c>
      <c r="R23" s="153" t="s">
        <v>34</v>
      </c>
      <c r="S23" s="153" t="s">
        <v>40</v>
      </c>
      <c r="T23" s="153" t="s">
        <v>36</v>
      </c>
      <c r="U23" s="153" t="s">
        <v>43</v>
      </c>
    </row>
    <row r="24" spans="2:21" ht="15.75">
      <c r="B24" s="165">
        <v>18</v>
      </c>
      <c r="C24" s="169" t="s">
        <v>99</v>
      </c>
      <c r="D24" s="156" t="s">
        <v>98</v>
      </c>
      <c r="E24" s="157" t="s">
        <v>85</v>
      </c>
      <c r="F24" s="156" t="s">
        <v>13</v>
      </c>
      <c r="G24" s="163" t="s">
        <v>70</v>
      </c>
      <c r="H24" s="164"/>
      <c r="I24" s="158">
        <v>0</v>
      </c>
      <c r="J24" s="156" t="s">
        <v>13</v>
      </c>
      <c r="K24" s="158">
        <v>2</v>
      </c>
      <c r="L24" s="159"/>
      <c r="M24" s="160"/>
      <c r="N24" s="147"/>
      <c r="O24" s="133"/>
      <c r="P24" s="153" t="s">
        <v>23</v>
      </c>
      <c r="Q24" s="153" t="s">
        <v>47</v>
      </c>
      <c r="R24" s="153" t="s">
        <v>26</v>
      </c>
      <c r="S24" s="153" t="s">
        <v>48</v>
      </c>
      <c r="T24" s="153" t="s">
        <v>28</v>
      </c>
      <c r="U24" s="153" t="s">
        <v>37</v>
      </c>
    </row>
    <row r="25" spans="2:21" ht="15.75">
      <c r="B25" s="165">
        <v>19</v>
      </c>
      <c r="C25" s="169" t="s">
        <v>100</v>
      </c>
      <c r="D25" s="156" t="s">
        <v>101</v>
      </c>
      <c r="E25" s="157" t="s">
        <v>63</v>
      </c>
      <c r="F25" s="156" t="s">
        <v>13</v>
      </c>
      <c r="G25" s="163" t="s">
        <v>78</v>
      </c>
      <c r="H25" s="164"/>
      <c r="I25" s="158">
        <v>3</v>
      </c>
      <c r="J25" s="156" t="s">
        <v>13</v>
      </c>
      <c r="K25" s="158">
        <v>0</v>
      </c>
      <c r="L25" s="159"/>
      <c r="M25" s="160"/>
      <c r="N25" s="147"/>
      <c r="O25" s="133"/>
      <c r="P25" s="153" t="s">
        <v>24</v>
      </c>
      <c r="Q25" s="153" t="s">
        <v>25</v>
      </c>
      <c r="R25" s="153" t="s">
        <v>41</v>
      </c>
      <c r="S25" s="153" t="s">
        <v>27</v>
      </c>
      <c r="T25" s="153" t="s">
        <v>49</v>
      </c>
      <c r="U25" s="153" t="s">
        <v>50</v>
      </c>
    </row>
    <row r="26" spans="2:21" ht="16.5" thickBot="1">
      <c r="B26" s="165">
        <v>20</v>
      </c>
      <c r="C26" s="169" t="s">
        <v>102</v>
      </c>
      <c r="D26" s="156" t="s">
        <v>101</v>
      </c>
      <c r="E26" s="157" t="s">
        <v>71</v>
      </c>
      <c r="F26" s="156" t="s">
        <v>13</v>
      </c>
      <c r="G26" s="163" t="s">
        <v>86</v>
      </c>
      <c r="H26" s="164"/>
      <c r="I26" s="158">
        <v>2</v>
      </c>
      <c r="J26" s="156" t="s">
        <v>13</v>
      </c>
      <c r="K26" s="158">
        <v>0</v>
      </c>
      <c r="L26" s="159"/>
      <c r="M26" s="160"/>
      <c r="N26" s="147"/>
      <c r="O26" s="133"/>
      <c r="P26" s="133"/>
      <c r="Q26" s="133"/>
      <c r="R26" s="133"/>
      <c r="S26" s="133"/>
      <c r="T26" s="133"/>
      <c r="U26" s="133"/>
    </row>
    <row r="27" spans="2:21" ht="16.5" thickBot="1">
      <c r="B27" s="165">
        <v>21</v>
      </c>
      <c r="C27" s="169" t="s">
        <v>103</v>
      </c>
      <c r="D27" s="156" t="s">
        <v>104</v>
      </c>
      <c r="E27" s="157" t="s">
        <v>80</v>
      </c>
      <c r="F27" s="156" t="s">
        <v>13</v>
      </c>
      <c r="G27" s="163" t="s">
        <v>88</v>
      </c>
      <c r="H27" s="164"/>
      <c r="I27" s="158">
        <v>3</v>
      </c>
      <c r="J27" s="156" t="s">
        <v>13</v>
      </c>
      <c r="K27" s="158">
        <v>0</v>
      </c>
      <c r="L27" s="159"/>
      <c r="M27" s="160"/>
      <c r="N27" s="147"/>
      <c r="O27" s="133"/>
      <c r="P27" s="161" t="s">
        <v>53</v>
      </c>
      <c r="Q27" s="162" t="s">
        <v>54</v>
      </c>
      <c r="R27" s="162" t="s">
        <v>55</v>
      </c>
      <c r="S27" s="162" t="s">
        <v>56</v>
      </c>
      <c r="T27" s="162" t="s">
        <v>57</v>
      </c>
      <c r="U27" s="162" t="s">
        <v>58</v>
      </c>
    </row>
    <row r="28" spans="2:21" ht="15.75">
      <c r="B28" s="165">
        <v>22</v>
      </c>
      <c r="C28" s="169" t="s">
        <v>105</v>
      </c>
      <c r="D28" s="156" t="s">
        <v>104</v>
      </c>
      <c r="E28" s="157" t="s">
        <v>65</v>
      </c>
      <c r="F28" s="156" t="s">
        <v>13</v>
      </c>
      <c r="G28" s="163" t="s">
        <v>73</v>
      </c>
      <c r="H28" s="164"/>
      <c r="I28" s="158">
        <v>1</v>
      </c>
      <c r="J28" s="156" t="s">
        <v>13</v>
      </c>
      <c r="K28" s="158">
        <v>2</v>
      </c>
      <c r="L28" s="159"/>
      <c r="M28" s="160"/>
      <c r="N28" s="147"/>
      <c r="O28" s="133"/>
      <c r="P28" s="154" t="s">
        <v>83</v>
      </c>
      <c r="Q28" s="154" t="s">
        <v>84</v>
      </c>
      <c r="R28" s="154" t="s">
        <v>62</v>
      </c>
      <c r="S28" s="154" t="s">
        <v>63</v>
      </c>
      <c r="T28" s="154" t="s">
        <v>64</v>
      </c>
      <c r="U28" s="154" t="s">
        <v>80</v>
      </c>
    </row>
    <row r="29" spans="2:21" ht="15.75">
      <c r="B29" s="165">
        <v>23</v>
      </c>
      <c r="C29" s="169" t="s">
        <v>106</v>
      </c>
      <c r="D29" s="156" t="s">
        <v>107</v>
      </c>
      <c r="E29" s="157" t="s">
        <v>64</v>
      </c>
      <c r="F29" s="156" t="s">
        <v>13</v>
      </c>
      <c r="G29" s="163" t="s">
        <v>87</v>
      </c>
      <c r="H29" s="164"/>
      <c r="I29" s="158">
        <v>3</v>
      </c>
      <c r="J29" s="156" t="s">
        <v>13</v>
      </c>
      <c r="K29" s="158">
        <v>1</v>
      </c>
      <c r="L29" s="159"/>
      <c r="M29" s="160"/>
      <c r="N29" s="147"/>
      <c r="O29" s="133"/>
      <c r="P29" s="153" t="s">
        <v>75</v>
      </c>
      <c r="Q29" s="153" t="s">
        <v>69</v>
      </c>
      <c r="R29" s="153" t="s">
        <v>77</v>
      </c>
      <c r="S29" s="153" t="s">
        <v>78</v>
      </c>
      <c r="T29" s="153" t="s">
        <v>87</v>
      </c>
      <c r="U29" s="153" t="s">
        <v>88</v>
      </c>
    </row>
    <row r="30" spans="2:21" ht="15.75">
      <c r="B30" s="165">
        <v>24</v>
      </c>
      <c r="C30" s="169" t="s">
        <v>108</v>
      </c>
      <c r="D30" s="156" t="s">
        <v>107</v>
      </c>
      <c r="E30" s="157" t="s">
        <v>79</v>
      </c>
      <c r="F30" s="156" t="s">
        <v>13</v>
      </c>
      <c r="G30" s="163" t="s">
        <v>72</v>
      </c>
      <c r="H30" s="164"/>
      <c r="I30" s="158">
        <v>0</v>
      </c>
      <c r="J30" s="156" t="s">
        <v>13</v>
      </c>
      <c r="K30" s="158">
        <v>4</v>
      </c>
      <c r="L30" s="159"/>
      <c r="M30" s="160"/>
      <c r="N30" s="147"/>
      <c r="O30" s="133"/>
      <c r="P30" s="153" t="s">
        <v>60</v>
      </c>
      <c r="Q30" s="153" t="s">
        <v>61</v>
      </c>
      <c r="R30" s="153" t="s">
        <v>85</v>
      </c>
      <c r="S30" s="153" t="s">
        <v>71</v>
      </c>
      <c r="T30" s="153" t="s">
        <v>79</v>
      </c>
      <c r="U30" s="153" t="s">
        <v>65</v>
      </c>
    </row>
    <row r="31" spans="2:21" ht="15.75">
      <c r="B31" s="165">
        <v>25</v>
      </c>
      <c r="C31" s="169" t="s">
        <v>109</v>
      </c>
      <c r="D31" s="156" t="s">
        <v>11</v>
      </c>
      <c r="E31" s="157" t="s">
        <v>24</v>
      </c>
      <c r="F31" s="156" t="s">
        <v>13</v>
      </c>
      <c r="G31" s="163" t="s">
        <v>14</v>
      </c>
      <c r="H31" s="164"/>
      <c r="I31" s="158">
        <v>2</v>
      </c>
      <c r="J31" s="156" t="s">
        <v>13</v>
      </c>
      <c r="K31" s="158">
        <v>1</v>
      </c>
      <c r="L31" s="159"/>
      <c r="M31" s="160"/>
      <c r="N31" s="147"/>
      <c r="O31" s="133"/>
      <c r="P31" s="153" t="s">
        <v>68</v>
      </c>
      <c r="Q31" s="153" t="s">
        <v>76</v>
      </c>
      <c r="R31" s="153" t="s">
        <v>70</v>
      </c>
      <c r="S31" s="153" t="s">
        <v>86</v>
      </c>
      <c r="T31" s="153" t="s">
        <v>72</v>
      </c>
      <c r="U31" s="153" t="s">
        <v>73</v>
      </c>
    </row>
    <row r="32" spans="2:21" ht="15.75">
      <c r="B32" s="165">
        <v>26</v>
      </c>
      <c r="C32" s="169" t="s">
        <v>110</v>
      </c>
      <c r="D32" s="156" t="s">
        <v>31</v>
      </c>
      <c r="E32" s="157" t="s">
        <v>25</v>
      </c>
      <c r="F32" s="156" t="s">
        <v>13</v>
      </c>
      <c r="G32" s="163" t="s">
        <v>33</v>
      </c>
      <c r="H32" s="164"/>
      <c r="I32" s="158">
        <v>1</v>
      </c>
      <c r="J32" s="156" t="s">
        <v>13</v>
      </c>
      <c r="K32" s="158">
        <v>2</v>
      </c>
      <c r="L32" s="159"/>
      <c r="M32" s="160"/>
      <c r="N32" s="147"/>
      <c r="O32" s="133"/>
      <c r="P32" s="133"/>
      <c r="Q32" s="133"/>
      <c r="R32" s="133"/>
      <c r="S32" s="133"/>
      <c r="T32" s="133"/>
      <c r="U32" s="133"/>
    </row>
    <row r="33" spans="2:14" ht="15.75">
      <c r="B33" s="165">
        <v>27</v>
      </c>
      <c r="C33" s="169" t="s">
        <v>111</v>
      </c>
      <c r="D33" s="156" t="s">
        <v>31</v>
      </c>
      <c r="E33" s="157" t="s">
        <v>32</v>
      </c>
      <c r="F33" s="156" t="s">
        <v>13</v>
      </c>
      <c r="G33" s="163" t="s">
        <v>47</v>
      </c>
      <c r="H33" s="164"/>
      <c r="I33" s="158">
        <v>2</v>
      </c>
      <c r="J33" s="156" t="s">
        <v>13</v>
      </c>
      <c r="K33" s="158">
        <v>0</v>
      </c>
      <c r="L33" s="159"/>
      <c r="M33" s="160"/>
      <c r="N33" s="147"/>
    </row>
    <row r="34" spans="2:14" ht="15.75">
      <c r="B34" s="165">
        <v>28</v>
      </c>
      <c r="C34" s="169" t="s">
        <v>112</v>
      </c>
      <c r="D34" s="156" t="s">
        <v>11</v>
      </c>
      <c r="E34" s="157" t="s">
        <v>12</v>
      </c>
      <c r="F34" s="156" t="s">
        <v>13</v>
      </c>
      <c r="G34" s="163" t="s">
        <v>23</v>
      </c>
      <c r="H34" s="164"/>
      <c r="I34" s="158">
        <v>3</v>
      </c>
      <c r="J34" s="156" t="s">
        <v>13</v>
      </c>
      <c r="K34" s="158">
        <v>1</v>
      </c>
      <c r="L34" s="159"/>
      <c r="M34" s="160"/>
      <c r="N34" s="147"/>
    </row>
    <row r="35" spans="2:14" ht="15.75">
      <c r="B35" s="165">
        <v>29</v>
      </c>
      <c r="C35" s="169" t="s">
        <v>113</v>
      </c>
      <c r="D35" s="156" t="s">
        <v>45</v>
      </c>
      <c r="E35" s="157" t="s">
        <v>26</v>
      </c>
      <c r="F35" s="156" t="s">
        <v>13</v>
      </c>
      <c r="G35" s="163" t="s">
        <v>46</v>
      </c>
      <c r="H35" s="164"/>
      <c r="I35" s="158">
        <v>4</v>
      </c>
      <c r="J35" s="156" t="s">
        <v>13</v>
      </c>
      <c r="K35" s="158">
        <v>0</v>
      </c>
      <c r="L35" s="159"/>
      <c r="M35" s="160"/>
      <c r="N35" s="147"/>
    </row>
    <row r="36" spans="2:14" ht="15.75">
      <c r="B36" s="165">
        <v>30</v>
      </c>
      <c r="C36" s="169" t="s">
        <v>114</v>
      </c>
      <c r="D36" s="156" t="s">
        <v>45</v>
      </c>
      <c r="E36" s="157" t="s">
        <v>34</v>
      </c>
      <c r="F36" s="156" t="s">
        <v>13</v>
      </c>
      <c r="G36" s="163" t="s">
        <v>41</v>
      </c>
      <c r="H36" s="164"/>
      <c r="I36" s="158">
        <v>1</v>
      </c>
      <c r="J36" s="156" t="s">
        <v>13</v>
      </c>
      <c r="K36" s="158">
        <v>2</v>
      </c>
      <c r="L36" s="159"/>
      <c r="M36" s="160"/>
      <c r="N36" s="147"/>
    </row>
    <row r="37" spans="2:14" ht="15.75">
      <c r="B37" s="165">
        <v>31</v>
      </c>
      <c r="C37" s="169" t="s">
        <v>115</v>
      </c>
      <c r="D37" s="156" t="s">
        <v>39</v>
      </c>
      <c r="E37" s="157" t="s">
        <v>27</v>
      </c>
      <c r="F37" s="156" t="s">
        <v>13</v>
      </c>
      <c r="G37" s="163" t="s">
        <v>40</v>
      </c>
      <c r="H37" s="164"/>
      <c r="I37" s="158">
        <v>3</v>
      </c>
      <c r="J37" s="156" t="s">
        <v>13</v>
      </c>
      <c r="K37" s="158">
        <v>1</v>
      </c>
      <c r="L37" s="159"/>
      <c r="M37" s="160"/>
      <c r="N37" s="147"/>
    </row>
    <row r="38" spans="2:14" ht="15.75">
      <c r="B38" s="165">
        <v>32</v>
      </c>
      <c r="C38" s="169" t="s">
        <v>116</v>
      </c>
      <c r="D38" s="156" t="s">
        <v>39</v>
      </c>
      <c r="E38" s="157" t="s">
        <v>35</v>
      </c>
      <c r="F38" s="156" t="s">
        <v>13</v>
      </c>
      <c r="G38" s="163" t="s">
        <v>48</v>
      </c>
      <c r="H38" s="164"/>
      <c r="I38" s="158">
        <v>2</v>
      </c>
      <c r="J38" s="156" t="s">
        <v>13</v>
      </c>
      <c r="K38" s="158">
        <v>0</v>
      </c>
      <c r="L38" s="159"/>
      <c r="M38" s="160"/>
      <c r="N38" s="147"/>
    </row>
    <row r="39" spans="2:14" ht="15.75">
      <c r="B39" s="165">
        <v>33</v>
      </c>
      <c r="C39" s="169" t="s">
        <v>117</v>
      </c>
      <c r="D39" s="156" t="s">
        <v>67</v>
      </c>
      <c r="E39" s="157" t="s">
        <v>28</v>
      </c>
      <c r="F39" s="156" t="s">
        <v>13</v>
      </c>
      <c r="G39" s="163" t="s">
        <v>42</v>
      </c>
      <c r="H39" s="164"/>
      <c r="I39" s="158">
        <v>3</v>
      </c>
      <c r="J39" s="156" t="s">
        <v>13</v>
      </c>
      <c r="K39" s="158">
        <v>1</v>
      </c>
      <c r="L39" s="159"/>
      <c r="M39" s="160"/>
      <c r="N39" s="147"/>
    </row>
    <row r="40" spans="2:14" ht="15.75">
      <c r="B40" s="165">
        <v>34</v>
      </c>
      <c r="C40" s="169" t="s">
        <v>118</v>
      </c>
      <c r="D40" s="156" t="s">
        <v>67</v>
      </c>
      <c r="E40" s="157" t="s">
        <v>36</v>
      </c>
      <c r="F40" s="156" t="s">
        <v>13</v>
      </c>
      <c r="G40" s="163" t="s">
        <v>49</v>
      </c>
      <c r="H40" s="164"/>
      <c r="I40" s="158">
        <v>3</v>
      </c>
      <c r="J40" s="156" t="s">
        <v>13</v>
      </c>
      <c r="K40" s="158">
        <v>0</v>
      </c>
      <c r="L40" s="159"/>
      <c r="M40" s="160"/>
      <c r="N40" s="147"/>
    </row>
    <row r="41" spans="2:14" ht="15.75">
      <c r="B41" s="165">
        <v>35</v>
      </c>
      <c r="C41" s="169" t="s">
        <v>119</v>
      </c>
      <c r="D41" s="156" t="s">
        <v>82</v>
      </c>
      <c r="E41" s="157" t="s">
        <v>29</v>
      </c>
      <c r="F41" s="156" t="s">
        <v>13</v>
      </c>
      <c r="G41" s="163" t="s">
        <v>37</v>
      </c>
      <c r="H41" s="164"/>
      <c r="I41" s="158">
        <v>3</v>
      </c>
      <c r="J41" s="156" t="s">
        <v>13</v>
      </c>
      <c r="K41" s="158">
        <v>1</v>
      </c>
      <c r="L41" s="159"/>
      <c r="M41" s="160"/>
      <c r="N41" s="147"/>
    </row>
    <row r="42" spans="2:14" ht="15.75">
      <c r="B42" s="165">
        <v>36</v>
      </c>
      <c r="C42" s="169" t="s">
        <v>120</v>
      </c>
      <c r="D42" s="156" t="s">
        <v>82</v>
      </c>
      <c r="E42" s="157" t="s">
        <v>50</v>
      </c>
      <c r="F42" s="156" t="s">
        <v>13</v>
      </c>
      <c r="G42" s="163" t="s">
        <v>43</v>
      </c>
      <c r="H42" s="164"/>
      <c r="I42" s="158">
        <v>1</v>
      </c>
      <c r="J42" s="156" t="s">
        <v>13</v>
      </c>
      <c r="K42" s="158">
        <v>3</v>
      </c>
      <c r="L42" s="159"/>
      <c r="M42" s="160"/>
      <c r="N42" s="147"/>
    </row>
    <row r="43" spans="2:14" ht="15.75">
      <c r="B43" s="165">
        <v>37</v>
      </c>
      <c r="C43" s="169" t="s">
        <v>121</v>
      </c>
      <c r="D43" s="156" t="s">
        <v>91</v>
      </c>
      <c r="E43" s="157" t="s">
        <v>69</v>
      </c>
      <c r="F43" s="156" t="s">
        <v>13</v>
      </c>
      <c r="G43" s="163" t="s">
        <v>76</v>
      </c>
      <c r="H43" s="164"/>
      <c r="I43" s="158">
        <v>5</v>
      </c>
      <c r="J43" s="156" t="s">
        <v>13</v>
      </c>
      <c r="K43" s="158">
        <v>0</v>
      </c>
      <c r="L43" s="159"/>
      <c r="M43" s="160"/>
      <c r="N43" s="133"/>
    </row>
    <row r="44" spans="2:14" ht="15.75">
      <c r="B44" s="165">
        <v>38</v>
      </c>
      <c r="C44" s="169" t="s">
        <v>122</v>
      </c>
      <c r="D44" s="156" t="s">
        <v>91</v>
      </c>
      <c r="E44" s="157" t="s">
        <v>61</v>
      </c>
      <c r="F44" s="156" t="s">
        <v>13</v>
      </c>
      <c r="G44" s="163" t="s">
        <v>84</v>
      </c>
      <c r="H44" s="164"/>
      <c r="I44" s="158">
        <v>3</v>
      </c>
      <c r="J44" s="156" t="s">
        <v>13</v>
      </c>
      <c r="K44" s="158">
        <v>0</v>
      </c>
      <c r="L44" s="159"/>
      <c r="M44" s="160"/>
      <c r="N44" s="133"/>
    </row>
    <row r="45" spans="2:14" ht="15.75">
      <c r="B45" s="165">
        <v>39</v>
      </c>
      <c r="C45" s="169" t="s">
        <v>123</v>
      </c>
      <c r="D45" s="156" t="s">
        <v>95</v>
      </c>
      <c r="E45" s="157" t="s">
        <v>60</v>
      </c>
      <c r="F45" s="156" t="s">
        <v>13</v>
      </c>
      <c r="G45" s="163" t="s">
        <v>83</v>
      </c>
      <c r="H45" s="164"/>
      <c r="I45" s="158">
        <v>2</v>
      </c>
      <c r="J45" s="156" t="s">
        <v>13</v>
      </c>
      <c r="K45" s="158">
        <v>0</v>
      </c>
      <c r="L45" s="159"/>
      <c r="M45" s="160"/>
      <c r="N45" s="133"/>
    </row>
    <row r="46" spans="2:14" ht="15.75">
      <c r="B46" s="165">
        <v>40</v>
      </c>
      <c r="C46" s="169" t="s">
        <v>124</v>
      </c>
      <c r="D46" s="156" t="s">
        <v>95</v>
      </c>
      <c r="E46" s="157" t="s">
        <v>75</v>
      </c>
      <c r="F46" s="156" t="s">
        <v>13</v>
      </c>
      <c r="G46" s="163" t="s">
        <v>68</v>
      </c>
      <c r="H46" s="164"/>
      <c r="I46" s="158">
        <v>0</v>
      </c>
      <c r="J46" s="156" t="s">
        <v>13</v>
      </c>
      <c r="K46" s="158">
        <v>2</v>
      </c>
      <c r="L46" s="159"/>
      <c r="M46" s="160"/>
      <c r="N46" s="133"/>
    </row>
    <row r="47" spans="2:14" ht="15.75">
      <c r="B47" s="165">
        <v>41</v>
      </c>
      <c r="C47" s="169" t="s">
        <v>125</v>
      </c>
      <c r="D47" s="156" t="s">
        <v>98</v>
      </c>
      <c r="E47" s="157" t="s">
        <v>70</v>
      </c>
      <c r="F47" s="156" t="s">
        <v>13</v>
      </c>
      <c r="G47" s="163" t="s">
        <v>77</v>
      </c>
      <c r="H47" s="164"/>
      <c r="I47" s="158">
        <v>1</v>
      </c>
      <c r="J47" s="156" t="s">
        <v>13</v>
      </c>
      <c r="K47" s="158">
        <v>3</v>
      </c>
      <c r="L47" s="159"/>
      <c r="M47" s="160"/>
      <c r="N47" s="133"/>
    </row>
    <row r="48" spans="2:14" ht="15.75">
      <c r="B48" s="165">
        <v>42</v>
      </c>
      <c r="C48" s="169" t="s">
        <v>126</v>
      </c>
      <c r="D48" s="156" t="s">
        <v>98</v>
      </c>
      <c r="E48" s="157" t="s">
        <v>62</v>
      </c>
      <c r="F48" s="156" t="s">
        <v>13</v>
      </c>
      <c r="G48" s="163" t="s">
        <v>85</v>
      </c>
      <c r="H48" s="164"/>
      <c r="I48" s="158">
        <v>4</v>
      </c>
      <c r="J48" s="156" t="s">
        <v>13</v>
      </c>
      <c r="K48" s="158">
        <v>0</v>
      </c>
      <c r="L48" s="159"/>
      <c r="M48" s="160"/>
      <c r="N48" s="133"/>
    </row>
    <row r="49" spans="2:13" ht="15.75">
      <c r="B49" s="165">
        <v>43</v>
      </c>
      <c r="C49" s="169" t="s">
        <v>127</v>
      </c>
      <c r="D49" s="156" t="s">
        <v>101</v>
      </c>
      <c r="E49" s="157" t="s">
        <v>63</v>
      </c>
      <c r="F49" s="156" t="s">
        <v>13</v>
      </c>
      <c r="G49" s="163" t="s">
        <v>71</v>
      </c>
      <c r="H49" s="164"/>
      <c r="I49" s="158">
        <v>3</v>
      </c>
      <c r="J49" s="156" t="s">
        <v>13</v>
      </c>
      <c r="K49" s="158">
        <v>1</v>
      </c>
      <c r="L49" s="159"/>
      <c r="M49" s="160"/>
    </row>
    <row r="50" spans="2:13" ht="15.75">
      <c r="B50" s="165">
        <v>44</v>
      </c>
      <c r="C50" s="169" t="s">
        <v>128</v>
      </c>
      <c r="D50" s="156" t="s">
        <v>101</v>
      </c>
      <c r="E50" s="157" t="s">
        <v>86</v>
      </c>
      <c r="F50" s="156" t="s">
        <v>13</v>
      </c>
      <c r="G50" s="163" t="s">
        <v>78</v>
      </c>
      <c r="H50" s="164"/>
      <c r="I50" s="158">
        <v>0</v>
      </c>
      <c r="J50" s="156" t="s">
        <v>13</v>
      </c>
      <c r="K50" s="158">
        <v>3</v>
      </c>
      <c r="L50" s="159"/>
      <c r="M50" s="160"/>
    </row>
    <row r="51" spans="2:13" ht="15.75">
      <c r="B51" s="165">
        <v>45</v>
      </c>
      <c r="C51" s="169" t="s">
        <v>129</v>
      </c>
      <c r="D51" s="156" t="s">
        <v>104</v>
      </c>
      <c r="E51" s="157" t="s">
        <v>65</v>
      </c>
      <c r="F51" s="156" t="s">
        <v>13</v>
      </c>
      <c r="G51" s="163" t="s">
        <v>80</v>
      </c>
      <c r="H51" s="164"/>
      <c r="I51" s="158">
        <v>1</v>
      </c>
      <c r="J51" s="156" t="s">
        <v>13</v>
      </c>
      <c r="K51" s="158">
        <v>2</v>
      </c>
      <c r="L51" s="159"/>
      <c r="M51" s="160"/>
    </row>
    <row r="52" spans="2:13" ht="15.75">
      <c r="B52" s="165">
        <v>46</v>
      </c>
      <c r="C52" s="169" t="s">
        <v>130</v>
      </c>
      <c r="D52" s="156" t="s">
        <v>104</v>
      </c>
      <c r="E52" s="157" t="s">
        <v>88</v>
      </c>
      <c r="F52" s="156" t="s">
        <v>13</v>
      </c>
      <c r="G52" s="163" t="s">
        <v>73</v>
      </c>
      <c r="H52" s="164"/>
      <c r="I52" s="158">
        <v>0</v>
      </c>
      <c r="J52" s="156" t="s">
        <v>13</v>
      </c>
      <c r="K52" s="158">
        <v>3</v>
      </c>
      <c r="L52" s="159"/>
      <c r="M52" s="160"/>
    </row>
    <row r="53" spans="2:13" ht="15.75">
      <c r="B53" s="165">
        <v>47</v>
      </c>
      <c r="C53" s="169" t="s">
        <v>131</v>
      </c>
      <c r="D53" s="156" t="s">
        <v>107</v>
      </c>
      <c r="E53" s="157" t="s">
        <v>64</v>
      </c>
      <c r="F53" s="156" t="s">
        <v>13</v>
      </c>
      <c r="G53" s="163" t="s">
        <v>79</v>
      </c>
      <c r="H53" s="164"/>
      <c r="I53" s="158">
        <v>3</v>
      </c>
      <c r="J53" s="156" t="s">
        <v>13</v>
      </c>
      <c r="K53" s="158">
        <v>0</v>
      </c>
      <c r="L53" s="159"/>
      <c r="M53" s="160"/>
    </row>
    <row r="54" spans="2:13" ht="15.75">
      <c r="B54" s="165">
        <v>48</v>
      </c>
      <c r="C54" s="169" t="s">
        <v>132</v>
      </c>
      <c r="D54" s="156" t="s">
        <v>107</v>
      </c>
      <c r="E54" s="157" t="s">
        <v>72</v>
      </c>
      <c r="F54" s="156" t="s">
        <v>13</v>
      </c>
      <c r="G54" s="163" t="s">
        <v>87</v>
      </c>
      <c r="H54" s="164"/>
      <c r="I54" s="158">
        <v>3</v>
      </c>
      <c r="J54" s="156" t="s">
        <v>13</v>
      </c>
      <c r="K54" s="158">
        <v>0</v>
      </c>
      <c r="L54" s="159"/>
      <c r="M54" s="160"/>
    </row>
    <row r="55" spans="2:13" ht="15.75">
      <c r="B55" s="165">
        <v>49</v>
      </c>
      <c r="C55" s="169" t="s">
        <v>133</v>
      </c>
      <c r="D55" s="156" t="s">
        <v>45</v>
      </c>
      <c r="E55" s="157" t="s">
        <v>34</v>
      </c>
      <c r="F55" s="156" t="s">
        <v>13</v>
      </c>
      <c r="G55" s="163" t="s">
        <v>26</v>
      </c>
      <c r="H55" s="164"/>
      <c r="I55" s="158">
        <v>0</v>
      </c>
      <c r="J55" s="156" t="s">
        <v>13</v>
      </c>
      <c r="K55" s="158">
        <v>4</v>
      </c>
      <c r="L55" s="159"/>
      <c r="M55" s="160"/>
    </row>
    <row r="56" spans="2:13" ht="15.75">
      <c r="B56" s="165">
        <v>50</v>
      </c>
      <c r="C56" s="169" t="s">
        <v>133</v>
      </c>
      <c r="D56" s="156" t="s">
        <v>45</v>
      </c>
      <c r="E56" s="157" t="s">
        <v>41</v>
      </c>
      <c r="F56" s="156" t="s">
        <v>13</v>
      </c>
      <c r="G56" s="163" t="s">
        <v>46</v>
      </c>
      <c r="H56" s="164"/>
      <c r="I56" s="158">
        <v>3</v>
      </c>
      <c r="J56" s="156" t="s">
        <v>13</v>
      </c>
      <c r="K56" s="158">
        <v>0</v>
      </c>
      <c r="L56" s="159"/>
      <c r="M56" s="160"/>
    </row>
    <row r="57" spans="2:13" ht="15.75">
      <c r="B57" s="165">
        <v>51</v>
      </c>
      <c r="C57" s="169" t="s">
        <v>134</v>
      </c>
      <c r="D57" s="156" t="s">
        <v>31</v>
      </c>
      <c r="E57" s="157" t="s">
        <v>25</v>
      </c>
      <c r="F57" s="156" t="s">
        <v>13</v>
      </c>
      <c r="G57" s="163" t="s">
        <v>32</v>
      </c>
      <c r="H57" s="164"/>
      <c r="I57" s="158">
        <v>1</v>
      </c>
      <c r="J57" s="156" t="s">
        <v>13</v>
      </c>
      <c r="K57" s="158">
        <v>1</v>
      </c>
      <c r="L57" s="159"/>
      <c r="M57" s="160"/>
    </row>
    <row r="58" spans="2:13" ht="15.75">
      <c r="B58" s="165">
        <v>52</v>
      </c>
      <c r="C58" s="169" t="s">
        <v>134</v>
      </c>
      <c r="D58" s="156" t="s">
        <v>31</v>
      </c>
      <c r="E58" s="157" t="s">
        <v>33</v>
      </c>
      <c r="F58" s="156" t="s">
        <v>13</v>
      </c>
      <c r="G58" s="163" t="s">
        <v>47</v>
      </c>
      <c r="H58" s="164"/>
      <c r="I58" s="158">
        <v>1</v>
      </c>
      <c r="J58" s="156" t="s">
        <v>13</v>
      </c>
      <c r="K58" s="158">
        <v>1</v>
      </c>
      <c r="L58" s="159"/>
      <c r="M58" s="160"/>
    </row>
    <row r="59" spans="2:13" ht="15.75">
      <c r="B59" s="165">
        <v>53</v>
      </c>
      <c r="C59" s="169" t="s">
        <v>135</v>
      </c>
      <c r="D59" s="156" t="s">
        <v>11</v>
      </c>
      <c r="E59" s="157" t="s">
        <v>24</v>
      </c>
      <c r="F59" s="156" t="s">
        <v>13</v>
      </c>
      <c r="G59" s="163" t="s">
        <v>12</v>
      </c>
      <c r="H59" s="164"/>
      <c r="I59" s="158">
        <v>1</v>
      </c>
      <c r="J59" s="156" t="s">
        <v>13</v>
      </c>
      <c r="K59" s="158">
        <v>2</v>
      </c>
      <c r="L59" s="159"/>
      <c r="M59" s="160"/>
    </row>
    <row r="60" spans="2:13" ht="15.75">
      <c r="B60" s="165">
        <v>54</v>
      </c>
      <c r="C60" s="169" t="s">
        <v>135</v>
      </c>
      <c r="D60" s="156" t="s">
        <v>11</v>
      </c>
      <c r="E60" s="157" t="s">
        <v>14</v>
      </c>
      <c r="F60" s="156" t="s">
        <v>13</v>
      </c>
      <c r="G60" s="163" t="s">
        <v>23</v>
      </c>
      <c r="H60" s="164"/>
      <c r="I60" s="158">
        <v>2</v>
      </c>
      <c r="J60" s="156" t="s">
        <v>13</v>
      </c>
      <c r="K60" s="158">
        <v>2</v>
      </c>
      <c r="L60" s="159"/>
      <c r="M60" s="160"/>
    </row>
    <row r="61" spans="2:13" ht="15.75">
      <c r="B61" s="165">
        <v>55</v>
      </c>
      <c r="C61" s="169" t="s">
        <v>136</v>
      </c>
      <c r="D61" s="156" t="s">
        <v>67</v>
      </c>
      <c r="E61" s="157" t="s">
        <v>49</v>
      </c>
      <c r="F61" s="156" t="s">
        <v>13</v>
      </c>
      <c r="G61" s="163" t="s">
        <v>42</v>
      </c>
      <c r="H61" s="164"/>
      <c r="I61" s="158">
        <v>0</v>
      </c>
      <c r="J61" s="156" t="s">
        <v>13</v>
      </c>
      <c r="K61" s="158">
        <v>4</v>
      </c>
      <c r="L61" s="159"/>
      <c r="M61" s="160"/>
    </row>
    <row r="62" spans="2:13" ht="15.75">
      <c r="B62" s="165">
        <v>56</v>
      </c>
      <c r="C62" s="169" t="s">
        <v>136</v>
      </c>
      <c r="D62" s="156" t="s">
        <v>67</v>
      </c>
      <c r="E62" s="157" t="s">
        <v>36</v>
      </c>
      <c r="F62" s="156" t="s">
        <v>13</v>
      </c>
      <c r="G62" s="163" t="s">
        <v>28</v>
      </c>
      <c r="H62" s="164"/>
      <c r="I62" s="158">
        <v>0</v>
      </c>
      <c r="J62" s="156" t="s">
        <v>13</v>
      </c>
      <c r="K62" s="158">
        <v>3</v>
      </c>
      <c r="L62" s="159"/>
      <c r="M62" s="160"/>
    </row>
    <row r="63" spans="2:13" ht="15.75">
      <c r="B63" s="165">
        <v>57</v>
      </c>
      <c r="C63" s="169" t="s">
        <v>137</v>
      </c>
      <c r="D63" s="156" t="s">
        <v>82</v>
      </c>
      <c r="E63" s="157" t="s">
        <v>43</v>
      </c>
      <c r="F63" s="156" t="s">
        <v>13</v>
      </c>
      <c r="G63" s="163" t="s">
        <v>37</v>
      </c>
      <c r="H63" s="164"/>
      <c r="I63" s="158">
        <v>2</v>
      </c>
      <c r="J63" s="156" t="s">
        <v>13</v>
      </c>
      <c r="K63" s="158">
        <v>1</v>
      </c>
      <c r="L63" s="159"/>
      <c r="M63" s="160"/>
    </row>
    <row r="64" spans="2:13" ht="15.75">
      <c r="B64" s="165">
        <v>58</v>
      </c>
      <c r="C64" s="169" t="s">
        <v>137</v>
      </c>
      <c r="D64" s="156" t="s">
        <v>82</v>
      </c>
      <c r="E64" s="157" t="s">
        <v>50</v>
      </c>
      <c r="F64" s="156" t="s">
        <v>13</v>
      </c>
      <c r="G64" s="163" t="s">
        <v>29</v>
      </c>
      <c r="H64" s="164"/>
      <c r="I64" s="158">
        <v>1</v>
      </c>
      <c r="J64" s="156" t="s">
        <v>13</v>
      </c>
      <c r="K64" s="158">
        <v>3</v>
      </c>
      <c r="L64" s="159"/>
      <c r="M64" s="160"/>
    </row>
    <row r="65" spans="2:14" ht="15.75">
      <c r="B65" s="165">
        <v>59</v>
      </c>
      <c r="C65" s="169" t="s">
        <v>138</v>
      </c>
      <c r="D65" s="156" t="s">
        <v>39</v>
      </c>
      <c r="E65" s="157" t="s">
        <v>27</v>
      </c>
      <c r="F65" s="156" t="s">
        <v>13</v>
      </c>
      <c r="G65" s="163" t="s">
        <v>35</v>
      </c>
      <c r="H65" s="164"/>
      <c r="I65" s="158">
        <v>2</v>
      </c>
      <c r="J65" s="156" t="s">
        <v>13</v>
      </c>
      <c r="K65" s="158">
        <v>2</v>
      </c>
      <c r="L65" s="159"/>
      <c r="M65" s="160"/>
      <c r="N65" s="133"/>
    </row>
    <row r="66" spans="2:14" ht="15.75">
      <c r="B66" s="165">
        <v>60</v>
      </c>
      <c r="C66" s="169" t="s">
        <v>138</v>
      </c>
      <c r="D66" s="156" t="s">
        <v>39</v>
      </c>
      <c r="E66" s="157" t="s">
        <v>40</v>
      </c>
      <c r="F66" s="156" t="s">
        <v>13</v>
      </c>
      <c r="G66" s="163" t="s">
        <v>48</v>
      </c>
      <c r="H66" s="164"/>
      <c r="I66" s="158">
        <v>2</v>
      </c>
      <c r="J66" s="156" t="s">
        <v>13</v>
      </c>
      <c r="K66" s="158">
        <v>1</v>
      </c>
      <c r="L66" s="159"/>
      <c r="M66" s="160"/>
      <c r="N66" s="133"/>
    </row>
    <row r="67" spans="2:14" ht="15.75">
      <c r="B67" s="165">
        <v>61</v>
      </c>
      <c r="C67" s="169" t="s">
        <v>139</v>
      </c>
      <c r="D67" s="156" t="s">
        <v>98</v>
      </c>
      <c r="E67" s="157" t="s">
        <v>70</v>
      </c>
      <c r="F67" s="156" t="s">
        <v>13</v>
      </c>
      <c r="G67" s="163" t="s">
        <v>62</v>
      </c>
      <c r="H67" s="164"/>
      <c r="I67" s="158">
        <v>0</v>
      </c>
      <c r="J67" s="156" t="s">
        <v>13</v>
      </c>
      <c r="K67" s="158">
        <v>3</v>
      </c>
      <c r="L67" s="159"/>
      <c r="M67" s="160"/>
      <c r="N67" s="133"/>
    </row>
    <row r="68" spans="2:14" ht="15.75">
      <c r="B68" s="165">
        <v>62</v>
      </c>
      <c r="C68" s="169" t="s">
        <v>139</v>
      </c>
      <c r="D68" s="156" t="s">
        <v>98</v>
      </c>
      <c r="E68" s="157" t="s">
        <v>77</v>
      </c>
      <c r="F68" s="156" t="s">
        <v>13</v>
      </c>
      <c r="G68" s="163" t="s">
        <v>85</v>
      </c>
      <c r="H68" s="164"/>
      <c r="I68" s="158">
        <v>3</v>
      </c>
      <c r="J68" s="156" t="s">
        <v>13</v>
      </c>
      <c r="K68" s="158">
        <v>0</v>
      </c>
      <c r="L68" s="159"/>
      <c r="M68" s="160"/>
      <c r="N68" s="133"/>
    </row>
    <row r="69" spans="2:14" ht="15.75">
      <c r="B69" s="165">
        <v>63</v>
      </c>
      <c r="C69" s="169" t="s">
        <v>140</v>
      </c>
      <c r="D69" s="156" t="s">
        <v>95</v>
      </c>
      <c r="E69" s="157" t="s">
        <v>68</v>
      </c>
      <c r="F69" s="156" t="s">
        <v>13</v>
      </c>
      <c r="G69" s="163" t="s">
        <v>83</v>
      </c>
      <c r="H69" s="164"/>
      <c r="I69" s="158">
        <v>3</v>
      </c>
      <c r="J69" s="156" t="s">
        <v>13</v>
      </c>
      <c r="K69" s="158">
        <v>1</v>
      </c>
      <c r="L69" s="159"/>
      <c r="M69" s="160"/>
      <c r="N69" s="133"/>
    </row>
    <row r="70" spans="2:14" ht="15.75">
      <c r="B70" s="165">
        <v>64</v>
      </c>
      <c r="C70" s="169" t="s">
        <v>140</v>
      </c>
      <c r="D70" s="156" t="s">
        <v>95</v>
      </c>
      <c r="E70" s="157" t="s">
        <v>75</v>
      </c>
      <c r="F70" s="156" t="s">
        <v>13</v>
      </c>
      <c r="G70" s="163" t="s">
        <v>60</v>
      </c>
      <c r="H70" s="164"/>
      <c r="I70" s="158">
        <v>0</v>
      </c>
      <c r="J70" s="156" t="s">
        <v>13</v>
      </c>
      <c r="K70" s="158">
        <v>2</v>
      </c>
      <c r="L70" s="159"/>
      <c r="M70" s="160"/>
      <c r="N70" s="133"/>
    </row>
    <row r="71" spans="2:14" ht="15.75">
      <c r="B71" s="165">
        <v>65</v>
      </c>
      <c r="C71" s="169" t="s">
        <v>141</v>
      </c>
      <c r="D71" s="156" t="s">
        <v>91</v>
      </c>
      <c r="E71" s="157" t="s">
        <v>76</v>
      </c>
      <c r="F71" s="156" t="s">
        <v>13</v>
      </c>
      <c r="G71" s="163" t="s">
        <v>84</v>
      </c>
      <c r="H71" s="164"/>
      <c r="I71" s="158">
        <v>0</v>
      </c>
      <c r="J71" s="156" t="s">
        <v>13</v>
      </c>
      <c r="K71" s="158">
        <v>2</v>
      </c>
      <c r="L71" s="159"/>
      <c r="M71" s="160"/>
      <c r="N71" s="133"/>
    </row>
    <row r="72" spans="2:14" ht="15.75">
      <c r="B72" s="165">
        <v>66</v>
      </c>
      <c r="C72" s="169" t="s">
        <v>141</v>
      </c>
      <c r="D72" s="156" t="s">
        <v>91</v>
      </c>
      <c r="E72" s="157" t="s">
        <v>69</v>
      </c>
      <c r="F72" s="156" t="s">
        <v>13</v>
      </c>
      <c r="G72" s="163" t="s">
        <v>61</v>
      </c>
      <c r="H72" s="164"/>
      <c r="I72" s="158">
        <v>2</v>
      </c>
      <c r="J72" s="156" t="s">
        <v>13</v>
      </c>
      <c r="K72" s="158">
        <v>2</v>
      </c>
      <c r="L72" s="159"/>
      <c r="M72" s="160"/>
      <c r="N72" s="133"/>
    </row>
    <row r="73" spans="2:14" ht="15.75">
      <c r="B73" s="165">
        <v>67</v>
      </c>
      <c r="C73" s="169" t="s">
        <v>142</v>
      </c>
      <c r="D73" s="156" t="s">
        <v>104</v>
      </c>
      <c r="E73" s="157" t="s">
        <v>88</v>
      </c>
      <c r="F73" s="156" t="s">
        <v>13</v>
      </c>
      <c r="G73" s="163" t="s">
        <v>65</v>
      </c>
      <c r="H73" s="164"/>
      <c r="I73" s="158">
        <v>0</v>
      </c>
      <c r="J73" s="156" t="s">
        <v>13</v>
      </c>
      <c r="K73" s="158">
        <v>3</v>
      </c>
      <c r="L73" s="159"/>
      <c r="M73" s="160"/>
      <c r="N73" s="133"/>
    </row>
    <row r="74" spans="2:14" ht="15.75">
      <c r="B74" s="165">
        <v>68</v>
      </c>
      <c r="C74" s="169" t="s">
        <v>142</v>
      </c>
      <c r="D74" s="156" t="s">
        <v>104</v>
      </c>
      <c r="E74" s="157" t="s">
        <v>73</v>
      </c>
      <c r="F74" s="156" t="s">
        <v>13</v>
      </c>
      <c r="G74" s="163" t="s">
        <v>80</v>
      </c>
      <c r="H74" s="164"/>
      <c r="I74" s="158">
        <v>2</v>
      </c>
      <c r="J74" s="156" t="s">
        <v>13</v>
      </c>
      <c r="K74" s="158">
        <v>1</v>
      </c>
      <c r="L74" s="159"/>
      <c r="M74" s="160"/>
      <c r="N74" s="133"/>
    </row>
    <row r="75" spans="2:14" ht="15.75">
      <c r="B75" s="165">
        <v>69</v>
      </c>
      <c r="C75" s="169" t="s">
        <v>143</v>
      </c>
      <c r="D75" s="156" t="s">
        <v>101</v>
      </c>
      <c r="E75" s="157" t="s">
        <v>78</v>
      </c>
      <c r="F75" s="156" t="s">
        <v>13</v>
      </c>
      <c r="G75" s="163" t="s">
        <v>71</v>
      </c>
      <c r="H75" s="164"/>
      <c r="I75" s="158">
        <v>2</v>
      </c>
      <c r="J75" s="156" t="s">
        <v>13</v>
      </c>
      <c r="K75" s="158">
        <v>1</v>
      </c>
      <c r="L75" s="159"/>
      <c r="M75" s="160"/>
      <c r="N75" s="133"/>
    </row>
    <row r="76" spans="2:14" ht="15.75">
      <c r="B76" s="165">
        <v>70</v>
      </c>
      <c r="C76" s="169" t="s">
        <v>143</v>
      </c>
      <c r="D76" s="156" t="s">
        <v>101</v>
      </c>
      <c r="E76" s="157" t="s">
        <v>86</v>
      </c>
      <c r="F76" s="156" t="s">
        <v>13</v>
      </c>
      <c r="G76" s="163" t="s">
        <v>63</v>
      </c>
      <c r="H76" s="164"/>
      <c r="I76" s="158">
        <v>0</v>
      </c>
      <c r="J76" s="156" t="s">
        <v>13</v>
      </c>
      <c r="K76" s="158">
        <v>4</v>
      </c>
      <c r="L76" s="159"/>
      <c r="M76" s="160"/>
      <c r="N76" s="133"/>
    </row>
    <row r="77" spans="2:14" ht="15.75">
      <c r="B77" s="165">
        <v>71</v>
      </c>
      <c r="C77" s="169" t="s">
        <v>144</v>
      </c>
      <c r="D77" s="156" t="s">
        <v>107</v>
      </c>
      <c r="E77" s="157" t="s">
        <v>72</v>
      </c>
      <c r="F77" s="156" t="s">
        <v>13</v>
      </c>
      <c r="G77" s="163" t="s">
        <v>64</v>
      </c>
      <c r="H77" s="164"/>
      <c r="I77" s="158">
        <v>3</v>
      </c>
      <c r="J77" s="156" t="s">
        <v>13</v>
      </c>
      <c r="K77" s="158">
        <v>1</v>
      </c>
      <c r="L77" s="159"/>
      <c r="M77" s="160"/>
      <c r="N77" s="133"/>
    </row>
    <row r="78" spans="2:14" ht="15.75">
      <c r="B78" s="165">
        <v>72</v>
      </c>
      <c r="C78" s="169" t="s">
        <v>144</v>
      </c>
      <c r="D78" s="156" t="s">
        <v>107</v>
      </c>
      <c r="E78" s="157" t="s">
        <v>87</v>
      </c>
      <c r="F78" s="156" t="s">
        <v>13</v>
      </c>
      <c r="G78" s="163" t="s">
        <v>79</v>
      </c>
      <c r="H78" s="164"/>
      <c r="I78" s="158">
        <v>3</v>
      </c>
      <c r="J78" s="156" t="s">
        <v>13</v>
      </c>
      <c r="K78" s="158">
        <v>1</v>
      </c>
      <c r="L78" s="159"/>
      <c r="M78" s="160"/>
      <c r="N78" s="133"/>
    </row>
    <row r="79" spans="2:14" ht="15.75">
      <c r="B79" s="133"/>
      <c r="C79" s="133"/>
      <c r="D79" s="134" t="s">
        <v>145</v>
      </c>
      <c r="E79" s="142" t="s">
        <v>28</v>
      </c>
      <c r="F79" s="155" t="s">
        <v>13</v>
      </c>
      <c r="G79" s="142" t="s">
        <v>63</v>
      </c>
      <c r="H79" s="133"/>
      <c r="I79" s="133"/>
      <c r="J79" s="133"/>
      <c r="K79" s="133"/>
      <c r="L79" s="146"/>
      <c r="M79" s="146"/>
      <c r="N79" s="147"/>
    </row>
    <row r="80" spans="2:14" ht="15.75">
      <c r="B80" s="133"/>
      <c r="C80" s="170"/>
      <c r="D80" s="134" t="s">
        <v>146</v>
      </c>
      <c r="E80" s="143" t="s">
        <v>61</v>
      </c>
      <c r="F80" s="155" t="s">
        <v>13</v>
      </c>
      <c r="G80" s="143" t="s">
        <v>69</v>
      </c>
      <c r="H80" s="133"/>
      <c r="I80" s="133"/>
      <c r="J80" s="133"/>
      <c r="K80" s="133"/>
      <c r="L80" s="141"/>
      <c r="M80" s="141"/>
      <c r="N80" s="147"/>
    </row>
    <row r="81" spans="1:14" ht="15.75">
      <c r="A81" s="133"/>
      <c r="B81" s="133"/>
      <c r="C81" s="170"/>
      <c r="D81" s="133"/>
      <c r="E81" s="133"/>
      <c r="F81" s="136"/>
      <c r="G81" s="133"/>
      <c r="H81" s="133"/>
      <c r="I81" s="133"/>
      <c r="J81" s="133"/>
      <c r="K81" s="136"/>
      <c r="L81" s="136"/>
      <c r="M81" s="136"/>
      <c r="N81" s="147"/>
    </row>
    <row r="82" spans="1:14" ht="15.75">
      <c r="A82" s="133"/>
      <c r="B82" s="133"/>
      <c r="C82" s="170"/>
      <c r="D82" s="133"/>
      <c r="E82" s="133"/>
      <c r="F82" s="136"/>
      <c r="G82" s="133"/>
      <c r="H82" s="133"/>
      <c r="I82" s="133"/>
      <c r="J82" s="133"/>
      <c r="K82" s="136"/>
      <c r="L82" s="144" t="s">
        <v>147</v>
      </c>
      <c r="M82" s="140"/>
      <c r="N82" s="147"/>
    </row>
    <row r="83" spans="1:14" ht="15.75">
      <c r="A83" s="133"/>
      <c r="B83" s="133"/>
      <c r="C83" s="170"/>
      <c r="D83" s="133"/>
      <c r="E83" s="133"/>
      <c r="F83" s="136"/>
      <c r="G83" s="133"/>
      <c r="H83" s="133"/>
      <c r="I83" s="133"/>
      <c r="J83" s="133"/>
      <c r="K83" s="136"/>
      <c r="L83" s="136"/>
      <c r="M83" s="136"/>
      <c r="N83" s="147"/>
    </row>
    <row r="84" spans="1:14" ht="15.75">
      <c r="A84" s="134"/>
      <c r="B84" s="133"/>
      <c r="C84" s="170"/>
      <c r="D84" s="133"/>
      <c r="E84" s="133"/>
      <c r="F84" s="136"/>
      <c r="G84" s="137"/>
      <c r="H84" s="133"/>
      <c r="I84" s="133"/>
      <c r="J84" s="133"/>
      <c r="K84" s="136"/>
      <c r="L84" s="133"/>
      <c r="M84" s="133"/>
      <c r="N84" s="133"/>
    </row>
    <row r="85" spans="1:14" ht="15.75">
      <c r="A85" s="134"/>
      <c r="B85" s="133"/>
      <c r="C85" s="170"/>
      <c r="D85" s="133"/>
      <c r="E85" s="133"/>
      <c r="F85" s="136"/>
      <c r="G85" s="137"/>
      <c r="H85" s="133"/>
      <c r="I85" s="133"/>
      <c r="J85" s="133"/>
      <c r="K85" s="136"/>
      <c r="L85" s="133"/>
      <c r="M85" s="133"/>
      <c r="N85" s="133"/>
    </row>
    <row r="86" spans="1:14" ht="15.75">
      <c r="A86" s="134"/>
      <c r="B86" s="135"/>
      <c r="C86" s="171"/>
      <c r="D86" s="133"/>
      <c r="E86" s="133"/>
      <c r="F86" s="136"/>
      <c r="G86" s="137"/>
      <c r="H86" s="133"/>
      <c r="I86" s="133"/>
      <c r="J86" s="133"/>
      <c r="K86" s="136"/>
      <c r="L86" s="133"/>
      <c r="M86" s="133"/>
      <c r="N86" s="133"/>
    </row>
    <row r="87" spans="1:14" ht="15.75">
      <c r="A87" s="134"/>
      <c r="B87" s="135"/>
      <c r="C87" s="171"/>
      <c r="D87" s="133"/>
      <c r="E87" s="133"/>
      <c r="F87" s="136"/>
      <c r="G87" s="137"/>
      <c r="H87" s="133"/>
      <c r="I87" s="133"/>
      <c r="J87" s="133"/>
      <c r="K87" s="136"/>
      <c r="L87" s="133"/>
      <c r="M87" s="133"/>
      <c r="N87" s="133"/>
    </row>
  </sheetData>
  <mergeCells count="1">
    <mergeCell ref="H2:M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A87"/>
  <sheetViews>
    <sheetView topLeftCell="A52" workbookViewId="0">
      <selection activeCell="I7" sqref="I7:K78"/>
    </sheetView>
  </sheetViews>
  <sheetFormatPr defaultColWidth="11.42578125" defaultRowHeight="15.75"/>
  <cols>
    <col min="1" max="1" width="4" style="174" customWidth="1"/>
    <col min="2" max="2" width="4" style="172" customWidth="1"/>
    <col min="3" max="3" width="16" style="173" bestFit="1" customWidth="1"/>
    <col min="4" max="4" width="10.28515625" style="174" customWidth="1"/>
    <col min="5" max="5" width="25.7109375" style="174" customWidth="1"/>
    <col min="6" max="6" width="4" style="175" customWidth="1"/>
    <col min="7" max="7" width="25.7109375" style="174" customWidth="1"/>
    <col min="8" max="8" width="4" style="174" customWidth="1"/>
    <col min="9" max="9" width="6.140625" style="174" customWidth="1"/>
    <col min="10" max="10" width="4" style="174" customWidth="1"/>
    <col min="11" max="11" width="6.140625" style="175" customWidth="1"/>
    <col min="12" max="13" width="11.7109375" style="175" customWidth="1"/>
    <col min="14" max="14" width="11.28515625" style="175" customWidth="1"/>
    <col min="15" max="15" width="9.42578125" style="174" customWidth="1"/>
    <col min="16" max="21" width="20.140625" style="174" customWidth="1"/>
    <col min="22" max="16384" width="11.42578125" style="174"/>
  </cols>
  <sheetData>
    <row r="2" spans="2:53" ht="20.100000000000001" customHeight="1">
      <c r="G2" s="172" t="s">
        <v>0</v>
      </c>
      <c r="H2" s="301" t="s">
        <v>379</v>
      </c>
      <c r="I2" s="293"/>
      <c r="J2" s="293"/>
      <c r="K2" s="293"/>
      <c r="L2" s="293"/>
      <c r="M2" s="293"/>
      <c r="N2" s="174"/>
    </row>
    <row r="4" spans="2:53" ht="18" customHeight="1">
      <c r="B4" s="176" t="s">
        <v>2</v>
      </c>
      <c r="G4" s="172"/>
      <c r="H4" s="172"/>
      <c r="I4" s="172"/>
      <c r="J4" s="172"/>
    </row>
    <row r="5" spans="2:53" ht="15.75" customHeight="1">
      <c r="C5" s="177"/>
      <c r="G5" s="172"/>
      <c r="H5" s="172"/>
      <c r="I5" s="172"/>
      <c r="J5" s="172"/>
    </row>
    <row r="6" spans="2:53" ht="18.75" customHeight="1" thickBot="1">
      <c r="C6" s="178" t="s">
        <v>3</v>
      </c>
      <c r="D6" s="179" t="s">
        <v>4</v>
      </c>
      <c r="E6" s="180"/>
      <c r="F6" s="179" t="s">
        <v>5</v>
      </c>
      <c r="G6" s="180"/>
      <c r="H6" s="180"/>
      <c r="I6" s="180"/>
      <c r="J6" s="179" t="s">
        <v>6</v>
      </c>
      <c r="K6" s="179"/>
      <c r="L6" s="179" t="s">
        <v>7</v>
      </c>
      <c r="M6" s="179" t="s">
        <v>8</v>
      </c>
      <c r="N6" s="179"/>
      <c r="O6" s="181" t="s">
        <v>9</v>
      </c>
    </row>
    <row r="7" spans="2:53" ht="20.100000000000001" customHeight="1" thickBot="1">
      <c r="B7" s="182">
        <v>1</v>
      </c>
      <c r="C7" s="183" t="s">
        <v>10</v>
      </c>
      <c r="D7" s="184" t="s">
        <v>11</v>
      </c>
      <c r="E7" s="185" t="s">
        <v>12</v>
      </c>
      <c r="F7" s="184" t="s">
        <v>13</v>
      </c>
      <c r="G7" s="186" t="s">
        <v>14</v>
      </c>
      <c r="H7" s="187"/>
      <c r="I7" s="188">
        <v>3</v>
      </c>
      <c r="J7" s="184" t="s">
        <v>13</v>
      </c>
      <c r="K7" s="188">
        <v>0</v>
      </c>
      <c r="L7" s="189"/>
      <c r="M7" s="190"/>
      <c r="N7" s="191"/>
      <c r="O7" s="192" t="s">
        <v>15</v>
      </c>
      <c r="P7" s="193" t="s">
        <v>16</v>
      </c>
      <c r="Q7" s="193" t="s">
        <v>17</v>
      </c>
      <c r="R7" s="193" t="s">
        <v>18</v>
      </c>
      <c r="S7" s="193" t="s">
        <v>19</v>
      </c>
      <c r="T7" s="193" t="s">
        <v>20</v>
      </c>
      <c r="U7" s="193" t="s">
        <v>21</v>
      </c>
    </row>
    <row r="8" spans="2:53" ht="20.100000000000001" customHeight="1">
      <c r="B8" s="182">
        <v>2</v>
      </c>
      <c r="C8" s="183" t="s">
        <v>22</v>
      </c>
      <c r="D8" s="184" t="s">
        <v>11</v>
      </c>
      <c r="E8" s="185" t="s">
        <v>23</v>
      </c>
      <c r="F8" s="184" t="s">
        <v>13</v>
      </c>
      <c r="G8" s="186" t="s">
        <v>24</v>
      </c>
      <c r="H8" s="187"/>
      <c r="I8" s="188">
        <v>1</v>
      </c>
      <c r="J8" s="184" t="s">
        <v>13</v>
      </c>
      <c r="K8" s="188">
        <v>2</v>
      </c>
      <c r="L8" s="189"/>
      <c r="M8" s="190"/>
      <c r="N8" s="191"/>
      <c r="O8" s="194">
        <v>1</v>
      </c>
      <c r="P8" s="195" t="s">
        <v>12</v>
      </c>
      <c r="Q8" s="195" t="s">
        <v>25</v>
      </c>
      <c r="R8" s="195" t="s">
        <v>26</v>
      </c>
      <c r="S8" s="195" t="s">
        <v>35</v>
      </c>
      <c r="T8" s="195" t="s">
        <v>28</v>
      </c>
      <c r="U8" s="195" t="s">
        <v>43</v>
      </c>
      <c r="AU8" s="174" t="s">
        <v>380</v>
      </c>
      <c r="BA8" s="174" t="s">
        <v>381</v>
      </c>
    </row>
    <row r="9" spans="2:53" ht="20.100000000000001" customHeight="1">
      <c r="B9" s="182">
        <v>3</v>
      </c>
      <c r="C9" s="183" t="s">
        <v>30</v>
      </c>
      <c r="D9" s="184" t="s">
        <v>31</v>
      </c>
      <c r="E9" s="185" t="s">
        <v>32</v>
      </c>
      <c r="F9" s="184" t="s">
        <v>13</v>
      </c>
      <c r="G9" s="186" t="s">
        <v>33</v>
      </c>
      <c r="H9" s="187"/>
      <c r="I9" s="188">
        <v>2</v>
      </c>
      <c r="J9" s="184" t="s">
        <v>13</v>
      </c>
      <c r="K9" s="188">
        <v>1</v>
      </c>
      <c r="L9" s="189"/>
      <c r="M9" s="190"/>
      <c r="N9" s="191"/>
      <c r="O9" s="196">
        <v>2</v>
      </c>
      <c r="P9" s="197" t="s">
        <v>24</v>
      </c>
      <c r="Q9" s="197" t="s">
        <v>32</v>
      </c>
      <c r="R9" s="197" t="s">
        <v>41</v>
      </c>
      <c r="S9" s="197" t="s">
        <v>27</v>
      </c>
      <c r="T9" s="197" t="s">
        <v>36</v>
      </c>
      <c r="U9" s="197" t="s">
        <v>29</v>
      </c>
    </row>
    <row r="10" spans="2:53" ht="20.100000000000001" customHeight="1">
      <c r="B10" s="182">
        <v>4</v>
      </c>
      <c r="C10" s="183" t="s">
        <v>38</v>
      </c>
      <c r="D10" s="184" t="s">
        <v>39</v>
      </c>
      <c r="E10" s="185" t="s">
        <v>35</v>
      </c>
      <c r="F10" s="184" t="s">
        <v>13</v>
      </c>
      <c r="G10" s="186" t="s">
        <v>40</v>
      </c>
      <c r="H10" s="187"/>
      <c r="I10" s="188">
        <v>3</v>
      </c>
      <c r="J10" s="184" t="s">
        <v>13</v>
      </c>
      <c r="K10" s="188">
        <v>0</v>
      </c>
      <c r="L10" s="189"/>
      <c r="M10" s="190"/>
      <c r="N10" s="191"/>
      <c r="O10" s="196">
        <v>3</v>
      </c>
      <c r="P10" s="197" t="s">
        <v>23</v>
      </c>
      <c r="Q10" s="197" t="s">
        <v>33</v>
      </c>
      <c r="R10" s="197" t="s">
        <v>34</v>
      </c>
      <c r="S10" s="197" t="s">
        <v>40</v>
      </c>
      <c r="T10" s="197" t="s">
        <v>42</v>
      </c>
      <c r="U10" s="197" t="s">
        <v>37</v>
      </c>
    </row>
    <row r="11" spans="2:53" ht="20.100000000000001" customHeight="1">
      <c r="B11" s="182">
        <v>5</v>
      </c>
      <c r="C11" s="183" t="s">
        <v>44</v>
      </c>
      <c r="D11" s="184" t="s">
        <v>45</v>
      </c>
      <c r="E11" s="185" t="s">
        <v>46</v>
      </c>
      <c r="F11" s="184" t="s">
        <v>13</v>
      </c>
      <c r="G11" s="186" t="s">
        <v>34</v>
      </c>
      <c r="H11" s="187"/>
      <c r="I11" s="188">
        <v>1</v>
      </c>
      <c r="J11" s="184" t="s">
        <v>13</v>
      </c>
      <c r="K11" s="188">
        <v>2</v>
      </c>
      <c r="L11" s="189"/>
      <c r="M11" s="190"/>
      <c r="N11" s="191"/>
      <c r="O11" s="196">
        <v>4</v>
      </c>
      <c r="P11" s="197" t="s">
        <v>14</v>
      </c>
      <c r="Q11" s="197" t="s">
        <v>47</v>
      </c>
      <c r="R11" s="197" t="s">
        <v>46</v>
      </c>
      <c r="S11" s="197" t="s">
        <v>48</v>
      </c>
      <c r="T11" s="197" t="s">
        <v>49</v>
      </c>
      <c r="U11" s="197" t="s">
        <v>50</v>
      </c>
    </row>
    <row r="12" spans="2:53" ht="20.100000000000001" customHeight="1" thickBot="1">
      <c r="B12" s="182">
        <v>6</v>
      </c>
      <c r="C12" s="183" t="s">
        <v>51</v>
      </c>
      <c r="D12" s="184" t="s">
        <v>39</v>
      </c>
      <c r="E12" s="185" t="s">
        <v>48</v>
      </c>
      <c r="F12" s="184" t="s">
        <v>13</v>
      </c>
      <c r="G12" s="186" t="s">
        <v>27</v>
      </c>
      <c r="H12" s="187"/>
      <c r="I12" s="188">
        <v>0</v>
      </c>
      <c r="J12" s="184" t="s">
        <v>13</v>
      </c>
      <c r="K12" s="188">
        <v>3</v>
      </c>
      <c r="L12" s="189"/>
      <c r="M12" s="190"/>
      <c r="N12" s="191"/>
    </row>
    <row r="13" spans="2:53" ht="20.100000000000001" customHeight="1" thickBot="1">
      <c r="B13" s="182">
        <v>7</v>
      </c>
      <c r="C13" s="183" t="s">
        <v>52</v>
      </c>
      <c r="D13" s="184" t="s">
        <v>45</v>
      </c>
      <c r="E13" s="185" t="s">
        <v>26</v>
      </c>
      <c r="F13" s="184" t="s">
        <v>13</v>
      </c>
      <c r="G13" s="186" t="s">
        <v>41</v>
      </c>
      <c r="H13" s="187"/>
      <c r="I13" s="188">
        <v>2</v>
      </c>
      <c r="J13" s="184" t="s">
        <v>13</v>
      </c>
      <c r="K13" s="188">
        <v>1</v>
      </c>
      <c r="L13" s="189"/>
      <c r="M13" s="190"/>
      <c r="N13" s="191"/>
      <c r="O13" s="192" t="s">
        <v>15</v>
      </c>
      <c r="P13" s="193" t="s">
        <v>53</v>
      </c>
      <c r="Q13" s="193" t="s">
        <v>54</v>
      </c>
      <c r="R13" s="193" t="s">
        <v>55</v>
      </c>
      <c r="S13" s="193" t="s">
        <v>56</v>
      </c>
      <c r="T13" s="193" t="s">
        <v>57</v>
      </c>
      <c r="U13" s="193" t="s">
        <v>58</v>
      </c>
    </row>
    <row r="14" spans="2:53" ht="20.100000000000001" customHeight="1">
      <c r="B14" s="182">
        <v>8</v>
      </c>
      <c r="C14" s="183" t="s">
        <v>59</v>
      </c>
      <c r="D14" s="184" t="s">
        <v>31</v>
      </c>
      <c r="E14" s="185" t="s">
        <v>47</v>
      </c>
      <c r="F14" s="184" t="s">
        <v>13</v>
      </c>
      <c r="G14" s="186" t="s">
        <v>25</v>
      </c>
      <c r="H14" s="187"/>
      <c r="I14" s="188">
        <v>0</v>
      </c>
      <c r="J14" s="184" t="s">
        <v>13</v>
      </c>
      <c r="K14" s="188">
        <v>3</v>
      </c>
      <c r="L14" s="189"/>
      <c r="M14" s="190"/>
      <c r="N14" s="191"/>
      <c r="O14" s="194">
        <v>1</v>
      </c>
      <c r="P14" s="195" t="s">
        <v>60</v>
      </c>
      <c r="Q14" s="195" t="s">
        <v>61</v>
      </c>
      <c r="R14" s="195" t="s">
        <v>62</v>
      </c>
      <c r="S14" s="195" t="s">
        <v>63</v>
      </c>
      <c r="T14" s="195" t="s">
        <v>64</v>
      </c>
      <c r="U14" s="195" t="s">
        <v>65</v>
      </c>
    </row>
    <row r="15" spans="2:53" ht="20.100000000000001" customHeight="1">
      <c r="B15" s="182">
        <v>9</v>
      </c>
      <c r="C15" s="183" t="s">
        <v>66</v>
      </c>
      <c r="D15" s="184" t="s">
        <v>67</v>
      </c>
      <c r="E15" s="185" t="s">
        <v>42</v>
      </c>
      <c r="F15" s="184" t="s">
        <v>13</v>
      </c>
      <c r="G15" s="186" t="s">
        <v>36</v>
      </c>
      <c r="H15" s="187"/>
      <c r="I15" s="188">
        <v>1</v>
      </c>
      <c r="J15" s="184" t="s">
        <v>13</v>
      </c>
      <c r="K15" s="188">
        <v>2</v>
      </c>
      <c r="L15" s="189"/>
      <c r="M15" s="190"/>
      <c r="N15" s="191"/>
      <c r="O15" s="196">
        <v>2</v>
      </c>
      <c r="P15" s="197" t="s">
        <v>68</v>
      </c>
      <c r="Q15" s="197" t="s">
        <v>69</v>
      </c>
      <c r="R15" s="197" t="s">
        <v>70</v>
      </c>
      <c r="S15" s="197" t="s">
        <v>71</v>
      </c>
      <c r="T15" s="197" t="s">
        <v>72</v>
      </c>
      <c r="U15" s="197" t="s">
        <v>73</v>
      </c>
    </row>
    <row r="16" spans="2:53" ht="20.100000000000001" customHeight="1">
      <c r="B16" s="182">
        <v>10</v>
      </c>
      <c r="C16" s="183" t="s">
        <v>74</v>
      </c>
      <c r="D16" s="184" t="s">
        <v>67</v>
      </c>
      <c r="E16" s="185" t="s">
        <v>28</v>
      </c>
      <c r="F16" s="184" t="s">
        <v>13</v>
      </c>
      <c r="G16" s="186" t="s">
        <v>49</v>
      </c>
      <c r="H16" s="187"/>
      <c r="I16" s="188">
        <v>3</v>
      </c>
      <c r="J16" s="184" t="s">
        <v>13</v>
      </c>
      <c r="K16" s="188">
        <v>0</v>
      </c>
      <c r="L16" s="189"/>
      <c r="M16" s="190"/>
      <c r="N16" s="191"/>
      <c r="O16" s="196">
        <v>3</v>
      </c>
      <c r="P16" s="197" t="s">
        <v>83</v>
      </c>
      <c r="Q16" s="197" t="s">
        <v>84</v>
      </c>
      <c r="R16" s="197" t="s">
        <v>77</v>
      </c>
      <c r="S16" s="197" t="s">
        <v>78</v>
      </c>
      <c r="T16" s="197" t="s">
        <v>87</v>
      </c>
      <c r="U16" s="197" t="s">
        <v>80</v>
      </c>
    </row>
    <row r="17" spans="2:21" ht="20.100000000000001" customHeight="1">
      <c r="B17" s="182">
        <v>11</v>
      </c>
      <c r="C17" s="183" t="s">
        <v>81</v>
      </c>
      <c r="D17" s="184" t="s">
        <v>82</v>
      </c>
      <c r="E17" s="185" t="s">
        <v>29</v>
      </c>
      <c r="F17" s="184" t="s">
        <v>13</v>
      </c>
      <c r="G17" s="186" t="s">
        <v>43</v>
      </c>
      <c r="H17" s="187"/>
      <c r="I17" s="188">
        <v>1</v>
      </c>
      <c r="J17" s="184" t="s">
        <v>13</v>
      </c>
      <c r="K17" s="188">
        <v>2</v>
      </c>
      <c r="L17" s="189"/>
      <c r="M17" s="190"/>
      <c r="N17" s="191"/>
      <c r="O17" s="196">
        <v>4</v>
      </c>
      <c r="P17" s="197" t="s">
        <v>75</v>
      </c>
      <c r="Q17" s="197" t="s">
        <v>76</v>
      </c>
      <c r="R17" s="197" t="s">
        <v>85</v>
      </c>
      <c r="S17" s="197" t="s">
        <v>86</v>
      </c>
      <c r="T17" s="197" t="s">
        <v>79</v>
      </c>
      <c r="U17" s="197" t="s">
        <v>88</v>
      </c>
    </row>
    <row r="18" spans="2:21" ht="20.100000000000001" customHeight="1">
      <c r="B18" s="182">
        <v>12</v>
      </c>
      <c r="C18" s="183" t="s">
        <v>89</v>
      </c>
      <c r="D18" s="184" t="s">
        <v>82</v>
      </c>
      <c r="E18" s="185" t="s">
        <v>37</v>
      </c>
      <c r="F18" s="184" t="s">
        <v>13</v>
      </c>
      <c r="G18" s="186" t="s">
        <v>50</v>
      </c>
      <c r="H18" s="187"/>
      <c r="I18" s="188">
        <v>2</v>
      </c>
      <c r="J18" s="184" t="s">
        <v>13</v>
      </c>
      <c r="K18" s="188">
        <v>1</v>
      </c>
      <c r="L18" s="189"/>
      <c r="M18" s="190"/>
      <c r="N18" s="191"/>
      <c r="P18" s="198"/>
      <c r="Q18" s="198"/>
      <c r="R18" s="198"/>
      <c r="S18" s="198"/>
      <c r="T18" s="198"/>
      <c r="U18" s="198"/>
    </row>
    <row r="19" spans="2:21" ht="20.100000000000001" customHeight="1">
      <c r="B19" s="182">
        <v>13</v>
      </c>
      <c r="C19" s="183" t="s">
        <v>90</v>
      </c>
      <c r="D19" s="184" t="s">
        <v>91</v>
      </c>
      <c r="E19" s="185" t="s">
        <v>84</v>
      </c>
      <c r="F19" s="184" t="s">
        <v>13</v>
      </c>
      <c r="G19" s="186" t="s">
        <v>69</v>
      </c>
      <c r="H19" s="187"/>
      <c r="I19" s="188">
        <v>1</v>
      </c>
      <c r="J19" s="184" t="s">
        <v>13</v>
      </c>
      <c r="K19" s="188">
        <v>2</v>
      </c>
      <c r="L19" s="189"/>
      <c r="M19" s="190"/>
      <c r="N19" s="191"/>
    </row>
    <row r="20" spans="2:21" ht="20.100000000000001" customHeight="1" thickBot="1">
      <c r="B20" s="182">
        <v>14</v>
      </c>
      <c r="C20" s="183" t="s">
        <v>92</v>
      </c>
      <c r="D20" s="184" t="s">
        <v>91</v>
      </c>
      <c r="E20" s="185" t="s">
        <v>61</v>
      </c>
      <c r="F20" s="184" t="s">
        <v>13</v>
      </c>
      <c r="G20" s="186" t="s">
        <v>76</v>
      </c>
      <c r="H20" s="187"/>
      <c r="I20" s="188">
        <v>3</v>
      </c>
      <c r="J20" s="184" t="s">
        <v>13</v>
      </c>
      <c r="K20" s="188">
        <v>0</v>
      </c>
      <c r="L20" s="189"/>
      <c r="M20" s="190"/>
      <c r="N20" s="191"/>
      <c r="O20" s="199" t="s">
        <v>93</v>
      </c>
    </row>
    <row r="21" spans="2:21" ht="20.100000000000001" customHeight="1" thickBot="1">
      <c r="B21" s="182">
        <v>15</v>
      </c>
      <c r="C21" s="183" t="s">
        <v>94</v>
      </c>
      <c r="D21" s="184" t="s">
        <v>95</v>
      </c>
      <c r="E21" s="185" t="s">
        <v>83</v>
      </c>
      <c r="F21" s="184" t="s">
        <v>13</v>
      </c>
      <c r="G21" s="186" t="s">
        <v>75</v>
      </c>
      <c r="H21" s="187"/>
      <c r="I21" s="188">
        <v>2</v>
      </c>
      <c r="J21" s="184" t="s">
        <v>13</v>
      </c>
      <c r="K21" s="188">
        <v>1</v>
      </c>
      <c r="L21" s="189"/>
      <c r="M21" s="190"/>
      <c r="N21" s="191"/>
      <c r="P21" s="192" t="s">
        <v>16</v>
      </c>
      <c r="Q21" s="193" t="s">
        <v>17</v>
      </c>
      <c r="R21" s="193" t="s">
        <v>18</v>
      </c>
      <c r="S21" s="193" t="s">
        <v>19</v>
      </c>
      <c r="T21" s="193" t="s">
        <v>20</v>
      </c>
      <c r="U21" s="193" t="s">
        <v>21</v>
      </c>
    </row>
    <row r="22" spans="2:21" ht="20.100000000000001" customHeight="1">
      <c r="B22" s="182">
        <v>16</v>
      </c>
      <c r="C22" s="183" t="s">
        <v>96</v>
      </c>
      <c r="D22" s="184" t="s">
        <v>95</v>
      </c>
      <c r="E22" s="185" t="s">
        <v>60</v>
      </c>
      <c r="F22" s="184" t="s">
        <v>13</v>
      </c>
      <c r="G22" s="186" t="s">
        <v>68</v>
      </c>
      <c r="H22" s="187"/>
      <c r="I22" s="188">
        <v>2</v>
      </c>
      <c r="J22" s="184" t="s">
        <v>13</v>
      </c>
      <c r="K22" s="188">
        <v>1</v>
      </c>
      <c r="L22" s="189"/>
      <c r="M22" s="190"/>
      <c r="N22" s="191"/>
      <c r="P22" s="200" t="s">
        <v>12</v>
      </c>
      <c r="Q22" s="200" t="s">
        <v>32</v>
      </c>
      <c r="R22" s="200" t="s">
        <v>46</v>
      </c>
      <c r="S22" s="200" t="s">
        <v>35</v>
      </c>
      <c r="T22" s="200" t="s">
        <v>42</v>
      </c>
      <c r="U22" s="200" t="s">
        <v>29</v>
      </c>
    </row>
    <row r="23" spans="2:21" ht="20.100000000000001" customHeight="1">
      <c r="B23" s="182">
        <v>17</v>
      </c>
      <c r="C23" s="183" t="s">
        <v>97</v>
      </c>
      <c r="D23" s="184" t="s">
        <v>98</v>
      </c>
      <c r="E23" s="185" t="s">
        <v>62</v>
      </c>
      <c r="F23" s="184" t="s">
        <v>13</v>
      </c>
      <c r="G23" s="186" t="s">
        <v>77</v>
      </c>
      <c r="H23" s="187"/>
      <c r="I23" s="188">
        <v>3</v>
      </c>
      <c r="J23" s="184" t="s">
        <v>13</v>
      </c>
      <c r="K23" s="188">
        <v>0</v>
      </c>
      <c r="L23" s="189"/>
      <c r="M23" s="190"/>
      <c r="N23" s="191"/>
      <c r="P23" s="198" t="s">
        <v>14</v>
      </c>
      <c r="Q23" s="198" t="s">
        <v>33</v>
      </c>
      <c r="R23" s="198" t="s">
        <v>34</v>
      </c>
      <c r="S23" s="198" t="s">
        <v>40</v>
      </c>
      <c r="T23" s="198" t="s">
        <v>36</v>
      </c>
      <c r="U23" s="198" t="s">
        <v>43</v>
      </c>
    </row>
    <row r="24" spans="2:21" ht="20.100000000000001" customHeight="1">
      <c r="B24" s="182">
        <v>18</v>
      </c>
      <c r="C24" s="183" t="s">
        <v>99</v>
      </c>
      <c r="D24" s="184" t="s">
        <v>98</v>
      </c>
      <c r="E24" s="185" t="s">
        <v>85</v>
      </c>
      <c r="F24" s="184" t="s">
        <v>13</v>
      </c>
      <c r="G24" s="186" t="s">
        <v>70</v>
      </c>
      <c r="H24" s="187"/>
      <c r="I24" s="188">
        <v>0</v>
      </c>
      <c r="J24" s="184" t="s">
        <v>13</v>
      </c>
      <c r="K24" s="188">
        <v>3</v>
      </c>
      <c r="L24" s="189"/>
      <c r="M24" s="190"/>
      <c r="N24" s="191"/>
      <c r="P24" s="198" t="s">
        <v>23</v>
      </c>
      <c r="Q24" s="198" t="s">
        <v>47</v>
      </c>
      <c r="R24" s="198" t="s">
        <v>26</v>
      </c>
      <c r="S24" s="198" t="s">
        <v>48</v>
      </c>
      <c r="T24" s="198" t="s">
        <v>28</v>
      </c>
      <c r="U24" s="198" t="s">
        <v>37</v>
      </c>
    </row>
    <row r="25" spans="2:21" ht="20.100000000000001" customHeight="1">
      <c r="B25" s="182">
        <v>19</v>
      </c>
      <c r="C25" s="183" t="s">
        <v>100</v>
      </c>
      <c r="D25" s="184" t="s">
        <v>101</v>
      </c>
      <c r="E25" s="185" t="s">
        <v>63</v>
      </c>
      <c r="F25" s="184" t="s">
        <v>13</v>
      </c>
      <c r="G25" s="186" t="s">
        <v>78</v>
      </c>
      <c r="H25" s="187"/>
      <c r="I25" s="188">
        <v>3</v>
      </c>
      <c r="J25" s="184" t="s">
        <v>13</v>
      </c>
      <c r="K25" s="188">
        <v>0</v>
      </c>
      <c r="L25" s="189"/>
      <c r="M25" s="190"/>
      <c r="N25" s="191"/>
      <c r="P25" s="198" t="s">
        <v>24</v>
      </c>
      <c r="Q25" s="198" t="s">
        <v>25</v>
      </c>
      <c r="R25" s="198" t="s">
        <v>41</v>
      </c>
      <c r="S25" s="198" t="s">
        <v>27</v>
      </c>
      <c r="T25" s="198" t="s">
        <v>49</v>
      </c>
      <c r="U25" s="198" t="s">
        <v>50</v>
      </c>
    </row>
    <row r="26" spans="2:21" ht="20.100000000000001" customHeight="1" thickBot="1">
      <c r="B26" s="182">
        <v>20</v>
      </c>
      <c r="C26" s="183" t="s">
        <v>102</v>
      </c>
      <c r="D26" s="184" t="s">
        <v>101</v>
      </c>
      <c r="E26" s="185" t="s">
        <v>71</v>
      </c>
      <c r="F26" s="184" t="s">
        <v>13</v>
      </c>
      <c r="G26" s="186" t="s">
        <v>86</v>
      </c>
      <c r="H26" s="187"/>
      <c r="I26" s="188">
        <v>3</v>
      </c>
      <c r="J26" s="184" t="s">
        <v>13</v>
      </c>
      <c r="K26" s="188">
        <v>0</v>
      </c>
      <c r="L26" s="189"/>
      <c r="M26" s="190"/>
      <c r="N26" s="191"/>
    </row>
    <row r="27" spans="2:21" ht="20.100000000000001" customHeight="1" thickBot="1">
      <c r="B27" s="182">
        <v>21</v>
      </c>
      <c r="C27" s="183" t="s">
        <v>103</v>
      </c>
      <c r="D27" s="184" t="s">
        <v>104</v>
      </c>
      <c r="E27" s="185" t="s">
        <v>80</v>
      </c>
      <c r="F27" s="184" t="s">
        <v>13</v>
      </c>
      <c r="G27" s="186" t="s">
        <v>88</v>
      </c>
      <c r="H27" s="187"/>
      <c r="I27" s="188">
        <v>2</v>
      </c>
      <c r="J27" s="184" t="s">
        <v>13</v>
      </c>
      <c r="K27" s="188">
        <v>1</v>
      </c>
      <c r="L27" s="189"/>
      <c r="M27" s="190"/>
      <c r="N27" s="191"/>
      <c r="P27" s="192" t="s">
        <v>53</v>
      </c>
      <c r="Q27" s="193" t="s">
        <v>54</v>
      </c>
      <c r="R27" s="193" t="s">
        <v>55</v>
      </c>
      <c r="S27" s="193" t="s">
        <v>56</v>
      </c>
      <c r="T27" s="193" t="s">
        <v>57</v>
      </c>
      <c r="U27" s="193" t="s">
        <v>58</v>
      </c>
    </row>
    <row r="28" spans="2:21" ht="20.100000000000001" customHeight="1">
      <c r="B28" s="182">
        <v>22</v>
      </c>
      <c r="C28" s="183" t="s">
        <v>105</v>
      </c>
      <c r="D28" s="184" t="s">
        <v>104</v>
      </c>
      <c r="E28" s="185" t="s">
        <v>65</v>
      </c>
      <c r="F28" s="184" t="s">
        <v>13</v>
      </c>
      <c r="G28" s="186" t="s">
        <v>73</v>
      </c>
      <c r="H28" s="187"/>
      <c r="I28" s="188">
        <v>2</v>
      </c>
      <c r="J28" s="184" t="s">
        <v>13</v>
      </c>
      <c r="K28" s="188">
        <v>1</v>
      </c>
      <c r="L28" s="189"/>
      <c r="M28" s="190"/>
      <c r="N28" s="191"/>
      <c r="P28" s="200" t="s">
        <v>83</v>
      </c>
      <c r="Q28" s="200" t="s">
        <v>84</v>
      </c>
      <c r="R28" s="200" t="s">
        <v>62</v>
      </c>
      <c r="S28" s="200" t="s">
        <v>63</v>
      </c>
      <c r="T28" s="200" t="s">
        <v>64</v>
      </c>
      <c r="U28" s="200" t="s">
        <v>80</v>
      </c>
    </row>
    <row r="29" spans="2:21" ht="20.100000000000001" customHeight="1">
      <c r="B29" s="182">
        <v>23</v>
      </c>
      <c r="C29" s="183" t="s">
        <v>106</v>
      </c>
      <c r="D29" s="184" t="s">
        <v>107</v>
      </c>
      <c r="E29" s="185" t="s">
        <v>64</v>
      </c>
      <c r="F29" s="184" t="s">
        <v>13</v>
      </c>
      <c r="G29" s="186" t="s">
        <v>87</v>
      </c>
      <c r="H29" s="187"/>
      <c r="I29" s="188">
        <v>3</v>
      </c>
      <c r="J29" s="184" t="s">
        <v>13</v>
      </c>
      <c r="K29" s="188">
        <v>0</v>
      </c>
      <c r="L29" s="189"/>
      <c r="M29" s="190"/>
      <c r="N29" s="191"/>
      <c r="P29" s="198" t="s">
        <v>75</v>
      </c>
      <c r="Q29" s="198" t="s">
        <v>69</v>
      </c>
      <c r="R29" s="198" t="s">
        <v>77</v>
      </c>
      <c r="S29" s="198" t="s">
        <v>78</v>
      </c>
      <c r="T29" s="198" t="s">
        <v>87</v>
      </c>
      <c r="U29" s="198" t="s">
        <v>88</v>
      </c>
    </row>
    <row r="30" spans="2:21" ht="20.100000000000001" customHeight="1">
      <c r="B30" s="182">
        <v>24</v>
      </c>
      <c r="C30" s="183" t="s">
        <v>108</v>
      </c>
      <c r="D30" s="184" t="s">
        <v>107</v>
      </c>
      <c r="E30" s="185" t="s">
        <v>79</v>
      </c>
      <c r="F30" s="184" t="s">
        <v>13</v>
      </c>
      <c r="G30" s="186" t="s">
        <v>72</v>
      </c>
      <c r="H30" s="187"/>
      <c r="I30" s="188">
        <v>0</v>
      </c>
      <c r="J30" s="184" t="s">
        <v>13</v>
      </c>
      <c r="K30" s="188">
        <v>3</v>
      </c>
      <c r="L30" s="189"/>
      <c r="M30" s="190"/>
      <c r="N30" s="191"/>
      <c r="P30" s="198" t="s">
        <v>60</v>
      </c>
      <c r="Q30" s="198" t="s">
        <v>61</v>
      </c>
      <c r="R30" s="198" t="s">
        <v>85</v>
      </c>
      <c r="S30" s="198" t="s">
        <v>71</v>
      </c>
      <c r="T30" s="198" t="s">
        <v>79</v>
      </c>
      <c r="U30" s="198" t="s">
        <v>65</v>
      </c>
    </row>
    <row r="31" spans="2:21" ht="20.100000000000001" customHeight="1">
      <c r="B31" s="182">
        <v>25</v>
      </c>
      <c r="C31" s="183" t="s">
        <v>109</v>
      </c>
      <c r="D31" s="184" t="s">
        <v>11</v>
      </c>
      <c r="E31" s="185" t="s">
        <v>24</v>
      </c>
      <c r="F31" s="184" t="s">
        <v>13</v>
      </c>
      <c r="G31" s="186" t="s">
        <v>14</v>
      </c>
      <c r="H31" s="187"/>
      <c r="I31" s="188">
        <v>3</v>
      </c>
      <c r="J31" s="184" t="s">
        <v>13</v>
      </c>
      <c r="K31" s="188">
        <v>0</v>
      </c>
      <c r="L31" s="189"/>
      <c r="M31" s="190"/>
      <c r="N31" s="191"/>
      <c r="P31" s="198" t="s">
        <v>68</v>
      </c>
      <c r="Q31" s="198" t="s">
        <v>76</v>
      </c>
      <c r="R31" s="198" t="s">
        <v>70</v>
      </c>
      <c r="S31" s="198" t="s">
        <v>86</v>
      </c>
      <c r="T31" s="198" t="s">
        <v>72</v>
      </c>
      <c r="U31" s="198" t="s">
        <v>73</v>
      </c>
    </row>
    <row r="32" spans="2:21" ht="20.100000000000001" customHeight="1">
      <c r="B32" s="182">
        <v>26</v>
      </c>
      <c r="C32" s="183" t="s">
        <v>110</v>
      </c>
      <c r="D32" s="184" t="s">
        <v>31</v>
      </c>
      <c r="E32" s="185" t="s">
        <v>25</v>
      </c>
      <c r="F32" s="184" t="s">
        <v>13</v>
      </c>
      <c r="G32" s="186" t="s">
        <v>33</v>
      </c>
      <c r="H32" s="187"/>
      <c r="I32" s="188">
        <v>3</v>
      </c>
      <c r="J32" s="184" t="s">
        <v>13</v>
      </c>
      <c r="K32" s="188">
        <v>0</v>
      </c>
      <c r="L32" s="189"/>
      <c r="M32" s="190"/>
      <c r="N32" s="191"/>
    </row>
    <row r="33" spans="2:22" ht="20.100000000000001" customHeight="1">
      <c r="B33" s="182">
        <v>27</v>
      </c>
      <c r="C33" s="183" t="s">
        <v>111</v>
      </c>
      <c r="D33" s="184" t="s">
        <v>31</v>
      </c>
      <c r="E33" s="185" t="s">
        <v>32</v>
      </c>
      <c r="F33" s="184" t="s">
        <v>13</v>
      </c>
      <c r="G33" s="186" t="s">
        <v>47</v>
      </c>
      <c r="H33" s="187"/>
      <c r="I33" s="188">
        <v>3</v>
      </c>
      <c r="J33" s="184" t="s">
        <v>13</v>
      </c>
      <c r="K33" s="188">
        <v>0</v>
      </c>
      <c r="L33" s="189"/>
      <c r="M33" s="190"/>
      <c r="N33" s="191"/>
      <c r="P33" s="191"/>
      <c r="R33" s="191"/>
      <c r="T33" s="191"/>
      <c r="V33" s="191"/>
    </row>
    <row r="34" spans="2:22" ht="20.100000000000001" customHeight="1">
      <c r="B34" s="182">
        <v>28</v>
      </c>
      <c r="C34" s="183" t="s">
        <v>112</v>
      </c>
      <c r="D34" s="184" t="s">
        <v>11</v>
      </c>
      <c r="E34" s="185" t="s">
        <v>12</v>
      </c>
      <c r="F34" s="184" t="s">
        <v>13</v>
      </c>
      <c r="G34" s="186" t="s">
        <v>23</v>
      </c>
      <c r="H34" s="187"/>
      <c r="I34" s="188">
        <v>3</v>
      </c>
      <c r="J34" s="184" t="s">
        <v>13</v>
      </c>
      <c r="K34" s="188">
        <v>0</v>
      </c>
      <c r="L34" s="189"/>
      <c r="M34" s="190"/>
      <c r="N34" s="191"/>
      <c r="P34" s="191"/>
      <c r="Q34" s="191"/>
      <c r="R34" s="191"/>
      <c r="S34" s="191"/>
      <c r="T34" s="191"/>
      <c r="U34" s="191"/>
      <c r="V34" s="191"/>
    </row>
    <row r="35" spans="2:22" ht="20.100000000000001" customHeight="1">
      <c r="B35" s="182">
        <v>29</v>
      </c>
      <c r="C35" s="183" t="s">
        <v>113</v>
      </c>
      <c r="D35" s="184" t="s">
        <v>45</v>
      </c>
      <c r="E35" s="185" t="s">
        <v>26</v>
      </c>
      <c r="F35" s="184" t="s">
        <v>13</v>
      </c>
      <c r="G35" s="186" t="s">
        <v>46</v>
      </c>
      <c r="H35" s="187"/>
      <c r="I35" s="188">
        <v>3</v>
      </c>
      <c r="J35" s="184" t="s">
        <v>13</v>
      </c>
      <c r="K35" s="188">
        <v>0</v>
      </c>
      <c r="L35" s="189"/>
      <c r="M35" s="190"/>
      <c r="N35" s="191"/>
      <c r="P35" s="191"/>
      <c r="Q35" s="191"/>
      <c r="R35" s="191"/>
      <c r="S35" s="191"/>
      <c r="T35" s="191"/>
      <c r="U35" s="191"/>
      <c r="V35" s="191"/>
    </row>
    <row r="36" spans="2:22" ht="20.100000000000001" customHeight="1">
      <c r="B36" s="182">
        <v>30</v>
      </c>
      <c r="C36" s="183" t="s">
        <v>114</v>
      </c>
      <c r="D36" s="184" t="s">
        <v>45</v>
      </c>
      <c r="E36" s="185" t="s">
        <v>34</v>
      </c>
      <c r="F36" s="184" t="s">
        <v>13</v>
      </c>
      <c r="G36" s="186" t="s">
        <v>41</v>
      </c>
      <c r="H36" s="187"/>
      <c r="I36" s="188">
        <v>1</v>
      </c>
      <c r="J36" s="184" t="s">
        <v>13</v>
      </c>
      <c r="K36" s="188">
        <v>2</v>
      </c>
      <c r="L36" s="189"/>
      <c r="M36" s="190"/>
      <c r="N36" s="191"/>
      <c r="P36" s="191"/>
      <c r="Q36" s="191"/>
      <c r="R36" s="191"/>
      <c r="S36" s="191"/>
      <c r="T36" s="191"/>
      <c r="U36" s="191"/>
      <c r="V36" s="191"/>
    </row>
    <row r="37" spans="2:22" ht="20.100000000000001" customHeight="1">
      <c r="B37" s="182">
        <v>31</v>
      </c>
      <c r="C37" s="183" t="s">
        <v>115</v>
      </c>
      <c r="D37" s="184" t="s">
        <v>39</v>
      </c>
      <c r="E37" s="185" t="s">
        <v>27</v>
      </c>
      <c r="F37" s="184" t="s">
        <v>13</v>
      </c>
      <c r="G37" s="186" t="s">
        <v>40</v>
      </c>
      <c r="H37" s="187"/>
      <c r="I37" s="188">
        <v>2</v>
      </c>
      <c r="J37" s="184" t="s">
        <v>13</v>
      </c>
      <c r="K37" s="188">
        <v>1</v>
      </c>
      <c r="L37" s="189"/>
      <c r="M37" s="190"/>
      <c r="N37" s="191"/>
      <c r="P37" s="191"/>
      <c r="Q37" s="191"/>
      <c r="R37" s="191"/>
      <c r="S37" s="191"/>
      <c r="T37" s="191"/>
      <c r="U37" s="191"/>
      <c r="V37" s="191"/>
    </row>
    <row r="38" spans="2:22" ht="20.100000000000001" customHeight="1">
      <c r="B38" s="182">
        <v>32</v>
      </c>
      <c r="C38" s="183" t="s">
        <v>116</v>
      </c>
      <c r="D38" s="184" t="s">
        <v>39</v>
      </c>
      <c r="E38" s="185" t="s">
        <v>35</v>
      </c>
      <c r="F38" s="184" t="s">
        <v>13</v>
      </c>
      <c r="G38" s="186" t="s">
        <v>48</v>
      </c>
      <c r="H38" s="187"/>
      <c r="I38" s="188">
        <v>3</v>
      </c>
      <c r="J38" s="184" t="s">
        <v>13</v>
      </c>
      <c r="K38" s="188">
        <v>0</v>
      </c>
      <c r="L38" s="189"/>
      <c r="M38" s="190"/>
      <c r="N38" s="191"/>
      <c r="P38" s="191"/>
      <c r="R38" s="191"/>
      <c r="T38" s="191"/>
      <c r="V38" s="191"/>
    </row>
    <row r="39" spans="2:22" ht="20.100000000000001" customHeight="1">
      <c r="B39" s="182">
        <v>33</v>
      </c>
      <c r="C39" s="183" t="s">
        <v>117</v>
      </c>
      <c r="D39" s="184" t="s">
        <v>67</v>
      </c>
      <c r="E39" s="185" t="s">
        <v>28</v>
      </c>
      <c r="F39" s="184" t="s">
        <v>13</v>
      </c>
      <c r="G39" s="186" t="s">
        <v>42</v>
      </c>
      <c r="H39" s="187"/>
      <c r="I39" s="188">
        <v>3</v>
      </c>
      <c r="J39" s="184" t="s">
        <v>13</v>
      </c>
      <c r="K39" s="188">
        <v>0</v>
      </c>
      <c r="L39" s="189"/>
      <c r="M39" s="190"/>
      <c r="N39" s="191"/>
      <c r="P39" s="191"/>
      <c r="Q39" s="191"/>
      <c r="R39" s="191"/>
      <c r="S39" s="191"/>
      <c r="T39" s="191"/>
      <c r="U39" s="191"/>
      <c r="V39" s="191"/>
    </row>
    <row r="40" spans="2:22" ht="20.100000000000001" customHeight="1">
      <c r="B40" s="182">
        <v>34</v>
      </c>
      <c r="C40" s="183" t="s">
        <v>118</v>
      </c>
      <c r="D40" s="184" t="s">
        <v>67</v>
      </c>
      <c r="E40" s="185" t="s">
        <v>36</v>
      </c>
      <c r="F40" s="184" t="s">
        <v>13</v>
      </c>
      <c r="G40" s="186" t="s">
        <v>49</v>
      </c>
      <c r="H40" s="187"/>
      <c r="I40" s="188">
        <v>3</v>
      </c>
      <c r="J40" s="184" t="s">
        <v>13</v>
      </c>
      <c r="K40" s="188">
        <v>0</v>
      </c>
      <c r="L40" s="189"/>
      <c r="M40" s="190"/>
      <c r="N40" s="191"/>
      <c r="P40" s="191"/>
      <c r="Q40" s="191"/>
      <c r="R40" s="191"/>
      <c r="S40" s="191"/>
      <c r="T40" s="191"/>
      <c r="U40" s="191"/>
      <c r="V40" s="191"/>
    </row>
    <row r="41" spans="2:22" ht="20.100000000000001" customHeight="1">
      <c r="B41" s="182">
        <v>35</v>
      </c>
      <c r="C41" s="183" t="s">
        <v>119</v>
      </c>
      <c r="D41" s="184" t="s">
        <v>82</v>
      </c>
      <c r="E41" s="185" t="s">
        <v>29</v>
      </c>
      <c r="F41" s="184" t="s">
        <v>13</v>
      </c>
      <c r="G41" s="186" t="s">
        <v>37</v>
      </c>
      <c r="H41" s="187"/>
      <c r="I41" s="188">
        <v>2</v>
      </c>
      <c r="J41" s="184" t="s">
        <v>13</v>
      </c>
      <c r="K41" s="188">
        <v>1</v>
      </c>
      <c r="L41" s="189"/>
      <c r="M41" s="190"/>
      <c r="N41" s="191"/>
      <c r="P41" s="191"/>
      <c r="Q41" s="191"/>
      <c r="R41" s="191"/>
      <c r="S41" s="191"/>
      <c r="T41" s="191"/>
      <c r="U41" s="191"/>
    </row>
    <row r="42" spans="2:22" ht="20.100000000000001" customHeight="1">
      <c r="B42" s="182">
        <v>36</v>
      </c>
      <c r="C42" s="183" t="s">
        <v>120</v>
      </c>
      <c r="D42" s="184" t="s">
        <v>82</v>
      </c>
      <c r="E42" s="185" t="s">
        <v>50</v>
      </c>
      <c r="F42" s="184" t="s">
        <v>13</v>
      </c>
      <c r="G42" s="186" t="s">
        <v>43</v>
      </c>
      <c r="H42" s="187"/>
      <c r="I42" s="188">
        <v>0</v>
      </c>
      <c r="J42" s="184" t="s">
        <v>13</v>
      </c>
      <c r="K42" s="188">
        <v>3</v>
      </c>
      <c r="L42" s="189"/>
      <c r="M42" s="190"/>
      <c r="N42" s="191"/>
      <c r="P42" s="191"/>
      <c r="Q42" s="191"/>
      <c r="R42" s="191"/>
      <c r="S42" s="191"/>
      <c r="T42" s="191"/>
      <c r="U42" s="191"/>
    </row>
    <row r="43" spans="2:22" ht="20.100000000000001" customHeight="1">
      <c r="B43" s="182">
        <v>37</v>
      </c>
      <c r="C43" s="183" t="s">
        <v>121</v>
      </c>
      <c r="D43" s="184" t="s">
        <v>91</v>
      </c>
      <c r="E43" s="185" t="s">
        <v>69</v>
      </c>
      <c r="F43" s="184" t="s">
        <v>13</v>
      </c>
      <c r="G43" s="186" t="s">
        <v>76</v>
      </c>
      <c r="H43" s="187"/>
      <c r="I43" s="188">
        <v>3</v>
      </c>
      <c r="J43" s="184" t="s">
        <v>13</v>
      </c>
      <c r="K43" s="188">
        <v>0</v>
      </c>
      <c r="L43" s="189"/>
      <c r="M43" s="190"/>
    </row>
    <row r="44" spans="2:22" ht="20.100000000000001" customHeight="1">
      <c r="B44" s="182">
        <v>38</v>
      </c>
      <c r="C44" s="183" t="s">
        <v>122</v>
      </c>
      <c r="D44" s="184" t="s">
        <v>91</v>
      </c>
      <c r="E44" s="185" t="s">
        <v>61</v>
      </c>
      <c r="F44" s="184" t="s">
        <v>13</v>
      </c>
      <c r="G44" s="186" t="s">
        <v>84</v>
      </c>
      <c r="H44" s="187"/>
      <c r="I44" s="188">
        <v>3</v>
      </c>
      <c r="J44" s="184" t="s">
        <v>13</v>
      </c>
      <c r="K44" s="188">
        <v>0</v>
      </c>
      <c r="L44" s="189"/>
      <c r="M44" s="190"/>
    </row>
    <row r="45" spans="2:22" ht="20.100000000000001" customHeight="1">
      <c r="B45" s="182">
        <v>39</v>
      </c>
      <c r="C45" s="183" t="s">
        <v>123</v>
      </c>
      <c r="D45" s="184" t="s">
        <v>95</v>
      </c>
      <c r="E45" s="185" t="s">
        <v>60</v>
      </c>
      <c r="F45" s="184" t="s">
        <v>13</v>
      </c>
      <c r="G45" s="186" t="s">
        <v>83</v>
      </c>
      <c r="H45" s="187"/>
      <c r="I45" s="188">
        <v>3</v>
      </c>
      <c r="J45" s="184" t="s">
        <v>13</v>
      </c>
      <c r="K45" s="188">
        <v>0</v>
      </c>
      <c r="L45" s="189"/>
      <c r="M45" s="190"/>
    </row>
    <row r="46" spans="2:22" ht="20.100000000000001" customHeight="1">
      <c r="B46" s="182">
        <v>40</v>
      </c>
      <c r="C46" s="183" t="s">
        <v>124</v>
      </c>
      <c r="D46" s="184" t="s">
        <v>95</v>
      </c>
      <c r="E46" s="185" t="s">
        <v>75</v>
      </c>
      <c r="F46" s="184" t="s">
        <v>13</v>
      </c>
      <c r="G46" s="186" t="s">
        <v>68</v>
      </c>
      <c r="H46" s="187"/>
      <c r="I46" s="188">
        <v>0</v>
      </c>
      <c r="J46" s="184" t="s">
        <v>13</v>
      </c>
      <c r="K46" s="188">
        <v>3</v>
      </c>
      <c r="L46" s="189"/>
      <c r="M46" s="190"/>
    </row>
    <row r="47" spans="2:22" ht="20.100000000000001" customHeight="1">
      <c r="B47" s="182">
        <v>41</v>
      </c>
      <c r="C47" s="183" t="s">
        <v>125</v>
      </c>
      <c r="D47" s="184" t="s">
        <v>98</v>
      </c>
      <c r="E47" s="185" t="s">
        <v>70</v>
      </c>
      <c r="F47" s="184" t="s">
        <v>13</v>
      </c>
      <c r="G47" s="186" t="s">
        <v>77</v>
      </c>
      <c r="H47" s="187"/>
      <c r="I47" s="188">
        <v>2</v>
      </c>
      <c r="J47" s="184" t="s">
        <v>13</v>
      </c>
      <c r="K47" s="188">
        <v>1</v>
      </c>
      <c r="L47" s="189"/>
      <c r="M47" s="190"/>
    </row>
    <row r="48" spans="2:22" ht="20.100000000000001" customHeight="1">
      <c r="B48" s="182">
        <v>42</v>
      </c>
      <c r="C48" s="183" t="s">
        <v>126</v>
      </c>
      <c r="D48" s="184" t="s">
        <v>98</v>
      </c>
      <c r="E48" s="185" t="s">
        <v>62</v>
      </c>
      <c r="F48" s="184" t="s">
        <v>13</v>
      </c>
      <c r="G48" s="186" t="s">
        <v>85</v>
      </c>
      <c r="H48" s="187"/>
      <c r="I48" s="188">
        <v>3</v>
      </c>
      <c r="J48" s="184" t="s">
        <v>13</v>
      </c>
      <c r="K48" s="188">
        <v>0</v>
      </c>
      <c r="L48" s="189"/>
      <c r="M48" s="190"/>
    </row>
    <row r="49" spans="2:13" ht="20.100000000000001" customHeight="1">
      <c r="B49" s="182">
        <v>43</v>
      </c>
      <c r="C49" s="183" t="s">
        <v>127</v>
      </c>
      <c r="D49" s="184" t="s">
        <v>101</v>
      </c>
      <c r="E49" s="185" t="s">
        <v>63</v>
      </c>
      <c r="F49" s="184" t="s">
        <v>13</v>
      </c>
      <c r="G49" s="186" t="s">
        <v>71</v>
      </c>
      <c r="H49" s="187"/>
      <c r="I49" s="188">
        <v>2</v>
      </c>
      <c r="J49" s="184" t="s">
        <v>13</v>
      </c>
      <c r="K49" s="188">
        <v>1</v>
      </c>
      <c r="L49" s="189"/>
      <c r="M49" s="190"/>
    </row>
    <row r="50" spans="2:13" ht="20.100000000000001" customHeight="1">
      <c r="B50" s="182">
        <v>44</v>
      </c>
      <c r="C50" s="183" t="s">
        <v>128</v>
      </c>
      <c r="D50" s="184" t="s">
        <v>101</v>
      </c>
      <c r="E50" s="185" t="s">
        <v>86</v>
      </c>
      <c r="F50" s="184" t="s">
        <v>13</v>
      </c>
      <c r="G50" s="186" t="s">
        <v>78</v>
      </c>
      <c r="H50" s="187"/>
      <c r="I50" s="188">
        <v>1</v>
      </c>
      <c r="J50" s="184" t="s">
        <v>13</v>
      </c>
      <c r="K50" s="188">
        <v>2</v>
      </c>
      <c r="L50" s="189"/>
      <c r="M50" s="190"/>
    </row>
    <row r="51" spans="2:13" ht="20.100000000000001" customHeight="1">
      <c r="B51" s="182">
        <v>45</v>
      </c>
      <c r="C51" s="183" t="s">
        <v>129</v>
      </c>
      <c r="D51" s="184" t="s">
        <v>104</v>
      </c>
      <c r="E51" s="185" t="s">
        <v>65</v>
      </c>
      <c r="F51" s="184" t="s">
        <v>13</v>
      </c>
      <c r="G51" s="186" t="s">
        <v>80</v>
      </c>
      <c r="H51" s="187"/>
      <c r="I51" s="188">
        <v>3</v>
      </c>
      <c r="J51" s="184" t="s">
        <v>13</v>
      </c>
      <c r="K51" s="188">
        <v>0</v>
      </c>
      <c r="L51" s="189"/>
      <c r="M51" s="190"/>
    </row>
    <row r="52" spans="2:13" ht="20.100000000000001" customHeight="1">
      <c r="B52" s="182">
        <v>46</v>
      </c>
      <c r="C52" s="183" t="s">
        <v>130</v>
      </c>
      <c r="D52" s="184" t="s">
        <v>104</v>
      </c>
      <c r="E52" s="185" t="s">
        <v>88</v>
      </c>
      <c r="F52" s="184" t="s">
        <v>13</v>
      </c>
      <c r="G52" s="186" t="s">
        <v>73</v>
      </c>
      <c r="H52" s="187"/>
      <c r="I52" s="188">
        <v>0</v>
      </c>
      <c r="J52" s="184" t="s">
        <v>13</v>
      </c>
      <c r="K52" s="188">
        <v>3</v>
      </c>
      <c r="L52" s="189"/>
      <c r="M52" s="190"/>
    </row>
    <row r="53" spans="2:13" ht="20.100000000000001" customHeight="1">
      <c r="B53" s="182">
        <v>47</v>
      </c>
      <c r="C53" s="183" t="s">
        <v>131</v>
      </c>
      <c r="D53" s="184" t="s">
        <v>107</v>
      </c>
      <c r="E53" s="185" t="s">
        <v>64</v>
      </c>
      <c r="F53" s="184" t="s">
        <v>13</v>
      </c>
      <c r="G53" s="186" t="s">
        <v>79</v>
      </c>
      <c r="H53" s="187"/>
      <c r="I53" s="188">
        <v>3</v>
      </c>
      <c r="J53" s="184" t="s">
        <v>13</v>
      </c>
      <c r="K53" s="188">
        <v>0</v>
      </c>
      <c r="L53" s="189"/>
      <c r="M53" s="190"/>
    </row>
    <row r="54" spans="2:13" ht="20.100000000000001" customHeight="1">
      <c r="B54" s="182">
        <v>48</v>
      </c>
      <c r="C54" s="183" t="s">
        <v>132</v>
      </c>
      <c r="D54" s="184" t="s">
        <v>107</v>
      </c>
      <c r="E54" s="185" t="s">
        <v>72</v>
      </c>
      <c r="F54" s="184" t="s">
        <v>13</v>
      </c>
      <c r="G54" s="186" t="s">
        <v>87</v>
      </c>
      <c r="H54" s="187"/>
      <c r="I54" s="188">
        <v>2</v>
      </c>
      <c r="J54" s="184" t="s">
        <v>13</v>
      </c>
      <c r="K54" s="188">
        <v>1</v>
      </c>
      <c r="L54" s="189"/>
      <c r="M54" s="190"/>
    </row>
    <row r="55" spans="2:13" ht="20.100000000000001" customHeight="1">
      <c r="B55" s="182">
        <v>49</v>
      </c>
      <c r="C55" s="183" t="s">
        <v>133</v>
      </c>
      <c r="D55" s="184" t="s">
        <v>45</v>
      </c>
      <c r="E55" s="185" t="s">
        <v>34</v>
      </c>
      <c r="F55" s="184" t="s">
        <v>13</v>
      </c>
      <c r="G55" s="186" t="s">
        <v>26</v>
      </c>
      <c r="H55" s="187"/>
      <c r="I55" s="188">
        <v>0</v>
      </c>
      <c r="J55" s="184" t="s">
        <v>13</v>
      </c>
      <c r="K55" s="188">
        <v>3</v>
      </c>
      <c r="L55" s="189"/>
      <c r="M55" s="190"/>
    </row>
    <row r="56" spans="2:13" ht="20.100000000000001" customHeight="1">
      <c r="B56" s="182">
        <v>50</v>
      </c>
      <c r="C56" s="183" t="s">
        <v>133</v>
      </c>
      <c r="D56" s="184" t="s">
        <v>45</v>
      </c>
      <c r="E56" s="185" t="s">
        <v>41</v>
      </c>
      <c r="F56" s="184" t="s">
        <v>13</v>
      </c>
      <c r="G56" s="186" t="s">
        <v>46</v>
      </c>
      <c r="H56" s="187"/>
      <c r="I56" s="188">
        <v>3</v>
      </c>
      <c r="J56" s="184" t="s">
        <v>13</v>
      </c>
      <c r="K56" s="188">
        <v>0</v>
      </c>
      <c r="L56" s="189"/>
      <c r="M56" s="190"/>
    </row>
    <row r="57" spans="2:13" ht="20.100000000000001" customHeight="1">
      <c r="B57" s="182">
        <v>51</v>
      </c>
      <c r="C57" s="183" t="s">
        <v>134</v>
      </c>
      <c r="D57" s="184" t="s">
        <v>31</v>
      </c>
      <c r="E57" s="185" t="s">
        <v>25</v>
      </c>
      <c r="F57" s="184" t="s">
        <v>13</v>
      </c>
      <c r="G57" s="186" t="s">
        <v>32</v>
      </c>
      <c r="H57" s="187"/>
      <c r="I57" s="188">
        <v>2</v>
      </c>
      <c r="J57" s="184" t="s">
        <v>13</v>
      </c>
      <c r="K57" s="188">
        <v>1</v>
      </c>
      <c r="L57" s="189"/>
      <c r="M57" s="190"/>
    </row>
    <row r="58" spans="2:13" ht="20.100000000000001" customHeight="1">
      <c r="B58" s="182">
        <v>52</v>
      </c>
      <c r="C58" s="183" t="s">
        <v>134</v>
      </c>
      <c r="D58" s="184" t="s">
        <v>31</v>
      </c>
      <c r="E58" s="185" t="s">
        <v>33</v>
      </c>
      <c r="F58" s="184" t="s">
        <v>13</v>
      </c>
      <c r="G58" s="186" t="s">
        <v>47</v>
      </c>
      <c r="H58" s="187"/>
      <c r="I58" s="188">
        <v>2</v>
      </c>
      <c r="J58" s="184" t="s">
        <v>13</v>
      </c>
      <c r="K58" s="188">
        <v>1</v>
      </c>
      <c r="L58" s="189"/>
      <c r="M58" s="190"/>
    </row>
    <row r="59" spans="2:13" ht="20.100000000000001" customHeight="1">
      <c r="B59" s="182">
        <v>53</v>
      </c>
      <c r="C59" s="183" t="s">
        <v>135</v>
      </c>
      <c r="D59" s="184" t="s">
        <v>11</v>
      </c>
      <c r="E59" s="185" t="s">
        <v>24</v>
      </c>
      <c r="F59" s="184" t="s">
        <v>13</v>
      </c>
      <c r="G59" s="186" t="s">
        <v>12</v>
      </c>
      <c r="H59" s="187"/>
      <c r="I59" s="188">
        <v>1</v>
      </c>
      <c r="J59" s="184" t="s">
        <v>13</v>
      </c>
      <c r="K59" s="188">
        <v>2</v>
      </c>
      <c r="L59" s="189"/>
      <c r="M59" s="190"/>
    </row>
    <row r="60" spans="2:13" ht="20.100000000000001" customHeight="1">
      <c r="B60" s="182">
        <v>54</v>
      </c>
      <c r="C60" s="183" t="s">
        <v>135</v>
      </c>
      <c r="D60" s="184" t="s">
        <v>11</v>
      </c>
      <c r="E60" s="185" t="s">
        <v>14</v>
      </c>
      <c r="F60" s="184" t="s">
        <v>13</v>
      </c>
      <c r="G60" s="186" t="s">
        <v>23</v>
      </c>
      <c r="H60" s="187"/>
      <c r="I60" s="188">
        <v>1</v>
      </c>
      <c r="J60" s="184" t="s">
        <v>13</v>
      </c>
      <c r="K60" s="188">
        <v>2</v>
      </c>
      <c r="L60" s="189"/>
      <c r="M60" s="190"/>
    </row>
    <row r="61" spans="2:13" ht="20.100000000000001" customHeight="1">
      <c r="B61" s="182">
        <v>55</v>
      </c>
      <c r="C61" s="183" t="s">
        <v>136</v>
      </c>
      <c r="D61" s="184" t="s">
        <v>67</v>
      </c>
      <c r="E61" s="185" t="s">
        <v>49</v>
      </c>
      <c r="F61" s="184" t="s">
        <v>13</v>
      </c>
      <c r="G61" s="186" t="s">
        <v>42</v>
      </c>
      <c r="H61" s="187"/>
      <c r="I61" s="188">
        <v>1</v>
      </c>
      <c r="J61" s="184" t="s">
        <v>13</v>
      </c>
      <c r="K61" s="188">
        <v>2</v>
      </c>
      <c r="L61" s="189"/>
      <c r="M61" s="190"/>
    </row>
    <row r="62" spans="2:13" ht="20.100000000000001" customHeight="1">
      <c r="B62" s="182">
        <v>56</v>
      </c>
      <c r="C62" s="183" t="s">
        <v>136</v>
      </c>
      <c r="D62" s="184" t="s">
        <v>67</v>
      </c>
      <c r="E62" s="185" t="s">
        <v>36</v>
      </c>
      <c r="F62" s="184" t="s">
        <v>13</v>
      </c>
      <c r="G62" s="186" t="s">
        <v>28</v>
      </c>
      <c r="H62" s="187"/>
      <c r="I62" s="188">
        <v>1</v>
      </c>
      <c r="J62" s="184" t="s">
        <v>13</v>
      </c>
      <c r="K62" s="188">
        <v>2</v>
      </c>
      <c r="L62" s="189"/>
      <c r="M62" s="190"/>
    </row>
    <row r="63" spans="2:13" ht="20.100000000000001" customHeight="1">
      <c r="B63" s="182">
        <v>57</v>
      </c>
      <c r="C63" s="183" t="s">
        <v>137</v>
      </c>
      <c r="D63" s="184" t="s">
        <v>82</v>
      </c>
      <c r="E63" s="185" t="s">
        <v>43</v>
      </c>
      <c r="F63" s="184" t="s">
        <v>13</v>
      </c>
      <c r="G63" s="186" t="s">
        <v>37</v>
      </c>
      <c r="H63" s="187"/>
      <c r="I63" s="188">
        <v>3</v>
      </c>
      <c r="J63" s="184" t="s">
        <v>13</v>
      </c>
      <c r="K63" s="188">
        <v>0</v>
      </c>
      <c r="L63" s="189"/>
      <c r="M63" s="190"/>
    </row>
    <row r="64" spans="2:13" ht="20.100000000000001" customHeight="1">
      <c r="B64" s="182">
        <v>58</v>
      </c>
      <c r="C64" s="183" t="s">
        <v>137</v>
      </c>
      <c r="D64" s="184" t="s">
        <v>82</v>
      </c>
      <c r="E64" s="185" t="s">
        <v>50</v>
      </c>
      <c r="F64" s="184" t="s">
        <v>13</v>
      </c>
      <c r="G64" s="186" t="s">
        <v>29</v>
      </c>
      <c r="H64" s="187"/>
      <c r="I64" s="188">
        <v>0</v>
      </c>
      <c r="J64" s="184" t="s">
        <v>13</v>
      </c>
      <c r="K64" s="188">
        <v>3</v>
      </c>
      <c r="L64" s="189"/>
      <c r="M64" s="190"/>
    </row>
    <row r="65" spans="2:14" ht="20.100000000000001" customHeight="1">
      <c r="B65" s="182">
        <v>59</v>
      </c>
      <c r="C65" s="183" t="s">
        <v>138</v>
      </c>
      <c r="D65" s="184" t="s">
        <v>39</v>
      </c>
      <c r="E65" s="185" t="s">
        <v>27</v>
      </c>
      <c r="F65" s="184" t="s">
        <v>13</v>
      </c>
      <c r="G65" s="186" t="s">
        <v>35</v>
      </c>
      <c r="H65" s="187"/>
      <c r="I65" s="188">
        <v>1</v>
      </c>
      <c r="J65" s="184" t="s">
        <v>13</v>
      </c>
      <c r="K65" s="188">
        <v>2</v>
      </c>
      <c r="L65" s="189"/>
      <c r="M65" s="190"/>
    </row>
    <row r="66" spans="2:14" ht="20.100000000000001" customHeight="1">
      <c r="B66" s="182">
        <v>60</v>
      </c>
      <c r="C66" s="183" t="s">
        <v>138</v>
      </c>
      <c r="D66" s="184" t="s">
        <v>39</v>
      </c>
      <c r="E66" s="185" t="s">
        <v>40</v>
      </c>
      <c r="F66" s="184" t="s">
        <v>13</v>
      </c>
      <c r="G66" s="186" t="s">
        <v>48</v>
      </c>
      <c r="H66" s="187"/>
      <c r="I66" s="188">
        <v>2</v>
      </c>
      <c r="J66" s="184" t="s">
        <v>13</v>
      </c>
      <c r="K66" s="188">
        <v>1</v>
      </c>
      <c r="L66" s="189"/>
      <c r="M66" s="190"/>
    </row>
    <row r="67" spans="2:14" ht="20.100000000000001" customHeight="1">
      <c r="B67" s="182">
        <v>61</v>
      </c>
      <c r="C67" s="183" t="s">
        <v>139</v>
      </c>
      <c r="D67" s="184" t="s">
        <v>98</v>
      </c>
      <c r="E67" s="185" t="s">
        <v>70</v>
      </c>
      <c r="F67" s="184" t="s">
        <v>13</v>
      </c>
      <c r="G67" s="186" t="s">
        <v>62</v>
      </c>
      <c r="H67" s="187"/>
      <c r="I67" s="188">
        <v>1</v>
      </c>
      <c r="J67" s="184" t="s">
        <v>13</v>
      </c>
      <c r="K67" s="188">
        <v>2</v>
      </c>
      <c r="L67" s="189"/>
      <c r="M67" s="190"/>
    </row>
    <row r="68" spans="2:14" ht="20.100000000000001" customHeight="1">
      <c r="B68" s="182">
        <v>62</v>
      </c>
      <c r="C68" s="183" t="s">
        <v>139</v>
      </c>
      <c r="D68" s="184" t="s">
        <v>98</v>
      </c>
      <c r="E68" s="185" t="s">
        <v>77</v>
      </c>
      <c r="F68" s="184" t="s">
        <v>13</v>
      </c>
      <c r="G68" s="186" t="s">
        <v>85</v>
      </c>
      <c r="H68" s="187"/>
      <c r="I68" s="188">
        <v>2</v>
      </c>
      <c r="J68" s="184" t="s">
        <v>13</v>
      </c>
      <c r="K68" s="188">
        <v>1</v>
      </c>
      <c r="L68" s="189"/>
      <c r="M68" s="190"/>
    </row>
    <row r="69" spans="2:14" ht="20.100000000000001" customHeight="1">
      <c r="B69" s="182">
        <v>63</v>
      </c>
      <c r="C69" s="183" t="s">
        <v>140</v>
      </c>
      <c r="D69" s="184" t="s">
        <v>95</v>
      </c>
      <c r="E69" s="185" t="s">
        <v>68</v>
      </c>
      <c r="F69" s="184" t="s">
        <v>13</v>
      </c>
      <c r="G69" s="186" t="s">
        <v>83</v>
      </c>
      <c r="H69" s="187"/>
      <c r="I69" s="188">
        <v>2</v>
      </c>
      <c r="J69" s="184" t="s">
        <v>13</v>
      </c>
      <c r="K69" s="188">
        <v>1</v>
      </c>
      <c r="L69" s="189"/>
      <c r="M69" s="190"/>
    </row>
    <row r="70" spans="2:14" ht="20.100000000000001" customHeight="1">
      <c r="B70" s="182">
        <v>64</v>
      </c>
      <c r="C70" s="183" t="s">
        <v>140</v>
      </c>
      <c r="D70" s="184" t="s">
        <v>95</v>
      </c>
      <c r="E70" s="185" t="s">
        <v>75</v>
      </c>
      <c r="F70" s="184" t="s">
        <v>13</v>
      </c>
      <c r="G70" s="186" t="s">
        <v>60</v>
      </c>
      <c r="H70" s="187"/>
      <c r="I70" s="188">
        <v>0</v>
      </c>
      <c r="J70" s="184" t="s">
        <v>13</v>
      </c>
      <c r="K70" s="188">
        <v>3</v>
      </c>
      <c r="L70" s="189"/>
      <c r="M70" s="190"/>
    </row>
    <row r="71" spans="2:14" ht="20.100000000000001" customHeight="1">
      <c r="B71" s="182">
        <v>65</v>
      </c>
      <c r="C71" s="183" t="s">
        <v>141</v>
      </c>
      <c r="D71" s="184" t="s">
        <v>91</v>
      </c>
      <c r="E71" s="185" t="s">
        <v>76</v>
      </c>
      <c r="F71" s="184" t="s">
        <v>13</v>
      </c>
      <c r="G71" s="186" t="s">
        <v>84</v>
      </c>
      <c r="H71" s="187"/>
      <c r="I71" s="188">
        <v>1</v>
      </c>
      <c r="J71" s="184" t="s">
        <v>13</v>
      </c>
      <c r="K71" s="188">
        <v>2</v>
      </c>
      <c r="L71" s="189"/>
      <c r="M71" s="190"/>
    </row>
    <row r="72" spans="2:14" ht="20.100000000000001" customHeight="1">
      <c r="B72" s="182">
        <v>66</v>
      </c>
      <c r="C72" s="183" t="s">
        <v>141</v>
      </c>
      <c r="D72" s="184" t="s">
        <v>91</v>
      </c>
      <c r="E72" s="185" t="s">
        <v>69</v>
      </c>
      <c r="F72" s="184" t="s">
        <v>13</v>
      </c>
      <c r="G72" s="186" t="s">
        <v>61</v>
      </c>
      <c r="H72" s="187"/>
      <c r="I72" s="188">
        <v>1</v>
      </c>
      <c r="J72" s="184" t="s">
        <v>13</v>
      </c>
      <c r="K72" s="188">
        <v>2</v>
      </c>
      <c r="L72" s="189"/>
      <c r="M72" s="190"/>
    </row>
    <row r="73" spans="2:14" ht="20.100000000000001" customHeight="1">
      <c r="B73" s="182">
        <v>67</v>
      </c>
      <c r="C73" s="183" t="s">
        <v>142</v>
      </c>
      <c r="D73" s="184" t="s">
        <v>104</v>
      </c>
      <c r="E73" s="185" t="s">
        <v>88</v>
      </c>
      <c r="F73" s="184" t="s">
        <v>13</v>
      </c>
      <c r="G73" s="186" t="s">
        <v>65</v>
      </c>
      <c r="H73" s="187"/>
      <c r="I73" s="188">
        <v>0</v>
      </c>
      <c r="J73" s="184" t="s">
        <v>13</v>
      </c>
      <c r="K73" s="188">
        <v>3</v>
      </c>
      <c r="L73" s="189"/>
      <c r="M73" s="190"/>
    </row>
    <row r="74" spans="2:14" ht="20.100000000000001" customHeight="1">
      <c r="B74" s="182">
        <v>68</v>
      </c>
      <c r="C74" s="183" t="s">
        <v>142</v>
      </c>
      <c r="D74" s="184" t="s">
        <v>104</v>
      </c>
      <c r="E74" s="185" t="s">
        <v>73</v>
      </c>
      <c r="F74" s="184" t="s">
        <v>13</v>
      </c>
      <c r="G74" s="186" t="s">
        <v>80</v>
      </c>
      <c r="H74" s="187"/>
      <c r="I74" s="188">
        <v>2</v>
      </c>
      <c r="J74" s="184" t="s">
        <v>13</v>
      </c>
      <c r="K74" s="188">
        <v>1</v>
      </c>
      <c r="L74" s="189"/>
      <c r="M74" s="190"/>
    </row>
    <row r="75" spans="2:14" ht="20.100000000000001" customHeight="1">
      <c r="B75" s="182">
        <v>69</v>
      </c>
      <c r="C75" s="183" t="s">
        <v>143</v>
      </c>
      <c r="D75" s="184" t="s">
        <v>101</v>
      </c>
      <c r="E75" s="185" t="s">
        <v>78</v>
      </c>
      <c r="F75" s="184" t="s">
        <v>13</v>
      </c>
      <c r="G75" s="186" t="s">
        <v>71</v>
      </c>
      <c r="H75" s="187"/>
      <c r="I75" s="188">
        <v>1</v>
      </c>
      <c r="J75" s="184" t="s">
        <v>13</v>
      </c>
      <c r="K75" s="188">
        <v>2</v>
      </c>
      <c r="L75" s="189"/>
      <c r="M75" s="190"/>
    </row>
    <row r="76" spans="2:14" ht="20.100000000000001" customHeight="1">
      <c r="B76" s="182">
        <v>70</v>
      </c>
      <c r="C76" s="183" t="s">
        <v>143</v>
      </c>
      <c r="D76" s="184" t="s">
        <v>101</v>
      </c>
      <c r="E76" s="185" t="s">
        <v>86</v>
      </c>
      <c r="F76" s="184" t="s">
        <v>13</v>
      </c>
      <c r="G76" s="186" t="s">
        <v>63</v>
      </c>
      <c r="H76" s="187"/>
      <c r="I76" s="188">
        <v>0</v>
      </c>
      <c r="J76" s="184" t="s">
        <v>13</v>
      </c>
      <c r="K76" s="188">
        <v>3</v>
      </c>
      <c r="L76" s="189"/>
      <c r="M76" s="190"/>
    </row>
    <row r="77" spans="2:14" ht="20.100000000000001" customHeight="1">
      <c r="B77" s="182">
        <v>71</v>
      </c>
      <c r="C77" s="183" t="s">
        <v>144</v>
      </c>
      <c r="D77" s="184" t="s">
        <v>107</v>
      </c>
      <c r="E77" s="185" t="s">
        <v>72</v>
      </c>
      <c r="F77" s="184" t="s">
        <v>13</v>
      </c>
      <c r="G77" s="186" t="s">
        <v>64</v>
      </c>
      <c r="H77" s="187"/>
      <c r="I77" s="188">
        <v>1</v>
      </c>
      <c r="J77" s="184" t="s">
        <v>13</v>
      </c>
      <c r="K77" s="188">
        <v>2</v>
      </c>
      <c r="L77" s="189"/>
      <c r="M77" s="190"/>
    </row>
    <row r="78" spans="2:14" ht="20.100000000000001" customHeight="1">
      <c r="B78" s="182">
        <v>72</v>
      </c>
      <c r="C78" s="183" t="s">
        <v>144</v>
      </c>
      <c r="D78" s="184" t="s">
        <v>107</v>
      </c>
      <c r="E78" s="185" t="s">
        <v>87</v>
      </c>
      <c r="F78" s="184" t="s">
        <v>13</v>
      </c>
      <c r="G78" s="186" t="s">
        <v>79</v>
      </c>
      <c r="H78" s="187"/>
      <c r="I78" s="188">
        <v>2</v>
      </c>
      <c r="J78" s="184" t="s">
        <v>13</v>
      </c>
      <c r="K78" s="188">
        <v>1</v>
      </c>
      <c r="L78" s="189"/>
      <c r="M78" s="190"/>
    </row>
    <row r="79" spans="2:14">
      <c r="D79" s="172" t="s">
        <v>145</v>
      </c>
      <c r="E79" s="201" t="s">
        <v>62</v>
      </c>
      <c r="F79" s="202" t="s">
        <v>13</v>
      </c>
      <c r="G79" s="201" t="s">
        <v>26</v>
      </c>
      <c r="L79" s="203"/>
      <c r="M79" s="203"/>
      <c r="N79" s="191"/>
    </row>
    <row r="80" spans="2:14" ht="15">
      <c r="C80" s="204"/>
      <c r="D80" s="172" t="s">
        <v>146</v>
      </c>
      <c r="E80" s="205" t="s">
        <v>61</v>
      </c>
      <c r="F80" s="202" t="s">
        <v>13</v>
      </c>
      <c r="G80" s="205" t="s">
        <v>63</v>
      </c>
      <c r="L80" s="206"/>
      <c r="M80" s="206"/>
      <c r="N80" s="191"/>
    </row>
    <row r="81" spans="1:14" ht="15">
      <c r="C81" s="204"/>
      <c r="F81" s="174"/>
      <c r="K81" s="174"/>
      <c r="L81" s="174"/>
      <c r="M81" s="174"/>
      <c r="N81" s="191"/>
    </row>
    <row r="82" spans="1:14">
      <c r="C82" s="204"/>
      <c r="F82" s="174"/>
      <c r="K82" s="174"/>
      <c r="L82" s="207" t="s">
        <v>147</v>
      </c>
      <c r="M82" s="208"/>
      <c r="N82" s="191"/>
    </row>
    <row r="83" spans="1:14" ht="15">
      <c r="C83" s="204"/>
      <c r="F83" s="174"/>
      <c r="K83" s="174"/>
      <c r="L83" s="174"/>
      <c r="M83" s="174"/>
      <c r="N83" s="191"/>
    </row>
    <row r="84" spans="1:14" ht="15">
      <c r="A84" s="172"/>
      <c r="C84" s="204"/>
      <c r="F84" s="174"/>
      <c r="G84" s="175"/>
      <c r="K84" s="174"/>
    </row>
    <row r="85" spans="1:14" ht="15">
      <c r="A85" s="172"/>
      <c r="C85" s="204"/>
      <c r="F85" s="174"/>
      <c r="G85" s="175"/>
      <c r="K85" s="174"/>
    </row>
    <row r="86" spans="1:14">
      <c r="A86" s="172"/>
      <c r="B86" s="209"/>
      <c r="C86" s="210"/>
      <c r="F86" s="174"/>
      <c r="G86" s="175"/>
      <c r="K86" s="174"/>
    </row>
    <row r="87" spans="1:14">
      <c r="A87" s="172"/>
      <c r="B87" s="209"/>
      <c r="C87" s="210"/>
      <c r="F87" s="174"/>
      <c r="G87" s="175"/>
      <c r="K87" s="174"/>
    </row>
  </sheetData>
  <mergeCells count="1">
    <mergeCell ref="H2:M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U87"/>
  <sheetViews>
    <sheetView workbookViewId="0">
      <selection sqref="A1:U87"/>
    </sheetView>
  </sheetViews>
  <sheetFormatPr defaultRowHeight="15"/>
  <sheetData>
    <row r="2" spans="2:21" ht="15.75">
      <c r="B2" s="96"/>
      <c r="C2" s="96"/>
      <c r="D2" s="96"/>
      <c r="E2" s="96"/>
      <c r="F2" s="96"/>
      <c r="G2" s="97" t="s">
        <v>0</v>
      </c>
      <c r="H2" s="296" t="s">
        <v>382</v>
      </c>
      <c r="I2" s="297"/>
      <c r="J2" s="297"/>
      <c r="K2" s="297"/>
      <c r="L2" s="297"/>
      <c r="M2" s="297"/>
      <c r="N2" s="99"/>
      <c r="O2" s="96"/>
      <c r="P2" s="96"/>
      <c r="Q2" s="96"/>
      <c r="R2" s="96"/>
      <c r="S2" s="96"/>
      <c r="T2" s="96"/>
      <c r="U2" s="96"/>
    </row>
    <row r="4" spans="2:21" ht="18">
      <c r="B4" s="216" t="s">
        <v>2</v>
      </c>
      <c r="C4" s="96"/>
      <c r="D4" s="96"/>
      <c r="E4" s="96"/>
      <c r="F4" s="96"/>
      <c r="G4" s="97"/>
      <c r="H4" s="97"/>
      <c r="I4" s="97"/>
      <c r="J4" s="97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</row>
    <row r="5" spans="2:21" ht="15.75">
      <c r="B5" s="96"/>
      <c r="C5" s="217"/>
      <c r="D5" s="96"/>
      <c r="E5" s="96"/>
      <c r="F5" s="96"/>
      <c r="G5" s="97"/>
      <c r="H5" s="97"/>
      <c r="I5" s="97"/>
      <c r="J5" s="97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</row>
    <row r="6" spans="2:21" ht="18.75" thickBot="1">
      <c r="B6" s="96"/>
      <c r="C6" s="126" t="s">
        <v>3</v>
      </c>
      <c r="D6" s="101" t="s">
        <v>4</v>
      </c>
      <c r="E6" s="102"/>
      <c r="F6" s="101" t="s">
        <v>5</v>
      </c>
      <c r="G6" s="102"/>
      <c r="H6" s="102"/>
      <c r="I6" s="102"/>
      <c r="J6" s="101" t="s">
        <v>6</v>
      </c>
      <c r="K6" s="101"/>
      <c r="L6" s="101" t="s">
        <v>7</v>
      </c>
      <c r="M6" s="101" t="s">
        <v>8</v>
      </c>
      <c r="N6" s="101"/>
      <c r="O6" s="214" t="s">
        <v>9</v>
      </c>
      <c r="P6" s="96"/>
      <c r="Q6" s="96"/>
      <c r="R6" s="96"/>
      <c r="S6" s="96"/>
      <c r="T6" s="96"/>
      <c r="U6" s="96"/>
    </row>
    <row r="7" spans="2:21" ht="16.5" thickBot="1">
      <c r="B7" s="215">
        <v>1</v>
      </c>
      <c r="C7" s="127" t="s">
        <v>10</v>
      </c>
      <c r="D7" s="119" t="s">
        <v>11</v>
      </c>
      <c r="E7" s="24" t="s">
        <v>12</v>
      </c>
      <c r="F7" s="119" t="s">
        <v>13</v>
      </c>
      <c r="G7" s="30" t="s">
        <v>14</v>
      </c>
      <c r="H7" s="122"/>
      <c r="I7" s="25">
        <v>2</v>
      </c>
      <c r="J7" s="119" t="s">
        <v>13</v>
      </c>
      <c r="K7" s="25">
        <v>1</v>
      </c>
      <c r="L7" s="120"/>
      <c r="M7" s="121"/>
      <c r="N7" s="110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>
      <c r="B8" s="215">
        <v>2</v>
      </c>
      <c r="C8" s="127" t="s">
        <v>22</v>
      </c>
      <c r="D8" s="119" t="s">
        <v>11</v>
      </c>
      <c r="E8" s="24" t="s">
        <v>23</v>
      </c>
      <c r="F8" s="119" t="s">
        <v>13</v>
      </c>
      <c r="G8" s="30" t="s">
        <v>24</v>
      </c>
      <c r="H8" s="122"/>
      <c r="I8" s="25">
        <v>0</v>
      </c>
      <c r="J8" s="119" t="s">
        <v>13</v>
      </c>
      <c r="K8" s="25">
        <v>1</v>
      </c>
      <c r="L8" s="120"/>
      <c r="M8" s="121"/>
      <c r="N8" s="110"/>
      <c r="O8" s="16">
        <v>1</v>
      </c>
      <c r="P8" s="113" t="s">
        <v>12</v>
      </c>
      <c r="Q8" s="113" t="s">
        <v>25</v>
      </c>
      <c r="R8" s="113" t="s">
        <v>41</v>
      </c>
      <c r="S8" s="113" t="s">
        <v>27</v>
      </c>
      <c r="T8" s="113" t="s">
        <v>28</v>
      </c>
      <c r="U8" s="113" t="s">
        <v>29</v>
      </c>
    </row>
    <row r="9" spans="2:21" ht="15.75">
      <c r="B9" s="215">
        <v>3</v>
      </c>
      <c r="C9" s="127" t="s">
        <v>30</v>
      </c>
      <c r="D9" s="119" t="s">
        <v>31</v>
      </c>
      <c r="E9" s="24" t="s">
        <v>32</v>
      </c>
      <c r="F9" s="119" t="s">
        <v>13</v>
      </c>
      <c r="G9" s="30" t="s">
        <v>33</v>
      </c>
      <c r="H9" s="122"/>
      <c r="I9" s="25">
        <v>1</v>
      </c>
      <c r="J9" s="119" t="s">
        <v>13</v>
      </c>
      <c r="K9" s="25">
        <v>0</v>
      </c>
      <c r="L9" s="120"/>
      <c r="M9" s="121"/>
      <c r="N9" s="110"/>
      <c r="O9" s="17">
        <v>2</v>
      </c>
      <c r="P9" s="114" t="s">
        <v>169</v>
      </c>
      <c r="Q9" s="114" t="s">
        <v>32</v>
      </c>
      <c r="R9" s="114" t="s">
        <v>26</v>
      </c>
      <c r="S9" s="114" t="s">
        <v>35</v>
      </c>
      <c r="T9" s="114" t="s">
        <v>383</v>
      </c>
      <c r="U9" s="114" t="s">
        <v>43</v>
      </c>
    </row>
    <row r="10" spans="2:21" ht="15.75">
      <c r="B10" s="215">
        <v>4</v>
      </c>
      <c r="C10" s="127" t="s">
        <v>38</v>
      </c>
      <c r="D10" s="119" t="s">
        <v>39</v>
      </c>
      <c r="E10" s="24" t="s">
        <v>35</v>
      </c>
      <c r="F10" s="119" t="s">
        <v>13</v>
      </c>
      <c r="G10" s="30" t="s">
        <v>40</v>
      </c>
      <c r="H10" s="122"/>
      <c r="I10" s="25">
        <v>2</v>
      </c>
      <c r="J10" s="119" t="s">
        <v>13</v>
      </c>
      <c r="K10" s="25">
        <v>0</v>
      </c>
      <c r="L10" s="120"/>
      <c r="M10" s="121"/>
      <c r="N10" s="110"/>
      <c r="O10" s="17">
        <v>3</v>
      </c>
      <c r="P10" s="114" t="s">
        <v>23</v>
      </c>
      <c r="Q10" s="114" t="s">
        <v>33</v>
      </c>
      <c r="R10" s="114" t="s">
        <v>34</v>
      </c>
      <c r="S10" s="114" t="s">
        <v>180</v>
      </c>
      <c r="T10" s="114" t="s">
        <v>159</v>
      </c>
      <c r="U10" s="114" t="s">
        <v>384</v>
      </c>
    </row>
    <row r="11" spans="2:21" ht="15.75">
      <c r="B11" s="215">
        <v>5</v>
      </c>
      <c r="C11" s="127" t="s">
        <v>44</v>
      </c>
      <c r="D11" s="119" t="s">
        <v>45</v>
      </c>
      <c r="E11" s="24" t="s">
        <v>46</v>
      </c>
      <c r="F11" s="119" t="s">
        <v>13</v>
      </c>
      <c r="G11" s="30" t="s">
        <v>34</v>
      </c>
      <c r="H11" s="122"/>
      <c r="I11" s="25">
        <v>0</v>
      </c>
      <c r="J11" s="119" t="s">
        <v>13</v>
      </c>
      <c r="K11" s="25">
        <v>2</v>
      </c>
      <c r="L11" s="120"/>
      <c r="M11" s="121"/>
      <c r="N11" s="110"/>
      <c r="O11" s="17">
        <v>4</v>
      </c>
      <c r="P11" s="114" t="s">
        <v>385</v>
      </c>
      <c r="Q11" s="114" t="s">
        <v>386</v>
      </c>
      <c r="R11" s="114" t="s">
        <v>46</v>
      </c>
      <c r="S11" s="114" t="s">
        <v>48</v>
      </c>
      <c r="T11" s="114" t="s">
        <v>42</v>
      </c>
      <c r="U11" s="114" t="s">
        <v>37</v>
      </c>
    </row>
    <row r="12" spans="2:21" ht="16.5" thickBot="1">
      <c r="B12" s="215">
        <v>6</v>
      </c>
      <c r="C12" s="127" t="s">
        <v>51</v>
      </c>
      <c r="D12" s="119" t="s">
        <v>39</v>
      </c>
      <c r="E12" s="24" t="s">
        <v>48</v>
      </c>
      <c r="F12" s="119" t="s">
        <v>13</v>
      </c>
      <c r="G12" s="30" t="s">
        <v>27</v>
      </c>
      <c r="H12" s="122"/>
      <c r="I12" s="25">
        <v>0</v>
      </c>
      <c r="J12" s="119" t="s">
        <v>13</v>
      </c>
      <c r="K12" s="25">
        <v>3</v>
      </c>
      <c r="L12" s="120"/>
      <c r="M12" s="121"/>
      <c r="N12" s="110"/>
      <c r="O12" s="96"/>
      <c r="P12" s="96"/>
      <c r="Q12" s="96"/>
      <c r="R12" s="96"/>
      <c r="S12" s="96"/>
      <c r="T12" s="96"/>
      <c r="U12" s="96"/>
    </row>
    <row r="13" spans="2:21" ht="16.5" thickBot="1">
      <c r="B13" s="215">
        <v>7</v>
      </c>
      <c r="C13" s="127" t="s">
        <v>52</v>
      </c>
      <c r="D13" s="119" t="s">
        <v>45</v>
      </c>
      <c r="E13" s="24" t="s">
        <v>26</v>
      </c>
      <c r="F13" s="119" t="s">
        <v>13</v>
      </c>
      <c r="G13" s="30" t="s">
        <v>41</v>
      </c>
      <c r="H13" s="122"/>
      <c r="I13" s="25">
        <v>1</v>
      </c>
      <c r="J13" s="119" t="s">
        <v>13</v>
      </c>
      <c r="K13" s="25">
        <v>2</v>
      </c>
      <c r="L13" s="120"/>
      <c r="M13" s="121"/>
      <c r="N13" s="110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>
      <c r="B14" s="215">
        <v>8</v>
      </c>
      <c r="C14" s="127" t="s">
        <v>59</v>
      </c>
      <c r="D14" s="119" t="s">
        <v>31</v>
      </c>
      <c r="E14" s="24" t="s">
        <v>47</v>
      </c>
      <c r="F14" s="119" t="s">
        <v>13</v>
      </c>
      <c r="G14" s="30" t="s">
        <v>25</v>
      </c>
      <c r="H14" s="122"/>
      <c r="I14" s="25">
        <v>0</v>
      </c>
      <c r="J14" s="119" t="s">
        <v>13</v>
      </c>
      <c r="K14" s="25">
        <v>2</v>
      </c>
      <c r="L14" s="120"/>
      <c r="M14" s="121"/>
      <c r="N14" s="110"/>
      <c r="O14" s="16">
        <v>1</v>
      </c>
      <c r="P14" s="113" t="s">
        <v>60</v>
      </c>
      <c r="Q14" s="113" t="s">
        <v>387</v>
      </c>
      <c r="R14" s="113" t="s">
        <v>62</v>
      </c>
      <c r="S14" s="113" t="s">
        <v>63</v>
      </c>
      <c r="T14" s="113" t="s">
        <v>72</v>
      </c>
      <c r="U14" s="113" t="s">
        <v>65</v>
      </c>
    </row>
    <row r="15" spans="2:21" ht="15.75">
      <c r="B15" s="215">
        <v>9</v>
      </c>
      <c r="C15" s="127" t="s">
        <v>66</v>
      </c>
      <c r="D15" s="119" t="s">
        <v>67</v>
      </c>
      <c r="E15" s="24" t="s">
        <v>42</v>
      </c>
      <c r="F15" s="119" t="s">
        <v>13</v>
      </c>
      <c r="G15" s="30" t="s">
        <v>36</v>
      </c>
      <c r="H15" s="122"/>
      <c r="I15" s="25">
        <v>1</v>
      </c>
      <c r="J15" s="119" t="s">
        <v>13</v>
      </c>
      <c r="K15" s="25">
        <v>3</v>
      </c>
      <c r="L15" s="120"/>
      <c r="M15" s="121"/>
      <c r="N15" s="110"/>
      <c r="O15" s="17">
        <v>2</v>
      </c>
      <c r="P15" s="114" t="s">
        <v>83</v>
      </c>
      <c r="Q15" s="114" t="s">
        <v>388</v>
      </c>
      <c r="R15" s="114" t="s">
        <v>70</v>
      </c>
      <c r="S15" s="114" t="s">
        <v>71</v>
      </c>
      <c r="T15" s="114" t="s">
        <v>79</v>
      </c>
      <c r="U15" s="114" t="s">
        <v>73</v>
      </c>
    </row>
    <row r="16" spans="2:21" ht="15.75">
      <c r="B16" s="215">
        <v>10</v>
      </c>
      <c r="C16" s="127" t="s">
        <v>74</v>
      </c>
      <c r="D16" s="119" t="s">
        <v>67</v>
      </c>
      <c r="E16" s="24" t="s">
        <v>28</v>
      </c>
      <c r="F16" s="119" t="s">
        <v>13</v>
      </c>
      <c r="G16" s="30" t="s">
        <v>49</v>
      </c>
      <c r="H16" s="122"/>
      <c r="I16" s="25">
        <v>3</v>
      </c>
      <c r="J16" s="119" t="s">
        <v>13</v>
      </c>
      <c r="K16" s="25">
        <v>0</v>
      </c>
      <c r="L16" s="120"/>
      <c r="M16" s="121"/>
      <c r="N16" s="110"/>
      <c r="O16" s="17">
        <v>3</v>
      </c>
      <c r="P16" s="114" t="s">
        <v>389</v>
      </c>
      <c r="Q16" s="114" t="s">
        <v>84</v>
      </c>
      <c r="R16" s="114" t="s">
        <v>390</v>
      </c>
      <c r="S16" s="114" t="s">
        <v>78</v>
      </c>
      <c r="T16" s="114" t="s">
        <v>64</v>
      </c>
      <c r="U16" s="114" t="s">
        <v>88</v>
      </c>
    </row>
    <row r="17" spans="2:21" ht="15.75">
      <c r="B17" s="215">
        <v>11</v>
      </c>
      <c r="C17" s="127" t="s">
        <v>81</v>
      </c>
      <c r="D17" s="119" t="s">
        <v>82</v>
      </c>
      <c r="E17" s="24" t="s">
        <v>29</v>
      </c>
      <c r="F17" s="119" t="s">
        <v>13</v>
      </c>
      <c r="G17" s="30" t="s">
        <v>43</v>
      </c>
      <c r="H17" s="122"/>
      <c r="I17" s="25">
        <v>1</v>
      </c>
      <c r="J17" s="119" t="s">
        <v>13</v>
      </c>
      <c r="K17" s="25">
        <v>0</v>
      </c>
      <c r="L17" s="120"/>
      <c r="M17" s="121"/>
      <c r="N17" s="110"/>
      <c r="O17" s="17">
        <v>4</v>
      </c>
      <c r="P17" s="114" t="s">
        <v>75</v>
      </c>
      <c r="Q17" s="114" t="s">
        <v>76</v>
      </c>
      <c r="R17" s="114" t="s">
        <v>85</v>
      </c>
      <c r="S17" s="114" t="s">
        <v>86</v>
      </c>
      <c r="T17" s="114" t="s">
        <v>391</v>
      </c>
      <c r="U17" s="114" t="s">
        <v>80</v>
      </c>
    </row>
    <row r="18" spans="2:21" ht="15.75">
      <c r="B18" s="215">
        <v>12</v>
      </c>
      <c r="C18" s="127" t="s">
        <v>89</v>
      </c>
      <c r="D18" s="119" t="s">
        <v>82</v>
      </c>
      <c r="E18" s="24" t="s">
        <v>37</v>
      </c>
      <c r="F18" s="119" t="s">
        <v>13</v>
      </c>
      <c r="G18" s="30" t="s">
        <v>50</v>
      </c>
      <c r="H18" s="122"/>
      <c r="I18" s="25">
        <v>0</v>
      </c>
      <c r="J18" s="119" t="s">
        <v>13</v>
      </c>
      <c r="K18" s="25">
        <v>1</v>
      </c>
      <c r="L18" s="120"/>
      <c r="M18" s="121"/>
      <c r="N18" s="110"/>
      <c r="O18" s="96"/>
      <c r="P18" s="21"/>
      <c r="Q18" s="21"/>
      <c r="R18" s="21"/>
      <c r="S18" s="21"/>
      <c r="T18" s="21"/>
      <c r="U18" s="21"/>
    </row>
    <row r="19" spans="2:21" ht="15.75">
      <c r="B19" s="215">
        <v>13</v>
      </c>
      <c r="C19" s="127" t="s">
        <v>90</v>
      </c>
      <c r="D19" s="119" t="s">
        <v>91</v>
      </c>
      <c r="E19" s="24" t="s">
        <v>84</v>
      </c>
      <c r="F19" s="119" t="s">
        <v>13</v>
      </c>
      <c r="G19" s="30" t="s">
        <v>69</v>
      </c>
      <c r="H19" s="122"/>
      <c r="I19" s="25">
        <v>1</v>
      </c>
      <c r="J19" s="119" t="s">
        <v>13</v>
      </c>
      <c r="K19" s="25">
        <v>2</v>
      </c>
      <c r="L19" s="120"/>
      <c r="M19" s="121"/>
      <c r="N19" s="110"/>
      <c r="O19" s="96"/>
      <c r="P19" s="96"/>
      <c r="Q19" s="96"/>
      <c r="R19" s="96"/>
      <c r="S19" s="96"/>
      <c r="T19" s="96"/>
      <c r="U19" s="96"/>
    </row>
    <row r="20" spans="2:21" ht="16.5" thickBot="1">
      <c r="B20" s="215">
        <v>14</v>
      </c>
      <c r="C20" s="127" t="s">
        <v>92</v>
      </c>
      <c r="D20" s="119" t="s">
        <v>91</v>
      </c>
      <c r="E20" s="24" t="s">
        <v>61</v>
      </c>
      <c r="F20" s="119" t="s">
        <v>13</v>
      </c>
      <c r="G20" s="30" t="s">
        <v>76</v>
      </c>
      <c r="H20" s="122"/>
      <c r="I20" s="25">
        <v>3</v>
      </c>
      <c r="J20" s="119" t="s">
        <v>13</v>
      </c>
      <c r="K20" s="25">
        <v>0</v>
      </c>
      <c r="L20" s="120"/>
      <c r="M20" s="121"/>
      <c r="N20" s="110"/>
      <c r="O20" s="213" t="s">
        <v>93</v>
      </c>
      <c r="P20" s="96"/>
      <c r="Q20" s="96"/>
      <c r="R20" s="96"/>
      <c r="S20" s="96"/>
      <c r="T20" s="96"/>
      <c r="U20" s="96"/>
    </row>
    <row r="21" spans="2:21" ht="16.5" thickBot="1">
      <c r="B21" s="215">
        <v>15</v>
      </c>
      <c r="C21" s="127" t="s">
        <v>94</v>
      </c>
      <c r="D21" s="119" t="s">
        <v>95</v>
      </c>
      <c r="E21" s="24" t="s">
        <v>83</v>
      </c>
      <c r="F21" s="119" t="s">
        <v>13</v>
      </c>
      <c r="G21" s="30" t="s">
        <v>75</v>
      </c>
      <c r="H21" s="122"/>
      <c r="I21" s="25">
        <v>2</v>
      </c>
      <c r="J21" s="119" t="s">
        <v>13</v>
      </c>
      <c r="K21" s="25">
        <v>0</v>
      </c>
      <c r="L21" s="120"/>
      <c r="M21" s="121"/>
      <c r="N21" s="110"/>
      <c r="O21" s="96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>
      <c r="B22" s="215">
        <v>16</v>
      </c>
      <c r="C22" s="127" t="s">
        <v>96</v>
      </c>
      <c r="D22" s="119" t="s">
        <v>95</v>
      </c>
      <c r="E22" s="24" t="s">
        <v>60</v>
      </c>
      <c r="F22" s="119" t="s">
        <v>13</v>
      </c>
      <c r="G22" s="30" t="s">
        <v>68</v>
      </c>
      <c r="H22" s="122"/>
      <c r="I22" s="25">
        <v>3</v>
      </c>
      <c r="J22" s="119" t="s">
        <v>13</v>
      </c>
      <c r="K22" s="25">
        <v>2</v>
      </c>
      <c r="L22" s="120"/>
      <c r="M22" s="121"/>
      <c r="N22" s="110"/>
      <c r="O22" s="96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>
      <c r="B23" s="215">
        <v>17</v>
      </c>
      <c r="C23" s="127" t="s">
        <v>97</v>
      </c>
      <c r="D23" s="119" t="s">
        <v>98</v>
      </c>
      <c r="E23" s="24" t="s">
        <v>62</v>
      </c>
      <c r="F23" s="119" t="s">
        <v>13</v>
      </c>
      <c r="G23" s="30" t="s">
        <v>77</v>
      </c>
      <c r="H23" s="122"/>
      <c r="I23" s="25">
        <v>2</v>
      </c>
      <c r="J23" s="119" t="s">
        <v>13</v>
      </c>
      <c r="K23" s="25">
        <v>1</v>
      </c>
      <c r="L23" s="120"/>
      <c r="M23" s="121"/>
      <c r="N23" s="110"/>
      <c r="O23" s="96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>
      <c r="B24" s="215">
        <v>18</v>
      </c>
      <c r="C24" s="127" t="s">
        <v>99</v>
      </c>
      <c r="D24" s="119" t="s">
        <v>98</v>
      </c>
      <c r="E24" s="24" t="s">
        <v>85</v>
      </c>
      <c r="F24" s="119" t="s">
        <v>13</v>
      </c>
      <c r="G24" s="30" t="s">
        <v>70</v>
      </c>
      <c r="H24" s="122"/>
      <c r="I24" s="25">
        <v>0</v>
      </c>
      <c r="J24" s="119" t="s">
        <v>13</v>
      </c>
      <c r="K24" s="25">
        <v>2</v>
      </c>
      <c r="L24" s="120"/>
      <c r="M24" s="121"/>
      <c r="N24" s="110"/>
      <c r="O24" s="96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>
      <c r="B25" s="215">
        <v>19</v>
      </c>
      <c r="C25" s="127" t="s">
        <v>100</v>
      </c>
      <c r="D25" s="119" t="s">
        <v>101</v>
      </c>
      <c r="E25" s="24" t="s">
        <v>63</v>
      </c>
      <c r="F25" s="119" t="s">
        <v>13</v>
      </c>
      <c r="G25" s="30" t="s">
        <v>78</v>
      </c>
      <c r="H25" s="122"/>
      <c r="I25" s="25">
        <v>2</v>
      </c>
      <c r="J25" s="119" t="s">
        <v>13</v>
      </c>
      <c r="K25" s="25">
        <v>1</v>
      </c>
      <c r="L25" s="120"/>
      <c r="M25" s="121"/>
      <c r="N25" s="110"/>
      <c r="O25" s="96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thickBot="1">
      <c r="B26" s="215">
        <v>20</v>
      </c>
      <c r="C26" s="127" t="s">
        <v>102</v>
      </c>
      <c r="D26" s="119" t="s">
        <v>101</v>
      </c>
      <c r="E26" s="24" t="s">
        <v>71</v>
      </c>
      <c r="F26" s="119" t="s">
        <v>13</v>
      </c>
      <c r="G26" s="30" t="s">
        <v>86</v>
      </c>
      <c r="H26" s="122"/>
      <c r="I26" s="25">
        <v>1</v>
      </c>
      <c r="J26" s="119" t="s">
        <v>13</v>
      </c>
      <c r="K26" s="25">
        <v>0</v>
      </c>
      <c r="L26" s="120"/>
      <c r="M26" s="121"/>
      <c r="N26" s="110"/>
      <c r="O26" s="96"/>
      <c r="P26" s="96"/>
      <c r="Q26" s="96"/>
      <c r="R26" s="96"/>
      <c r="S26" s="96"/>
      <c r="T26" s="96"/>
      <c r="U26" s="96"/>
    </row>
    <row r="27" spans="2:21" ht="16.5" thickBot="1">
      <c r="B27" s="215">
        <v>21</v>
      </c>
      <c r="C27" s="127" t="s">
        <v>103</v>
      </c>
      <c r="D27" s="119" t="s">
        <v>104</v>
      </c>
      <c r="E27" s="24" t="s">
        <v>80</v>
      </c>
      <c r="F27" s="119" t="s">
        <v>13</v>
      </c>
      <c r="G27" s="30" t="s">
        <v>88</v>
      </c>
      <c r="H27" s="122"/>
      <c r="I27" s="25">
        <v>1</v>
      </c>
      <c r="J27" s="119" t="s">
        <v>13</v>
      </c>
      <c r="K27" s="25">
        <v>1</v>
      </c>
      <c r="L27" s="120"/>
      <c r="M27" s="121"/>
      <c r="N27" s="110"/>
      <c r="O27" s="96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>
      <c r="B28" s="215">
        <v>22</v>
      </c>
      <c r="C28" s="127" t="s">
        <v>105</v>
      </c>
      <c r="D28" s="119" t="s">
        <v>104</v>
      </c>
      <c r="E28" s="24" t="s">
        <v>65</v>
      </c>
      <c r="F28" s="119" t="s">
        <v>13</v>
      </c>
      <c r="G28" s="30" t="s">
        <v>73</v>
      </c>
      <c r="H28" s="122"/>
      <c r="I28" s="25">
        <v>1</v>
      </c>
      <c r="J28" s="119" t="s">
        <v>13</v>
      </c>
      <c r="K28" s="25">
        <v>0</v>
      </c>
      <c r="L28" s="120"/>
      <c r="M28" s="121"/>
      <c r="N28" s="110"/>
      <c r="O28" s="96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>
      <c r="B29" s="215">
        <v>23</v>
      </c>
      <c r="C29" s="127" t="s">
        <v>106</v>
      </c>
      <c r="D29" s="119" t="s">
        <v>107</v>
      </c>
      <c r="E29" s="24" t="s">
        <v>64</v>
      </c>
      <c r="F29" s="119" t="s">
        <v>13</v>
      </c>
      <c r="G29" s="30" t="s">
        <v>87</v>
      </c>
      <c r="H29" s="122"/>
      <c r="I29" s="25">
        <v>3</v>
      </c>
      <c r="J29" s="119" t="s">
        <v>13</v>
      </c>
      <c r="K29" s="25">
        <v>0</v>
      </c>
      <c r="L29" s="120"/>
      <c r="M29" s="121"/>
      <c r="N29" s="110"/>
      <c r="O29" s="96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>
      <c r="B30" s="215">
        <v>24</v>
      </c>
      <c r="C30" s="127" t="s">
        <v>108</v>
      </c>
      <c r="D30" s="119" t="s">
        <v>107</v>
      </c>
      <c r="E30" s="24" t="s">
        <v>79</v>
      </c>
      <c r="F30" s="119" t="s">
        <v>13</v>
      </c>
      <c r="G30" s="30" t="s">
        <v>72</v>
      </c>
      <c r="H30" s="122"/>
      <c r="I30" s="25">
        <v>1</v>
      </c>
      <c r="J30" s="119" t="s">
        <v>13</v>
      </c>
      <c r="K30" s="25">
        <v>1</v>
      </c>
      <c r="L30" s="120"/>
      <c r="M30" s="121"/>
      <c r="N30" s="110"/>
      <c r="O30" s="96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>
      <c r="B31" s="215">
        <v>25</v>
      </c>
      <c r="C31" s="127" t="s">
        <v>109</v>
      </c>
      <c r="D31" s="119" t="s">
        <v>11</v>
      </c>
      <c r="E31" s="24" t="s">
        <v>24</v>
      </c>
      <c r="F31" s="119" t="s">
        <v>13</v>
      </c>
      <c r="G31" s="30" t="s">
        <v>14</v>
      </c>
      <c r="H31" s="122"/>
      <c r="I31" s="25">
        <v>2</v>
      </c>
      <c r="J31" s="119" t="s">
        <v>13</v>
      </c>
      <c r="K31" s="25">
        <v>0</v>
      </c>
      <c r="L31" s="120"/>
      <c r="M31" s="121"/>
      <c r="N31" s="110"/>
      <c r="O31" s="96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>
      <c r="B32" s="215">
        <v>26</v>
      </c>
      <c r="C32" s="127" t="s">
        <v>110</v>
      </c>
      <c r="D32" s="119" t="s">
        <v>31</v>
      </c>
      <c r="E32" s="24" t="s">
        <v>25</v>
      </c>
      <c r="F32" s="119" t="s">
        <v>13</v>
      </c>
      <c r="G32" s="30" t="s">
        <v>33</v>
      </c>
      <c r="H32" s="122"/>
      <c r="I32" s="25">
        <v>2</v>
      </c>
      <c r="J32" s="119" t="s">
        <v>13</v>
      </c>
      <c r="K32" s="25">
        <v>1</v>
      </c>
      <c r="L32" s="120"/>
      <c r="M32" s="121"/>
      <c r="N32" s="110"/>
      <c r="O32" s="96"/>
      <c r="P32" s="96"/>
      <c r="Q32" s="96"/>
      <c r="R32" s="96"/>
      <c r="S32" s="96"/>
      <c r="T32" s="96"/>
      <c r="U32" s="96"/>
    </row>
    <row r="33" spans="2:14" ht="15.75">
      <c r="B33" s="215">
        <v>27</v>
      </c>
      <c r="C33" s="127" t="s">
        <v>111</v>
      </c>
      <c r="D33" s="119" t="s">
        <v>31</v>
      </c>
      <c r="E33" s="24" t="s">
        <v>32</v>
      </c>
      <c r="F33" s="119" t="s">
        <v>13</v>
      </c>
      <c r="G33" s="30" t="s">
        <v>47</v>
      </c>
      <c r="H33" s="122"/>
      <c r="I33" s="25">
        <v>2</v>
      </c>
      <c r="J33" s="119" t="s">
        <v>13</v>
      </c>
      <c r="K33" s="25">
        <v>0</v>
      </c>
      <c r="L33" s="120"/>
      <c r="M33" s="121"/>
      <c r="N33" s="110"/>
    </row>
    <row r="34" spans="2:14" ht="15.75">
      <c r="B34" s="215">
        <v>28</v>
      </c>
      <c r="C34" s="127" t="s">
        <v>112</v>
      </c>
      <c r="D34" s="119" t="s">
        <v>11</v>
      </c>
      <c r="E34" s="24" t="s">
        <v>12</v>
      </c>
      <c r="F34" s="119" t="s">
        <v>13</v>
      </c>
      <c r="G34" s="30" t="s">
        <v>23</v>
      </c>
      <c r="H34" s="122"/>
      <c r="I34" s="25">
        <v>2</v>
      </c>
      <c r="J34" s="119" t="s">
        <v>13</v>
      </c>
      <c r="K34" s="25">
        <v>1</v>
      </c>
      <c r="L34" s="120"/>
      <c r="M34" s="121"/>
      <c r="N34" s="110"/>
    </row>
    <row r="35" spans="2:14" ht="15.75">
      <c r="B35" s="215">
        <v>29</v>
      </c>
      <c r="C35" s="127" t="s">
        <v>113</v>
      </c>
      <c r="D35" s="119" t="s">
        <v>45</v>
      </c>
      <c r="E35" s="24" t="s">
        <v>26</v>
      </c>
      <c r="F35" s="119" t="s">
        <v>13</v>
      </c>
      <c r="G35" s="30" t="s">
        <v>46</v>
      </c>
      <c r="H35" s="122"/>
      <c r="I35" s="25">
        <v>3</v>
      </c>
      <c r="J35" s="119" t="s">
        <v>13</v>
      </c>
      <c r="K35" s="25">
        <v>0</v>
      </c>
      <c r="L35" s="120"/>
      <c r="M35" s="121"/>
      <c r="N35" s="110"/>
    </row>
    <row r="36" spans="2:14" ht="15.75">
      <c r="B36" s="215">
        <v>30</v>
      </c>
      <c r="C36" s="127" t="s">
        <v>114</v>
      </c>
      <c r="D36" s="119" t="s">
        <v>45</v>
      </c>
      <c r="E36" s="24" t="s">
        <v>34</v>
      </c>
      <c r="F36" s="119" t="s">
        <v>13</v>
      </c>
      <c r="G36" s="30" t="s">
        <v>41</v>
      </c>
      <c r="H36" s="122"/>
      <c r="I36" s="25">
        <v>1</v>
      </c>
      <c r="J36" s="119" t="s">
        <v>13</v>
      </c>
      <c r="K36" s="25">
        <v>2</v>
      </c>
      <c r="L36" s="120"/>
      <c r="M36" s="121"/>
      <c r="N36" s="110"/>
    </row>
    <row r="37" spans="2:14" ht="15.75">
      <c r="B37" s="215">
        <v>31</v>
      </c>
      <c r="C37" s="127" t="s">
        <v>115</v>
      </c>
      <c r="D37" s="119" t="s">
        <v>39</v>
      </c>
      <c r="E37" s="24" t="s">
        <v>27</v>
      </c>
      <c r="F37" s="119" t="s">
        <v>13</v>
      </c>
      <c r="G37" s="30" t="s">
        <v>40</v>
      </c>
      <c r="H37" s="122"/>
      <c r="I37" s="25">
        <v>3</v>
      </c>
      <c r="J37" s="119" t="s">
        <v>13</v>
      </c>
      <c r="K37" s="25">
        <v>1</v>
      </c>
      <c r="L37" s="120"/>
      <c r="M37" s="121"/>
      <c r="N37" s="110"/>
    </row>
    <row r="38" spans="2:14" ht="15.75">
      <c r="B38" s="215">
        <v>32</v>
      </c>
      <c r="C38" s="127" t="s">
        <v>116</v>
      </c>
      <c r="D38" s="119" t="s">
        <v>39</v>
      </c>
      <c r="E38" s="24" t="s">
        <v>35</v>
      </c>
      <c r="F38" s="119" t="s">
        <v>13</v>
      </c>
      <c r="G38" s="30" t="s">
        <v>48</v>
      </c>
      <c r="H38" s="122"/>
      <c r="I38" s="25">
        <v>2</v>
      </c>
      <c r="J38" s="119" t="s">
        <v>13</v>
      </c>
      <c r="K38" s="25">
        <v>0</v>
      </c>
      <c r="L38" s="120"/>
      <c r="M38" s="121"/>
      <c r="N38" s="110"/>
    </row>
    <row r="39" spans="2:14" ht="15.75">
      <c r="B39" s="215">
        <v>33</v>
      </c>
      <c r="C39" s="127" t="s">
        <v>117</v>
      </c>
      <c r="D39" s="119" t="s">
        <v>67</v>
      </c>
      <c r="E39" s="24" t="s">
        <v>28</v>
      </c>
      <c r="F39" s="119" t="s">
        <v>13</v>
      </c>
      <c r="G39" s="30" t="s">
        <v>42</v>
      </c>
      <c r="H39" s="122"/>
      <c r="I39" s="25">
        <v>3</v>
      </c>
      <c r="J39" s="119" t="s">
        <v>13</v>
      </c>
      <c r="K39" s="25">
        <v>0</v>
      </c>
      <c r="L39" s="120"/>
      <c r="M39" s="121"/>
      <c r="N39" s="110"/>
    </row>
    <row r="40" spans="2:14" ht="15.75">
      <c r="B40" s="215">
        <v>34</v>
      </c>
      <c r="C40" s="127" t="s">
        <v>118</v>
      </c>
      <c r="D40" s="119" t="s">
        <v>67</v>
      </c>
      <c r="E40" s="24" t="s">
        <v>36</v>
      </c>
      <c r="F40" s="119" t="s">
        <v>13</v>
      </c>
      <c r="G40" s="30" t="s">
        <v>49</v>
      </c>
      <c r="H40" s="122"/>
      <c r="I40" s="25">
        <v>2</v>
      </c>
      <c r="J40" s="119" t="s">
        <v>13</v>
      </c>
      <c r="K40" s="25">
        <v>1</v>
      </c>
      <c r="L40" s="120"/>
      <c r="M40" s="121"/>
      <c r="N40" s="110"/>
    </row>
    <row r="41" spans="2:14" ht="15.75">
      <c r="B41" s="215">
        <v>35</v>
      </c>
      <c r="C41" s="127" t="s">
        <v>119</v>
      </c>
      <c r="D41" s="119" t="s">
        <v>82</v>
      </c>
      <c r="E41" s="24" t="s">
        <v>29</v>
      </c>
      <c r="F41" s="119" t="s">
        <v>13</v>
      </c>
      <c r="G41" s="30" t="s">
        <v>37</v>
      </c>
      <c r="H41" s="122"/>
      <c r="I41" s="25">
        <v>2</v>
      </c>
      <c r="J41" s="119" t="s">
        <v>13</v>
      </c>
      <c r="K41" s="25">
        <v>1</v>
      </c>
      <c r="L41" s="120"/>
      <c r="M41" s="121"/>
      <c r="N41" s="110"/>
    </row>
    <row r="42" spans="2:14" ht="15.75">
      <c r="B42" s="215">
        <v>36</v>
      </c>
      <c r="C42" s="127" t="s">
        <v>120</v>
      </c>
      <c r="D42" s="119" t="s">
        <v>82</v>
      </c>
      <c r="E42" s="24" t="s">
        <v>50</v>
      </c>
      <c r="F42" s="119" t="s">
        <v>13</v>
      </c>
      <c r="G42" s="30" t="s">
        <v>43</v>
      </c>
      <c r="H42" s="122"/>
      <c r="I42" s="25">
        <v>0</v>
      </c>
      <c r="J42" s="119" t="s">
        <v>13</v>
      </c>
      <c r="K42" s="25">
        <v>1</v>
      </c>
      <c r="L42" s="120"/>
      <c r="M42" s="121"/>
      <c r="N42" s="110"/>
    </row>
    <row r="43" spans="2:14" ht="15.75">
      <c r="B43" s="215">
        <v>37</v>
      </c>
      <c r="C43" s="127" t="s">
        <v>121</v>
      </c>
      <c r="D43" s="119" t="s">
        <v>91</v>
      </c>
      <c r="E43" s="24" t="s">
        <v>69</v>
      </c>
      <c r="F43" s="119" t="s">
        <v>13</v>
      </c>
      <c r="G43" s="30" t="s">
        <v>76</v>
      </c>
      <c r="H43" s="122"/>
      <c r="I43" s="25">
        <v>3</v>
      </c>
      <c r="J43" s="119" t="s">
        <v>13</v>
      </c>
      <c r="K43" s="25">
        <v>0</v>
      </c>
      <c r="L43" s="120"/>
      <c r="M43" s="121"/>
      <c r="N43" s="96"/>
    </row>
    <row r="44" spans="2:14" ht="15.75">
      <c r="B44" s="215">
        <v>38</v>
      </c>
      <c r="C44" s="127" t="s">
        <v>122</v>
      </c>
      <c r="D44" s="119" t="s">
        <v>91</v>
      </c>
      <c r="E44" s="24" t="s">
        <v>61</v>
      </c>
      <c r="F44" s="119" t="s">
        <v>13</v>
      </c>
      <c r="G44" s="30" t="s">
        <v>84</v>
      </c>
      <c r="H44" s="122"/>
      <c r="I44" s="25">
        <v>2</v>
      </c>
      <c r="J44" s="119" t="s">
        <v>13</v>
      </c>
      <c r="K44" s="25">
        <v>0</v>
      </c>
      <c r="L44" s="120"/>
      <c r="M44" s="121"/>
      <c r="N44" s="96"/>
    </row>
    <row r="45" spans="2:14" ht="15.75">
      <c r="B45" s="215">
        <v>39</v>
      </c>
      <c r="C45" s="127" t="s">
        <v>123</v>
      </c>
      <c r="D45" s="119" t="s">
        <v>95</v>
      </c>
      <c r="E45" s="24" t="s">
        <v>60</v>
      </c>
      <c r="F45" s="119" t="s">
        <v>13</v>
      </c>
      <c r="G45" s="30" t="s">
        <v>83</v>
      </c>
      <c r="H45" s="122"/>
      <c r="I45" s="25">
        <v>2</v>
      </c>
      <c r="J45" s="119" t="s">
        <v>13</v>
      </c>
      <c r="K45" s="25">
        <v>1</v>
      </c>
      <c r="L45" s="120"/>
      <c r="M45" s="121"/>
      <c r="N45" s="96"/>
    </row>
    <row r="46" spans="2:14" ht="15.75">
      <c r="B46" s="215">
        <v>40</v>
      </c>
      <c r="C46" s="127" t="s">
        <v>124</v>
      </c>
      <c r="D46" s="119" t="s">
        <v>95</v>
      </c>
      <c r="E46" s="24" t="s">
        <v>75</v>
      </c>
      <c r="F46" s="119" t="s">
        <v>13</v>
      </c>
      <c r="G46" s="30" t="s">
        <v>68</v>
      </c>
      <c r="H46" s="122"/>
      <c r="I46" s="25">
        <v>0</v>
      </c>
      <c r="J46" s="119" t="s">
        <v>13</v>
      </c>
      <c r="K46" s="25">
        <v>2</v>
      </c>
      <c r="L46" s="120"/>
      <c r="M46" s="121"/>
      <c r="N46" s="96"/>
    </row>
    <row r="47" spans="2:14" ht="15.75">
      <c r="B47" s="215">
        <v>41</v>
      </c>
      <c r="C47" s="127" t="s">
        <v>125</v>
      </c>
      <c r="D47" s="119" t="s">
        <v>98</v>
      </c>
      <c r="E47" s="24" t="s">
        <v>70</v>
      </c>
      <c r="F47" s="119" t="s">
        <v>13</v>
      </c>
      <c r="G47" s="30" t="s">
        <v>77</v>
      </c>
      <c r="H47" s="122"/>
      <c r="I47" s="25">
        <v>2</v>
      </c>
      <c r="J47" s="119" t="s">
        <v>13</v>
      </c>
      <c r="K47" s="25">
        <v>1</v>
      </c>
      <c r="L47" s="120"/>
      <c r="M47" s="121"/>
      <c r="N47" s="96"/>
    </row>
    <row r="48" spans="2:14" ht="15.75">
      <c r="B48" s="215">
        <v>42</v>
      </c>
      <c r="C48" s="127" t="s">
        <v>126</v>
      </c>
      <c r="D48" s="119" t="s">
        <v>98</v>
      </c>
      <c r="E48" s="24" t="s">
        <v>62</v>
      </c>
      <c r="F48" s="119" t="s">
        <v>13</v>
      </c>
      <c r="G48" s="30" t="s">
        <v>85</v>
      </c>
      <c r="H48" s="122"/>
      <c r="I48" s="25">
        <v>3</v>
      </c>
      <c r="J48" s="119" t="s">
        <v>13</v>
      </c>
      <c r="K48" s="25">
        <v>0</v>
      </c>
      <c r="L48" s="120"/>
      <c r="M48" s="121"/>
      <c r="N48" s="96"/>
    </row>
    <row r="49" spans="2:13" ht="15.75">
      <c r="B49" s="215">
        <v>43</v>
      </c>
      <c r="C49" s="127" t="s">
        <v>127</v>
      </c>
      <c r="D49" s="119" t="s">
        <v>101</v>
      </c>
      <c r="E49" s="24" t="s">
        <v>63</v>
      </c>
      <c r="F49" s="119" t="s">
        <v>13</v>
      </c>
      <c r="G49" s="30" t="s">
        <v>71</v>
      </c>
      <c r="H49" s="122"/>
      <c r="I49" s="25">
        <v>2</v>
      </c>
      <c r="J49" s="119" t="s">
        <v>13</v>
      </c>
      <c r="K49" s="25">
        <v>1</v>
      </c>
      <c r="L49" s="120"/>
      <c r="M49" s="121"/>
    </row>
    <row r="50" spans="2:13" ht="15.75">
      <c r="B50" s="215">
        <v>44</v>
      </c>
      <c r="C50" s="127" t="s">
        <v>128</v>
      </c>
      <c r="D50" s="119" t="s">
        <v>101</v>
      </c>
      <c r="E50" s="24" t="s">
        <v>86</v>
      </c>
      <c r="F50" s="119" t="s">
        <v>13</v>
      </c>
      <c r="G50" s="30" t="s">
        <v>78</v>
      </c>
      <c r="H50" s="122"/>
      <c r="I50" s="25">
        <v>0</v>
      </c>
      <c r="J50" s="119" t="s">
        <v>13</v>
      </c>
      <c r="K50" s="25">
        <v>2</v>
      </c>
      <c r="L50" s="120"/>
      <c r="M50" s="121"/>
    </row>
    <row r="51" spans="2:13" ht="15.75">
      <c r="B51" s="215">
        <v>45</v>
      </c>
      <c r="C51" s="127" t="s">
        <v>129</v>
      </c>
      <c r="D51" s="119" t="s">
        <v>104</v>
      </c>
      <c r="E51" s="24" t="s">
        <v>65</v>
      </c>
      <c r="F51" s="119" t="s">
        <v>13</v>
      </c>
      <c r="G51" s="30" t="s">
        <v>80</v>
      </c>
      <c r="H51" s="122"/>
      <c r="I51" s="25">
        <v>2</v>
      </c>
      <c r="J51" s="119" t="s">
        <v>13</v>
      </c>
      <c r="K51" s="25">
        <v>0</v>
      </c>
      <c r="L51" s="120"/>
      <c r="M51" s="121"/>
    </row>
    <row r="52" spans="2:13" ht="15.75">
      <c r="B52" s="215">
        <v>46</v>
      </c>
      <c r="C52" s="127" t="s">
        <v>130</v>
      </c>
      <c r="D52" s="119" t="s">
        <v>104</v>
      </c>
      <c r="E52" s="24" t="s">
        <v>88</v>
      </c>
      <c r="F52" s="119" t="s">
        <v>13</v>
      </c>
      <c r="G52" s="30" t="s">
        <v>73</v>
      </c>
      <c r="H52" s="122"/>
      <c r="I52" s="25">
        <v>1</v>
      </c>
      <c r="J52" s="119" t="s">
        <v>13</v>
      </c>
      <c r="K52" s="25">
        <v>3</v>
      </c>
      <c r="L52" s="120"/>
      <c r="M52" s="121"/>
    </row>
    <row r="53" spans="2:13" ht="15.75">
      <c r="B53" s="215">
        <v>47</v>
      </c>
      <c r="C53" s="127" t="s">
        <v>131</v>
      </c>
      <c r="D53" s="119" t="s">
        <v>107</v>
      </c>
      <c r="E53" s="24" t="s">
        <v>64</v>
      </c>
      <c r="F53" s="119" t="s">
        <v>13</v>
      </c>
      <c r="G53" s="30" t="s">
        <v>79</v>
      </c>
      <c r="H53" s="122"/>
      <c r="I53" s="25">
        <v>1</v>
      </c>
      <c r="J53" s="119" t="s">
        <v>13</v>
      </c>
      <c r="K53" s="25">
        <v>2</v>
      </c>
      <c r="L53" s="120"/>
      <c r="M53" s="121"/>
    </row>
    <row r="54" spans="2:13" ht="15.75">
      <c r="B54" s="215">
        <v>48</v>
      </c>
      <c r="C54" s="127" t="s">
        <v>132</v>
      </c>
      <c r="D54" s="119" t="s">
        <v>107</v>
      </c>
      <c r="E54" s="24" t="s">
        <v>72</v>
      </c>
      <c r="F54" s="119" t="s">
        <v>13</v>
      </c>
      <c r="G54" s="30" t="s">
        <v>87</v>
      </c>
      <c r="H54" s="122"/>
      <c r="I54" s="25">
        <v>3</v>
      </c>
      <c r="J54" s="119" t="s">
        <v>13</v>
      </c>
      <c r="K54" s="25">
        <v>0</v>
      </c>
      <c r="L54" s="120"/>
      <c r="M54" s="121"/>
    </row>
    <row r="55" spans="2:13" ht="15.75">
      <c r="B55" s="215">
        <v>49</v>
      </c>
      <c r="C55" s="127" t="s">
        <v>133</v>
      </c>
      <c r="D55" s="119" t="s">
        <v>45</v>
      </c>
      <c r="E55" s="24" t="s">
        <v>34</v>
      </c>
      <c r="F55" s="119" t="s">
        <v>13</v>
      </c>
      <c r="G55" s="30" t="s">
        <v>26</v>
      </c>
      <c r="H55" s="122"/>
      <c r="I55" s="25">
        <v>1</v>
      </c>
      <c r="J55" s="119" t="s">
        <v>13</v>
      </c>
      <c r="K55" s="25">
        <v>2</v>
      </c>
      <c r="L55" s="120"/>
      <c r="M55" s="121"/>
    </row>
    <row r="56" spans="2:13" ht="15.75">
      <c r="B56" s="215">
        <v>50</v>
      </c>
      <c r="C56" s="127" t="s">
        <v>133</v>
      </c>
      <c r="D56" s="119" t="s">
        <v>45</v>
      </c>
      <c r="E56" s="24" t="s">
        <v>41</v>
      </c>
      <c r="F56" s="119" t="s">
        <v>13</v>
      </c>
      <c r="G56" s="30" t="s">
        <v>46</v>
      </c>
      <c r="H56" s="122"/>
      <c r="I56" s="25">
        <v>3</v>
      </c>
      <c r="J56" s="119" t="s">
        <v>13</v>
      </c>
      <c r="K56" s="25">
        <v>0</v>
      </c>
      <c r="L56" s="120"/>
      <c r="M56" s="121"/>
    </row>
    <row r="57" spans="2:13" ht="15.75">
      <c r="B57" s="215">
        <v>51</v>
      </c>
      <c r="C57" s="127" t="s">
        <v>134</v>
      </c>
      <c r="D57" s="119" t="s">
        <v>31</v>
      </c>
      <c r="E57" s="24" t="s">
        <v>25</v>
      </c>
      <c r="F57" s="119" t="s">
        <v>13</v>
      </c>
      <c r="G57" s="30" t="s">
        <v>32</v>
      </c>
      <c r="H57" s="122"/>
      <c r="I57" s="25">
        <v>1</v>
      </c>
      <c r="J57" s="119" t="s">
        <v>13</v>
      </c>
      <c r="K57" s="25">
        <v>0</v>
      </c>
      <c r="L57" s="120"/>
      <c r="M57" s="121"/>
    </row>
    <row r="58" spans="2:13" ht="15.75">
      <c r="B58" s="215">
        <v>52</v>
      </c>
      <c r="C58" s="127" t="s">
        <v>134</v>
      </c>
      <c r="D58" s="119" t="s">
        <v>31</v>
      </c>
      <c r="E58" s="24" t="s">
        <v>33</v>
      </c>
      <c r="F58" s="119" t="s">
        <v>13</v>
      </c>
      <c r="G58" s="30" t="s">
        <v>47</v>
      </c>
      <c r="H58" s="122"/>
      <c r="I58" s="25">
        <v>1</v>
      </c>
      <c r="J58" s="119" t="s">
        <v>13</v>
      </c>
      <c r="K58" s="25">
        <v>0</v>
      </c>
      <c r="L58" s="120"/>
      <c r="M58" s="121"/>
    </row>
    <row r="59" spans="2:13" ht="15.75">
      <c r="B59" s="215">
        <v>53</v>
      </c>
      <c r="C59" s="127" t="s">
        <v>135</v>
      </c>
      <c r="D59" s="119" t="s">
        <v>11</v>
      </c>
      <c r="E59" s="24" t="s">
        <v>24</v>
      </c>
      <c r="F59" s="119" t="s">
        <v>13</v>
      </c>
      <c r="G59" s="30" t="s">
        <v>12</v>
      </c>
      <c r="H59" s="122"/>
      <c r="I59" s="25">
        <v>1</v>
      </c>
      <c r="J59" s="119" t="s">
        <v>13</v>
      </c>
      <c r="K59" s="25">
        <v>2</v>
      </c>
      <c r="L59" s="120"/>
      <c r="M59" s="121"/>
    </row>
    <row r="60" spans="2:13" ht="15.75">
      <c r="B60" s="215">
        <v>54</v>
      </c>
      <c r="C60" s="127" t="s">
        <v>135</v>
      </c>
      <c r="D60" s="119" t="s">
        <v>11</v>
      </c>
      <c r="E60" s="24" t="s">
        <v>14</v>
      </c>
      <c r="F60" s="119" t="s">
        <v>13</v>
      </c>
      <c r="G60" s="30" t="s">
        <v>23</v>
      </c>
      <c r="H60" s="122"/>
      <c r="I60" s="25">
        <v>1</v>
      </c>
      <c r="J60" s="119" t="s">
        <v>13</v>
      </c>
      <c r="K60" s="25" t="s">
        <v>392</v>
      </c>
      <c r="L60" s="120"/>
      <c r="M60" s="121"/>
    </row>
    <row r="61" spans="2:13" ht="15.75">
      <c r="B61" s="215">
        <v>55</v>
      </c>
      <c r="C61" s="127" t="s">
        <v>136</v>
      </c>
      <c r="D61" s="119" t="s">
        <v>67</v>
      </c>
      <c r="E61" s="24" t="s">
        <v>49</v>
      </c>
      <c r="F61" s="119" t="s">
        <v>13</v>
      </c>
      <c r="G61" s="30" t="s">
        <v>42</v>
      </c>
      <c r="H61" s="122"/>
      <c r="I61" s="25">
        <v>1</v>
      </c>
      <c r="J61" s="119" t="s">
        <v>13</v>
      </c>
      <c r="K61" s="25">
        <v>1</v>
      </c>
      <c r="L61" s="120"/>
      <c r="M61" s="121"/>
    </row>
    <row r="62" spans="2:13" ht="15.75">
      <c r="B62" s="215">
        <v>56</v>
      </c>
      <c r="C62" s="127" t="s">
        <v>136</v>
      </c>
      <c r="D62" s="119" t="s">
        <v>67</v>
      </c>
      <c r="E62" s="24" t="s">
        <v>36</v>
      </c>
      <c r="F62" s="119" t="s">
        <v>13</v>
      </c>
      <c r="G62" s="30" t="s">
        <v>28</v>
      </c>
      <c r="H62" s="122"/>
      <c r="I62" s="25">
        <v>1</v>
      </c>
      <c r="J62" s="119" t="s">
        <v>13</v>
      </c>
      <c r="K62" s="25">
        <v>2</v>
      </c>
      <c r="L62" s="120"/>
      <c r="M62" s="121"/>
    </row>
    <row r="63" spans="2:13" ht="15.75">
      <c r="B63" s="215">
        <v>57</v>
      </c>
      <c r="C63" s="127" t="s">
        <v>137</v>
      </c>
      <c r="D63" s="119" t="s">
        <v>82</v>
      </c>
      <c r="E63" s="24" t="s">
        <v>43</v>
      </c>
      <c r="F63" s="119" t="s">
        <v>13</v>
      </c>
      <c r="G63" s="30" t="s">
        <v>37</v>
      </c>
      <c r="H63" s="122"/>
      <c r="I63" s="25">
        <v>2</v>
      </c>
      <c r="J63" s="119" t="s">
        <v>13</v>
      </c>
      <c r="K63" s="25">
        <v>0</v>
      </c>
      <c r="L63" s="120"/>
      <c r="M63" s="121"/>
    </row>
    <row r="64" spans="2:13" ht="15.75">
      <c r="B64" s="215">
        <v>58</v>
      </c>
      <c r="C64" s="127" t="s">
        <v>137</v>
      </c>
      <c r="D64" s="119" t="s">
        <v>82</v>
      </c>
      <c r="E64" s="24" t="s">
        <v>50</v>
      </c>
      <c r="F64" s="119" t="s">
        <v>13</v>
      </c>
      <c r="G64" s="30" t="s">
        <v>29</v>
      </c>
      <c r="H64" s="122"/>
      <c r="I64" s="25">
        <v>1</v>
      </c>
      <c r="J64" s="119" t="s">
        <v>13</v>
      </c>
      <c r="K64" s="25">
        <v>2</v>
      </c>
      <c r="L64" s="120"/>
      <c r="M64" s="121"/>
    </row>
    <row r="65" spans="2:14" ht="15.75">
      <c r="B65" s="215">
        <v>59</v>
      </c>
      <c r="C65" s="127" t="s">
        <v>138</v>
      </c>
      <c r="D65" s="119" t="s">
        <v>39</v>
      </c>
      <c r="E65" s="24" t="s">
        <v>27</v>
      </c>
      <c r="F65" s="119" t="s">
        <v>13</v>
      </c>
      <c r="G65" s="30" t="s">
        <v>35</v>
      </c>
      <c r="H65" s="122"/>
      <c r="I65" s="25">
        <v>2</v>
      </c>
      <c r="J65" s="119" t="s">
        <v>13</v>
      </c>
      <c r="K65" s="25">
        <v>1</v>
      </c>
      <c r="L65" s="120"/>
      <c r="M65" s="121"/>
      <c r="N65" s="96"/>
    </row>
    <row r="66" spans="2:14" ht="15.75">
      <c r="B66" s="215">
        <v>60</v>
      </c>
      <c r="C66" s="127" t="s">
        <v>138</v>
      </c>
      <c r="D66" s="119" t="s">
        <v>39</v>
      </c>
      <c r="E66" s="24" t="s">
        <v>40</v>
      </c>
      <c r="F66" s="119" t="s">
        <v>13</v>
      </c>
      <c r="G66" s="30" t="s">
        <v>48</v>
      </c>
      <c r="H66" s="122"/>
      <c r="I66" s="25">
        <v>2</v>
      </c>
      <c r="J66" s="119" t="s">
        <v>13</v>
      </c>
      <c r="K66" s="25">
        <v>1</v>
      </c>
      <c r="L66" s="120"/>
      <c r="M66" s="121"/>
      <c r="N66" s="96"/>
    </row>
    <row r="67" spans="2:14" ht="15.75">
      <c r="B67" s="215">
        <v>61</v>
      </c>
      <c r="C67" s="127" t="s">
        <v>139</v>
      </c>
      <c r="D67" s="119" t="s">
        <v>98</v>
      </c>
      <c r="E67" s="24" t="s">
        <v>70</v>
      </c>
      <c r="F67" s="119" t="s">
        <v>13</v>
      </c>
      <c r="G67" s="30" t="s">
        <v>62</v>
      </c>
      <c r="H67" s="122"/>
      <c r="I67" s="25">
        <v>2</v>
      </c>
      <c r="J67" s="119" t="s">
        <v>13</v>
      </c>
      <c r="K67" s="25">
        <v>3</v>
      </c>
      <c r="L67" s="120"/>
      <c r="M67" s="121"/>
      <c r="N67" s="96"/>
    </row>
    <row r="68" spans="2:14" ht="15.75">
      <c r="B68" s="215">
        <v>62</v>
      </c>
      <c r="C68" s="127" t="s">
        <v>139</v>
      </c>
      <c r="D68" s="119" t="s">
        <v>98</v>
      </c>
      <c r="E68" s="24" t="s">
        <v>77</v>
      </c>
      <c r="F68" s="119" t="s">
        <v>13</v>
      </c>
      <c r="G68" s="30" t="s">
        <v>85</v>
      </c>
      <c r="H68" s="122"/>
      <c r="I68" s="25">
        <v>1</v>
      </c>
      <c r="J68" s="119" t="s">
        <v>13</v>
      </c>
      <c r="K68" s="25">
        <v>0</v>
      </c>
      <c r="L68" s="120"/>
      <c r="M68" s="121"/>
      <c r="N68" s="96"/>
    </row>
    <row r="69" spans="2:14" ht="15.75">
      <c r="B69" s="215">
        <v>63</v>
      </c>
      <c r="C69" s="127" t="s">
        <v>140</v>
      </c>
      <c r="D69" s="119" t="s">
        <v>95</v>
      </c>
      <c r="E69" s="24" t="s">
        <v>68</v>
      </c>
      <c r="F69" s="119" t="s">
        <v>13</v>
      </c>
      <c r="G69" s="30" t="s">
        <v>83</v>
      </c>
      <c r="H69" s="122"/>
      <c r="I69" s="25">
        <v>1</v>
      </c>
      <c r="J69" s="119" t="s">
        <v>13</v>
      </c>
      <c r="K69" s="25">
        <v>2</v>
      </c>
      <c r="L69" s="120"/>
      <c r="M69" s="121"/>
      <c r="N69" s="96"/>
    </row>
    <row r="70" spans="2:14" ht="15.75">
      <c r="B70" s="215">
        <v>64</v>
      </c>
      <c r="C70" s="127" t="s">
        <v>140</v>
      </c>
      <c r="D70" s="119" t="s">
        <v>95</v>
      </c>
      <c r="E70" s="24" t="s">
        <v>75</v>
      </c>
      <c r="F70" s="119" t="s">
        <v>13</v>
      </c>
      <c r="G70" s="30" t="s">
        <v>60</v>
      </c>
      <c r="H70" s="122"/>
      <c r="I70" s="25">
        <v>0</v>
      </c>
      <c r="J70" s="119" t="s">
        <v>13</v>
      </c>
      <c r="K70" s="25">
        <v>3</v>
      </c>
      <c r="L70" s="120"/>
      <c r="M70" s="121"/>
      <c r="N70" s="96"/>
    </row>
    <row r="71" spans="2:14" ht="15.75">
      <c r="B71" s="215">
        <v>65</v>
      </c>
      <c r="C71" s="127" t="s">
        <v>141</v>
      </c>
      <c r="D71" s="119" t="s">
        <v>91</v>
      </c>
      <c r="E71" s="24" t="s">
        <v>76</v>
      </c>
      <c r="F71" s="119" t="s">
        <v>13</v>
      </c>
      <c r="G71" s="30" t="s">
        <v>84</v>
      </c>
      <c r="H71" s="122"/>
      <c r="I71" s="25">
        <v>0</v>
      </c>
      <c r="J71" s="119" t="s">
        <v>13</v>
      </c>
      <c r="K71" s="25">
        <v>2</v>
      </c>
      <c r="L71" s="120"/>
      <c r="M71" s="121"/>
      <c r="N71" s="96"/>
    </row>
    <row r="72" spans="2:14" ht="15.75">
      <c r="B72" s="215">
        <v>66</v>
      </c>
      <c r="C72" s="127" t="s">
        <v>141</v>
      </c>
      <c r="D72" s="119" t="s">
        <v>91</v>
      </c>
      <c r="E72" s="24" t="s">
        <v>69</v>
      </c>
      <c r="F72" s="119" t="s">
        <v>13</v>
      </c>
      <c r="G72" s="30" t="s">
        <v>61</v>
      </c>
      <c r="H72" s="122"/>
      <c r="I72" s="25">
        <v>1</v>
      </c>
      <c r="J72" s="119" t="s">
        <v>13</v>
      </c>
      <c r="K72" s="25">
        <v>2</v>
      </c>
      <c r="L72" s="120"/>
      <c r="M72" s="121"/>
      <c r="N72" s="96"/>
    </row>
    <row r="73" spans="2:14" ht="15.75">
      <c r="B73" s="215">
        <v>67</v>
      </c>
      <c r="C73" s="127" t="s">
        <v>142</v>
      </c>
      <c r="D73" s="119" t="s">
        <v>104</v>
      </c>
      <c r="E73" s="24" t="s">
        <v>88</v>
      </c>
      <c r="F73" s="119" t="s">
        <v>13</v>
      </c>
      <c r="G73" s="30" t="s">
        <v>65</v>
      </c>
      <c r="H73" s="122"/>
      <c r="I73" s="25">
        <v>0</v>
      </c>
      <c r="J73" s="119" t="s">
        <v>13</v>
      </c>
      <c r="K73" s="25">
        <v>2</v>
      </c>
      <c r="L73" s="120"/>
      <c r="M73" s="121"/>
      <c r="N73" s="96"/>
    </row>
    <row r="74" spans="2:14" ht="15.75">
      <c r="B74" s="215">
        <v>68</v>
      </c>
      <c r="C74" s="127" t="s">
        <v>142</v>
      </c>
      <c r="D74" s="119" t="s">
        <v>104</v>
      </c>
      <c r="E74" s="24" t="s">
        <v>73</v>
      </c>
      <c r="F74" s="119" t="s">
        <v>13</v>
      </c>
      <c r="G74" s="30" t="s">
        <v>80</v>
      </c>
      <c r="H74" s="122"/>
      <c r="I74" s="25">
        <v>2</v>
      </c>
      <c r="J74" s="119" t="s">
        <v>13</v>
      </c>
      <c r="K74" s="25">
        <v>0</v>
      </c>
      <c r="L74" s="120"/>
      <c r="M74" s="121"/>
      <c r="N74" s="96"/>
    </row>
    <row r="75" spans="2:14" ht="15.75">
      <c r="B75" s="215">
        <v>69</v>
      </c>
      <c r="C75" s="127" t="s">
        <v>143</v>
      </c>
      <c r="D75" s="119" t="s">
        <v>101</v>
      </c>
      <c r="E75" s="24" t="s">
        <v>78</v>
      </c>
      <c r="F75" s="119" t="s">
        <v>13</v>
      </c>
      <c r="G75" s="30" t="s">
        <v>71</v>
      </c>
      <c r="H75" s="122"/>
      <c r="I75" s="25">
        <v>2</v>
      </c>
      <c r="J75" s="119" t="s">
        <v>13</v>
      </c>
      <c r="K75" s="25">
        <v>2</v>
      </c>
      <c r="L75" s="120"/>
      <c r="M75" s="121"/>
      <c r="N75" s="96"/>
    </row>
    <row r="76" spans="2:14" ht="15.75">
      <c r="B76" s="215">
        <v>70</v>
      </c>
      <c r="C76" s="127" t="s">
        <v>143</v>
      </c>
      <c r="D76" s="119" t="s">
        <v>101</v>
      </c>
      <c r="E76" s="24" t="s">
        <v>86</v>
      </c>
      <c r="F76" s="119" t="s">
        <v>13</v>
      </c>
      <c r="G76" s="30" t="s">
        <v>63</v>
      </c>
      <c r="H76" s="122"/>
      <c r="I76" s="25">
        <v>0</v>
      </c>
      <c r="J76" s="119" t="s">
        <v>13</v>
      </c>
      <c r="K76" s="25">
        <v>2</v>
      </c>
      <c r="L76" s="120"/>
      <c r="M76" s="121"/>
      <c r="N76" s="96"/>
    </row>
    <row r="77" spans="2:14" ht="15.75">
      <c r="B77" s="215">
        <v>71</v>
      </c>
      <c r="C77" s="127" t="s">
        <v>144</v>
      </c>
      <c r="D77" s="119" t="s">
        <v>107</v>
      </c>
      <c r="E77" s="24" t="s">
        <v>72</v>
      </c>
      <c r="F77" s="119" t="s">
        <v>13</v>
      </c>
      <c r="G77" s="30" t="s">
        <v>64</v>
      </c>
      <c r="H77" s="122"/>
      <c r="I77" s="25">
        <v>2</v>
      </c>
      <c r="J77" s="119" t="s">
        <v>13</v>
      </c>
      <c r="K77" s="25">
        <v>1</v>
      </c>
      <c r="L77" s="120"/>
      <c r="M77" s="121"/>
      <c r="N77" s="96"/>
    </row>
    <row r="78" spans="2:14" ht="15.75">
      <c r="B78" s="215">
        <v>72</v>
      </c>
      <c r="C78" s="127" t="s">
        <v>144</v>
      </c>
      <c r="D78" s="119" t="s">
        <v>107</v>
      </c>
      <c r="E78" s="24" t="s">
        <v>87</v>
      </c>
      <c r="F78" s="119" t="s">
        <v>13</v>
      </c>
      <c r="G78" s="30" t="s">
        <v>79</v>
      </c>
      <c r="H78" s="122"/>
      <c r="I78" s="25">
        <v>0</v>
      </c>
      <c r="J78" s="119" t="s">
        <v>13</v>
      </c>
      <c r="K78" s="25">
        <v>2</v>
      </c>
      <c r="L78" s="120"/>
      <c r="M78" s="121"/>
      <c r="N78" s="96"/>
    </row>
    <row r="79" spans="2:14" ht="15.75">
      <c r="B79" s="96"/>
      <c r="C79" s="96"/>
      <c r="D79" s="97" t="s">
        <v>145</v>
      </c>
      <c r="E79" s="105" t="s">
        <v>63</v>
      </c>
      <c r="F79" s="118" t="s">
        <v>13</v>
      </c>
      <c r="G79" s="105" t="s">
        <v>61</v>
      </c>
      <c r="H79" s="96"/>
      <c r="I79" s="96"/>
      <c r="J79" s="96"/>
      <c r="K79" s="96"/>
      <c r="L79" s="109">
        <v>1</v>
      </c>
      <c r="M79" s="109">
        <v>2</v>
      </c>
      <c r="N79" s="110"/>
    </row>
    <row r="80" spans="2:14" ht="15.75">
      <c r="B80" s="96"/>
      <c r="C80" s="128"/>
      <c r="D80" s="97" t="s">
        <v>146</v>
      </c>
      <c r="E80" s="106" t="s">
        <v>65</v>
      </c>
      <c r="F80" s="118" t="s">
        <v>13</v>
      </c>
      <c r="G80" s="106" t="s">
        <v>62</v>
      </c>
      <c r="H80" s="96"/>
      <c r="I80" s="96"/>
      <c r="J80" s="96"/>
      <c r="K80" s="96"/>
      <c r="L80" s="104">
        <v>2</v>
      </c>
      <c r="M80" s="104">
        <v>1</v>
      </c>
      <c r="N80" s="110"/>
    </row>
    <row r="81" spans="1:14" ht="15.75">
      <c r="A81" s="96"/>
      <c r="B81" s="96"/>
      <c r="C81" s="128"/>
      <c r="D81" s="96"/>
      <c r="E81" s="96"/>
      <c r="F81" s="99"/>
      <c r="G81" s="96"/>
      <c r="H81" s="96"/>
      <c r="I81" s="96"/>
      <c r="J81" s="96"/>
      <c r="K81" s="99"/>
      <c r="L81" s="99"/>
      <c r="M81" s="99"/>
      <c r="N81" s="110"/>
    </row>
    <row r="82" spans="1:14" ht="15.75">
      <c r="A82" s="96"/>
      <c r="B82" s="96"/>
      <c r="C82" s="128"/>
      <c r="D82" s="96"/>
      <c r="E82" s="96"/>
      <c r="F82" s="99"/>
      <c r="G82" s="96"/>
      <c r="H82" s="96"/>
      <c r="I82" s="96"/>
      <c r="J82" s="96"/>
      <c r="K82" s="99"/>
      <c r="L82" s="212" t="s">
        <v>147</v>
      </c>
      <c r="M82" s="103"/>
      <c r="N82" s="110"/>
    </row>
    <row r="83" spans="1:14" ht="15.75">
      <c r="A83" s="96"/>
      <c r="B83" s="96"/>
      <c r="C83" s="128"/>
      <c r="D83" s="96"/>
      <c r="E83" s="96"/>
      <c r="F83" s="99"/>
      <c r="G83" s="96"/>
      <c r="H83" s="96"/>
      <c r="I83" s="96"/>
      <c r="J83" s="96"/>
      <c r="K83" s="99"/>
      <c r="L83" s="99"/>
      <c r="M83" s="99"/>
      <c r="N83" s="110"/>
    </row>
    <row r="84" spans="1:14" ht="15.75">
      <c r="A84" s="97"/>
      <c r="B84" s="96"/>
      <c r="C84" s="128"/>
      <c r="D84" s="96"/>
      <c r="E84" s="96"/>
      <c r="F84" s="99"/>
      <c r="G84" s="100"/>
      <c r="H84" s="96"/>
      <c r="I84" s="96"/>
      <c r="J84" s="96"/>
      <c r="K84" s="99"/>
      <c r="L84" s="96"/>
      <c r="M84" s="96"/>
      <c r="N84" s="96"/>
    </row>
    <row r="85" spans="1:14" ht="15.75">
      <c r="A85" s="97"/>
      <c r="B85" s="96"/>
      <c r="C85" s="128"/>
      <c r="D85" s="96"/>
      <c r="E85" s="96"/>
      <c r="F85" s="99"/>
      <c r="G85" s="100"/>
      <c r="H85" s="96"/>
      <c r="I85" s="96"/>
      <c r="J85" s="96"/>
      <c r="K85" s="99"/>
      <c r="L85" s="96"/>
      <c r="M85" s="96"/>
      <c r="N85" s="96"/>
    </row>
    <row r="86" spans="1:14" ht="15.75">
      <c r="A86" s="97"/>
      <c r="B86" s="211"/>
      <c r="C86" s="129"/>
      <c r="D86" s="96"/>
      <c r="E86" s="96"/>
      <c r="F86" s="99"/>
      <c r="G86" s="100"/>
      <c r="H86" s="96"/>
      <c r="I86" s="96"/>
      <c r="J86" s="96"/>
      <c r="K86" s="99"/>
      <c r="L86" s="96"/>
      <c r="M86" s="96"/>
      <c r="N86" s="96"/>
    </row>
    <row r="87" spans="1:14" ht="15.75">
      <c r="A87" s="97"/>
      <c r="B87" s="211"/>
      <c r="C87" s="129"/>
      <c r="D87" s="96"/>
      <c r="E87" s="96"/>
      <c r="F87" s="99"/>
      <c r="G87" s="100"/>
      <c r="H87" s="96"/>
      <c r="I87" s="96"/>
      <c r="J87" s="96"/>
      <c r="K87" s="99"/>
      <c r="L87" s="96"/>
      <c r="M87" s="96"/>
      <c r="N87" s="96"/>
    </row>
  </sheetData>
  <mergeCells count="1">
    <mergeCell ref="H2:M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U87"/>
  <sheetViews>
    <sheetView workbookViewId="0">
      <selection activeCell="H3" sqref="H3"/>
    </sheetView>
  </sheetViews>
  <sheetFormatPr defaultRowHeight="15"/>
  <sheetData>
    <row r="2" spans="2:21" ht="15.75">
      <c r="B2" s="96"/>
      <c r="C2" s="96"/>
      <c r="D2" s="96"/>
      <c r="E2" s="96"/>
      <c r="F2" s="96"/>
      <c r="G2" s="97" t="s">
        <v>0</v>
      </c>
      <c r="H2" s="296" t="s">
        <v>418</v>
      </c>
      <c r="I2" s="297"/>
      <c r="J2" s="297"/>
      <c r="K2" s="297"/>
      <c r="L2" s="297"/>
      <c r="M2" s="297"/>
      <c r="N2" s="99"/>
      <c r="O2" s="96"/>
      <c r="P2" s="96"/>
      <c r="Q2" s="96"/>
      <c r="R2" s="96"/>
      <c r="S2" s="96"/>
      <c r="T2" s="96"/>
      <c r="U2" s="96"/>
    </row>
    <row r="4" spans="2:21" ht="18">
      <c r="B4" s="216" t="s">
        <v>2</v>
      </c>
      <c r="C4" s="96"/>
      <c r="D4" s="96"/>
      <c r="E4" s="96"/>
      <c r="F4" s="96"/>
      <c r="G4" s="97"/>
      <c r="H4" s="97"/>
      <c r="I4" s="97"/>
      <c r="J4" s="97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</row>
    <row r="5" spans="2:21" ht="15.75">
      <c r="B5" s="96"/>
      <c r="C5" s="217"/>
      <c r="D5" s="96"/>
      <c r="E5" s="96"/>
      <c r="F5" s="96"/>
      <c r="G5" s="97"/>
      <c r="H5" s="97"/>
      <c r="I5" s="97"/>
      <c r="J5" s="97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</row>
    <row r="6" spans="2:21" ht="18.75" thickBot="1">
      <c r="B6" s="96"/>
      <c r="C6" s="126" t="s">
        <v>3</v>
      </c>
      <c r="D6" s="101" t="s">
        <v>4</v>
      </c>
      <c r="E6" s="102"/>
      <c r="F6" s="101" t="s">
        <v>5</v>
      </c>
      <c r="G6" s="102"/>
      <c r="H6" s="102"/>
      <c r="I6" s="102"/>
      <c r="J6" s="101" t="s">
        <v>6</v>
      </c>
      <c r="K6" s="101"/>
      <c r="L6" s="101" t="s">
        <v>7</v>
      </c>
      <c r="M6" s="101" t="s">
        <v>8</v>
      </c>
      <c r="N6" s="101"/>
      <c r="O6" s="214" t="s">
        <v>9</v>
      </c>
      <c r="P6" s="96"/>
      <c r="Q6" s="96"/>
      <c r="R6" s="96"/>
      <c r="S6" s="96"/>
      <c r="T6" s="96"/>
      <c r="U6" s="96"/>
    </row>
    <row r="7" spans="2:21" ht="16.5" thickBot="1">
      <c r="B7" s="215">
        <v>1</v>
      </c>
      <c r="C7" s="127" t="s">
        <v>10</v>
      </c>
      <c r="D7" s="119" t="s">
        <v>11</v>
      </c>
      <c r="E7" s="24" t="s">
        <v>12</v>
      </c>
      <c r="F7" s="119" t="s">
        <v>13</v>
      </c>
      <c r="G7" s="30" t="s">
        <v>14</v>
      </c>
      <c r="H7" s="122"/>
      <c r="I7" s="25">
        <v>3</v>
      </c>
      <c r="J7" s="119" t="s">
        <v>13</v>
      </c>
      <c r="K7" s="25">
        <v>0</v>
      </c>
      <c r="L7" s="120"/>
      <c r="M7" s="121"/>
      <c r="N7" s="110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>
      <c r="B8" s="215">
        <v>2</v>
      </c>
      <c r="C8" s="127" t="s">
        <v>22</v>
      </c>
      <c r="D8" s="119" t="s">
        <v>11</v>
      </c>
      <c r="E8" s="24" t="s">
        <v>23</v>
      </c>
      <c r="F8" s="119" t="s">
        <v>13</v>
      </c>
      <c r="G8" s="30" t="s">
        <v>24</v>
      </c>
      <c r="H8" s="122"/>
      <c r="I8" s="25">
        <v>1</v>
      </c>
      <c r="J8" s="119" t="s">
        <v>13</v>
      </c>
      <c r="K8" s="25">
        <v>0</v>
      </c>
      <c r="L8" s="120"/>
      <c r="M8" s="121"/>
      <c r="N8" s="110"/>
      <c r="O8" s="16">
        <v>1</v>
      </c>
      <c r="P8" s="22" t="s">
        <v>12</v>
      </c>
      <c r="Q8" s="21" t="s">
        <v>25</v>
      </c>
      <c r="R8" s="21" t="s">
        <v>26</v>
      </c>
      <c r="S8" s="22" t="s">
        <v>35</v>
      </c>
      <c r="T8" s="21" t="s">
        <v>28</v>
      </c>
      <c r="U8" s="22" t="s">
        <v>29</v>
      </c>
    </row>
    <row r="9" spans="2:21" ht="15.75">
      <c r="B9" s="215">
        <v>3</v>
      </c>
      <c r="C9" s="127" t="s">
        <v>30</v>
      </c>
      <c r="D9" s="119" t="s">
        <v>31</v>
      </c>
      <c r="E9" s="24" t="s">
        <v>32</v>
      </c>
      <c r="F9" s="119" t="s">
        <v>13</v>
      </c>
      <c r="G9" s="30" t="s">
        <v>33</v>
      </c>
      <c r="H9" s="122"/>
      <c r="I9" s="25">
        <v>1</v>
      </c>
      <c r="J9" s="119" t="s">
        <v>13</v>
      </c>
      <c r="K9" s="25">
        <v>0</v>
      </c>
      <c r="L9" s="120"/>
      <c r="M9" s="121"/>
      <c r="N9" s="110"/>
      <c r="O9" s="17">
        <v>2</v>
      </c>
      <c r="P9" s="21" t="s">
        <v>23</v>
      </c>
      <c r="Q9" s="22" t="s">
        <v>32</v>
      </c>
      <c r="R9" s="21" t="s">
        <v>41</v>
      </c>
      <c r="S9" s="21" t="s">
        <v>27</v>
      </c>
      <c r="T9" s="21" t="s">
        <v>36</v>
      </c>
      <c r="U9" s="21" t="s">
        <v>43</v>
      </c>
    </row>
    <row r="10" spans="2:21" ht="15.75">
      <c r="B10" s="215">
        <v>4</v>
      </c>
      <c r="C10" s="127" t="s">
        <v>38</v>
      </c>
      <c r="D10" s="119" t="s">
        <v>39</v>
      </c>
      <c r="E10" s="24" t="s">
        <v>35</v>
      </c>
      <c r="F10" s="119" t="s">
        <v>13</v>
      </c>
      <c r="G10" s="30" t="s">
        <v>40</v>
      </c>
      <c r="H10" s="122"/>
      <c r="I10" s="25">
        <v>2</v>
      </c>
      <c r="J10" s="119" t="s">
        <v>13</v>
      </c>
      <c r="K10" s="25">
        <v>0</v>
      </c>
      <c r="L10" s="120"/>
      <c r="M10" s="121"/>
      <c r="N10" s="110"/>
      <c r="O10" s="17">
        <v>3</v>
      </c>
      <c r="P10" s="21" t="s">
        <v>24</v>
      </c>
      <c r="Q10" s="21" t="s">
        <v>33</v>
      </c>
      <c r="R10" s="21" t="s">
        <v>34</v>
      </c>
      <c r="S10" s="21" t="s">
        <v>40</v>
      </c>
      <c r="T10" s="22" t="s">
        <v>42</v>
      </c>
      <c r="U10" s="21" t="s">
        <v>37</v>
      </c>
    </row>
    <row r="11" spans="2:21" ht="15.75">
      <c r="B11" s="215">
        <v>5</v>
      </c>
      <c r="C11" s="127" t="s">
        <v>44</v>
      </c>
      <c r="D11" s="119" t="s">
        <v>45</v>
      </c>
      <c r="E11" s="24" t="s">
        <v>46</v>
      </c>
      <c r="F11" s="119" t="s">
        <v>13</v>
      </c>
      <c r="G11" s="30" t="s">
        <v>34</v>
      </c>
      <c r="H11" s="122"/>
      <c r="I11" s="25">
        <v>0</v>
      </c>
      <c r="J11" s="119" t="s">
        <v>13</v>
      </c>
      <c r="K11" s="25">
        <v>3</v>
      </c>
      <c r="L11" s="120"/>
      <c r="M11" s="121"/>
      <c r="N11" s="110"/>
      <c r="O11" s="17">
        <v>4</v>
      </c>
      <c r="P11" s="21" t="s">
        <v>14</v>
      </c>
      <c r="Q11" s="21" t="s">
        <v>47</v>
      </c>
      <c r="R11" s="22" t="s">
        <v>46</v>
      </c>
      <c r="S11" s="21" t="s">
        <v>48</v>
      </c>
      <c r="T11" s="21" t="s">
        <v>49</v>
      </c>
      <c r="U11" s="21" t="s">
        <v>50</v>
      </c>
    </row>
    <row r="12" spans="2:21" ht="16.5" thickBot="1">
      <c r="B12" s="215">
        <v>6</v>
      </c>
      <c r="C12" s="127" t="s">
        <v>51</v>
      </c>
      <c r="D12" s="119" t="s">
        <v>39</v>
      </c>
      <c r="E12" s="24" t="s">
        <v>48</v>
      </c>
      <c r="F12" s="119" t="s">
        <v>13</v>
      </c>
      <c r="G12" s="30" t="s">
        <v>27</v>
      </c>
      <c r="H12" s="122"/>
      <c r="I12" s="25">
        <v>1</v>
      </c>
      <c r="J12" s="119" t="s">
        <v>13</v>
      </c>
      <c r="K12" s="25">
        <v>1</v>
      </c>
      <c r="L12" s="120"/>
      <c r="M12" s="121"/>
      <c r="N12" s="110"/>
      <c r="O12" s="96"/>
      <c r="P12" s="96"/>
      <c r="Q12" s="96"/>
      <c r="R12" s="96"/>
      <c r="S12" s="96"/>
      <c r="T12" s="96"/>
      <c r="U12" s="96"/>
    </row>
    <row r="13" spans="2:21" ht="16.5" thickBot="1">
      <c r="B13" s="215">
        <v>7</v>
      </c>
      <c r="C13" s="127" t="s">
        <v>52</v>
      </c>
      <c r="D13" s="119" t="s">
        <v>45</v>
      </c>
      <c r="E13" s="24" t="s">
        <v>26</v>
      </c>
      <c r="F13" s="119" t="s">
        <v>13</v>
      </c>
      <c r="G13" s="30" t="s">
        <v>41</v>
      </c>
      <c r="H13" s="122"/>
      <c r="I13" s="25">
        <v>3</v>
      </c>
      <c r="J13" s="119" t="s">
        <v>13</v>
      </c>
      <c r="K13" s="25">
        <v>1</v>
      </c>
      <c r="L13" s="120"/>
      <c r="M13" s="121"/>
      <c r="N13" s="110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>
      <c r="B14" s="215">
        <v>8</v>
      </c>
      <c r="C14" s="127" t="s">
        <v>59</v>
      </c>
      <c r="D14" s="119" t="s">
        <v>31</v>
      </c>
      <c r="E14" s="24" t="s">
        <v>47</v>
      </c>
      <c r="F14" s="119" t="s">
        <v>13</v>
      </c>
      <c r="G14" s="30" t="s">
        <v>25</v>
      </c>
      <c r="H14" s="122"/>
      <c r="I14" s="25">
        <v>1</v>
      </c>
      <c r="J14" s="119" t="s">
        <v>13</v>
      </c>
      <c r="K14" s="25">
        <v>2</v>
      </c>
      <c r="L14" s="120"/>
      <c r="M14" s="121"/>
      <c r="N14" s="110"/>
      <c r="O14" s="16">
        <v>1</v>
      </c>
      <c r="P14" s="21" t="s">
        <v>60</v>
      </c>
      <c r="Q14" s="21" t="s">
        <v>61</v>
      </c>
      <c r="R14" s="22" t="s">
        <v>62</v>
      </c>
      <c r="S14" s="22" t="s">
        <v>63</v>
      </c>
      <c r="T14" s="22" t="s">
        <v>64</v>
      </c>
      <c r="U14" s="21" t="s">
        <v>65</v>
      </c>
    </row>
    <row r="15" spans="2:21" ht="15.75">
      <c r="B15" s="215">
        <v>9</v>
      </c>
      <c r="C15" s="127" t="s">
        <v>66</v>
      </c>
      <c r="D15" s="119" t="s">
        <v>67</v>
      </c>
      <c r="E15" s="24" t="s">
        <v>42</v>
      </c>
      <c r="F15" s="119" t="s">
        <v>13</v>
      </c>
      <c r="G15" s="30" t="s">
        <v>36</v>
      </c>
      <c r="H15" s="122"/>
      <c r="I15" s="25">
        <v>1</v>
      </c>
      <c r="J15" s="119" t="s">
        <v>13</v>
      </c>
      <c r="K15" s="25">
        <v>2</v>
      </c>
      <c r="L15" s="120"/>
      <c r="M15" s="121"/>
      <c r="N15" s="110"/>
      <c r="O15" s="17">
        <v>2</v>
      </c>
      <c r="P15" s="21" t="s">
        <v>68</v>
      </c>
      <c r="Q15" s="21" t="s">
        <v>69</v>
      </c>
      <c r="R15" s="21" t="s">
        <v>77</v>
      </c>
      <c r="S15" s="21" t="s">
        <v>71</v>
      </c>
      <c r="T15" s="21" t="s">
        <v>72</v>
      </c>
      <c r="U15" s="21" t="s">
        <v>73</v>
      </c>
    </row>
    <row r="16" spans="2:21" ht="15.75">
      <c r="B16" s="215">
        <v>10</v>
      </c>
      <c r="C16" s="127" t="s">
        <v>74</v>
      </c>
      <c r="D16" s="119" t="s">
        <v>67</v>
      </c>
      <c r="E16" s="24" t="s">
        <v>28</v>
      </c>
      <c r="F16" s="119" t="s">
        <v>13</v>
      </c>
      <c r="G16" s="30" t="s">
        <v>49</v>
      </c>
      <c r="H16" s="122"/>
      <c r="I16" s="25">
        <v>4</v>
      </c>
      <c r="J16" s="119" t="s">
        <v>13</v>
      </c>
      <c r="K16" s="25">
        <v>0</v>
      </c>
      <c r="L16" s="120"/>
      <c r="M16" s="121"/>
      <c r="N16" s="110"/>
      <c r="O16" s="17">
        <v>3</v>
      </c>
      <c r="P16" s="22" t="s">
        <v>83</v>
      </c>
      <c r="Q16" s="21" t="s">
        <v>76</v>
      </c>
      <c r="R16" s="21" t="s">
        <v>70</v>
      </c>
      <c r="S16" s="21" t="s">
        <v>78</v>
      </c>
      <c r="T16" s="21" t="s">
        <v>79</v>
      </c>
      <c r="U16" s="21" t="s">
        <v>88</v>
      </c>
    </row>
    <row r="17" spans="2:21" ht="15.75">
      <c r="B17" s="215">
        <v>11</v>
      </c>
      <c r="C17" s="127" t="s">
        <v>81</v>
      </c>
      <c r="D17" s="119" t="s">
        <v>82</v>
      </c>
      <c r="E17" s="24" t="s">
        <v>29</v>
      </c>
      <c r="F17" s="119" t="s">
        <v>13</v>
      </c>
      <c r="G17" s="30" t="s">
        <v>43</v>
      </c>
      <c r="H17" s="122"/>
      <c r="I17" s="25">
        <v>1</v>
      </c>
      <c r="J17" s="119" t="s">
        <v>13</v>
      </c>
      <c r="K17" s="25">
        <v>0</v>
      </c>
      <c r="L17" s="120"/>
      <c r="M17" s="121"/>
      <c r="N17" s="110"/>
      <c r="O17" s="17">
        <v>4</v>
      </c>
      <c r="P17" s="21" t="s">
        <v>75</v>
      </c>
      <c r="Q17" s="22" t="s">
        <v>84</v>
      </c>
      <c r="R17" s="21" t="s">
        <v>85</v>
      </c>
      <c r="S17" s="21" t="s">
        <v>86</v>
      </c>
      <c r="T17" s="21" t="s">
        <v>87</v>
      </c>
      <c r="U17" s="22" t="s">
        <v>80</v>
      </c>
    </row>
    <row r="18" spans="2:21" ht="15.75">
      <c r="B18" s="215">
        <v>12</v>
      </c>
      <c r="C18" s="127" t="s">
        <v>89</v>
      </c>
      <c r="D18" s="119" t="s">
        <v>82</v>
      </c>
      <c r="E18" s="24" t="s">
        <v>37</v>
      </c>
      <c r="F18" s="119" t="s">
        <v>13</v>
      </c>
      <c r="G18" s="30" t="s">
        <v>50</v>
      </c>
      <c r="H18" s="122"/>
      <c r="I18" s="25">
        <v>1</v>
      </c>
      <c r="J18" s="119" t="s">
        <v>13</v>
      </c>
      <c r="K18" s="25">
        <v>1</v>
      </c>
      <c r="L18" s="120"/>
      <c r="M18" s="121"/>
      <c r="N18" s="110"/>
      <c r="O18" s="96"/>
      <c r="P18" s="21"/>
      <c r="Q18" s="21"/>
      <c r="R18" s="21"/>
      <c r="S18" s="21"/>
      <c r="T18" s="21"/>
      <c r="U18" s="21"/>
    </row>
    <row r="19" spans="2:21" ht="15.75">
      <c r="B19" s="215">
        <v>13</v>
      </c>
      <c r="C19" s="127" t="s">
        <v>90</v>
      </c>
      <c r="D19" s="119" t="s">
        <v>91</v>
      </c>
      <c r="E19" s="24" t="s">
        <v>84</v>
      </c>
      <c r="F19" s="119" t="s">
        <v>13</v>
      </c>
      <c r="G19" s="30" t="s">
        <v>69</v>
      </c>
      <c r="H19" s="122"/>
      <c r="I19" s="25">
        <v>0</v>
      </c>
      <c r="J19" s="119" t="s">
        <v>13</v>
      </c>
      <c r="K19" s="25">
        <v>2</v>
      </c>
      <c r="L19" s="120"/>
      <c r="M19" s="121"/>
      <c r="N19" s="110"/>
      <c r="O19" s="96"/>
      <c r="P19" s="96"/>
      <c r="Q19" s="96"/>
      <c r="R19" s="96"/>
      <c r="S19" s="96"/>
      <c r="T19" s="96"/>
      <c r="U19" s="96"/>
    </row>
    <row r="20" spans="2:21" ht="16.5" thickBot="1">
      <c r="B20" s="215">
        <v>14</v>
      </c>
      <c r="C20" s="127" t="s">
        <v>92</v>
      </c>
      <c r="D20" s="119" t="s">
        <v>91</v>
      </c>
      <c r="E20" s="24" t="s">
        <v>61</v>
      </c>
      <c r="F20" s="119" t="s">
        <v>13</v>
      </c>
      <c r="G20" s="30" t="s">
        <v>76</v>
      </c>
      <c r="H20" s="122"/>
      <c r="I20" s="25">
        <v>4</v>
      </c>
      <c r="J20" s="119" t="s">
        <v>13</v>
      </c>
      <c r="K20" s="25">
        <v>0</v>
      </c>
      <c r="L20" s="120"/>
      <c r="M20" s="121"/>
      <c r="N20" s="110"/>
      <c r="O20" s="213" t="s">
        <v>93</v>
      </c>
      <c r="P20" s="96"/>
      <c r="Q20" s="96"/>
      <c r="R20" s="96"/>
      <c r="S20" s="96"/>
      <c r="T20" s="96"/>
      <c r="U20" s="96"/>
    </row>
    <row r="21" spans="2:21" ht="16.5" thickBot="1">
      <c r="B21" s="215">
        <v>15</v>
      </c>
      <c r="C21" s="127" t="s">
        <v>94</v>
      </c>
      <c r="D21" s="119" t="s">
        <v>95</v>
      </c>
      <c r="E21" s="24" t="s">
        <v>83</v>
      </c>
      <c r="F21" s="119" t="s">
        <v>13</v>
      </c>
      <c r="G21" s="30" t="s">
        <v>75</v>
      </c>
      <c r="H21" s="122"/>
      <c r="I21" s="25">
        <v>2</v>
      </c>
      <c r="J21" s="119" t="s">
        <v>13</v>
      </c>
      <c r="K21" s="25">
        <v>0</v>
      </c>
      <c r="L21" s="120"/>
      <c r="M21" s="121"/>
      <c r="N21" s="110"/>
      <c r="O21" s="96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>
      <c r="B22" s="215">
        <v>16</v>
      </c>
      <c r="C22" s="127" t="s">
        <v>96</v>
      </c>
      <c r="D22" s="119" t="s">
        <v>95</v>
      </c>
      <c r="E22" s="24" t="s">
        <v>60</v>
      </c>
      <c r="F22" s="119" t="s">
        <v>13</v>
      </c>
      <c r="G22" s="30" t="s">
        <v>68</v>
      </c>
      <c r="H22" s="122"/>
      <c r="I22" s="25">
        <v>1</v>
      </c>
      <c r="J22" s="119" t="s">
        <v>13</v>
      </c>
      <c r="K22" s="25">
        <v>0</v>
      </c>
      <c r="L22" s="120"/>
      <c r="M22" s="121"/>
      <c r="N22" s="110"/>
      <c r="O22" s="96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>
      <c r="B23" s="215">
        <v>17</v>
      </c>
      <c r="C23" s="127" t="s">
        <v>97</v>
      </c>
      <c r="D23" s="119" t="s">
        <v>98</v>
      </c>
      <c r="E23" s="24" t="s">
        <v>62</v>
      </c>
      <c r="F23" s="119" t="s">
        <v>13</v>
      </c>
      <c r="G23" s="30" t="s">
        <v>77</v>
      </c>
      <c r="H23" s="122"/>
      <c r="I23" s="25">
        <v>2</v>
      </c>
      <c r="J23" s="119" t="s">
        <v>13</v>
      </c>
      <c r="K23" s="25">
        <v>1</v>
      </c>
      <c r="L23" s="120"/>
      <c r="M23" s="121"/>
      <c r="N23" s="110"/>
      <c r="O23" s="96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>
      <c r="B24" s="215">
        <v>18</v>
      </c>
      <c r="C24" s="127" t="s">
        <v>99</v>
      </c>
      <c r="D24" s="119" t="s">
        <v>98</v>
      </c>
      <c r="E24" s="24" t="s">
        <v>85</v>
      </c>
      <c r="F24" s="119" t="s">
        <v>13</v>
      </c>
      <c r="G24" s="30" t="s">
        <v>70</v>
      </c>
      <c r="H24" s="122"/>
      <c r="I24" s="25">
        <v>0</v>
      </c>
      <c r="J24" s="119" t="s">
        <v>13</v>
      </c>
      <c r="K24" s="25">
        <v>1</v>
      </c>
      <c r="L24" s="120"/>
      <c r="M24" s="121"/>
      <c r="N24" s="110"/>
      <c r="O24" s="96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>
      <c r="B25" s="215">
        <v>19</v>
      </c>
      <c r="C25" s="127" t="s">
        <v>100</v>
      </c>
      <c r="D25" s="119" t="s">
        <v>101</v>
      </c>
      <c r="E25" s="24" t="s">
        <v>63</v>
      </c>
      <c r="F25" s="119" t="s">
        <v>13</v>
      </c>
      <c r="G25" s="30" t="s">
        <v>78</v>
      </c>
      <c r="H25" s="122"/>
      <c r="I25" s="25">
        <v>2</v>
      </c>
      <c r="J25" s="119" t="s">
        <v>13</v>
      </c>
      <c r="K25" s="25">
        <v>0</v>
      </c>
      <c r="L25" s="120"/>
      <c r="M25" s="121"/>
      <c r="N25" s="110"/>
      <c r="O25" s="96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thickBot="1">
      <c r="B26" s="215">
        <v>20</v>
      </c>
      <c r="C26" s="127" t="s">
        <v>102</v>
      </c>
      <c r="D26" s="119" t="s">
        <v>101</v>
      </c>
      <c r="E26" s="24" t="s">
        <v>71</v>
      </c>
      <c r="F26" s="119" t="s">
        <v>13</v>
      </c>
      <c r="G26" s="30" t="s">
        <v>86</v>
      </c>
      <c r="H26" s="122"/>
      <c r="I26" s="25">
        <v>2</v>
      </c>
      <c r="J26" s="119" t="s">
        <v>13</v>
      </c>
      <c r="K26" s="25">
        <v>0</v>
      </c>
      <c r="L26" s="120"/>
      <c r="M26" s="121"/>
      <c r="N26" s="110"/>
      <c r="O26" s="96"/>
      <c r="P26" s="96"/>
      <c r="Q26" s="96"/>
      <c r="R26" s="96"/>
      <c r="S26" s="96"/>
      <c r="T26" s="96"/>
      <c r="U26" s="96"/>
    </row>
    <row r="27" spans="2:21" ht="16.5" thickBot="1">
      <c r="B27" s="215">
        <v>21</v>
      </c>
      <c r="C27" s="127" t="s">
        <v>103</v>
      </c>
      <c r="D27" s="119" t="s">
        <v>104</v>
      </c>
      <c r="E27" s="24" t="s">
        <v>80</v>
      </c>
      <c r="F27" s="119" t="s">
        <v>13</v>
      </c>
      <c r="G27" s="30" t="s">
        <v>88</v>
      </c>
      <c r="H27" s="122"/>
      <c r="I27" s="25">
        <v>1</v>
      </c>
      <c r="J27" s="119" t="s">
        <v>13</v>
      </c>
      <c r="K27" s="25">
        <v>3</v>
      </c>
      <c r="L27" s="120"/>
      <c r="M27" s="121"/>
      <c r="N27" s="110"/>
      <c r="O27" s="96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>
      <c r="B28" s="215">
        <v>22</v>
      </c>
      <c r="C28" s="127" t="s">
        <v>105</v>
      </c>
      <c r="D28" s="119" t="s">
        <v>104</v>
      </c>
      <c r="E28" s="24" t="s">
        <v>65</v>
      </c>
      <c r="F28" s="119" t="s">
        <v>13</v>
      </c>
      <c r="G28" s="30" t="s">
        <v>73</v>
      </c>
      <c r="H28" s="122"/>
      <c r="I28" s="25">
        <v>1</v>
      </c>
      <c r="J28" s="119" t="s">
        <v>13</v>
      </c>
      <c r="K28" s="25">
        <v>0</v>
      </c>
      <c r="L28" s="120"/>
      <c r="M28" s="121"/>
      <c r="N28" s="110"/>
      <c r="O28" s="96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>
      <c r="B29" s="215">
        <v>23</v>
      </c>
      <c r="C29" s="127" t="s">
        <v>106</v>
      </c>
      <c r="D29" s="119" t="s">
        <v>107</v>
      </c>
      <c r="E29" s="24" t="s">
        <v>64</v>
      </c>
      <c r="F29" s="119" t="s">
        <v>13</v>
      </c>
      <c r="G29" s="30" t="s">
        <v>87</v>
      </c>
      <c r="H29" s="122"/>
      <c r="I29" s="25">
        <v>5</v>
      </c>
      <c r="J29" s="119" t="s">
        <v>13</v>
      </c>
      <c r="K29" s="25">
        <v>0</v>
      </c>
      <c r="L29" s="120"/>
      <c r="M29" s="121"/>
      <c r="N29" s="110"/>
      <c r="O29" s="96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>
      <c r="B30" s="215">
        <v>24</v>
      </c>
      <c r="C30" s="127" t="s">
        <v>108</v>
      </c>
      <c r="D30" s="119" t="s">
        <v>107</v>
      </c>
      <c r="E30" s="24" t="s">
        <v>79</v>
      </c>
      <c r="F30" s="119" t="s">
        <v>13</v>
      </c>
      <c r="G30" s="30" t="s">
        <v>72</v>
      </c>
      <c r="H30" s="122"/>
      <c r="I30" s="25">
        <v>0</v>
      </c>
      <c r="J30" s="119" t="s">
        <v>13</v>
      </c>
      <c r="K30" s="25">
        <v>3</v>
      </c>
      <c r="L30" s="120"/>
      <c r="M30" s="121"/>
      <c r="N30" s="110"/>
      <c r="O30" s="96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>
      <c r="B31" s="215">
        <v>25</v>
      </c>
      <c r="C31" s="127" t="s">
        <v>109</v>
      </c>
      <c r="D31" s="119" t="s">
        <v>11</v>
      </c>
      <c r="E31" s="24" t="s">
        <v>24</v>
      </c>
      <c r="F31" s="119" t="s">
        <v>13</v>
      </c>
      <c r="G31" s="30" t="s">
        <v>14</v>
      </c>
      <c r="H31" s="122"/>
      <c r="I31" s="25">
        <v>2</v>
      </c>
      <c r="J31" s="119" t="s">
        <v>13</v>
      </c>
      <c r="K31" s="25">
        <v>1</v>
      </c>
      <c r="L31" s="120"/>
      <c r="M31" s="121"/>
      <c r="N31" s="110"/>
      <c r="O31" s="96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>
      <c r="B32" s="215">
        <v>26</v>
      </c>
      <c r="C32" s="127" t="s">
        <v>110</v>
      </c>
      <c r="D32" s="119" t="s">
        <v>31</v>
      </c>
      <c r="E32" s="24" t="s">
        <v>25</v>
      </c>
      <c r="F32" s="119" t="s">
        <v>13</v>
      </c>
      <c r="G32" s="30" t="s">
        <v>33</v>
      </c>
      <c r="H32" s="122"/>
      <c r="I32" s="25">
        <v>3</v>
      </c>
      <c r="J32" s="119" t="s">
        <v>13</v>
      </c>
      <c r="K32" s="25">
        <v>1</v>
      </c>
      <c r="L32" s="120"/>
      <c r="M32" s="121"/>
      <c r="N32" s="110"/>
      <c r="O32" s="96"/>
      <c r="P32" s="96"/>
      <c r="Q32" s="96"/>
      <c r="R32" s="96"/>
      <c r="S32" s="96"/>
      <c r="T32" s="96"/>
      <c r="U32" s="96"/>
    </row>
    <row r="33" spans="2:14" ht="15.75">
      <c r="B33" s="215">
        <v>27</v>
      </c>
      <c r="C33" s="127" t="s">
        <v>111</v>
      </c>
      <c r="D33" s="119" t="s">
        <v>31</v>
      </c>
      <c r="E33" s="24" t="s">
        <v>32</v>
      </c>
      <c r="F33" s="119" t="s">
        <v>13</v>
      </c>
      <c r="G33" s="30" t="s">
        <v>47</v>
      </c>
      <c r="H33" s="122"/>
      <c r="I33" s="25">
        <v>2</v>
      </c>
      <c r="J33" s="119" t="s">
        <v>13</v>
      </c>
      <c r="K33" s="25">
        <v>0</v>
      </c>
      <c r="L33" s="120"/>
      <c r="M33" s="121"/>
      <c r="N33" s="110"/>
    </row>
    <row r="34" spans="2:14" ht="15.75">
      <c r="B34" s="215">
        <v>28</v>
      </c>
      <c r="C34" s="127" t="s">
        <v>112</v>
      </c>
      <c r="D34" s="119" t="s">
        <v>11</v>
      </c>
      <c r="E34" s="24" t="s">
        <v>12</v>
      </c>
      <c r="F34" s="119" t="s">
        <v>13</v>
      </c>
      <c r="G34" s="30" t="s">
        <v>23</v>
      </c>
      <c r="H34" s="122"/>
      <c r="I34" s="25">
        <v>2</v>
      </c>
      <c r="J34" s="119" t="s">
        <v>13</v>
      </c>
      <c r="K34" s="25">
        <v>1</v>
      </c>
      <c r="L34" s="120"/>
      <c r="M34" s="121"/>
      <c r="N34" s="110"/>
    </row>
    <row r="35" spans="2:14" ht="15.75">
      <c r="B35" s="215">
        <v>29</v>
      </c>
      <c r="C35" s="127" t="s">
        <v>113</v>
      </c>
      <c r="D35" s="119" t="s">
        <v>45</v>
      </c>
      <c r="E35" s="24" t="s">
        <v>26</v>
      </c>
      <c r="F35" s="119" t="s">
        <v>13</v>
      </c>
      <c r="G35" s="30" t="s">
        <v>46</v>
      </c>
      <c r="H35" s="122"/>
      <c r="I35" s="25">
        <v>4</v>
      </c>
      <c r="J35" s="119" t="s">
        <v>13</v>
      </c>
      <c r="K35" s="25">
        <v>0</v>
      </c>
      <c r="L35" s="120"/>
      <c r="M35" s="121"/>
      <c r="N35" s="110"/>
    </row>
    <row r="36" spans="2:14" ht="15.75">
      <c r="B36" s="215">
        <v>30</v>
      </c>
      <c r="C36" s="127" t="s">
        <v>114</v>
      </c>
      <c r="D36" s="119" t="s">
        <v>45</v>
      </c>
      <c r="E36" s="24" t="s">
        <v>34</v>
      </c>
      <c r="F36" s="119" t="s">
        <v>13</v>
      </c>
      <c r="G36" s="30" t="s">
        <v>41</v>
      </c>
      <c r="H36" s="122"/>
      <c r="I36" s="25">
        <v>1</v>
      </c>
      <c r="J36" s="119" t="s">
        <v>13</v>
      </c>
      <c r="K36" s="25">
        <v>2</v>
      </c>
      <c r="L36" s="120"/>
      <c r="M36" s="121"/>
      <c r="N36" s="110"/>
    </row>
    <row r="37" spans="2:14" ht="15.75">
      <c r="B37" s="215">
        <v>31</v>
      </c>
      <c r="C37" s="127" t="s">
        <v>115</v>
      </c>
      <c r="D37" s="119" t="s">
        <v>39</v>
      </c>
      <c r="E37" s="24" t="s">
        <v>27</v>
      </c>
      <c r="F37" s="119" t="s">
        <v>13</v>
      </c>
      <c r="G37" s="30" t="s">
        <v>40</v>
      </c>
      <c r="H37" s="122"/>
      <c r="I37" s="25">
        <v>1</v>
      </c>
      <c r="J37" s="119" t="s">
        <v>13</v>
      </c>
      <c r="K37" s="25">
        <v>0</v>
      </c>
      <c r="L37" s="120"/>
      <c r="M37" s="121"/>
      <c r="N37" s="110"/>
    </row>
    <row r="38" spans="2:14" ht="15.75">
      <c r="B38" s="215">
        <v>32</v>
      </c>
      <c r="C38" s="127" t="s">
        <v>116</v>
      </c>
      <c r="D38" s="119" t="s">
        <v>39</v>
      </c>
      <c r="E38" s="24" t="s">
        <v>35</v>
      </c>
      <c r="F38" s="119" t="s">
        <v>13</v>
      </c>
      <c r="G38" s="30" t="s">
        <v>48</v>
      </c>
      <c r="H38" s="122"/>
      <c r="I38" s="25">
        <v>2</v>
      </c>
      <c r="J38" s="119" t="s">
        <v>13</v>
      </c>
      <c r="K38" s="25">
        <v>1</v>
      </c>
      <c r="L38" s="120"/>
      <c r="M38" s="121"/>
      <c r="N38" s="110"/>
    </row>
    <row r="39" spans="2:14" ht="15.75">
      <c r="B39" s="215">
        <v>33</v>
      </c>
      <c r="C39" s="127" t="s">
        <v>117</v>
      </c>
      <c r="D39" s="119" t="s">
        <v>67</v>
      </c>
      <c r="E39" s="24" t="s">
        <v>28</v>
      </c>
      <c r="F39" s="119" t="s">
        <v>13</v>
      </c>
      <c r="G39" s="30" t="s">
        <v>42</v>
      </c>
      <c r="H39" s="122"/>
      <c r="I39" s="25">
        <v>2</v>
      </c>
      <c r="J39" s="119" t="s">
        <v>13</v>
      </c>
      <c r="K39" s="25">
        <v>0</v>
      </c>
      <c r="L39" s="120"/>
      <c r="M39" s="121"/>
      <c r="N39" s="110"/>
    </row>
    <row r="40" spans="2:14" ht="15.75">
      <c r="B40" s="215">
        <v>34</v>
      </c>
      <c r="C40" s="127" t="s">
        <v>118</v>
      </c>
      <c r="D40" s="119" t="s">
        <v>67</v>
      </c>
      <c r="E40" s="24" t="s">
        <v>36</v>
      </c>
      <c r="F40" s="119" t="s">
        <v>13</v>
      </c>
      <c r="G40" s="30" t="s">
        <v>49</v>
      </c>
      <c r="H40" s="122"/>
      <c r="I40" s="25">
        <v>3</v>
      </c>
      <c r="J40" s="119" t="s">
        <v>13</v>
      </c>
      <c r="K40" s="25">
        <v>0</v>
      </c>
      <c r="L40" s="120"/>
      <c r="M40" s="121"/>
      <c r="N40" s="110"/>
    </row>
    <row r="41" spans="2:14" ht="15.75">
      <c r="B41" s="215">
        <v>35</v>
      </c>
      <c r="C41" s="127" t="s">
        <v>119</v>
      </c>
      <c r="D41" s="119" t="s">
        <v>82</v>
      </c>
      <c r="E41" s="24" t="s">
        <v>29</v>
      </c>
      <c r="F41" s="119" t="s">
        <v>13</v>
      </c>
      <c r="G41" s="30" t="s">
        <v>37</v>
      </c>
      <c r="H41" s="122"/>
      <c r="I41" s="25">
        <v>2</v>
      </c>
      <c r="J41" s="119" t="s">
        <v>13</v>
      </c>
      <c r="K41" s="25">
        <v>1</v>
      </c>
      <c r="L41" s="120"/>
      <c r="M41" s="121"/>
      <c r="N41" s="110"/>
    </row>
    <row r="42" spans="2:14" ht="15.75">
      <c r="B42" s="215">
        <v>36</v>
      </c>
      <c r="C42" s="127" t="s">
        <v>120</v>
      </c>
      <c r="D42" s="119" t="s">
        <v>82</v>
      </c>
      <c r="E42" s="24" t="s">
        <v>50</v>
      </c>
      <c r="F42" s="119" t="s">
        <v>13</v>
      </c>
      <c r="G42" s="30" t="s">
        <v>43</v>
      </c>
      <c r="H42" s="122"/>
      <c r="I42" s="25">
        <v>1</v>
      </c>
      <c r="J42" s="119" t="s">
        <v>13</v>
      </c>
      <c r="K42" s="25">
        <v>2</v>
      </c>
      <c r="L42" s="120"/>
      <c r="M42" s="121"/>
      <c r="N42" s="110"/>
    </row>
    <row r="43" spans="2:14" ht="15.75">
      <c r="B43" s="215">
        <v>37</v>
      </c>
      <c r="C43" s="127" t="s">
        <v>121</v>
      </c>
      <c r="D43" s="119" t="s">
        <v>91</v>
      </c>
      <c r="E43" s="24" t="s">
        <v>69</v>
      </c>
      <c r="F43" s="119" t="s">
        <v>13</v>
      </c>
      <c r="G43" s="30" t="s">
        <v>76</v>
      </c>
      <c r="H43" s="122"/>
      <c r="I43" s="25">
        <v>3</v>
      </c>
      <c r="J43" s="119" t="s">
        <v>13</v>
      </c>
      <c r="K43" s="25">
        <v>0</v>
      </c>
      <c r="L43" s="120"/>
      <c r="M43" s="121"/>
      <c r="N43" s="96"/>
    </row>
    <row r="44" spans="2:14" ht="15.75">
      <c r="B44" s="215">
        <v>38</v>
      </c>
      <c r="C44" s="127" t="s">
        <v>122</v>
      </c>
      <c r="D44" s="119" t="s">
        <v>91</v>
      </c>
      <c r="E44" s="24" t="s">
        <v>61</v>
      </c>
      <c r="F44" s="119" t="s">
        <v>13</v>
      </c>
      <c r="G44" s="30" t="s">
        <v>84</v>
      </c>
      <c r="H44" s="122"/>
      <c r="I44" s="25">
        <v>4</v>
      </c>
      <c r="J44" s="119" t="s">
        <v>13</v>
      </c>
      <c r="K44" s="25">
        <v>0</v>
      </c>
      <c r="L44" s="120"/>
      <c r="M44" s="121"/>
      <c r="N44" s="96"/>
    </row>
    <row r="45" spans="2:14" ht="15.75">
      <c r="B45" s="215">
        <v>39</v>
      </c>
      <c r="C45" s="127" t="s">
        <v>123</v>
      </c>
      <c r="D45" s="119" t="s">
        <v>95</v>
      </c>
      <c r="E45" s="24" t="s">
        <v>60</v>
      </c>
      <c r="F45" s="119" t="s">
        <v>13</v>
      </c>
      <c r="G45" s="30" t="s">
        <v>83</v>
      </c>
      <c r="H45" s="122"/>
      <c r="I45" s="25">
        <v>2</v>
      </c>
      <c r="J45" s="119" t="s">
        <v>13</v>
      </c>
      <c r="K45" s="25">
        <v>0</v>
      </c>
      <c r="L45" s="120"/>
      <c r="M45" s="121"/>
      <c r="N45" s="96"/>
    </row>
    <row r="46" spans="2:14" ht="15.75">
      <c r="B46" s="215">
        <v>40</v>
      </c>
      <c r="C46" s="127" t="s">
        <v>124</v>
      </c>
      <c r="D46" s="119" t="s">
        <v>95</v>
      </c>
      <c r="E46" s="24" t="s">
        <v>75</v>
      </c>
      <c r="F46" s="119" t="s">
        <v>13</v>
      </c>
      <c r="G46" s="30" t="s">
        <v>68</v>
      </c>
      <c r="H46" s="122"/>
      <c r="I46" s="25">
        <v>1</v>
      </c>
      <c r="J46" s="119" t="s">
        <v>13</v>
      </c>
      <c r="K46" s="25">
        <v>2</v>
      </c>
      <c r="L46" s="120"/>
      <c r="M46" s="121"/>
      <c r="N46" s="96"/>
    </row>
    <row r="47" spans="2:14" ht="15.75">
      <c r="B47" s="215">
        <v>41</v>
      </c>
      <c r="C47" s="127" t="s">
        <v>125</v>
      </c>
      <c r="D47" s="119" t="s">
        <v>98</v>
      </c>
      <c r="E47" s="24" t="s">
        <v>70</v>
      </c>
      <c r="F47" s="119" t="s">
        <v>13</v>
      </c>
      <c r="G47" s="30" t="s">
        <v>77</v>
      </c>
      <c r="H47" s="122"/>
      <c r="I47" s="25">
        <v>1</v>
      </c>
      <c r="J47" s="119" t="s">
        <v>13</v>
      </c>
      <c r="K47" s="25">
        <v>2</v>
      </c>
      <c r="L47" s="120"/>
      <c r="M47" s="121"/>
      <c r="N47" s="96"/>
    </row>
    <row r="48" spans="2:14" ht="15.75">
      <c r="B48" s="215">
        <v>42</v>
      </c>
      <c r="C48" s="127" t="s">
        <v>126</v>
      </c>
      <c r="D48" s="119" t="s">
        <v>98</v>
      </c>
      <c r="E48" s="24" t="s">
        <v>62</v>
      </c>
      <c r="F48" s="119" t="s">
        <v>13</v>
      </c>
      <c r="G48" s="30" t="s">
        <v>85</v>
      </c>
      <c r="H48" s="122"/>
      <c r="I48" s="25">
        <v>3</v>
      </c>
      <c r="J48" s="119" t="s">
        <v>13</v>
      </c>
      <c r="K48" s="25">
        <v>0</v>
      </c>
      <c r="L48" s="120"/>
      <c r="M48" s="121"/>
      <c r="N48" s="96"/>
    </row>
    <row r="49" spans="2:13" ht="15.75">
      <c r="B49" s="215">
        <v>43</v>
      </c>
      <c r="C49" s="127" t="s">
        <v>127</v>
      </c>
      <c r="D49" s="119" t="s">
        <v>101</v>
      </c>
      <c r="E49" s="24" t="s">
        <v>63</v>
      </c>
      <c r="F49" s="119" t="s">
        <v>13</v>
      </c>
      <c r="G49" s="30" t="s">
        <v>71</v>
      </c>
      <c r="H49" s="122"/>
      <c r="I49" s="25">
        <v>2</v>
      </c>
      <c r="J49" s="119" t="s">
        <v>13</v>
      </c>
      <c r="K49" s="25">
        <v>0</v>
      </c>
      <c r="L49" s="120"/>
      <c r="M49" s="121"/>
    </row>
    <row r="50" spans="2:13" ht="15.75">
      <c r="B50" s="215">
        <v>44</v>
      </c>
      <c r="C50" s="127" t="s">
        <v>128</v>
      </c>
      <c r="D50" s="119" t="s">
        <v>101</v>
      </c>
      <c r="E50" s="24" t="s">
        <v>86</v>
      </c>
      <c r="F50" s="119" t="s">
        <v>13</v>
      </c>
      <c r="G50" s="30" t="s">
        <v>78</v>
      </c>
      <c r="H50" s="122"/>
      <c r="I50" s="25">
        <v>1</v>
      </c>
      <c r="J50" s="119" t="s">
        <v>13</v>
      </c>
      <c r="K50" s="25">
        <v>3</v>
      </c>
      <c r="L50" s="120"/>
      <c r="M50" s="121"/>
    </row>
    <row r="51" spans="2:13" ht="15.75">
      <c r="B51" s="215">
        <v>45</v>
      </c>
      <c r="C51" s="127" t="s">
        <v>129</v>
      </c>
      <c r="D51" s="119" t="s">
        <v>104</v>
      </c>
      <c r="E51" s="24" t="s">
        <v>65</v>
      </c>
      <c r="F51" s="119" t="s">
        <v>13</v>
      </c>
      <c r="G51" s="30" t="s">
        <v>80</v>
      </c>
      <c r="H51" s="122"/>
      <c r="I51" s="25">
        <v>4</v>
      </c>
      <c r="J51" s="119" t="s">
        <v>13</v>
      </c>
      <c r="K51" s="25">
        <v>0</v>
      </c>
      <c r="L51" s="120"/>
      <c r="M51" s="121"/>
    </row>
    <row r="52" spans="2:13" ht="15.75">
      <c r="B52" s="215">
        <v>46</v>
      </c>
      <c r="C52" s="127" t="s">
        <v>130</v>
      </c>
      <c r="D52" s="119" t="s">
        <v>104</v>
      </c>
      <c r="E52" s="24" t="s">
        <v>88</v>
      </c>
      <c r="F52" s="119" t="s">
        <v>13</v>
      </c>
      <c r="G52" s="30" t="s">
        <v>73</v>
      </c>
      <c r="H52" s="122"/>
      <c r="I52" s="25">
        <v>1</v>
      </c>
      <c r="J52" s="119" t="s">
        <v>13</v>
      </c>
      <c r="K52" s="25">
        <v>2</v>
      </c>
      <c r="L52" s="120"/>
      <c r="M52" s="121"/>
    </row>
    <row r="53" spans="2:13" ht="15.75">
      <c r="B53" s="215">
        <v>47</v>
      </c>
      <c r="C53" s="127" t="s">
        <v>131</v>
      </c>
      <c r="D53" s="119" t="s">
        <v>107</v>
      </c>
      <c r="E53" s="24" t="s">
        <v>64</v>
      </c>
      <c r="F53" s="119" t="s">
        <v>13</v>
      </c>
      <c r="G53" s="30" t="s">
        <v>79</v>
      </c>
      <c r="H53" s="122"/>
      <c r="I53" s="25">
        <v>3</v>
      </c>
      <c r="J53" s="119" t="s">
        <v>13</v>
      </c>
      <c r="K53" s="25">
        <v>0</v>
      </c>
      <c r="L53" s="120"/>
      <c r="M53" s="121"/>
    </row>
    <row r="54" spans="2:13" ht="15.75">
      <c r="B54" s="215">
        <v>48</v>
      </c>
      <c r="C54" s="127" t="s">
        <v>132</v>
      </c>
      <c r="D54" s="119" t="s">
        <v>107</v>
      </c>
      <c r="E54" s="24" t="s">
        <v>72</v>
      </c>
      <c r="F54" s="119" t="s">
        <v>13</v>
      </c>
      <c r="G54" s="30" t="s">
        <v>87</v>
      </c>
      <c r="H54" s="122"/>
      <c r="I54" s="25">
        <v>5</v>
      </c>
      <c r="J54" s="119" t="s">
        <v>13</v>
      </c>
      <c r="K54" s="25">
        <v>0</v>
      </c>
      <c r="L54" s="120"/>
      <c r="M54" s="121"/>
    </row>
    <row r="55" spans="2:13" ht="15.75">
      <c r="B55" s="215">
        <v>49</v>
      </c>
      <c r="C55" s="127" t="s">
        <v>133</v>
      </c>
      <c r="D55" s="119" t="s">
        <v>45</v>
      </c>
      <c r="E55" s="24" t="s">
        <v>34</v>
      </c>
      <c r="F55" s="119" t="s">
        <v>13</v>
      </c>
      <c r="G55" s="30" t="s">
        <v>26</v>
      </c>
      <c r="H55" s="122"/>
      <c r="I55" s="25">
        <v>1</v>
      </c>
      <c r="J55" s="119" t="s">
        <v>13</v>
      </c>
      <c r="K55" s="25">
        <v>3</v>
      </c>
      <c r="L55" s="120"/>
      <c r="M55" s="121"/>
    </row>
    <row r="56" spans="2:13" ht="15.75">
      <c r="B56" s="215">
        <v>50</v>
      </c>
      <c r="C56" s="127" t="s">
        <v>133</v>
      </c>
      <c r="D56" s="119" t="s">
        <v>45</v>
      </c>
      <c r="E56" s="24" t="s">
        <v>41</v>
      </c>
      <c r="F56" s="119" t="s">
        <v>13</v>
      </c>
      <c r="G56" s="30" t="s">
        <v>46</v>
      </c>
      <c r="H56" s="122"/>
      <c r="I56" s="25">
        <v>3</v>
      </c>
      <c r="J56" s="119" t="s">
        <v>13</v>
      </c>
      <c r="K56" s="25">
        <v>0</v>
      </c>
      <c r="L56" s="120"/>
      <c r="M56" s="121"/>
    </row>
    <row r="57" spans="2:13" ht="15.75">
      <c r="B57" s="215">
        <v>51</v>
      </c>
      <c r="C57" s="127" t="s">
        <v>134</v>
      </c>
      <c r="D57" s="119" t="s">
        <v>31</v>
      </c>
      <c r="E57" s="24" t="s">
        <v>25</v>
      </c>
      <c r="F57" s="119" t="s">
        <v>13</v>
      </c>
      <c r="G57" s="30" t="s">
        <v>32</v>
      </c>
      <c r="H57" s="122"/>
      <c r="I57" s="25">
        <v>1</v>
      </c>
      <c r="J57" s="119" t="s">
        <v>13</v>
      </c>
      <c r="K57" s="25">
        <v>1</v>
      </c>
      <c r="L57" s="120"/>
      <c r="M57" s="121"/>
    </row>
    <row r="58" spans="2:13" ht="15.75">
      <c r="B58" s="215">
        <v>52</v>
      </c>
      <c r="C58" s="127" t="s">
        <v>134</v>
      </c>
      <c r="D58" s="119" t="s">
        <v>31</v>
      </c>
      <c r="E58" s="24" t="s">
        <v>33</v>
      </c>
      <c r="F58" s="119" t="s">
        <v>13</v>
      </c>
      <c r="G58" s="30" t="s">
        <v>47</v>
      </c>
      <c r="H58" s="122"/>
      <c r="I58" s="25">
        <v>1</v>
      </c>
      <c r="J58" s="119" t="s">
        <v>13</v>
      </c>
      <c r="K58" s="25">
        <v>1</v>
      </c>
      <c r="L58" s="120"/>
      <c r="M58" s="121"/>
    </row>
    <row r="59" spans="2:13" ht="15.75">
      <c r="B59" s="215">
        <v>53</v>
      </c>
      <c r="C59" s="127" t="s">
        <v>135</v>
      </c>
      <c r="D59" s="119" t="s">
        <v>11</v>
      </c>
      <c r="E59" s="24" t="s">
        <v>24</v>
      </c>
      <c r="F59" s="119" t="s">
        <v>13</v>
      </c>
      <c r="G59" s="30" t="s">
        <v>12</v>
      </c>
      <c r="H59" s="122"/>
      <c r="I59" s="25">
        <v>0</v>
      </c>
      <c r="J59" s="119" t="s">
        <v>13</v>
      </c>
      <c r="K59" s="25">
        <v>1</v>
      </c>
      <c r="L59" s="120"/>
      <c r="M59" s="121"/>
    </row>
    <row r="60" spans="2:13" ht="15.75">
      <c r="B60" s="215">
        <v>54</v>
      </c>
      <c r="C60" s="127" t="s">
        <v>135</v>
      </c>
      <c r="D60" s="119" t="s">
        <v>11</v>
      </c>
      <c r="E60" s="24" t="s">
        <v>14</v>
      </c>
      <c r="F60" s="119" t="s">
        <v>13</v>
      </c>
      <c r="G60" s="30" t="s">
        <v>23</v>
      </c>
      <c r="H60" s="122"/>
      <c r="I60" s="25">
        <v>0</v>
      </c>
      <c r="J60" s="119" t="s">
        <v>13</v>
      </c>
      <c r="K60" s="25">
        <v>2</v>
      </c>
      <c r="L60" s="120"/>
      <c r="M60" s="121"/>
    </row>
    <row r="61" spans="2:13" ht="15.75">
      <c r="B61" s="215">
        <v>55</v>
      </c>
      <c r="C61" s="127" t="s">
        <v>136</v>
      </c>
      <c r="D61" s="119" t="s">
        <v>67</v>
      </c>
      <c r="E61" s="24" t="s">
        <v>49</v>
      </c>
      <c r="F61" s="119" t="s">
        <v>13</v>
      </c>
      <c r="G61" s="30" t="s">
        <v>42</v>
      </c>
      <c r="H61" s="122"/>
      <c r="I61" s="25">
        <v>0</v>
      </c>
      <c r="J61" s="119" t="s">
        <v>13</v>
      </c>
      <c r="K61" s="25">
        <v>3</v>
      </c>
      <c r="L61" s="120"/>
      <c r="M61" s="121"/>
    </row>
    <row r="62" spans="2:13" ht="15.75">
      <c r="B62" s="215">
        <v>56</v>
      </c>
      <c r="C62" s="127" t="s">
        <v>136</v>
      </c>
      <c r="D62" s="119" t="s">
        <v>67</v>
      </c>
      <c r="E62" s="24" t="s">
        <v>36</v>
      </c>
      <c r="F62" s="119" t="s">
        <v>13</v>
      </c>
      <c r="G62" s="30" t="s">
        <v>28</v>
      </c>
      <c r="H62" s="122"/>
      <c r="I62" s="25">
        <v>1</v>
      </c>
      <c r="J62" s="119" t="s">
        <v>13</v>
      </c>
      <c r="K62" s="25">
        <v>2</v>
      </c>
      <c r="L62" s="120"/>
      <c r="M62" s="121"/>
    </row>
    <row r="63" spans="2:13" ht="15.75">
      <c r="B63" s="215">
        <v>57</v>
      </c>
      <c r="C63" s="127" t="s">
        <v>137</v>
      </c>
      <c r="D63" s="119" t="s">
        <v>82</v>
      </c>
      <c r="E63" s="24" t="s">
        <v>43</v>
      </c>
      <c r="F63" s="119" t="s">
        <v>13</v>
      </c>
      <c r="G63" s="30" t="s">
        <v>37</v>
      </c>
      <c r="H63" s="122"/>
      <c r="I63" s="25">
        <v>2</v>
      </c>
      <c r="J63" s="119" t="s">
        <v>13</v>
      </c>
      <c r="K63" s="25">
        <v>1</v>
      </c>
      <c r="L63" s="120"/>
      <c r="M63" s="121"/>
    </row>
    <row r="64" spans="2:13" ht="15.75">
      <c r="B64" s="215">
        <v>58</v>
      </c>
      <c r="C64" s="127" t="s">
        <v>137</v>
      </c>
      <c r="D64" s="119" t="s">
        <v>82</v>
      </c>
      <c r="E64" s="24" t="s">
        <v>50</v>
      </c>
      <c r="F64" s="119" t="s">
        <v>13</v>
      </c>
      <c r="G64" s="30" t="s">
        <v>29</v>
      </c>
      <c r="H64" s="122"/>
      <c r="I64" s="25">
        <v>2</v>
      </c>
      <c r="J64" s="119" t="s">
        <v>13</v>
      </c>
      <c r="K64" s="25">
        <v>0</v>
      </c>
      <c r="L64" s="120"/>
      <c r="M64" s="121"/>
    </row>
    <row r="65" spans="2:14" ht="15.75">
      <c r="B65" s="215">
        <v>59</v>
      </c>
      <c r="C65" s="127" t="s">
        <v>138</v>
      </c>
      <c r="D65" s="119" t="s">
        <v>39</v>
      </c>
      <c r="E65" s="24" t="s">
        <v>27</v>
      </c>
      <c r="F65" s="119" t="s">
        <v>13</v>
      </c>
      <c r="G65" s="30" t="s">
        <v>35</v>
      </c>
      <c r="H65" s="122"/>
      <c r="I65" s="25">
        <v>1</v>
      </c>
      <c r="J65" s="119" t="s">
        <v>13</v>
      </c>
      <c r="K65" s="25">
        <v>2</v>
      </c>
      <c r="L65" s="120"/>
      <c r="M65" s="121"/>
      <c r="N65" s="96"/>
    </row>
    <row r="66" spans="2:14" ht="15.75">
      <c r="B66" s="215">
        <v>60</v>
      </c>
      <c r="C66" s="127" t="s">
        <v>138</v>
      </c>
      <c r="D66" s="119" t="s">
        <v>39</v>
      </c>
      <c r="E66" s="24" t="s">
        <v>40</v>
      </c>
      <c r="F66" s="119" t="s">
        <v>13</v>
      </c>
      <c r="G66" s="30" t="s">
        <v>48</v>
      </c>
      <c r="H66" s="122"/>
      <c r="I66" s="25">
        <v>1</v>
      </c>
      <c r="J66" s="119" t="s">
        <v>13</v>
      </c>
      <c r="K66" s="25">
        <v>0</v>
      </c>
      <c r="L66" s="120"/>
      <c r="M66" s="121"/>
      <c r="N66" s="96"/>
    </row>
    <row r="67" spans="2:14" ht="15.75">
      <c r="B67" s="215">
        <v>61</v>
      </c>
      <c r="C67" s="127" t="s">
        <v>139</v>
      </c>
      <c r="D67" s="119" t="s">
        <v>98</v>
      </c>
      <c r="E67" s="24" t="s">
        <v>70</v>
      </c>
      <c r="F67" s="119" t="s">
        <v>13</v>
      </c>
      <c r="G67" s="30" t="s">
        <v>62</v>
      </c>
      <c r="H67" s="122"/>
      <c r="I67" s="25">
        <v>0</v>
      </c>
      <c r="J67" s="119" t="s">
        <v>13</v>
      </c>
      <c r="K67" s="25">
        <v>2</v>
      </c>
      <c r="L67" s="120"/>
      <c r="M67" s="121"/>
      <c r="N67" s="96"/>
    </row>
    <row r="68" spans="2:14" ht="15.75">
      <c r="B68" s="215">
        <v>62</v>
      </c>
      <c r="C68" s="127" t="s">
        <v>139</v>
      </c>
      <c r="D68" s="119" t="s">
        <v>98</v>
      </c>
      <c r="E68" s="24" t="s">
        <v>77</v>
      </c>
      <c r="F68" s="119" t="s">
        <v>13</v>
      </c>
      <c r="G68" s="30" t="s">
        <v>85</v>
      </c>
      <c r="H68" s="122"/>
      <c r="I68" s="25">
        <v>2</v>
      </c>
      <c r="J68" s="119" t="s">
        <v>13</v>
      </c>
      <c r="K68" s="25">
        <v>1</v>
      </c>
      <c r="L68" s="120"/>
      <c r="M68" s="121"/>
      <c r="N68" s="96"/>
    </row>
    <row r="69" spans="2:14" ht="15.75">
      <c r="B69" s="215">
        <v>63</v>
      </c>
      <c r="C69" s="127" t="s">
        <v>140</v>
      </c>
      <c r="D69" s="119" t="s">
        <v>95</v>
      </c>
      <c r="E69" s="24" t="s">
        <v>68</v>
      </c>
      <c r="F69" s="119" t="s">
        <v>13</v>
      </c>
      <c r="G69" s="30" t="s">
        <v>83</v>
      </c>
      <c r="H69" s="122"/>
      <c r="I69" s="25">
        <v>1</v>
      </c>
      <c r="J69" s="119" t="s">
        <v>13</v>
      </c>
      <c r="K69" s="25">
        <v>1</v>
      </c>
      <c r="L69" s="120"/>
      <c r="M69" s="121"/>
      <c r="N69" s="96"/>
    </row>
    <row r="70" spans="2:14" ht="15.75">
      <c r="B70" s="215">
        <v>64</v>
      </c>
      <c r="C70" s="127" t="s">
        <v>140</v>
      </c>
      <c r="D70" s="119" t="s">
        <v>95</v>
      </c>
      <c r="E70" s="24" t="s">
        <v>75</v>
      </c>
      <c r="F70" s="119" t="s">
        <v>13</v>
      </c>
      <c r="G70" s="30" t="s">
        <v>60</v>
      </c>
      <c r="H70" s="122"/>
      <c r="I70" s="25">
        <v>0</v>
      </c>
      <c r="J70" s="119" t="s">
        <v>13</v>
      </c>
      <c r="K70" s="25">
        <v>3</v>
      </c>
      <c r="L70" s="120"/>
      <c r="M70" s="121"/>
      <c r="N70" s="96"/>
    </row>
    <row r="71" spans="2:14" ht="15.75">
      <c r="B71" s="215">
        <v>65</v>
      </c>
      <c r="C71" s="127" t="s">
        <v>141</v>
      </c>
      <c r="D71" s="119" t="s">
        <v>91</v>
      </c>
      <c r="E71" s="24" t="s">
        <v>76</v>
      </c>
      <c r="F71" s="119" t="s">
        <v>13</v>
      </c>
      <c r="G71" s="30" t="s">
        <v>84</v>
      </c>
      <c r="H71" s="122"/>
      <c r="I71" s="25">
        <v>1</v>
      </c>
      <c r="J71" s="119" t="s">
        <v>13</v>
      </c>
      <c r="K71" s="25">
        <v>0</v>
      </c>
      <c r="L71" s="120"/>
      <c r="M71" s="121"/>
      <c r="N71" s="96"/>
    </row>
    <row r="72" spans="2:14" ht="15.75">
      <c r="B72" s="215">
        <v>66</v>
      </c>
      <c r="C72" s="127" t="s">
        <v>141</v>
      </c>
      <c r="D72" s="119" t="s">
        <v>91</v>
      </c>
      <c r="E72" s="24" t="s">
        <v>69</v>
      </c>
      <c r="F72" s="119" t="s">
        <v>13</v>
      </c>
      <c r="G72" s="30" t="s">
        <v>61</v>
      </c>
      <c r="H72" s="122"/>
      <c r="I72" s="25">
        <v>1</v>
      </c>
      <c r="J72" s="119" t="s">
        <v>13</v>
      </c>
      <c r="K72" s="25">
        <v>3</v>
      </c>
      <c r="L72" s="120"/>
      <c r="M72" s="121"/>
      <c r="N72" s="96"/>
    </row>
    <row r="73" spans="2:14" ht="15.75">
      <c r="B73" s="215">
        <v>67</v>
      </c>
      <c r="C73" s="127" t="s">
        <v>142</v>
      </c>
      <c r="D73" s="119" t="s">
        <v>104</v>
      </c>
      <c r="E73" s="24" t="s">
        <v>88</v>
      </c>
      <c r="F73" s="119" t="s">
        <v>13</v>
      </c>
      <c r="G73" s="30" t="s">
        <v>65</v>
      </c>
      <c r="H73" s="122"/>
      <c r="I73" s="25">
        <v>0</v>
      </c>
      <c r="J73" s="119" t="s">
        <v>13</v>
      </c>
      <c r="K73" s="25">
        <v>2</v>
      </c>
      <c r="L73" s="120"/>
      <c r="M73" s="121"/>
      <c r="N73" s="96"/>
    </row>
    <row r="74" spans="2:14" ht="15.75">
      <c r="B74" s="215">
        <v>68</v>
      </c>
      <c r="C74" s="127" t="s">
        <v>142</v>
      </c>
      <c r="D74" s="119" t="s">
        <v>104</v>
      </c>
      <c r="E74" s="24" t="s">
        <v>73</v>
      </c>
      <c r="F74" s="119" t="s">
        <v>13</v>
      </c>
      <c r="G74" s="30" t="s">
        <v>80</v>
      </c>
      <c r="H74" s="122"/>
      <c r="I74" s="25">
        <v>2</v>
      </c>
      <c r="J74" s="119" t="s">
        <v>13</v>
      </c>
      <c r="K74" s="25">
        <v>0</v>
      </c>
      <c r="L74" s="120"/>
      <c r="M74" s="121"/>
      <c r="N74" s="96"/>
    </row>
    <row r="75" spans="2:14" ht="15.75">
      <c r="B75" s="215">
        <v>69</v>
      </c>
      <c r="C75" s="127" t="s">
        <v>143</v>
      </c>
      <c r="D75" s="119" t="s">
        <v>101</v>
      </c>
      <c r="E75" s="24" t="s">
        <v>78</v>
      </c>
      <c r="F75" s="119" t="s">
        <v>13</v>
      </c>
      <c r="G75" s="30" t="s">
        <v>71</v>
      </c>
      <c r="H75" s="122"/>
      <c r="I75" s="25">
        <v>1</v>
      </c>
      <c r="J75" s="119" t="s">
        <v>13</v>
      </c>
      <c r="K75" s="25">
        <v>1</v>
      </c>
      <c r="L75" s="120"/>
      <c r="M75" s="121"/>
      <c r="N75" s="96"/>
    </row>
    <row r="76" spans="2:14" ht="15.75">
      <c r="B76" s="215">
        <v>70</v>
      </c>
      <c r="C76" s="127" t="s">
        <v>143</v>
      </c>
      <c r="D76" s="119" t="s">
        <v>101</v>
      </c>
      <c r="E76" s="24" t="s">
        <v>86</v>
      </c>
      <c r="F76" s="119" t="s">
        <v>13</v>
      </c>
      <c r="G76" s="30" t="s">
        <v>63</v>
      </c>
      <c r="H76" s="122"/>
      <c r="I76" s="25">
        <v>0</v>
      </c>
      <c r="J76" s="119" t="s">
        <v>13</v>
      </c>
      <c r="K76" s="25">
        <v>3</v>
      </c>
      <c r="L76" s="120"/>
      <c r="M76" s="121"/>
      <c r="N76" s="96"/>
    </row>
    <row r="77" spans="2:14" ht="15.75">
      <c r="B77" s="215">
        <v>71</v>
      </c>
      <c r="C77" s="127" t="s">
        <v>144</v>
      </c>
      <c r="D77" s="119" t="s">
        <v>107</v>
      </c>
      <c r="E77" s="24" t="s">
        <v>72</v>
      </c>
      <c r="F77" s="119" t="s">
        <v>13</v>
      </c>
      <c r="G77" s="30" t="s">
        <v>64</v>
      </c>
      <c r="H77" s="122"/>
      <c r="I77" s="25">
        <v>1</v>
      </c>
      <c r="J77" s="119" t="s">
        <v>13</v>
      </c>
      <c r="K77" s="25">
        <v>2</v>
      </c>
      <c r="L77" s="120"/>
      <c r="M77" s="121"/>
      <c r="N77" s="96"/>
    </row>
    <row r="78" spans="2:14" ht="15.75">
      <c r="B78" s="215">
        <v>72</v>
      </c>
      <c r="C78" s="127" t="s">
        <v>144</v>
      </c>
      <c r="D78" s="119" t="s">
        <v>107</v>
      </c>
      <c r="E78" s="24" t="s">
        <v>87</v>
      </c>
      <c r="F78" s="119" t="s">
        <v>13</v>
      </c>
      <c r="G78" s="30" t="s">
        <v>79</v>
      </c>
      <c r="H78" s="122"/>
      <c r="I78" s="25">
        <v>1</v>
      </c>
      <c r="J78" s="119" t="s">
        <v>13</v>
      </c>
      <c r="K78" s="25">
        <v>3</v>
      </c>
      <c r="L78" s="120"/>
      <c r="M78" s="121"/>
      <c r="N78" s="96"/>
    </row>
    <row r="79" spans="2:14" ht="15.75">
      <c r="B79" s="96"/>
      <c r="C79" s="96"/>
      <c r="D79" s="97" t="s">
        <v>145</v>
      </c>
      <c r="E79" s="106" t="s">
        <v>26</v>
      </c>
      <c r="F79" s="118" t="s">
        <v>13</v>
      </c>
      <c r="G79" s="106" t="s">
        <v>61</v>
      </c>
      <c r="H79" s="96"/>
      <c r="I79" s="96"/>
      <c r="J79" s="96"/>
      <c r="K79" s="96"/>
      <c r="L79" s="109"/>
      <c r="M79" s="109"/>
      <c r="N79" s="110"/>
    </row>
    <row r="80" spans="2:14" ht="15.75">
      <c r="B80" s="96"/>
      <c r="C80" s="128"/>
      <c r="D80" s="97" t="s">
        <v>146</v>
      </c>
      <c r="E80" s="105" t="s">
        <v>63</v>
      </c>
      <c r="F80" s="118" t="s">
        <v>13</v>
      </c>
      <c r="G80" s="105" t="s">
        <v>62</v>
      </c>
      <c r="H80" s="96"/>
      <c r="I80" s="96"/>
      <c r="J80" s="96"/>
      <c r="K80" s="96"/>
      <c r="L80" s="104"/>
      <c r="M80" s="104"/>
      <c r="N80" s="110"/>
    </row>
    <row r="81" spans="1:14" ht="15.75">
      <c r="A81" s="96"/>
      <c r="B81" s="96"/>
      <c r="C81" s="128"/>
      <c r="D81" s="96"/>
      <c r="E81" s="96"/>
      <c r="F81" s="99"/>
      <c r="G81" s="96"/>
      <c r="H81" s="96"/>
      <c r="I81" s="96"/>
      <c r="J81" s="96"/>
      <c r="K81" s="99"/>
      <c r="L81" s="99"/>
      <c r="M81" s="99"/>
      <c r="N81" s="110"/>
    </row>
    <row r="82" spans="1:14" ht="15.75">
      <c r="A82" s="96"/>
      <c r="B82" s="96"/>
      <c r="C82" s="128"/>
      <c r="D82" s="96"/>
      <c r="E82" s="96"/>
      <c r="F82" s="99"/>
      <c r="G82" s="96"/>
      <c r="H82" s="96"/>
      <c r="I82" s="96"/>
      <c r="J82" s="96"/>
      <c r="K82" s="99"/>
      <c r="L82" s="212" t="s">
        <v>147</v>
      </c>
      <c r="M82" s="103"/>
      <c r="N82" s="110"/>
    </row>
    <row r="83" spans="1:14" ht="15.75">
      <c r="A83" s="96"/>
      <c r="B83" s="96"/>
      <c r="C83" s="128"/>
      <c r="D83" s="96"/>
      <c r="E83" s="96"/>
      <c r="F83" s="99"/>
      <c r="G83" s="96"/>
      <c r="H83" s="96"/>
      <c r="I83" s="96"/>
      <c r="J83" s="96"/>
      <c r="K83" s="99"/>
      <c r="L83" s="99"/>
      <c r="M83" s="99"/>
      <c r="N83" s="110"/>
    </row>
    <row r="84" spans="1:14" ht="15.75">
      <c r="A84" s="97"/>
      <c r="B84" s="96"/>
      <c r="C84" s="128"/>
      <c r="D84" s="96"/>
      <c r="E84" s="96"/>
      <c r="F84" s="99"/>
      <c r="G84" s="100"/>
      <c r="H84" s="96"/>
      <c r="I84" s="96"/>
      <c r="J84" s="96"/>
      <c r="K84" s="99"/>
      <c r="L84" s="96"/>
      <c r="M84" s="96"/>
      <c r="N84" s="96"/>
    </row>
    <row r="85" spans="1:14" ht="15.75">
      <c r="A85" s="97"/>
      <c r="B85" s="96"/>
      <c r="C85" s="128"/>
      <c r="D85" s="96"/>
      <c r="E85" s="96"/>
      <c r="F85" s="99"/>
      <c r="G85" s="100"/>
      <c r="H85" s="96"/>
      <c r="I85" s="96"/>
      <c r="J85" s="96"/>
      <c r="K85" s="99"/>
      <c r="L85" s="96"/>
      <c r="M85" s="96"/>
      <c r="N85" s="96"/>
    </row>
    <row r="86" spans="1:14" ht="15.75">
      <c r="A86" s="97"/>
      <c r="B86" s="211"/>
      <c r="C86" s="129"/>
      <c r="D86" s="96"/>
      <c r="E86" s="96"/>
      <c r="F86" s="99"/>
      <c r="G86" s="100"/>
      <c r="H86" s="96"/>
      <c r="I86" s="96"/>
      <c r="J86" s="96"/>
      <c r="K86" s="99"/>
      <c r="L86" s="96"/>
      <c r="M86" s="96"/>
      <c r="N86" s="96"/>
    </row>
    <row r="87" spans="1:14" ht="15.75">
      <c r="A87" s="97"/>
      <c r="B87" s="211"/>
      <c r="C87" s="129"/>
      <c r="D87" s="96"/>
      <c r="E87" s="96"/>
      <c r="F87" s="99"/>
      <c r="G87" s="100"/>
      <c r="H87" s="96"/>
      <c r="I87" s="96"/>
      <c r="J87" s="96"/>
      <c r="K87" s="99"/>
      <c r="L87" s="96"/>
      <c r="M87" s="96"/>
      <c r="N87" s="96"/>
    </row>
  </sheetData>
  <mergeCells count="1">
    <mergeCell ref="H2:M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U87"/>
  <sheetViews>
    <sheetView workbookViewId="0">
      <selection activeCell="H3" sqref="H3"/>
    </sheetView>
  </sheetViews>
  <sheetFormatPr defaultRowHeight="15"/>
  <sheetData>
    <row r="2" spans="2:21" ht="15.75">
      <c r="B2" s="96"/>
      <c r="C2" s="96"/>
      <c r="D2" s="96"/>
      <c r="E2" s="96"/>
      <c r="F2" s="96"/>
      <c r="G2" s="97" t="s">
        <v>0</v>
      </c>
      <c r="H2" s="296" t="s">
        <v>419</v>
      </c>
      <c r="I2" s="297"/>
      <c r="J2" s="297"/>
      <c r="K2" s="297"/>
      <c r="L2" s="297"/>
      <c r="M2" s="297"/>
      <c r="N2" s="99"/>
      <c r="O2" s="96"/>
      <c r="P2" s="96"/>
      <c r="Q2" s="96"/>
      <c r="R2" s="96"/>
      <c r="S2" s="96"/>
      <c r="T2" s="96"/>
      <c r="U2" s="96"/>
    </row>
    <row r="4" spans="2:21" ht="18">
      <c r="B4" s="216" t="s">
        <v>2</v>
      </c>
      <c r="C4" s="96"/>
      <c r="D4" s="96"/>
      <c r="E4" s="96"/>
      <c r="F4" s="96"/>
      <c r="G4" s="97"/>
      <c r="H4" s="97"/>
      <c r="I4" s="97"/>
      <c r="J4" s="97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</row>
    <row r="5" spans="2:21" ht="15.75">
      <c r="B5" s="96"/>
      <c r="C5" s="217"/>
      <c r="D5" s="96"/>
      <c r="E5" s="96"/>
      <c r="F5" s="96"/>
      <c r="G5" s="97"/>
      <c r="H5" s="97"/>
      <c r="I5" s="97"/>
      <c r="J5" s="97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</row>
    <row r="6" spans="2:21" ht="18.75" thickBot="1">
      <c r="B6" s="96"/>
      <c r="C6" s="126" t="s">
        <v>3</v>
      </c>
      <c r="D6" s="101" t="s">
        <v>4</v>
      </c>
      <c r="E6" s="102"/>
      <c r="F6" s="101" t="s">
        <v>5</v>
      </c>
      <c r="G6" s="102"/>
      <c r="H6" s="102"/>
      <c r="I6" s="102"/>
      <c r="J6" s="101" t="s">
        <v>6</v>
      </c>
      <c r="K6" s="101"/>
      <c r="L6" s="101" t="s">
        <v>7</v>
      </c>
      <c r="M6" s="101" t="s">
        <v>8</v>
      </c>
      <c r="N6" s="101"/>
      <c r="O6" s="214" t="s">
        <v>9</v>
      </c>
      <c r="P6" s="96"/>
      <c r="Q6" s="96"/>
      <c r="R6" s="96"/>
      <c r="S6" s="96"/>
      <c r="T6" s="96"/>
      <c r="U6" s="96"/>
    </row>
    <row r="7" spans="2:21" ht="16.5" thickBot="1">
      <c r="B7" s="215">
        <v>1</v>
      </c>
      <c r="C7" s="127" t="s">
        <v>10</v>
      </c>
      <c r="D7" s="119" t="s">
        <v>11</v>
      </c>
      <c r="E7" s="24" t="s">
        <v>12</v>
      </c>
      <c r="F7" s="119" t="s">
        <v>13</v>
      </c>
      <c r="G7" s="30" t="s">
        <v>14</v>
      </c>
      <c r="H7" s="122"/>
      <c r="I7" s="25">
        <v>2</v>
      </c>
      <c r="J7" s="119" t="s">
        <v>13</v>
      </c>
      <c r="K7" s="25">
        <v>1</v>
      </c>
      <c r="L7" s="120"/>
      <c r="M7" s="121"/>
      <c r="N7" s="110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>
      <c r="B8" s="215">
        <v>2</v>
      </c>
      <c r="C8" s="127" t="s">
        <v>22</v>
      </c>
      <c r="D8" s="119" t="s">
        <v>11</v>
      </c>
      <c r="E8" s="24" t="s">
        <v>23</v>
      </c>
      <c r="F8" s="119" t="s">
        <v>13</v>
      </c>
      <c r="G8" s="30" t="s">
        <v>24</v>
      </c>
      <c r="H8" s="122"/>
      <c r="I8" s="25">
        <v>1</v>
      </c>
      <c r="J8" s="119" t="s">
        <v>13</v>
      </c>
      <c r="K8" s="25">
        <v>3</v>
      </c>
      <c r="L8" s="120"/>
      <c r="M8" s="121"/>
      <c r="N8" s="110"/>
      <c r="O8" s="16">
        <v>1</v>
      </c>
      <c r="P8" s="113" t="s">
        <v>12</v>
      </c>
      <c r="Q8" s="113" t="s">
        <v>25</v>
      </c>
      <c r="R8" s="113" t="s">
        <v>26</v>
      </c>
      <c r="S8" s="113" t="s">
        <v>27</v>
      </c>
      <c r="T8" s="113" t="s">
        <v>28</v>
      </c>
      <c r="U8" s="113" t="s">
        <v>29</v>
      </c>
    </row>
    <row r="9" spans="2:21" ht="15.75">
      <c r="B9" s="215">
        <v>3</v>
      </c>
      <c r="C9" s="127" t="s">
        <v>30</v>
      </c>
      <c r="D9" s="119" t="s">
        <v>31</v>
      </c>
      <c r="E9" s="24" t="s">
        <v>32</v>
      </c>
      <c r="F9" s="119" t="s">
        <v>13</v>
      </c>
      <c r="G9" s="30" t="s">
        <v>33</v>
      </c>
      <c r="H9" s="122"/>
      <c r="I9" s="25">
        <v>0</v>
      </c>
      <c r="J9" s="119" t="s">
        <v>13</v>
      </c>
      <c r="K9" s="25">
        <v>1</v>
      </c>
      <c r="L9" s="120"/>
      <c r="M9" s="121"/>
      <c r="N9" s="110"/>
      <c r="O9" s="17">
        <v>2</v>
      </c>
      <c r="P9" s="114" t="s">
        <v>24</v>
      </c>
      <c r="Q9" s="114" t="s">
        <v>33</v>
      </c>
      <c r="R9" s="114" t="s">
        <v>34</v>
      </c>
      <c r="S9" s="114" t="s">
        <v>48</v>
      </c>
      <c r="T9" s="114" t="s">
        <v>36</v>
      </c>
      <c r="U9" s="114" t="s">
        <v>43</v>
      </c>
    </row>
    <row r="10" spans="2:21" ht="15.75">
      <c r="B10" s="215">
        <v>4</v>
      </c>
      <c r="C10" s="127" t="s">
        <v>38</v>
      </c>
      <c r="D10" s="119" t="s">
        <v>39</v>
      </c>
      <c r="E10" s="24" t="s">
        <v>35</v>
      </c>
      <c r="F10" s="119" t="s">
        <v>13</v>
      </c>
      <c r="G10" s="30" t="s">
        <v>40</v>
      </c>
      <c r="H10" s="122"/>
      <c r="I10" s="25">
        <v>2</v>
      </c>
      <c r="J10" s="119" t="s">
        <v>13</v>
      </c>
      <c r="K10" s="25">
        <v>1</v>
      </c>
      <c r="L10" s="120"/>
      <c r="M10" s="121"/>
      <c r="N10" s="110"/>
      <c r="O10" s="17">
        <v>3</v>
      </c>
      <c r="P10" s="114" t="s">
        <v>14</v>
      </c>
      <c r="Q10" s="114" t="s">
        <v>32</v>
      </c>
      <c r="R10" s="114" t="s">
        <v>41</v>
      </c>
      <c r="S10" s="114" t="s">
        <v>35</v>
      </c>
      <c r="T10" s="114" t="s">
        <v>49</v>
      </c>
      <c r="U10" s="114" t="s">
        <v>37</v>
      </c>
    </row>
    <row r="11" spans="2:21" ht="15.75">
      <c r="B11" s="215">
        <v>5</v>
      </c>
      <c r="C11" s="127" t="s">
        <v>44</v>
      </c>
      <c r="D11" s="119" t="s">
        <v>45</v>
      </c>
      <c r="E11" s="24" t="s">
        <v>46</v>
      </c>
      <c r="F11" s="119" t="s">
        <v>13</v>
      </c>
      <c r="G11" s="30" t="s">
        <v>34</v>
      </c>
      <c r="H11" s="122"/>
      <c r="I11" s="25">
        <v>0</v>
      </c>
      <c r="J11" s="119" t="s">
        <v>13</v>
      </c>
      <c r="K11" s="25">
        <v>2</v>
      </c>
      <c r="L11" s="120"/>
      <c r="M11" s="121"/>
      <c r="N11" s="110"/>
      <c r="O11" s="17">
        <v>4</v>
      </c>
      <c r="P11" s="114" t="s">
        <v>23</v>
      </c>
      <c r="Q11" s="114" t="s">
        <v>47</v>
      </c>
      <c r="R11" s="114" t="s">
        <v>46</v>
      </c>
      <c r="S11" s="114" t="s">
        <v>40</v>
      </c>
      <c r="T11" s="114" t="s">
        <v>42</v>
      </c>
      <c r="U11" s="114" t="s">
        <v>50</v>
      </c>
    </row>
    <row r="12" spans="2:21" ht="16.5" thickBot="1">
      <c r="B12" s="215">
        <v>6</v>
      </c>
      <c r="C12" s="127" t="s">
        <v>51</v>
      </c>
      <c r="D12" s="119" t="s">
        <v>39</v>
      </c>
      <c r="E12" s="24" t="s">
        <v>48</v>
      </c>
      <c r="F12" s="119" t="s">
        <v>13</v>
      </c>
      <c r="G12" s="30" t="s">
        <v>27</v>
      </c>
      <c r="H12" s="122"/>
      <c r="I12" s="25">
        <v>1</v>
      </c>
      <c r="J12" s="119" t="s">
        <v>13</v>
      </c>
      <c r="K12" s="25">
        <v>3</v>
      </c>
      <c r="L12" s="120"/>
      <c r="M12" s="121"/>
      <c r="N12" s="110"/>
      <c r="O12" s="96"/>
      <c r="P12" s="96"/>
      <c r="Q12" s="96"/>
      <c r="R12" s="96"/>
      <c r="S12" s="96"/>
      <c r="T12" s="96"/>
      <c r="U12" s="96"/>
    </row>
    <row r="13" spans="2:21" ht="16.5" thickBot="1">
      <c r="B13" s="215">
        <v>7</v>
      </c>
      <c r="C13" s="127" t="s">
        <v>52</v>
      </c>
      <c r="D13" s="119" t="s">
        <v>45</v>
      </c>
      <c r="E13" s="24" t="s">
        <v>26</v>
      </c>
      <c r="F13" s="119" t="s">
        <v>13</v>
      </c>
      <c r="G13" s="30" t="s">
        <v>41</v>
      </c>
      <c r="H13" s="122"/>
      <c r="I13" s="25">
        <v>3</v>
      </c>
      <c r="J13" s="119" t="s">
        <v>13</v>
      </c>
      <c r="K13" s="25">
        <v>0</v>
      </c>
      <c r="L13" s="120"/>
      <c r="M13" s="121"/>
      <c r="N13" s="110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>
      <c r="B14" s="215">
        <v>8</v>
      </c>
      <c r="C14" s="127" t="s">
        <v>59</v>
      </c>
      <c r="D14" s="119" t="s">
        <v>31</v>
      </c>
      <c r="E14" s="24" t="s">
        <v>47</v>
      </c>
      <c r="F14" s="119" t="s">
        <v>13</v>
      </c>
      <c r="G14" s="30" t="s">
        <v>25</v>
      </c>
      <c r="H14" s="122"/>
      <c r="I14" s="25">
        <v>1</v>
      </c>
      <c r="J14" s="119" t="s">
        <v>13</v>
      </c>
      <c r="K14" s="25">
        <v>2</v>
      </c>
      <c r="L14" s="120"/>
      <c r="M14" s="121"/>
      <c r="N14" s="110"/>
      <c r="O14" s="16">
        <v>1</v>
      </c>
      <c r="P14" s="113" t="s">
        <v>60</v>
      </c>
      <c r="Q14" s="113" t="s">
        <v>61</v>
      </c>
      <c r="R14" s="113" t="s">
        <v>62</v>
      </c>
      <c r="S14" s="113" t="s">
        <v>63</v>
      </c>
      <c r="T14" s="113" t="s">
        <v>64</v>
      </c>
      <c r="U14" s="113" t="s">
        <v>65</v>
      </c>
    </row>
    <row r="15" spans="2:21" ht="15.75">
      <c r="B15" s="215">
        <v>9</v>
      </c>
      <c r="C15" s="127" t="s">
        <v>66</v>
      </c>
      <c r="D15" s="119" t="s">
        <v>67</v>
      </c>
      <c r="E15" s="24" t="s">
        <v>42</v>
      </c>
      <c r="F15" s="119" t="s">
        <v>13</v>
      </c>
      <c r="G15" s="30" t="s">
        <v>36</v>
      </c>
      <c r="H15" s="122"/>
      <c r="I15" s="25">
        <v>0</v>
      </c>
      <c r="J15" s="119" t="s">
        <v>13</v>
      </c>
      <c r="K15" s="25">
        <v>1</v>
      </c>
      <c r="L15" s="120"/>
      <c r="M15" s="121"/>
      <c r="N15" s="110"/>
      <c r="O15" s="17">
        <v>2</v>
      </c>
      <c r="P15" s="114" t="s">
        <v>68</v>
      </c>
      <c r="Q15" s="114" t="s">
        <v>84</v>
      </c>
      <c r="R15" s="114" t="s">
        <v>70</v>
      </c>
      <c r="S15" s="114" t="s">
        <v>71</v>
      </c>
      <c r="T15" s="114" t="s">
        <v>87</v>
      </c>
      <c r="U15" s="114" t="s">
        <v>73</v>
      </c>
    </row>
    <row r="16" spans="2:21" ht="15.75">
      <c r="B16" s="215">
        <v>10</v>
      </c>
      <c r="C16" s="127" t="s">
        <v>74</v>
      </c>
      <c r="D16" s="119" t="s">
        <v>67</v>
      </c>
      <c r="E16" s="24" t="s">
        <v>28</v>
      </c>
      <c r="F16" s="119" t="s">
        <v>13</v>
      </c>
      <c r="G16" s="30" t="s">
        <v>49</v>
      </c>
      <c r="H16" s="122"/>
      <c r="I16" s="25">
        <v>2</v>
      </c>
      <c r="J16" s="119" t="s">
        <v>13</v>
      </c>
      <c r="K16" s="25">
        <v>0</v>
      </c>
      <c r="L16" s="120"/>
      <c r="M16" s="121"/>
      <c r="N16" s="110"/>
      <c r="O16" s="17">
        <v>3</v>
      </c>
      <c r="P16" s="114" t="s">
        <v>83</v>
      </c>
      <c r="Q16" s="114" t="s">
        <v>69</v>
      </c>
      <c r="R16" s="114" t="s">
        <v>85</v>
      </c>
      <c r="S16" s="114" t="s">
        <v>86</v>
      </c>
      <c r="T16" s="114" t="s">
        <v>79</v>
      </c>
      <c r="U16" s="114" t="s">
        <v>80</v>
      </c>
    </row>
    <row r="17" spans="2:21" ht="15.75">
      <c r="B17" s="215">
        <v>11</v>
      </c>
      <c r="C17" s="127" t="s">
        <v>81</v>
      </c>
      <c r="D17" s="119" t="s">
        <v>82</v>
      </c>
      <c r="E17" s="24" t="s">
        <v>29</v>
      </c>
      <c r="F17" s="119" t="s">
        <v>13</v>
      </c>
      <c r="G17" s="30" t="s">
        <v>43</v>
      </c>
      <c r="H17" s="122"/>
      <c r="I17" s="25">
        <v>2</v>
      </c>
      <c r="J17" s="119" t="s">
        <v>13</v>
      </c>
      <c r="K17" s="25">
        <v>1</v>
      </c>
      <c r="L17" s="120"/>
      <c r="M17" s="121"/>
      <c r="N17" s="110"/>
      <c r="O17" s="17">
        <v>4</v>
      </c>
      <c r="P17" s="114" t="s">
        <v>75</v>
      </c>
      <c r="Q17" s="114" t="s">
        <v>76</v>
      </c>
      <c r="R17" s="114" t="s">
        <v>77</v>
      </c>
      <c r="S17" s="114" t="s">
        <v>78</v>
      </c>
      <c r="T17" s="114" t="s">
        <v>72</v>
      </c>
      <c r="U17" s="114" t="s">
        <v>88</v>
      </c>
    </row>
    <row r="18" spans="2:21" ht="15.75">
      <c r="B18" s="215">
        <v>12</v>
      </c>
      <c r="C18" s="127" t="s">
        <v>89</v>
      </c>
      <c r="D18" s="119" t="s">
        <v>82</v>
      </c>
      <c r="E18" s="24" t="s">
        <v>37</v>
      </c>
      <c r="F18" s="119" t="s">
        <v>13</v>
      </c>
      <c r="G18" s="30" t="s">
        <v>50</v>
      </c>
      <c r="H18" s="122"/>
      <c r="I18" s="25">
        <v>0</v>
      </c>
      <c r="J18" s="119" t="s">
        <v>13</v>
      </c>
      <c r="K18" s="25">
        <v>0</v>
      </c>
      <c r="L18" s="120"/>
      <c r="M18" s="121"/>
      <c r="N18" s="110"/>
      <c r="O18" s="96"/>
      <c r="P18" s="21"/>
      <c r="Q18" s="21"/>
      <c r="R18" s="21"/>
      <c r="S18" s="21"/>
      <c r="T18" s="21"/>
      <c r="U18" s="21"/>
    </row>
    <row r="19" spans="2:21" ht="15.75">
      <c r="B19" s="215">
        <v>13</v>
      </c>
      <c r="C19" s="127" t="s">
        <v>90</v>
      </c>
      <c r="D19" s="119" t="s">
        <v>91</v>
      </c>
      <c r="E19" s="24" t="s">
        <v>84</v>
      </c>
      <c r="F19" s="119" t="s">
        <v>13</v>
      </c>
      <c r="G19" s="30" t="s">
        <v>69</v>
      </c>
      <c r="H19" s="122"/>
      <c r="I19" s="25">
        <v>0</v>
      </c>
      <c r="J19" s="119" t="s">
        <v>13</v>
      </c>
      <c r="K19" s="25">
        <v>0</v>
      </c>
      <c r="L19" s="120"/>
      <c r="M19" s="121"/>
      <c r="N19" s="110"/>
      <c r="O19" s="96"/>
      <c r="P19" s="96"/>
      <c r="Q19" s="96"/>
      <c r="R19" s="96"/>
      <c r="S19" s="96"/>
      <c r="T19" s="96"/>
      <c r="U19" s="96"/>
    </row>
    <row r="20" spans="2:21" ht="16.5" thickBot="1">
      <c r="B20" s="215">
        <v>14</v>
      </c>
      <c r="C20" s="127" t="s">
        <v>92</v>
      </c>
      <c r="D20" s="119" t="s">
        <v>91</v>
      </c>
      <c r="E20" s="24" t="s">
        <v>61</v>
      </c>
      <c r="F20" s="119" t="s">
        <v>13</v>
      </c>
      <c r="G20" s="30" t="s">
        <v>76</v>
      </c>
      <c r="H20" s="122"/>
      <c r="I20" s="25">
        <v>4</v>
      </c>
      <c r="J20" s="119" t="s">
        <v>13</v>
      </c>
      <c r="K20" s="25">
        <v>0</v>
      </c>
      <c r="L20" s="120"/>
      <c r="M20" s="121"/>
      <c r="N20" s="110"/>
      <c r="O20" s="213" t="s">
        <v>93</v>
      </c>
      <c r="P20" s="96"/>
      <c r="Q20" s="96"/>
      <c r="R20" s="96"/>
      <c r="S20" s="96"/>
      <c r="T20" s="96"/>
      <c r="U20" s="96"/>
    </row>
    <row r="21" spans="2:21" ht="16.5" thickBot="1">
      <c r="B21" s="215">
        <v>15</v>
      </c>
      <c r="C21" s="127" t="s">
        <v>94</v>
      </c>
      <c r="D21" s="119" t="s">
        <v>95</v>
      </c>
      <c r="E21" s="24" t="s">
        <v>83</v>
      </c>
      <c r="F21" s="119" t="s">
        <v>13</v>
      </c>
      <c r="G21" s="30" t="s">
        <v>75</v>
      </c>
      <c r="H21" s="122"/>
      <c r="I21" s="25">
        <v>1</v>
      </c>
      <c r="J21" s="119" t="s">
        <v>13</v>
      </c>
      <c r="K21" s="25">
        <v>0</v>
      </c>
      <c r="L21" s="120"/>
      <c r="M21" s="121"/>
      <c r="N21" s="110"/>
      <c r="O21" s="96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>
      <c r="B22" s="215">
        <v>16</v>
      </c>
      <c r="C22" s="127" t="s">
        <v>96</v>
      </c>
      <c r="D22" s="119" t="s">
        <v>95</v>
      </c>
      <c r="E22" s="24" t="s">
        <v>60</v>
      </c>
      <c r="F22" s="119" t="s">
        <v>13</v>
      </c>
      <c r="G22" s="30" t="s">
        <v>68</v>
      </c>
      <c r="H22" s="122"/>
      <c r="I22" s="25">
        <v>1</v>
      </c>
      <c r="J22" s="119" t="s">
        <v>13</v>
      </c>
      <c r="K22" s="25">
        <v>0</v>
      </c>
      <c r="L22" s="120"/>
      <c r="M22" s="121"/>
      <c r="N22" s="110"/>
      <c r="O22" s="96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>
      <c r="B23" s="215">
        <v>17</v>
      </c>
      <c r="C23" s="127" t="s">
        <v>97</v>
      </c>
      <c r="D23" s="119" t="s">
        <v>98</v>
      </c>
      <c r="E23" s="24" t="s">
        <v>62</v>
      </c>
      <c r="F23" s="119" t="s">
        <v>13</v>
      </c>
      <c r="G23" s="30" t="s">
        <v>77</v>
      </c>
      <c r="H23" s="122"/>
      <c r="I23" s="25">
        <v>3</v>
      </c>
      <c r="J23" s="119" t="s">
        <v>13</v>
      </c>
      <c r="K23" s="25">
        <v>0</v>
      </c>
      <c r="L23" s="120"/>
      <c r="M23" s="121"/>
      <c r="N23" s="110"/>
      <c r="O23" s="96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>
      <c r="B24" s="215">
        <v>18</v>
      </c>
      <c r="C24" s="127" t="s">
        <v>99</v>
      </c>
      <c r="D24" s="119" t="s">
        <v>98</v>
      </c>
      <c r="E24" s="24" t="s">
        <v>85</v>
      </c>
      <c r="F24" s="119" t="s">
        <v>13</v>
      </c>
      <c r="G24" s="30" t="s">
        <v>70</v>
      </c>
      <c r="H24" s="122"/>
      <c r="I24" s="25">
        <v>0</v>
      </c>
      <c r="J24" s="119" t="s">
        <v>13</v>
      </c>
      <c r="K24" s="25">
        <v>2</v>
      </c>
      <c r="L24" s="120"/>
      <c r="M24" s="121"/>
      <c r="N24" s="110"/>
      <c r="O24" s="96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>
      <c r="B25" s="215">
        <v>19</v>
      </c>
      <c r="C25" s="127" t="s">
        <v>100</v>
      </c>
      <c r="D25" s="119" t="s">
        <v>101</v>
      </c>
      <c r="E25" s="24" t="s">
        <v>63</v>
      </c>
      <c r="F25" s="119" t="s">
        <v>13</v>
      </c>
      <c r="G25" s="30" t="s">
        <v>78</v>
      </c>
      <c r="H25" s="122"/>
      <c r="I25" s="25">
        <v>2</v>
      </c>
      <c r="J25" s="119" t="s">
        <v>13</v>
      </c>
      <c r="K25" s="25">
        <v>0</v>
      </c>
      <c r="L25" s="120"/>
      <c r="M25" s="121"/>
      <c r="N25" s="110"/>
      <c r="O25" s="96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thickBot="1">
      <c r="B26" s="215">
        <v>20</v>
      </c>
      <c r="C26" s="127" t="s">
        <v>102</v>
      </c>
      <c r="D26" s="119" t="s">
        <v>101</v>
      </c>
      <c r="E26" s="24" t="s">
        <v>71</v>
      </c>
      <c r="F26" s="119" t="s">
        <v>13</v>
      </c>
      <c r="G26" s="30" t="s">
        <v>86</v>
      </c>
      <c r="H26" s="122"/>
      <c r="I26" s="25">
        <v>2</v>
      </c>
      <c r="J26" s="119" t="s">
        <v>13</v>
      </c>
      <c r="K26" s="25">
        <v>1</v>
      </c>
      <c r="L26" s="120"/>
      <c r="M26" s="121"/>
      <c r="N26" s="110"/>
      <c r="O26" s="96"/>
      <c r="P26" s="96"/>
      <c r="Q26" s="96"/>
      <c r="R26" s="96"/>
      <c r="S26" s="96"/>
      <c r="T26" s="96"/>
      <c r="U26" s="96"/>
    </row>
    <row r="27" spans="2:21" ht="16.5" thickBot="1">
      <c r="B27" s="215">
        <v>21</v>
      </c>
      <c r="C27" s="127" t="s">
        <v>103</v>
      </c>
      <c r="D27" s="119" t="s">
        <v>104</v>
      </c>
      <c r="E27" s="24" t="s">
        <v>80</v>
      </c>
      <c r="F27" s="119" t="s">
        <v>13</v>
      </c>
      <c r="G27" s="30" t="s">
        <v>88</v>
      </c>
      <c r="H27" s="122"/>
      <c r="I27" s="25">
        <v>1</v>
      </c>
      <c r="J27" s="119" t="s">
        <v>13</v>
      </c>
      <c r="K27" s="25">
        <v>0</v>
      </c>
      <c r="L27" s="120"/>
      <c r="M27" s="121"/>
      <c r="N27" s="110"/>
      <c r="O27" s="96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>
      <c r="B28" s="215">
        <v>22</v>
      </c>
      <c r="C28" s="127" t="s">
        <v>105</v>
      </c>
      <c r="D28" s="119" t="s">
        <v>104</v>
      </c>
      <c r="E28" s="24" t="s">
        <v>65</v>
      </c>
      <c r="F28" s="119" t="s">
        <v>13</v>
      </c>
      <c r="G28" s="30" t="s">
        <v>73</v>
      </c>
      <c r="H28" s="122"/>
      <c r="I28" s="25">
        <v>3</v>
      </c>
      <c r="J28" s="119" t="s">
        <v>13</v>
      </c>
      <c r="K28" s="25">
        <v>1</v>
      </c>
      <c r="L28" s="120"/>
      <c r="M28" s="121"/>
      <c r="N28" s="110"/>
      <c r="O28" s="96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>
      <c r="B29" s="215">
        <v>23</v>
      </c>
      <c r="C29" s="127" t="s">
        <v>106</v>
      </c>
      <c r="D29" s="119" t="s">
        <v>107</v>
      </c>
      <c r="E29" s="24" t="s">
        <v>64</v>
      </c>
      <c r="F29" s="119" t="s">
        <v>13</v>
      </c>
      <c r="G29" s="30" t="s">
        <v>87</v>
      </c>
      <c r="H29" s="122"/>
      <c r="I29" s="25">
        <v>4</v>
      </c>
      <c r="J29" s="119" t="s">
        <v>13</v>
      </c>
      <c r="K29" s="25">
        <v>0</v>
      </c>
      <c r="L29" s="120"/>
      <c r="M29" s="121"/>
      <c r="N29" s="110"/>
      <c r="O29" s="96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>
      <c r="B30" s="215">
        <v>24</v>
      </c>
      <c r="C30" s="127" t="s">
        <v>108</v>
      </c>
      <c r="D30" s="119" t="s">
        <v>107</v>
      </c>
      <c r="E30" s="24" t="s">
        <v>79</v>
      </c>
      <c r="F30" s="119" t="s">
        <v>13</v>
      </c>
      <c r="G30" s="30" t="s">
        <v>72</v>
      </c>
      <c r="H30" s="122"/>
      <c r="I30" s="25">
        <v>1</v>
      </c>
      <c r="J30" s="119" t="s">
        <v>13</v>
      </c>
      <c r="K30" s="25">
        <v>1</v>
      </c>
      <c r="L30" s="120"/>
      <c r="M30" s="121"/>
      <c r="N30" s="110"/>
      <c r="O30" s="96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>
      <c r="B31" s="215">
        <v>25</v>
      </c>
      <c r="C31" s="127" t="s">
        <v>109</v>
      </c>
      <c r="D31" s="119" t="s">
        <v>11</v>
      </c>
      <c r="E31" s="24" t="s">
        <v>24</v>
      </c>
      <c r="F31" s="119" t="s">
        <v>13</v>
      </c>
      <c r="G31" s="30" t="s">
        <v>14</v>
      </c>
      <c r="H31" s="122"/>
      <c r="I31" s="25">
        <v>1</v>
      </c>
      <c r="J31" s="119" t="s">
        <v>13</v>
      </c>
      <c r="K31" s="25">
        <v>0</v>
      </c>
      <c r="L31" s="120"/>
      <c r="M31" s="121"/>
      <c r="N31" s="110"/>
      <c r="O31" s="96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>
      <c r="B32" s="215">
        <v>26</v>
      </c>
      <c r="C32" s="127" t="s">
        <v>110</v>
      </c>
      <c r="D32" s="119" t="s">
        <v>31</v>
      </c>
      <c r="E32" s="24" t="s">
        <v>25</v>
      </c>
      <c r="F32" s="119" t="s">
        <v>13</v>
      </c>
      <c r="G32" s="30" t="s">
        <v>33</v>
      </c>
      <c r="H32" s="122"/>
      <c r="I32" s="25">
        <v>2</v>
      </c>
      <c r="J32" s="119" t="s">
        <v>13</v>
      </c>
      <c r="K32" s="25">
        <v>1</v>
      </c>
      <c r="L32" s="120"/>
      <c r="M32" s="121"/>
      <c r="N32" s="110"/>
      <c r="O32" s="96"/>
      <c r="P32" s="96"/>
      <c r="Q32" s="96"/>
      <c r="R32" s="96"/>
      <c r="S32" s="96"/>
      <c r="T32" s="96"/>
      <c r="U32" s="96"/>
    </row>
    <row r="33" spans="2:14" ht="15.75">
      <c r="B33" s="215">
        <v>27</v>
      </c>
      <c r="C33" s="127" t="s">
        <v>111</v>
      </c>
      <c r="D33" s="119" t="s">
        <v>31</v>
      </c>
      <c r="E33" s="24" t="s">
        <v>32</v>
      </c>
      <c r="F33" s="119" t="s">
        <v>13</v>
      </c>
      <c r="G33" s="30" t="s">
        <v>47</v>
      </c>
      <c r="H33" s="122"/>
      <c r="I33" s="25">
        <v>1</v>
      </c>
      <c r="J33" s="119" t="s">
        <v>13</v>
      </c>
      <c r="K33" s="25">
        <v>0</v>
      </c>
      <c r="L33" s="120"/>
      <c r="M33" s="121"/>
      <c r="N33" s="110"/>
    </row>
    <row r="34" spans="2:14" ht="15.75">
      <c r="B34" s="215">
        <v>28</v>
      </c>
      <c r="C34" s="127" t="s">
        <v>112</v>
      </c>
      <c r="D34" s="119" t="s">
        <v>11</v>
      </c>
      <c r="E34" s="24" t="s">
        <v>12</v>
      </c>
      <c r="F34" s="119" t="s">
        <v>13</v>
      </c>
      <c r="G34" s="30" t="s">
        <v>23</v>
      </c>
      <c r="H34" s="122"/>
      <c r="I34" s="25">
        <v>3</v>
      </c>
      <c r="J34" s="119" t="s">
        <v>13</v>
      </c>
      <c r="K34" s="25">
        <v>0</v>
      </c>
      <c r="L34" s="120"/>
      <c r="M34" s="121"/>
      <c r="N34" s="110"/>
    </row>
    <row r="35" spans="2:14" ht="15.75">
      <c r="B35" s="215">
        <v>29</v>
      </c>
      <c r="C35" s="127" t="s">
        <v>113</v>
      </c>
      <c r="D35" s="119" t="s">
        <v>45</v>
      </c>
      <c r="E35" s="24" t="s">
        <v>26</v>
      </c>
      <c r="F35" s="119" t="s">
        <v>13</v>
      </c>
      <c r="G35" s="30" t="s">
        <v>46</v>
      </c>
      <c r="H35" s="122"/>
      <c r="I35" s="25">
        <v>3</v>
      </c>
      <c r="J35" s="119" t="s">
        <v>13</v>
      </c>
      <c r="K35" s="25">
        <v>0</v>
      </c>
      <c r="L35" s="120"/>
      <c r="M35" s="121"/>
      <c r="N35" s="110"/>
    </row>
    <row r="36" spans="2:14" ht="15.75">
      <c r="B36" s="215">
        <v>30</v>
      </c>
      <c r="C36" s="127" t="s">
        <v>114</v>
      </c>
      <c r="D36" s="119" t="s">
        <v>45</v>
      </c>
      <c r="E36" s="24" t="s">
        <v>34</v>
      </c>
      <c r="F36" s="119" t="s">
        <v>13</v>
      </c>
      <c r="G36" s="30" t="s">
        <v>41</v>
      </c>
      <c r="H36" s="122"/>
      <c r="I36" s="25">
        <v>2</v>
      </c>
      <c r="J36" s="119" t="s">
        <v>13</v>
      </c>
      <c r="K36" s="25">
        <v>0</v>
      </c>
      <c r="L36" s="120"/>
      <c r="M36" s="121"/>
      <c r="N36" s="110"/>
    </row>
    <row r="37" spans="2:14" ht="15.75">
      <c r="B37" s="215">
        <v>31</v>
      </c>
      <c r="C37" s="127" t="s">
        <v>115</v>
      </c>
      <c r="D37" s="119" t="s">
        <v>39</v>
      </c>
      <c r="E37" s="24" t="s">
        <v>27</v>
      </c>
      <c r="F37" s="119" t="s">
        <v>13</v>
      </c>
      <c r="G37" s="30" t="s">
        <v>40</v>
      </c>
      <c r="H37" s="122"/>
      <c r="I37" s="25">
        <v>2</v>
      </c>
      <c r="J37" s="119" t="s">
        <v>13</v>
      </c>
      <c r="K37" s="25">
        <v>0</v>
      </c>
      <c r="L37" s="120"/>
      <c r="M37" s="121"/>
      <c r="N37" s="110"/>
    </row>
    <row r="38" spans="2:14" ht="15.75">
      <c r="B38" s="215">
        <v>32</v>
      </c>
      <c r="C38" s="127" t="s">
        <v>116</v>
      </c>
      <c r="D38" s="119" t="s">
        <v>39</v>
      </c>
      <c r="E38" s="24" t="s">
        <v>35</v>
      </c>
      <c r="F38" s="119" t="s">
        <v>13</v>
      </c>
      <c r="G38" s="30" t="s">
        <v>48</v>
      </c>
      <c r="H38" s="122"/>
      <c r="I38" s="25">
        <v>0</v>
      </c>
      <c r="J38" s="119" t="s">
        <v>13</v>
      </c>
      <c r="K38" s="25">
        <v>1</v>
      </c>
      <c r="L38" s="120"/>
      <c r="M38" s="121"/>
      <c r="N38" s="110"/>
    </row>
    <row r="39" spans="2:14" ht="15.75">
      <c r="B39" s="215">
        <v>33</v>
      </c>
      <c r="C39" s="127" t="s">
        <v>117</v>
      </c>
      <c r="D39" s="119" t="s">
        <v>67</v>
      </c>
      <c r="E39" s="24" t="s">
        <v>28</v>
      </c>
      <c r="F39" s="119" t="s">
        <v>13</v>
      </c>
      <c r="G39" s="30" t="s">
        <v>42</v>
      </c>
      <c r="H39" s="122"/>
      <c r="I39" s="25">
        <v>2</v>
      </c>
      <c r="J39" s="119" t="s">
        <v>13</v>
      </c>
      <c r="K39" s="25">
        <v>0</v>
      </c>
      <c r="L39" s="120"/>
      <c r="M39" s="121"/>
      <c r="N39" s="110"/>
    </row>
    <row r="40" spans="2:14" ht="15.75">
      <c r="B40" s="215">
        <v>34</v>
      </c>
      <c r="C40" s="127" t="s">
        <v>118</v>
      </c>
      <c r="D40" s="119" t="s">
        <v>67</v>
      </c>
      <c r="E40" s="24" t="s">
        <v>36</v>
      </c>
      <c r="F40" s="119" t="s">
        <v>13</v>
      </c>
      <c r="G40" s="30" t="s">
        <v>49</v>
      </c>
      <c r="H40" s="122"/>
      <c r="I40" s="25">
        <v>1</v>
      </c>
      <c r="J40" s="119" t="s">
        <v>13</v>
      </c>
      <c r="K40" s="25">
        <v>0</v>
      </c>
      <c r="L40" s="120"/>
      <c r="M40" s="121"/>
      <c r="N40" s="110"/>
    </row>
    <row r="41" spans="2:14" ht="15.75">
      <c r="B41" s="215">
        <v>35</v>
      </c>
      <c r="C41" s="127" t="s">
        <v>119</v>
      </c>
      <c r="D41" s="119" t="s">
        <v>82</v>
      </c>
      <c r="E41" s="24" t="s">
        <v>29</v>
      </c>
      <c r="F41" s="119" t="s">
        <v>13</v>
      </c>
      <c r="G41" s="30" t="s">
        <v>37</v>
      </c>
      <c r="H41" s="122"/>
      <c r="I41" s="25">
        <v>2</v>
      </c>
      <c r="J41" s="119" t="s">
        <v>13</v>
      </c>
      <c r="K41" s="25">
        <v>1</v>
      </c>
      <c r="L41" s="120"/>
      <c r="M41" s="121"/>
      <c r="N41" s="110"/>
    </row>
    <row r="42" spans="2:14" ht="15.75">
      <c r="B42" s="215">
        <v>36</v>
      </c>
      <c r="C42" s="127" t="s">
        <v>120</v>
      </c>
      <c r="D42" s="119" t="s">
        <v>82</v>
      </c>
      <c r="E42" s="24" t="s">
        <v>50</v>
      </c>
      <c r="F42" s="119" t="s">
        <v>13</v>
      </c>
      <c r="G42" s="30" t="s">
        <v>43</v>
      </c>
      <c r="H42" s="122"/>
      <c r="I42" s="25">
        <v>0</v>
      </c>
      <c r="J42" s="119" t="s">
        <v>13</v>
      </c>
      <c r="K42" s="25">
        <v>1</v>
      </c>
      <c r="L42" s="120"/>
      <c r="M42" s="121"/>
      <c r="N42" s="110"/>
    </row>
    <row r="43" spans="2:14" ht="15.75">
      <c r="B43" s="215">
        <v>37</v>
      </c>
      <c r="C43" s="127" t="s">
        <v>121</v>
      </c>
      <c r="D43" s="119" t="s">
        <v>91</v>
      </c>
      <c r="E43" s="24" t="s">
        <v>69</v>
      </c>
      <c r="F43" s="119" t="s">
        <v>13</v>
      </c>
      <c r="G43" s="30" t="s">
        <v>76</v>
      </c>
      <c r="H43" s="122"/>
      <c r="I43" s="25">
        <v>1</v>
      </c>
      <c r="J43" s="119" t="s">
        <v>13</v>
      </c>
      <c r="K43" s="25">
        <v>1</v>
      </c>
      <c r="L43" s="120"/>
      <c r="M43" s="121"/>
      <c r="N43" s="96"/>
    </row>
    <row r="44" spans="2:14" ht="15.75">
      <c r="B44" s="215">
        <v>38</v>
      </c>
      <c r="C44" s="127" t="s">
        <v>122</v>
      </c>
      <c r="D44" s="119" t="s">
        <v>91</v>
      </c>
      <c r="E44" s="24" t="s">
        <v>61</v>
      </c>
      <c r="F44" s="119" t="s">
        <v>13</v>
      </c>
      <c r="G44" s="30" t="s">
        <v>84</v>
      </c>
      <c r="H44" s="122"/>
      <c r="I44" s="25">
        <v>3</v>
      </c>
      <c r="J44" s="119" t="s">
        <v>13</v>
      </c>
      <c r="K44" s="25">
        <v>0</v>
      </c>
      <c r="L44" s="120"/>
      <c r="M44" s="121"/>
      <c r="N44" s="96"/>
    </row>
    <row r="45" spans="2:14" ht="15.75">
      <c r="B45" s="215">
        <v>39</v>
      </c>
      <c r="C45" s="127" t="s">
        <v>123</v>
      </c>
      <c r="D45" s="119" t="s">
        <v>95</v>
      </c>
      <c r="E45" s="24" t="s">
        <v>60</v>
      </c>
      <c r="F45" s="119" t="s">
        <v>13</v>
      </c>
      <c r="G45" s="30" t="s">
        <v>83</v>
      </c>
      <c r="H45" s="122"/>
      <c r="I45" s="25">
        <v>1</v>
      </c>
      <c r="J45" s="119" t="s">
        <v>13</v>
      </c>
      <c r="K45" s="25">
        <v>1</v>
      </c>
      <c r="L45" s="120"/>
      <c r="M45" s="121"/>
      <c r="N45" s="96"/>
    </row>
    <row r="46" spans="2:14" ht="15.75">
      <c r="B46" s="215">
        <v>40</v>
      </c>
      <c r="C46" s="127" t="s">
        <v>124</v>
      </c>
      <c r="D46" s="119" t="s">
        <v>95</v>
      </c>
      <c r="E46" s="24" t="s">
        <v>75</v>
      </c>
      <c r="F46" s="119" t="s">
        <v>13</v>
      </c>
      <c r="G46" s="30" t="s">
        <v>68</v>
      </c>
      <c r="H46" s="122"/>
      <c r="I46" s="25">
        <v>0</v>
      </c>
      <c r="J46" s="119" t="s">
        <v>13</v>
      </c>
      <c r="K46" s="25">
        <v>0</v>
      </c>
      <c r="L46" s="120"/>
      <c r="M46" s="121"/>
      <c r="N46" s="96"/>
    </row>
    <row r="47" spans="2:14" ht="15.75">
      <c r="B47" s="215">
        <v>41</v>
      </c>
      <c r="C47" s="127" t="s">
        <v>125</v>
      </c>
      <c r="D47" s="119" t="s">
        <v>98</v>
      </c>
      <c r="E47" s="24" t="s">
        <v>70</v>
      </c>
      <c r="F47" s="119" t="s">
        <v>13</v>
      </c>
      <c r="G47" s="30" t="s">
        <v>77</v>
      </c>
      <c r="H47" s="122"/>
      <c r="I47" s="25">
        <v>2</v>
      </c>
      <c r="J47" s="119" t="s">
        <v>13</v>
      </c>
      <c r="K47" s="25">
        <v>0</v>
      </c>
      <c r="L47" s="120"/>
      <c r="M47" s="121"/>
      <c r="N47" s="96"/>
    </row>
    <row r="48" spans="2:14" ht="15.75">
      <c r="B48" s="215">
        <v>42</v>
      </c>
      <c r="C48" s="127" t="s">
        <v>126</v>
      </c>
      <c r="D48" s="119" t="s">
        <v>98</v>
      </c>
      <c r="E48" s="24" t="s">
        <v>62</v>
      </c>
      <c r="F48" s="119" t="s">
        <v>13</v>
      </c>
      <c r="G48" s="30" t="s">
        <v>85</v>
      </c>
      <c r="H48" s="122"/>
      <c r="I48" s="25">
        <v>3</v>
      </c>
      <c r="J48" s="119" t="s">
        <v>13</v>
      </c>
      <c r="K48" s="25">
        <v>0</v>
      </c>
      <c r="L48" s="120"/>
      <c r="M48" s="121"/>
      <c r="N48" s="96"/>
    </row>
    <row r="49" spans="2:13" ht="15.75">
      <c r="B49" s="215">
        <v>43</v>
      </c>
      <c r="C49" s="127" t="s">
        <v>127</v>
      </c>
      <c r="D49" s="119" t="s">
        <v>101</v>
      </c>
      <c r="E49" s="24" t="s">
        <v>63</v>
      </c>
      <c r="F49" s="119" t="s">
        <v>13</v>
      </c>
      <c r="G49" s="30" t="s">
        <v>71</v>
      </c>
      <c r="H49" s="122"/>
      <c r="I49" s="25">
        <v>2</v>
      </c>
      <c r="J49" s="119" t="s">
        <v>13</v>
      </c>
      <c r="K49" s="25">
        <v>0</v>
      </c>
      <c r="L49" s="120"/>
      <c r="M49" s="121"/>
    </row>
    <row r="50" spans="2:13" ht="15.75">
      <c r="B50" s="215">
        <v>44</v>
      </c>
      <c r="C50" s="127" t="s">
        <v>128</v>
      </c>
      <c r="D50" s="119" t="s">
        <v>101</v>
      </c>
      <c r="E50" s="24" t="s">
        <v>86</v>
      </c>
      <c r="F50" s="119" t="s">
        <v>13</v>
      </c>
      <c r="G50" s="30" t="s">
        <v>78</v>
      </c>
      <c r="H50" s="122"/>
      <c r="I50" s="25">
        <v>1</v>
      </c>
      <c r="J50" s="119" t="s">
        <v>13</v>
      </c>
      <c r="K50" s="25">
        <v>0</v>
      </c>
      <c r="L50" s="120"/>
      <c r="M50" s="121"/>
    </row>
    <row r="51" spans="2:13" ht="15.75">
      <c r="B51" s="215">
        <v>45</v>
      </c>
      <c r="C51" s="127" t="s">
        <v>129</v>
      </c>
      <c r="D51" s="119" t="s">
        <v>104</v>
      </c>
      <c r="E51" s="24" t="s">
        <v>65</v>
      </c>
      <c r="F51" s="119" t="s">
        <v>13</v>
      </c>
      <c r="G51" s="30" t="s">
        <v>80</v>
      </c>
      <c r="H51" s="122"/>
      <c r="I51" s="25">
        <v>3</v>
      </c>
      <c r="J51" s="119" t="s">
        <v>13</v>
      </c>
      <c r="K51" s="25">
        <v>0</v>
      </c>
      <c r="L51" s="120"/>
      <c r="M51" s="121"/>
    </row>
    <row r="52" spans="2:13" ht="15.75">
      <c r="B52" s="215">
        <v>46</v>
      </c>
      <c r="C52" s="127" t="s">
        <v>130</v>
      </c>
      <c r="D52" s="119" t="s">
        <v>104</v>
      </c>
      <c r="E52" s="24" t="s">
        <v>88</v>
      </c>
      <c r="F52" s="119" t="s">
        <v>13</v>
      </c>
      <c r="G52" s="30" t="s">
        <v>73</v>
      </c>
      <c r="H52" s="122"/>
      <c r="I52" s="25">
        <v>1</v>
      </c>
      <c r="J52" s="119" t="s">
        <v>13</v>
      </c>
      <c r="K52" s="25">
        <v>2</v>
      </c>
      <c r="L52" s="120"/>
      <c r="M52" s="121"/>
    </row>
    <row r="53" spans="2:13" ht="15.75">
      <c r="B53" s="215">
        <v>47</v>
      </c>
      <c r="C53" s="127" t="s">
        <v>131</v>
      </c>
      <c r="D53" s="119" t="s">
        <v>107</v>
      </c>
      <c r="E53" s="24" t="s">
        <v>64</v>
      </c>
      <c r="F53" s="119" t="s">
        <v>13</v>
      </c>
      <c r="G53" s="30" t="s">
        <v>79</v>
      </c>
      <c r="H53" s="122"/>
      <c r="I53" s="25">
        <v>5</v>
      </c>
      <c r="J53" s="119" t="s">
        <v>13</v>
      </c>
      <c r="K53" s="25">
        <v>0</v>
      </c>
      <c r="L53" s="120"/>
      <c r="M53" s="121"/>
    </row>
    <row r="54" spans="2:13" ht="15.75">
      <c r="B54" s="215">
        <v>48</v>
      </c>
      <c r="C54" s="127" t="s">
        <v>132</v>
      </c>
      <c r="D54" s="119" t="s">
        <v>107</v>
      </c>
      <c r="E54" s="24" t="s">
        <v>72</v>
      </c>
      <c r="F54" s="119" t="s">
        <v>13</v>
      </c>
      <c r="G54" s="30" t="s">
        <v>87</v>
      </c>
      <c r="H54" s="122"/>
      <c r="I54" s="25">
        <v>0</v>
      </c>
      <c r="J54" s="119" t="s">
        <v>13</v>
      </c>
      <c r="K54" s="25">
        <v>1</v>
      </c>
      <c r="L54" s="120"/>
      <c r="M54" s="121"/>
    </row>
    <row r="55" spans="2:13" ht="15.75">
      <c r="B55" s="215">
        <v>49</v>
      </c>
      <c r="C55" s="127" t="s">
        <v>133</v>
      </c>
      <c r="D55" s="119" t="s">
        <v>45</v>
      </c>
      <c r="E55" s="24" t="s">
        <v>34</v>
      </c>
      <c r="F55" s="119" t="s">
        <v>13</v>
      </c>
      <c r="G55" s="30" t="s">
        <v>26</v>
      </c>
      <c r="H55" s="122"/>
      <c r="I55" s="25">
        <v>1</v>
      </c>
      <c r="J55" s="119" t="s">
        <v>13</v>
      </c>
      <c r="K55" s="25">
        <v>3</v>
      </c>
      <c r="L55" s="120"/>
      <c r="M55" s="121"/>
    </row>
    <row r="56" spans="2:13" ht="15.75">
      <c r="B56" s="215">
        <v>50</v>
      </c>
      <c r="C56" s="127" t="s">
        <v>133</v>
      </c>
      <c r="D56" s="119" t="s">
        <v>45</v>
      </c>
      <c r="E56" s="24" t="s">
        <v>41</v>
      </c>
      <c r="F56" s="119" t="s">
        <v>13</v>
      </c>
      <c r="G56" s="30" t="s">
        <v>46</v>
      </c>
      <c r="H56" s="122"/>
      <c r="I56" s="25">
        <v>2</v>
      </c>
      <c r="J56" s="119" t="s">
        <v>13</v>
      </c>
      <c r="K56" s="25">
        <v>1</v>
      </c>
      <c r="L56" s="120"/>
      <c r="M56" s="121"/>
    </row>
    <row r="57" spans="2:13" ht="15.75">
      <c r="B57" s="215">
        <v>51</v>
      </c>
      <c r="C57" s="127" t="s">
        <v>134</v>
      </c>
      <c r="D57" s="119" t="s">
        <v>31</v>
      </c>
      <c r="E57" s="24" t="s">
        <v>25</v>
      </c>
      <c r="F57" s="119" t="s">
        <v>13</v>
      </c>
      <c r="G57" s="30" t="s">
        <v>32</v>
      </c>
      <c r="H57" s="122"/>
      <c r="I57" s="25">
        <v>3</v>
      </c>
      <c r="J57" s="119" t="s">
        <v>13</v>
      </c>
      <c r="K57" s="25">
        <v>1</v>
      </c>
      <c r="L57" s="120"/>
      <c r="M57" s="121"/>
    </row>
    <row r="58" spans="2:13" ht="15.75">
      <c r="B58" s="215">
        <v>52</v>
      </c>
      <c r="C58" s="127" t="s">
        <v>134</v>
      </c>
      <c r="D58" s="119" t="s">
        <v>31</v>
      </c>
      <c r="E58" s="24" t="s">
        <v>33</v>
      </c>
      <c r="F58" s="119" t="s">
        <v>13</v>
      </c>
      <c r="G58" s="30" t="s">
        <v>47</v>
      </c>
      <c r="H58" s="122"/>
      <c r="I58" s="25">
        <v>2</v>
      </c>
      <c r="J58" s="119" t="s">
        <v>13</v>
      </c>
      <c r="K58" s="25">
        <v>1</v>
      </c>
      <c r="L58" s="120"/>
      <c r="M58" s="121"/>
    </row>
    <row r="59" spans="2:13" ht="15.75">
      <c r="B59" s="215">
        <v>53</v>
      </c>
      <c r="C59" s="127" t="s">
        <v>135</v>
      </c>
      <c r="D59" s="119" t="s">
        <v>11</v>
      </c>
      <c r="E59" s="24" t="s">
        <v>24</v>
      </c>
      <c r="F59" s="119" t="s">
        <v>13</v>
      </c>
      <c r="G59" s="30" t="s">
        <v>12</v>
      </c>
      <c r="H59" s="122"/>
      <c r="I59" s="25">
        <v>2</v>
      </c>
      <c r="J59" s="119" t="s">
        <v>13</v>
      </c>
      <c r="K59" s="25">
        <v>3</v>
      </c>
      <c r="L59" s="120"/>
      <c r="M59" s="121"/>
    </row>
    <row r="60" spans="2:13" ht="15.75">
      <c r="B60" s="215">
        <v>54</v>
      </c>
      <c r="C60" s="127" t="s">
        <v>135</v>
      </c>
      <c r="D60" s="119" t="s">
        <v>11</v>
      </c>
      <c r="E60" s="24" t="s">
        <v>14</v>
      </c>
      <c r="F60" s="119" t="s">
        <v>13</v>
      </c>
      <c r="G60" s="30" t="s">
        <v>23</v>
      </c>
      <c r="H60" s="122"/>
      <c r="I60" s="25">
        <v>2</v>
      </c>
      <c r="J60" s="119" t="s">
        <v>13</v>
      </c>
      <c r="K60" s="25">
        <v>1</v>
      </c>
      <c r="L60" s="120"/>
      <c r="M60" s="121"/>
    </row>
    <row r="61" spans="2:13" ht="15.75">
      <c r="B61" s="215">
        <v>55</v>
      </c>
      <c r="C61" s="127" t="s">
        <v>136</v>
      </c>
      <c r="D61" s="119" t="s">
        <v>67</v>
      </c>
      <c r="E61" s="24" t="s">
        <v>49</v>
      </c>
      <c r="F61" s="119" t="s">
        <v>13</v>
      </c>
      <c r="G61" s="30" t="s">
        <v>42</v>
      </c>
      <c r="H61" s="122"/>
      <c r="I61" s="25">
        <v>1</v>
      </c>
      <c r="J61" s="119" t="s">
        <v>13</v>
      </c>
      <c r="K61" s="25">
        <v>0</v>
      </c>
      <c r="L61" s="120"/>
      <c r="M61" s="121"/>
    </row>
    <row r="62" spans="2:13" ht="15.75">
      <c r="B62" s="215">
        <v>56</v>
      </c>
      <c r="C62" s="127" t="s">
        <v>136</v>
      </c>
      <c r="D62" s="119" t="s">
        <v>67</v>
      </c>
      <c r="E62" s="24" t="s">
        <v>36</v>
      </c>
      <c r="F62" s="119" t="s">
        <v>13</v>
      </c>
      <c r="G62" s="30" t="s">
        <v>28</v>
      </c>
      <c r="H62" s="122"/>
      <c r="I62" s="25">
        <v>0</v>
      </c>
      <c r="J62" s="119" t="s">
        <v>13</v>
      </c>
      <c r="K62" s="25">
        <v>2</v>
      </c>
      <c r="L62" s="120"/>
      <c r="M62" s="121"/>
    </row>
    <row r="63" spans="2:13" ht="15.75">
      <c r="B63" s="215">
        <v>57</v>
      </c>
      <c r="C63" s="127" t="s">
        <v>137</v>
      </c>
      <c r="D63" s="119" t="s">
        <v>82</v>
      </c>
      <c r="E63" s="24" t="s">
        <v>43</v>
      </c>
      <c r="F63" s="119" t="s">
        <v>13</v>
      </c>
      <c r="G63" s="30" t="s">
        <v>37</v>
      </c>
      <c r="H63" s="122"/>
      <c r="I63" s="25">
        <v>2</v>
      </c>
      <c r="J63" s="119" t="s">
        <v>13</v>
      </c>
      <c r="K63" s="25">
        <v>1</v>
      </c>
      <c r="L63" s="120"/>
      <c r="M63" s="121"/>
    </row>
    <row r="64" spans="2:13" ht="15.75">
      <c r="B64" s="215">
        <v>58</v>
      </c>
      <c r="C64" s="127" t="s">
        <v>137</v>
      </c>
      <c r="D64" s="119" t="s">
        <v>82</v>
      </c>
      <c r="E64" s="24" t="s">
        <v>50</v>
      </c>
      <c r="F64" s="119" t="s">
        <v>13</v>
      </c>
      <c r="G64" s="30" t="s">
        <v>29</v>
      </c>
      <c r="H64" s="122"/>
      <c r="I64" s="25">
        <v>1</v>
      </c>
      <c r="J64" s="119" t="s">
        <v>13</v>
      </c>
      <c r="K64" s="25">
        <v>2</v>
      </c>
      <c r="L64" s="120"/>
      <c r="M64" s="121"/>
    </row>
    <row r="65" spans="2:14" ht="15.75">
      <c r="B65" s="215">
        <v>59</v>
      </c>
      <c r="C65" s="127" t="s">
        <v>138</v>
      </c>
      <c r="D65" s="119" t="s">
        <v>39</v>
      </c>
      <c r="E65" s="24" t="s">
        <v>27</v>
      </c>
      <c r="F65" s="119" t="s">
        <v>13</v>
      </c>
      <c r="G65" s="30" t="s">
        <v>35</v>
      </c>
      <c r="H65" s="122"/>
      <c r="I65" s="25">
        <v>2</v>
      </c>
      <c r="J65" s="119" t="s">
        <v>13</v>
      </c>
      <c r="K65" s="25">
        <v>1</v>
      </c>
      <c r="L65" s="120"/>
      <c r="M65" s="121"/>
      <c r="N65" s="96"/>
    </row>
    <row r="66" spans="2:14" ht="15.75">
      <c r="B66" s="215">
        <v>60</v>
      </c>
      <c r="C66" s="127" t="s">
        <v>138</v>
      </c>
      <c r="D66" s="119" t="s">
        <v>39</v>
      </c>
      <c r="E66" s="24" t="s">
        <v>40</v>
      </c>
      <c r="F66" s="119" t="s">
        <v>13</v>
      </c>
      <c r="G66" s="30" t="s">
        <v>48</v>
      </c>
      <c r="H66" s="122"/>
      <c r="I66" s="25">
        <v>1</v>
      </c>
      <c r="J66" s="119" t="s">
        <v>13</v>
      </c>
      <c r="K66" s="25">
        <v>1</v>
      </c>
      <c r="L66" s="120"/>
      <c r="M66" s="121"/>
      <c r="N66" s="96"/>
    </row>
    <row r="67" spans="2:14" ht="15.75">
      <c r="B67" s="215">
        <v>61</v>
      </c>
      <c r="C67" s="127" t="s">
        <v>139</v>
      </c>
      <c r="D67" s="119" t="s">
        <v>98</v>
      </c>
      <c r="E67" s="24" t="s">
        <v>70</v>
      </c>
      <c r="F67" s="119" t="s">
        <v>13</v>
      </c>
      <c r="G67" s="30" t="s">
        <v>62</v>
      </c>
      <c r="H67" s="122"/>
      <c r="I67" s="25">
        <v>1</v>
      </c>
      <c r="J67" s="119" t="s">
        <v>13</v>
      </c>
      <c r="K67" s="25">
        <v>3</v>
      </c>
      <c r="L67" s="120"/>
      <c r="M67" s="121"/>
      <c r="N67" s="96"/>
    </row>
    <row r="68" spans="2:14" ht="15.75">
      <c r="B68" s="215">
        <v>62</v>
      </c>
      <c r="C68" s="127" t="s">
        <v>139</v>
      </c>
      <c r="D68" s="119" t="s">
        <v>98</v>
      </c>
      <c r="E68" s="24" t="s">
        <v>77</v>
      </c>
      <c r="F68" s="119" t="s">
        <v>13</v>
      </c>
      <c r="G68" s="30" t="s">
        <v>85</v>
      </c>
      <c r="H68" s="122"/>
      <c r="I68" s="25">
        <v>0</v>
      </c>
      <c r="J68" s="119" t="s">
        <v>13</v>
      </c>
      <c r="K68" s="25">
        <v>1</v>
      </c>
      <c r="L68" s="120"/>
      <c r="M68" s="121"/>
      <c r="N68" s="96"/>
    </row>
    <row r="69" spans="2:14" ht="15.75">
      <c r="B69" s="215">
        <v>63</v>
      </c>
      <c r="C69" s="127" t="s">
        <v>140</v>
      </c>
      <c r="D69" s="119" t="s">
        <v>95</v>
      </c>
      <c r="E69" s="24" t="s">
        <v>68</v>
      </c>
      <c r="F69" s="119" t="s">
        <v>13</v>
      </c>
      <c r="G69" s="30" t="s">
        <v>83</v>
      </c>
      <c r="H69" s="122"/>
      <c r="I69" s="25">
        <v>1</v>
      </c>
      <c r="J69" s="119" t="s">
        <v>13</v>
      </c>
      <c r="K69" s="25">
        <v>0</v>
      </c>
      <c r="L69" s="120"/>
      <c r="M69" s="121"/>
      <c r="N69" s="96"/>
    </row>
    <row r="70" spans="2:14" ht="15.75">
      <c r="B70" s="215">
        <v>64</v>
      </c>
      <c r="C70" s="127" t="s">
        <v>140</v>
      </c>
      <c r="D70" s="119" t="s">
        <v>95</v>
      </c>
      <c r="E70" s="24" t="s">
        <v>75</v>
      </c>
      <c r="F70" s="119" t="s">
        <v>13</v>
      </c>
      <c r="G70" s="30" t="s">
        <v>60</v>
      </c>
      <c r="H70" s="122"/>
      <c r="I70" s="25">
        <v>0</v>
      </c>
      <c r="J70" s="119" t="s">
        <v>13</v>
      </c>
      <c r="K70" s="25">
        <v>1</v>
      </c>
      <c r="L70" s="120"/>
      <c r="M70" s="121"/>
      <c r="N70" s="96"/>
    </row>
    <row r="71" spans="2:14" ht="15.75">
      <c r="B71" s="215">
        <v>65</v>
      </c>
      <c r="C71" s="127" t="s">
        <v>141</v>
      </c>
      <c r="D71" s="119" t="s">
        <v>91</v>
      </c>
      <c r="E71" s="24" t="s">
        <v>76</v>
      </c>
      <c r="F71" s="119" t="s">
        <v>13</v>
      </c>
      <c r="G71" s="30" t="s">
        <v>84</v>
      </c>
      <c r="H71" s="122"/>
      <c r="I71" s="25">
        <v>0</v>
      </c>
      <c r="J71" s="119" t="s">
        <v>13</v>
      </c>
      <c r="K71" s="25">
        <v>1</v>
      </c>
      <c r="L71" s="120"/>
      <c r="M71" s="121"/>
      <c r="N71" s="96"/>
    </row>
    <row r="72" spans="2:14" ht="15.75">
      <c r="B72" s="215">
        <v>66</v>
      </c>
      <c r="C72" s="127" t="s">
        <v>141</v>
      </c>
      <c r="D72" s="119" t="s">
        <v>91</v>
      </c>
      <c r="E72" s="24" t="s">
        <v>69</v>
      </c>
      <c r="F72" s="119" t="s">
        <v>13</v>
      </c>
      <c r="G72" s="30" t="s">
        <v>61</v>
      </c>
      <c r="H72" s="122"/>
      <c r="I72" s="25">
        <v>0</v>
      </c>
      <c r="J72" s="119" t="s">
        <v>13</v>
      </c>
      <c r="K72" s="25">
        <v>4</v>
      </c>
      <c r="L72" s="120"/>
      <c r="M72" s="121"/>
      <c r="N72" s="96"/>
    </row>
    <row r="73" spans="2:14" ht="15.75">
      <c r="B73" s="215">
        <v>67</v>
      </c>
      <c r="C73" s="127" t="s">
        <v>142</v>
      </c>
      <c r="D73" s="119" t="s">
        <v>104</v>
      </c>
      <c r="E73" s="24" t="s">
        <v>88</v>
      </c>
      <c r="F73" s="119" t="s">
        <v>13</v>
      </c>
      <c r="G73" s="30" t="s">
        <v>65</v>
      </c>
      <c r="H73" s="122"/>
      <c r="I73" s="25">
        <v>0</v>
      </c>
      <c r="J73" s="119" t="s">
        <v>13</v>
      </c>
      <c r="K73" s="25">
        <v>3</v>
      </c>
      <c r="L73" s="120"/>
      <c r="M73" s="121"/>
      <c r="N73" s="96"/>
    </row>
    <row r="74" spans="2:14" ht="15.75">
      <c r="B74" s="215">
        <v>68</v>
      </c>
      <c r="C74" s="127" t="s">
        <v>142</v>
      </c>
      <c r="D74" s="119" t="s">
        <v>104</v>
      </c>
      <c r="E74" s="24" t="s">
        <v>73</v>
      </c>
      <c r="F74" s="119" t="s">
        <v>13</v>
      </c>
      <c r="G74" s="30" t="s">
        <v>80</v>
      </c>
      <c r="H74" s="122"/>
      <c r="I74" s="25">
        <v>2</v>
      </c>
      <c r="J74" s="119" t="s">
        <v>13</v>
      </c>
      <c r="K74" s="25">
        <v>1</v>
      </c>
      <c r="L74" s="120"/>
      <c r="M74" s="121"/>
      <c r="N74" s="96"/>
    </row>
    <row r="75" spans="2:14" ht="15.75">
      <c r="B75" s="215">
        <v>69</v>
      </c>
      <c r="C75" s="127" t="s">
        <v>143</v>
      </c>
      <c r="D75" s="119" t="s">
        <v>101</v>
      </c>
      <c r="E75" s="24" t="s">
        <v>78</v>
      </c>
      <c r="F75" s="119" t="s">
        <v>13</v>
      </c>
      <c r="G75" s="30" t="s">
        <v>71</v>
      </c>
      <c r="H75" s="122"/>
      <c r="I75" s="25">
        <v>1</v>
      </c>
      <c r="J75" s="119" t="s">
        <v>13</v>
      </c>
      <c r="K75" s="25">
        <v>1</v>
      </c>
      <c r="L75" s="120"/>
      <c r="M75" s="121"/>
      <c r="N75" s="96"/>
    </row>
    <row r="76" spans="2:14" ht="15.75">
      <c r="B76" s="215">
        <v>70</v>
      </c>
      <c r="C76" s="127" t="s">
        <v>143</v>
      </c>
      <c r="D76" s="119" t="s">
        <v>101</v>
      </c>
      <c r="E76" s="24" t="s">
        <v>86</v>
      </c>
      <c r="F76" s="119" t="s">
        <v>13</v>
      </c>
      <c r="G76" s="30" t="s">
        <v>63</v>
      </c>
      <c r="H76" s="122"/>
      <c r="I76" s="25">
        <v>0</v>
      </c>
      <c r="J76" s="119" t="s">
        <v>13</v>
      </c>
      <c r="K76" s="25">
        <v>2</v>
      </c>
      <c r="L76" s="120"/>
      <c r="M76" s="121"/>
      <c r="N76" s="96"/>
    </row>
    <row r="77" spans="2:14" ht="15.75">
      <c r="B77" s="215">
        <v>71</v>
      </c>
      <c r="C77" s="127" t="s">
        <v>144</v>
      </c>
      <c r="D77" s="119" t="s">
        <v>107</v>
      </c>
      <c r="E77" s="24" t="s">
        <v>72</v>
      </c>
      <c r="F77" s="119" t="s">
        <v>13</v>
      </c>
      <c r="G77" s="30" t="s">
        <v>64</v>
      </c>
      <c r="H77" s="122"/>
      <c r="I77" s="25">
        <v>0</v>
      </c>
      <c r="J77" s="119" t="s">
        <v>13</v>
      </c>
      <c r="K77" s="25">
        <v>4</v>
      </c>
      <c r="L77" s="120"/>
      <c r="M77" s="121"/>
      <c r="N77" s="96"/>
    </row>
    <row r="78" spans="2:14" ht="15.75">
      <c r="B78" s="215">
        <v>72</v>
      </c>
      <c r="C78" s="127" t="s">
        <v>144</v>
      </c>
      <c r="D78" s="119" t="s">
        <v>107</v>
      </c>
      <c r="E78" s="24" t="s">
        <v>87</v>
      </c>
      <c r="F78" s="119" t="s">
        <v>13</v>
      </c>
      <c r="G78" s="30" t="s">
        <v>79</v>
      </c>
      <c r="H78" s="122"/>
      <c r="I78" s="25">
        <v>1</v>
      </c>
      <c r="J78" s="119" t="s">
        <v>13</v>
      </c>
      <c r="K78" s="25">
        <v>1</v>
      </c>
      <c r="L78" s="120"/>
      <c r="M78" s="121"/>
      <c r="N78" s="96"/>
    </row>
    <row r="79" spans="2:14" ht="15.75">
      <c r="B79" s="96"/>
      <c r="C79" s="96"/>
      <c r="D79" s="97" t="s">
        <v>145</v>
      </c>
      <c r="E79" s="105" t="s">
        <v>61</v>
      </c>
      <c r="F79" s="118" t="s">
        <v>13</v>
      </c>
      <c r="G79" s="105" t="s">
        <v>26</v>
      </c>
      <c r="H79" s="96"/>
      <c r="I79" s="96"/>
      <c r="J79" s="96"/>
      <c r="K79" s="96"/>
      <c r="L79" s="109"/>
      <c r="M79" s="109"/>
      <c r="N79" s="110"/>
    </row>
    <row r="80" spans="2:14" ht="15.75">
      <c r="B80" s="96"/>
      <c r="C80" s="128"/>
      <c r="D80" s="97" t="s">
        <v>146</v>
      </c>
      <c r="E80" s="106" t="s">
        <v>65</v>
      </c>
      <c r="F80" s="118" t="s">
        <v>13</v>
      </c>
      <c r="G80" s="106" t="s">
        <v>64</v>
      </c>
      <c r="H80" s="96"/>
      <c r="I80" s="96"/>
      <c r="J80" s="96"/>
      <c r="K80" s="96"/>
      <c r="L80" s="104"/>
      <c r="M80" s="104"/>
      <c r="N80" s="110"/>
    </row>
    <row r="81" spans="1:14" ht="15.75">
      <c r="A81" s="96"/>
      <c r="B81" s="96"/>
      <c r="C81" s="128"/>
      <c r="D81" s="96"/>
      <c r="E81" s="96"/>
      <c r="F81" s="99"/>
      <c r="G81" s="96"/>
      <c r="H81" s="96"/>
      <c r="I81" s="96"/>
      <c r="J81" s="96"/>
      <c r="K81" s="99"/>
      <c r="L81" s="99"/>
      <c r="M81" s="99"/>
      <c r="N81" s="110"/>
    </row>
    <row r="82" spans="1:14" ht="15.75">
      <c r="A82" s="96"/>
      <c r="B82" s="96"/>
      <c r="C82" s="128"/>
      <c r="D82" s="96"/>
      <c r="E82" s="96"/>
      <c r="F82" s="99"/>
      <c r="G82" s="96"/>
      <c r="H82" s="96"/>
      <c r="I82" s="96"/>
      <c r="J82" s="96"/>
      <c r="K82" s="99"/>
      <c r="L82" s="212" t="s">
        <v>147</v>
      </c>
      <c r="M82" s="103"/>
      <c r="N82" s="110"/>
    </row>
    <row r="83" spans="1:14" ht="15.75">
      <c r="A83" s="96"/>
      <c r="B83" s="96"/>
      <c r="C83" s="128"/>
      <c r="D83" s="96"/>
      <c r="E83" s="96"/>
      <c r="F83" s="99"/>
      <c r="G83" s="96"/>
      <c r="H83" s="96"/>
      <c r="I83" s="96"/>
      <c r="J83" s="96"/>
      <c r="K83" s="99"/>
      <c r="L83" s="99"/>
      <c r="M83" s="99"/>
      <c r="N83" s="110"/>
    </row>
    <row r="84" spans="1:14" ht="15.75">
      <c r="A84" s="97"/>
      <c r="B84" s="96"/>
      <c r="C84" s="128"/>
      <c r="D84" s="96"/>
      <c r="E84" s="96"/>
      <c r="F84" s="99"/>
      <c r="G84" s="100"/>
      <c r="H84" s="96"/>
      <c r="I84" s="96"/>
      <c r="J84" s="96"/>
      <c r="K84" s="99"/>
      <c r="L84" s="96"/>
      <c r="M84" s="96"/>
      <c r="N84" s="96"/>
    </row>
    <row r="85" spans="1:14" ht="15.75">
      <c r="A85" s="97"/>
      <c r="B85" s="96"/>
      <c r="C85" s="128"/>
      <c r="D85" s="96"/>
      <c r="E85" s="96"/>
      <c r="F85" s="99"/>
      <c r="G85" s="100"/>
      <c r="H85" s="96"/>
      <c r="I85" s="96"/>
      <c r="J85" s="96"/>
      <c r="K85" s="99"/>
      <c r="L85" s="96"/>
      <c r="M85" s="96"/>
      <c r="N85" s="96"/>
    </row>
    <row r="86" spans="1:14" ht="15.75">
      <c r="A86" s="97"/>
      <c r="B86" s="211"/>
      <c r="C86" s="129"/>
      <c r="D86" s="96"/>
      <c r="E86" s="96"/>
      <c r="F86" s="99"/>
      <c r="G86" s="100"/>
      <c r="H86" s="96"/>
      <c r="I86" s="96"/>
      <c r="J86" s="96"/>
      <c r="K86" s="99"/>
      <c r="L86" s="96"/>
      <c r="M86" s="96"/>
      <c r="N86" s="96"/>
    </row>
    <row r="87" spans="1:14" ht="15.75">
      <c r="A87" s="97"/>
      <c r="B87" s="211"/>
      <c r="C87" s="129"/>
      <c r="D87" s="96"/>
      <c r="E87" s="96"/>
      <c r="F87" s="99"/>
      <c r="G87" s="100"/>
      <c r="H87" s="96"/>
      <c r="I87" s="96"/>
      <c r="J87" s="96"/>
      <c r="K87" s="99"/>
      <c r="L87" s="96"/>
      <c r="M87" s="96"/>
      <c r="N87" s="96"/>
    </row>
  </sheetData>
  <mergeCells count="1">
    <mergeCell ref="H2:M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U87"/>
  <sheetViews>
    <sheetView workbookViewId="0">
      <selection sqref="A1:U87"/>
    </sheetView>
  </sheetViews>
  <sheetFormatPr defaultRowHeight="15"/>
  <sheetData>
    <row r="2" spans="2:21" ht="15.75">
      <c r="B2" s="96"/>
      <c r="C2" s="96"/>
      <c r="D2" s="96"/>
      <c r="E2" s="96"/>
      <c r="F2" s="96"/>
      <c r="G2" s="97" t="s">
        <v>0</v>
      </c>
      <c r="H2" s="296" t="s">
        <v>393</v>
      </c>
      <c r="I2" s="297"/>
      <c r="J2" s="297"/>
      <c r="K2" s="297"/>
      <c r="L2" s="297"/>
      <c r="M2" s="297"/>
      <c r="N2" s="99"/>
      <c r="O2" s="96"/>
      <c r="P2" s="96"/>
      <c r="Q2" s="96"/>
      <c r="R2" s="96"/>
      <c r="S2" s="96"/>
      <c r="T2" s="96"/>
      <c r="U2" s="96"/>
    </row>
    <row r="4" spans="2:21" ht="18">
      <c r="B4" s="216" t="s">
        <v>2</v>
      </c>
      <c r="C4" s="96"/>
      <c r="D4" s="96"/>
      <c r="E4" s="96"/>
      <c r="F4" s="96"/>
      <c r="G4" s="97"/>
      <c r="H4" s="97"/>
      <c r="I4" s="97"/>
      <c r="J4" s="97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</row>
    <row r="5" spans="2:21" ht="15.75">
      <c r="B5" s="96"/>
      <c r="C5" s="217"/>
      <c r="D5" s="96"/>
      <c r="E5" s="96"/>
      <c r="F5" s="96"/>
      <c r="G5" s="97"/>
      <c r="H5" s="97"/>
      <c r="I5" s="97"/>
      <c r="J5" s="97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</row>
    <row r="6" spans="2:21" ht="18.75" thickBot="1">
      <c r="B6" s="96"/>
      <c r="C6" s="126" t="s">
        <v>3</v>
      </c>
      <c r="D6" s="101" t="s">
        <v>4</v>
      </c>
      <c r="E6" s="102"/>
      <c r="F6" s="101" t="s">
        <v>5</v>
      </c>
      <c r="G6" s="102"/>
      <c r="H6" s="102"/>
      <c r="I6" s="102"/>
      <c r="J6" s="101" t="s">
        <v>6</v>
      </c>
      <c r="K6" s="101"/>
      <c r="L6" s="101" t="s">
        <v>7</v>
      </c>
      <c r="M6" s="101" t="s">
        <v>8</v>
      </c>
      <c r="N6" s="101"/>
      <c r="O6" s="214" t="s">
        <v>9</v>
      </c>
      <c r="P6" s="96"/>
      <c r="Q6" s="96"/>
      <c r="R6" s="96"/>
      <c r="S6" s="96"/>
      <c r="T6" s="96"/>
      <c r="U6" s="96"/>
    </row>
    <row r="7" spans="2:21" ht="16.5" thickBot="1">
      <c r="B7" s="215">
        <v>1</v>
      </c>
      <c r="C7" s="127" t="s">
        <v>10</v>
      </c>
      <c r="D7" s="119" t="s">
        <v>11</v>
      </c>
      <c r="E7" s="24" t="s">
        <v>12</v>
      </c>
      <c r="F7" s="119" t="s">
        <v>13</v>
      </c>
      <c r="G7" s="30" t="s">
        <v>14</v>
      </c>
      <c r="H7" s="122"/>
      <c r="I7" s="25">
        <v>3</v>
      </c>
      <c r="J7" s="119" t="s">
        <v>13</v>
      </c>
      <c r="K7" s="25">
        <v>0</v>
      </c>
      <c r="L7" s="120"/>
      <c r="M7" s="121"/>
      <c r="N7" s="110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>
      <c r="B8" s="215">
        <v>2</v>
      </c>
      <c r="C8" s="127" t="s">
        <v>22</v>
      </c>
      <c r="D8" s="119" t="s">
        <v>11</v>
      </c>
      <c r="E8" s="24" t="s">
        <v>23</v>
      </c>
      <c r="F8" s="119" t="s">
        <v>13</v>
      </c>
      <c r="G8" s="30" t="s">
        <v>24</v>
      </c>
      <c r="H8" s="122"/>
      <c r="I8" s="25">
        <v>2</v>
      </c>
      <c r="J8" s="119" t="s">
        <v>13</v>
      </c>
      <c r="K8" s="25">
        <v>0</v>
      </c>
      <c r="L8" s="120"/>
      <c r="M8" s="121"/>
      <c r="N8" s="110"/>
      <c r="O8" s="16">
        <v>1</v>
      </c>
      <c r="P8" s="113" t="s">
        <v>23</v>
      </c>
      <c r="Q8" s="113" t="s">
        <v>32</v>
      </c>
      <c r="R8" s="113" t="s">
        <v>26</v>
      </c>
      <c r="S8" s="113" t="s">
        <v>35</v>
      </c>
      <c r="T8" s="113" t="s">
        <v>28</v>
      </c>
      <c r="U8" s="113" t="s">
        <v>43</v>
      </c>
    </row>
    <row r="9" spans="2:21" ht="15.75">
      <c r="B9" s="215">
        <v>3</v>
      </c>
      <c r="C9" s="127" t="s">
        <v>30</v>
      </c>
      <c r="D9" s="119" t="s">
        <v>31</v>
      </c>
      <c r="E9" s="24" t="s">
        <v>32</v>
      </c>
      <c r="F9" s="119" t="s">
        <v>13</v>
      </c>
      <c r="G9" s="30" t="s">
        <v>33</v>
      </c>
      <c r="H9" s="122"/>
      <c r="I9" s="25">
        <v>1</v>
      </c>
      <c r="J9" s="119" t="s">
        <v>13</v>
      </c>
      <c r="K9" s="25">
        <v>0</v>
      </c>
      <c r="L9" s="120"/>
      <c r="M9" s="121"/>
      <c r="N9" s="110"/>
      <c r="O9" s="17">
        <v>2</v>
      </c>
      <c r="P9" s="114" t="s">
        <v>12</v>
      </c>
      <c r="Q9" s="114" t="s">
        <v>25</v>
      </c>
      <c r="R9" s="114" t="s">
        <v>41</v>
      </c>
      <c r="S9" s="114" t="s">
        <v>27</v>
      </c>
      <c r="T9" s="114" t="s">
        <v>36</v>
      </c>
      <c r="U9" s="114" t="s">
        <v>29</v>
      </c>
    </row>
    <row r="10" spans="2:21" ht="15.75">
      <c r="B10" s="215">
        <v>4</v>
      </c>
      <c r="C10" s="127" t="s">
        <v>38</v>
      </c>
      <c r="D10" s="119" t="s">
        <v>39</v>
      </c>
      <c r="E10" s="24" t="s">
        <v>35</v>
      </c>
      <c r="F10" s="119" t="s">
        <v>13</v>
      </c>
      <c r="G10" s="30" t="s">
        <v>40</v>
      </c>
      <c r="H10" s="122"/>
      <c r="I10" s="25">
        <v>2</v>
      </c>
      <c r="J10" s="119" t="s">
        <v>13</v>
      </c>
      <c r="K10" s="25">
        <v>0</v>
      </c>
      <c r="L10" s="120"/>
      <c r="M10" s="121"/>
      <c r="N10" s="110"/>
      <c r="O10" s="17">
        <v>3</v>
      </c>
      <c r="P10" s="114" t="s">
        <v>24</v>
      </c>
      <c r="Q10" s="114" t="s">
        <v>33</v>
      </c>
      <c r="R10" s="114" t="s">
        <v>34</v>
      </c>
      <c r="S10" s="114" t="s">
        <v>48</v>
      </c>
      <c r="T10" s="114" t="s">
        <v>42</v>
      </c>
      <c r="U10" s="114" t="s">
        <v>50</v>
      </c>
    </row>
    <row r="11" spans="2:21" ht="15.75">
      <c r="B11" s="215">
        <v>5</v>
      </c>
      <c r="C11" s="127" t="s">
        <v>44</v>
      </c>
      <c r="D11" s="119" t="s">
        <v>45</v>
      </c>
      <c r="E11" s="24" t="s">
        <v>46</v>
      </c>
      <c r="F11" s="119" t="s">
        <v>13</v>
      </c>
      <c r="G11" s="30" t="s">
        <v>34</v>
      </c>
      <c r="H11" s="122"/>
      <c r="I11" s="25">
        <v>0</v>
      </c>
      <c r="J11" s="119" t="s">
        <v>13</v>
      </c>
      <c r="K11" s="25">
        <v>3</v>
      </c>
      <c r="L11" s="120"/>
      <c r="M11" s="121"/>
      <c r="N11" s="110"/>
      <c r="O11" s="17">
        <v>4</v>
      </c>
      <c r="P11" s="114" t="s">
        <v>14</v>
      </c>
      <c r="Q11" s="114" t="s">
        <v>394</v>
      </c>
      <c r="R11" s="114" t="s">
        <v>46</v>
      </c>
      <c r="S11" s="114" t="s">
        <v>40</v>
      </c>
      <c r="T11" s="114" t="s">
        <v>49</v>
      </c>
      <c r="U11" s="114" t="s">
        <v>37</v>
      </c>
    </row>
    <row r="12" spans="2:21" ht="16.5" thickBot="1">
      <c r="B12" s="215">
        <v>6</v>
      </c>
      <c r="C12" s="127" t="s">
        <v>51</v>
      </c>
      <c r="D12" s="119" t="s">
        <v>39</v>
      </c>
      <c r="E12" s="24" t="s">
        <v>48</v>
      </c>
      <c r="F12" s="119" t="s">
        <v>13</v>
      </c>
      <c r="G12" s="30" t="s">
        <v>27</v>
      </c>
      <c r="H12" s="122"/>
      <c r="I12" s="25">
        <v>0</v>
      </c>
      <c r="J12" s="119" t="s">
        <v>13</v>
      </c>
      <c r="K12" s="25">
        <v>1</v>
      </c>
      <c r="L12" s="120"/>
      <c r="M12" s="121"/>
      <c r="N12" s="110"/>
      <c r="O12" s="96"/>
      <c r="P12" s="96"/>
      <c r="Q12" s="96"/>
      <c r="R12" s="96"/>
      <c r="S12" s="96"/>
      <c r="T12" s="96"/>
      <c r="U12" s="96"/>
    </row>
    <row r="13" spans="2:21" ht="16.5" thickBot="1">
      <c r="B13" s="215">
        <v>7</v>
      </c>
      <c r="C13" s="127" t="s">
        <v>52</v>
      </c>
      <c r="D13" s="119" t="s">
        <v>45</v>
      </c>
      <c r="E13" s="24" t="s">
        <v>26</v>
      </c>
      <c r="F13" s="119" t="s">
        <v>13</v>
      </c>
      <c r="G13" s="30" t="s">
        <v>41</v>
      </c>
      <c r="H13" s="122"/>
      <c r="I13" s="25">
        <v>3</v>
      </c>
      <c r="J13" s="119" t="s">
        <v>13</v>
      </c>
      <c r="K13" s="25">
        <v>0</v>
      </c>
      <c r="L13" s="120"/>
      <c r="M13" s="121"/>
      <c r="N13" s="110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>
      <c r="B14" s="215">
        <v>8</v>
      </c>
      <c r="C14" s="127" t="s">
        <v>59</v>
      </c>
      <c r="D14" s="119" t="s">
        <v>31</v>
      </c>
      <c r="E14" s="24" t="s">
        <v>47</v>
      </c>
      <c r="F14" s="119" t="s">
        <v>13</v>
      </c>
      <c r="G14" s="30" t="s">
        <v>25</v>
      </c>
      <c r="H14" s="122"/>
      <c r="I14" s="25">
        <v>0</v>
      </c>
      <c r="J14" s="119" t="s">
        <v>13</v>
      </c>
      <c r="K14" s="25">
        <v>4</v>
      </c>
      <c r="L14" s="120"/>
      <c r="M14" s="121"/>
      <c r="N14" s="110"/>
      <c r="O14" s="16">
        <v>1</v>
      </c>
      <c r="P14" s="113" t="s">
        <v>60</v>
      </c>
      <c r="Q14" s="113" t="s">
        <v>61</v>
      </c>
      <c r="R14" s="113" t="s">
        <v>62</v>
      </c>
      <c r="S14" s="113" t="s">
        <v>63</v>
      </c>
      <c r="T14" s="113" t="s">
        <v>72</v>
      </c>
      <c r="U14" s="113" t="s">
        <v>65</v>
      </c>
    </row>
    <row r="15" spans="2:21" ht="15.75">
      <c r="B15" s="215">
        <v>9</v>
      </c>
      <c r="C15" s="127" t="s">
        <v>66</v>
      </c>
      <c r="D15" s="119" t="s">
        <v>67</v>
      </c>
      <c r="E15" s="24" t="s">
        <v>42</v>
      </c>
      <c r="F15" s="119" t="s">
        <v>13</v>
      </c>
      <c r="G15" s="30" t="s">
        <v>36</v>
      </c>
      <c r="H15" s="122"/>
      <c r="I15" s="25">
        <v>0</v>
      </c>
      <c r="J15" s="119" t="s">
        <v>13</v>
      </c>
      <c r="K15" s="25">
        <v>2</v>
      </c>
      <c r="L15" s="120"/>
      <c r="M15" s="121"/>
      <c r="N15" s="110"/>
      <c r="O15" s="17">
        <v>2</v>
      </c>
      <c r="P15" s="114" t="s">
        <v>83</v>
      </c>
      <c r="Q15" s="114" t="s">
        <v>69</v>
      </c>
      <c r="R15" s="114" t="s">
        <v>77</v>
      </c>
      <c r="S15" s="114" t="s">
        <v>78</v>
      </c>
      <c r="T15" s="114" t="s">
        <v>64</v>
      </c>
      <c r="U15" s="114" t="s">
        <v>80</v>
      </c>
    </row>
    <row r="16" spans="2:21" ht="15.75">
      <c r="B16" s="215">
        <v>10</v>
      </c>
      <c r="C16" s="127" t="s">
        <v>74</v>
      </c>
      <c r="D16" s="119" t="s">
        <v>67</v>
      </c>
      <c r="E16" s="24" t="s">
        <v>28</v>
      </c>
      <c r="F16" s="119" t="s">
        <v>13</v>
      </c>
      <c r="G16" s="30" t="s">
        <v>49</v>
      </c>
      <c r="H16" s="122"/>
      <c r="I16" s="25">
        <v>5</v>
      </c>
      <c r="J16" s="119" t="s">
        <v>13</v>
      </c>
      <c r="K16" s="25">
        <v>0</v>
      </c>
      <c r="L16" s="120"/>
      <c r="M16" s="121"/>
      <c r="N16" s="110"/>
      <c r="O16" s="17">
        <v>3</v>
      </c>
      <c r="P16" s="114" t="s">
        <v>68</v>
      </c>
      <c r="Q16" s="114" t="s">
        <v>84</v>
      </c>
      <c r="R16" s="114" t="s">
        <v>70</v>
      </c>
      <c r="S16" s="114" t="s">
        <v>71</v>
      </c>
      <c r="T16" s="114" t="s">
        <v>87</v>
      </c>
      <c r="U16" s="114" t="s">
        <v>73</v>
      </c>
    </row>
    <row r="17" spans="2:21" ht="15.75">
      <c r="B17" s="215">
        <v>11</v>
      </c>
      <c r="C17" s="127" t="s">
        <v>81</v>
      </c>
      <c r="D17" s="119" t="s">
        <v>82</v>
      </c>
      <c r="E17" s="24" t="s">
        <v>29</v>
      </c>
      <c r="F17" s="119" t="s">
        <v>13</v>
      </c>
      <c r="G17" s="30" t="s">
        <v>43</v>
      </c>
      <c r="H17" s="122"/>
      <c r="I17" s="25">
        <v>1</v>
      </c>
      <c r="J17" s="119" t="s">
        <v>13</v>
      </c>
      <c r="K17" s="25">
        <v>2</v>
      </c>
      <c r="L17" s="120"/>
      <c r="M17" s="121"/>
      <c r="N17" s="110"/>
      <c r="O17" s="17">
        <v>4</v>
      </c>
      <c r="P17" s="114" t="s">
        <v>75</v>
      </c>
      <c r="Q17" s="114" t="s">
        <v>76</v>
      </c>
      <c r="R17" s="114" t="s">
        <v>85</v>
      </c>
      <c r="S17" s="114" t="s">
        <v>86</v>
      </c>
      <c r="T17" s="114" t="s">
        <v>395</v>
      </c>
      <c r="U17" s="114" t="s">
        <v>88</v>
      </c>
    </row>
    <row r="18" spans="2:21" ht="15.75">
      <c r="B18" s="215">
        <v>12</v>
      </c>
      <c r="C18" s="127" t="s">
        <v>89</v>
      </c>
      <c r="D18" s="119" t="s">
        <v>82</v>
      </c>
      <c r="E18" s="24" t="s">
        <v>37</v>
      </c>
      <c r="F18" s="119" t="s">
        <v>13</v>
      </c>
      <c r="G18" s="30" t="s">
        <v>50</v>
      </c>
      <c r="H18" s="122"/>
      <c r="I18" s="25">
        <v>0</v>
      </c>
      <c r="J18" s="119" t="s">
        <v>13</v>
      </c>
      <c r="K18" s="25">
        <v>1</v>
      </c>
      <c r="L18" s="120"/>
      <c r="M18" s="121"/>
      <c r="N18" s="110"/>
      <c r="O18" s="96"/>
      <c r="P18" s="21"/>
      <c r="Q18" s="21"/>
      <c r="R18" s="21"/>
      <c r="S18" s="21"/>
      <c r="T18" s="21"/>
      <c r="U18" s="21"/>
    </row>
    <row r="19" spans="2:21" ht="15.75">
      <c r="B19" s="215">
        <v>13</v>
      </c>
      <c r="C19" s="127" t="s">
        <v>90</v>
      </c>
      <c r="D19" s="119" t="s">
        <v>91</v>
      </c>
      <c r="E19" s="24" t="s">
        <v>84</v>
      </c>
      <c r="F19" s="119" t="s">
        <v>13</v>
      </c>
      <c r="G19" s="30" t="s">
        <v>69</v>
      </c>
      <c r="H19" s="122"/>
      <c r="I19" s="25">
        <v>0</v>
      </c>
      <c r="J19" s="119" t="s">
        <v>13</v>
      </c>
      <c r="K19" s="25">
        <v>2</v>
      </c>
      <c r="L19" s="120"/>
      <c r="M19" s="121"/>
      <c r="N19" s="110"/>
      <c r="O19" s="96"/>
      <c r="P19" s="96"/>
      <c r="Q19" s="96"/>
      <c r="R19" s="96"/>
      <c r="S19" s="96"/>
      <c r="T19" s="96"/>
      <c r="U19" s="96"/>
    </row>
    <row r="20" spans="2:21" ht="16.5" thickBot="1">
      <c r="B20" s="215">
        <v>14</v>
      </c>
      <c r="C20" s="127" t="s">
        <v>92</v>
      </c>
      <c r="D20" s="119" t="s">
        <v>91</v>
      </c>
      <c r="E20" s="24" t="s">
        <v>61</v>
      </c>
      <c r="F20" s="119" t="s">
        <v>13</v>
      </c>
      <c r="G20" s="30" t="s">
        <v>76</v>
      </c>
      <c r="H20" s="122"/>
      <c r="I20" s="25">
        <v>6</v>
      </c>
      <c r="J20" s="119" t="s">
        <v>13</v>
      </c>
      <c r="K20" s="25">
        <v>0</v>
      </c>
      <c r="L20" s="120"/>
      <c r="M20" s="121"/>
      <c r="N20" s="110"/>
      <c r="O20" s="213" t="s">
        <v>93</v>
      </c>
      <c r="P20" s="96"/>
      <c r="Q20" s="96"/>
      <c r="R20" s="96"/>
      <c r="S20" s="96"/>
      <c r="T20" s="96"/>
      <c r="U20" s="96"/>
    </row>
    <row r="21" spans="2:21" ht="16.5" thickBot="1">
      <c r="B21" s="215">
        <v>15</v>
      </c>
      <c r="C21" s="127" t="s">
        <v>94</v>
      </c>
      <c r="D21" s="119" t="s">
        <v>95</v>
      </c>
      <c r="E21" s="24" t="s">
        <v>83</v>
      </c>
      <c r="F21" s="119" t="s">
        <v>13</v>
      </c>
      <c r="G21" s="30" t="s">
        <v>75</v>
      </c>
      <c r="H21" s="122"/>
      <c r="I21" s="25">
        <v>1</v>
      </c>
      <c r="J21" s="119" t="s">
        <v>13</v>
      </c>
      <c r="K21" s="25">
        <v>0</v>
      </c>
      <c r="L21" s="120"/>
      <c r="M21" s="121"/>
      <c r="N21" s="110"/>
      <c r="O21" s="96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>
      <c r="B22" s="215">
        <v>16</v>
      </c>
      <c r="C22" s="127" t="s">
        <v>96</v>
      </c>
      <c r="D22" s="119" t="s">
        <v>95</v>
      </c>
      <c r="E22" s="24" t="s">
        <v>60</v>
      </c>
      <c r="F22" s="119" t="s">
        <v>13</v>
      </c>
      <c r="G22" s="30" t="s">
        <v>68</v>
      </c>
      <c r="H22" s="122"/>
      <c r="I22" s="25">
        <v>2</v>
      </c>
      <c r="J22" s="119" t="s">
        <v>13</v>
      </c>
      <c r="K22" s="25">
        <v>0</v>
      </c>
      <c r="L22" s="120"/>
      <c r="M22" s="121"/>
      <c r="N22" s="110"/>
      <c r="O22" s="96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>
      <c r="B23" s="215">
        <v>17</v>
      </c>
      <c r="C23" s="127" t="s">
        <v>97</v>
      </c>
      <c r="D23" s="119" t="s">
        <v>98</v>
      </c>
      <c r="E23" s="24" t="s">
        <v>62</v>
      </c>
      <c r="F23" s="119" t="s">
        <v>13</v>
      </c>
      <c r="G23" s="30" t="s">
        <v>77</v>
      </c>
      <c r="H23" s="122"/>
      <c r="I23" s="25">
        <v>2</v>
      </c>
      <c r="J23" s="119" t="s">
        <v>13</v>
      </c>
      <c r="K23" s="25">
        <v>0</v>
      </c>
      <c r="L23" s="120"/>
      <c r="M23" s="121"/>
      <c r="N23" s="110"/>
      <c r="O23" s="96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>
      <c r="B24" s="215">
        <v>18</v>
      </c>
      <c r="C24" s="127" t="s">
        <v>99</v>
      </c>
      <c r="D24" s="119" t="s">
        <v>98</v>
      </c>
      <c r="E24" s="24" t="s">
        <v>85</v>
      </c>
      <c r="F24" s="119" t="s">
        <v>13</v>
      </c>
      <c r="G24" s="30" t="s">
        <v>70</v>
      </c>
      <c r="H24" s="122"/>
      <c r="I24" s="25">
        <v>1</v>
      </c>
      <c r="J24" s="119" t="s">
        <v>13</v>
      </c>
      <c r="K24" s="25">
        <v>1</v>
      </c>
      <c r="L24" s="120"/>
      <c r="M24" s="121"/>
      <c r="N24" s="110"/>
      <c r="O24" s="96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>
      <c r="B25" s="215">
        <v>19</v>
      </c>
      <c r="C25" s="127" t="s">
        <v>100</v>
      </c>
      <c r="D25" s="119" t="s">
        <v>101</v>
      </c>
      <c r="E25" s="24" t="s">
        <v>63</v>
      </c>
      <c r="F25" s="119" t="s">
        <v>13</v>
      </c>
      <c r="G25" s="30" t="s">
        <v>78</v>
      </c>
      <c r="H25" s="122"/>
      <c r="I25" s="25">
        <v>2</v>
      </c>
      <c r="J25" s="119" t="s">
        <v>13</v>
      </c>
      <c r="K25" s="25">
        <v>0</v>
      </c>
      <c r="L25" s="120"/>
      <c r="M25" s="121"/>
      <c r="N25" s="110"/>
      <c r="O25" s="96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thickBot="1">
      <c r="B26" s="215">
        <v>20</v>
      </c>
      <c r="C26" s="127" t="s">
        <v>102</v>
      </c>
      <c r="D26" s="119" t="s">
        <v>101</v>
      </c>
      <c r="E26" s="24" t="s">
        <v>71</v>
      </c>
      <c r="F26" s="119" t="s">
        <v>13</v>
      </c>
      <c r="G26" s="30" t="s">
        <v>86</v>
      </c>
      <c r="H26" s="122"/>
      <c r="I26" s="25">
        <v>1</v>
      </c>
      <c r="J26" s="119" t="s">
        <v>13</v>
      </c>
      <c r="K26" s="25">
        <v>0</v>
      </c>
      <c r="L26" s="120"/>
      <c r="M26" s="121"/>
      <c r="N26" s="110"/>
      <c r="O26" s="96"/>
      <c r="P26" s="96"/>
      <c r="Q26" s="96"/>
      <c r="R26" s="96"/>
      <c r="S26" s="96"/>
      <c r="T26" s="96"/>
      <c r="U26" s="96"/>
    </row>
    <row r="27" spans="2:21" ht="16.5" thickBot="1">
      <c r="B27" s="215">
        <v>21</v>
      </c>
      <c r="C27" s="127" t="s">
        <v>103</v>
      </c>
      <c r="D27" s="119" t="s">
        <v>104</v>
      </c>
      <c r="E27" s="24" t="s">
        <v>80</v>
      </c>
      <c r="F27" s="119" t="s">
        <v>13</v>
      </c>
      <c r="G27" s="30" t="s">
        <v>88</v>
      </c>
      <c r="H27" s="122"/>
      <c r="I27" s="25">
        <v>2</v>
      </c>
      <c r="J27" s="119" t="s">
        <v>13</v>
      </c>
      <c r="K27" s="25">
        <v>0</v>
      </c>
      <c r="L27" s="120"/>
      <c r="M27" s="121"/>
      <c r="N27" s="110"/>
      <c r="O27" s="96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>
      <c r="B28" s="215">
        <v>22</v>
      </c>
      <c r="C28" s="127" t="s">
        <v>105</v>
      </c>
      <c r="D28" s="119" t="s">
        <v>104</v>
      </c>
      <c r="E28" s="24" t="s">
        <v>65</v>
      </c>
      <c r="F28" s="119" t="s">
        <v>13</v>
      </c>
      <c r="G28" s="30" t="s">
        <v>73</v>
      </c>
      <c r="H28" s="122"/>
      <c r="I28" s="25">
        <v>2</v>
      </c>
      <c r="J28" s="119" t="s">
        <v>13</v>
      </c>
      <c r="K28" s="25">
        <v>0</v>
      </c>
      <c r="L28" s="120"/>
      <c r="M28" s="121"/>
      <c r="N28" s="110"/>
      <c r="O28" s="96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>
      <c r="B29" s="215">
        <v>23</v>
      </c>
      <c r="C29" s="127" t="s">
        <v>106</v>
      </c>
      <c r="D29" s="119" t="s">
        <v>107</v>
      </c>
      <c r="E29" s="24" t="s">
        <v>64</v>
      </c>
      <c r="F29" s="119" t="s">
        <v>13</v>
      </c>
      <c r="G29" s="30" t="s">
        <v>87</v>
      </c>
      <c r="H29" s="122"/>
      <c r="I29" s="25">
        <v>1</v>
      </c>
      <c r="J29" s="119" t="s">
        <v>13</v>
      </c>
      <c r="K29" s="25">
        <v>1</v>
      </c>
      <c r="L29" s="120"/>
      <c r="M29" s="121"/>
      <c r="N29" s="110"/>
      <c r="O29" s="96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>
      <c r="B30" s="215">
        <v>24</v>
      </c>
      <c r="C30" s="127" t="s">
        <v>108</v>
      </c>
      <c r="D30" s="119" t="s">
        <v>107</v>
      </c>
      <c r="E30" s="24" t="s">
        <v>79</v>
      </c>
      <c r="F30" s="119" t="s">
        <v>13</v>
      </c>
      <c r="G30" s="30" t="s">
        <v>72</v>
      </c>
      <c r="H30" s="122"/>
      <c r="I30" s="25">
        <v>0</v>
      </c>
      <c r="J30" s="119" t="s">
        <v>13</v>
      </c>
      <c r="K30" s="25">
        <v>2</v>
      </c>
      <c r="L30" s="120"/>
      <c r="M30" s="121"/>
      <c r="N30" s="110"/>
      <c r="O30" s="96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>
      <c r="B31" s="215">
        <v>25</v>
      </c>
      <c r="C31" s="127" t="s">
        <v>109</v>
      </c>
      <c r="D31" s="119" t="s">
        <v>11</v>
      </c>
      <c r="E31" s="24" t="s">
        <v>24</v>
      </c>
      <c r="F31" s="119" t="s">
        <v>13</v>
      </c>
      <c r="G31" s="30" t="s">
        <v>14</v>
      </c>
      <c r="H31" s="122"/>
      <c r="I31" s="25">
        <v>1</v>
      </c>
      <c r="J31" s="119" t="s">
        <v>13</v>
      </c>
      <c r="K31" s="25">
        <v>0</v>
      </c>
      <c r="L31" s="120"/>
      <c r="M31" s="121"/>
      <c r="N31" s="110"/>
      <c r="O31" s="96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>
      <c r="B32" s="215">
        <v>26</v>
      </c>
      <c r="C32" s="127" t="s">
        <v>110</v>
      </c>
      <c r="D32" s="119" t="s">
        <v>31</v>
      </c>
      <c r="E32" s="24" t="s">
        <v>25</v>
      </c>
      <c r="F32" s="119" t="s">
        <v>13</v>
      </c>
      <c r="G32" s="30" t="s">
        <v>33</v>
      </c>
      <c r="H32" s="122"/>
      <c r="I32" s="25">
        <v>2</v>
      </c>
      <c r="J32" s="119" t="s">
        <v>13</v>
      </c>
      <c r="K32" s="25">
        <v>0</v>
      </c>
      <c r="L32" s="120"/>
      <c r="M32" s="121"/>
      <c r="N32" s="110"/>
      <c r="O32" s="96"/>
      <c r="P32" s="96"/>
      <c r="Q32" s="96"/>
      <c r="R32" s="96"/>
      <c r="S32" s="96"/>
      <c r="T32" s="96"/>
      <c r="U32" s="96"/>
    </row>
    <row r="33" spans="2:14" ht="15.75">
      <c r="B33" s="215">
        <v>27</v>
      </c>
      <c r="C33" s="127" t="s">
        <v>111</v>
      </c>
      <c r="D33" s="119" t="s">
        <v>31</v>
      </c>
      <c r="E33" s="24" t="s">
        <v>32</v>
      </c>
      <c r="F33" s="119" t="s">
        <v>13</v>
      </c>
      <c r="G33" s="30" t="s">
        <v>47</v>
      </c>
      <c r="H33" s="122"/>
      <c r="I33" s="25">
        <v>2</v>
      </c>
      <c r="J33" s="119" t="s">
        <v>13</v>
      </c>
      <c r="K33" s="25">
        <v>0</v>
      </c>
      <c r="L33" s="120"/>
      <c r="M33" s="121"/>
      <c r="N33" s="110"/>
    </row>
    <row r="34" spans="2:14" ht="15.75">
      <c r="B34" s="215">
        <v>28</v>
      </c>
      <c r="C34" s="127" t="s">
        <v>112</v>
      </c>
      <c r="D34" s="119" t="s">
        <v>11</v>
      </c>
      <c r="E34" s="24" t="s">
        <v>12</v>
      </c>
      <c r="F34" s="119" t="s">
        <v>13</v>
      </c>
      <c r="G34" s="30" t="s">
        <v>23</v>
      </c>
      <c r="H34" s="122"/>
      <c r="I34" s="25">
        <v>0</v>
      </c>
      <c r="J34" s="119" t="s">
        <v>13</v>
      </c>
      <c r="K34" s="25">
        <v>2</v>
      </c>
      <c r="L34" s="120"/>
      <c r="M34" s="121"/>
      <c r="N34" s="110"/>
    </row>
    <row r="35" spans="2:14" ht="15.75">
      <c r="B35" s="215">
        <v>29</v>
      </c>
      <c r="C35" s="127" t="s">
        <v>113</v>
      </c>
      <c r="D35" s="119" t="s">
        <v>45</v>
      </c>
      <c r="E35" s="24" t="s">
        <v>26</v>
      </c>
      <c r="F35" s="119" t="s">
        <v>13</v>
      </c>
      <c r="G35" s="30" t="s">
        <v>46</v>
      </c>
      <c r="H35" s="122"/>
      <c r="I35" s="25">
        <v>5</v>
      </c>
      <c r="J35" s="119" t="s">
        <v>13</v>
      </c>
      <c r="K35" s="25">
        <v>0</v>
      </c>
      <c r="L35" s="120"/>
      <c r="M35" s="121"/>
      <c r="N35" s="110"/>
    </row>
    <row r="36" spans="2:14" ht="15.75">
      <c r="B36" s="215">
        <v>30</v>
      </c>
      <c r="C36" s="127" t="s">
        <v>114</v>
      </c>
      <c r="D36" s="119" t="s">
        <v>45</v>
      </c>
      <c r="E36" s="24" t="s">
        <v>34</v>
      </c>
      <c r="F36" s="119" t="s">
        <v>13</v>
      </c>
      <c r="G36" s="30" t="s">
        <v>41</v>
      </c>
      <c r="H36" s="122"/>
      <c r="I36" s="25">
        <v>0</v>
      </c>
      <c r="J36" s="119" t="s">
        <v>13</v>
      </c>
      <c r="K36" s="25">
        <v>1</v>
      </c>
      <c r="L36" s="120"/>
      <c r="M36" s="121"/>
      <c r="N36" s="110"/>
    </row>
    <row r="37" spans="2:14" ht="15.75">
      <c r="B37" s="215">
        <v>31</v>
      </c>
      <c r="C37" s="127" t="s">
        <v>115</v>
      </c>
      <c r="D37" s="119" t="s">
        <v>39</v>
      </c>
      <c r="E37" s="24" t="s">
        <v>27</v>
      </c>
      <c r="F37" s="119" t="s">
        <v>13</v>
      </c>
      <c r="G37" s="30" t="s">
        <v>40</v>
      </c>
      <c r="H37" s="122"/>
      <c r="I37" s="25">
        <v>1</v>
      </c>
      <c r="J37" s="119" t="s">
        <v>13</v>
      </c>
      <c r="K37" s="25">
        <v>0</v>
      </c>
      <c r="L37" s="120"/>
      <c r="M37" s="121"/>
      <c r="N37" s="110"/>
    </row>
    <row r="38" spans="2:14" ht="15.75">
      <c r="B38" s="215">
        <v>32</v>
      </c>
      <c r="C38" s="127" t="s">
        <v>116</v>
      </c>
      <c r="D38" s="119" t="s">
        <v>39</v>
      </c>
      <c r="E38" s="24" t="s">
        <v>35</v>
      </c>
      <c r="F38" s="119" t="s">
        <v>13</v>
      </c>
      <c r="G38" s="30" t="s">
        <v>48</v>
      </c>
      <c r="H38" s="122"/>
      <c r="I38" s="25">
        <v>1</v>
      </c>
      <c r="J38" s="119" t="s">
        <v>13</v>
      </c>
      <c r="K38" s="25">
        <v>0</v>
      </c>
      <c r="L38" s="120"/>
      <c r="M38" s="121"/>
      <c r="N38" s="110"/>
    </row>
    <row r="39" spans="2:14" ht="15.75">
      <c r="B39" s="215">
        <v>33</v>
      </c>
      <c r="C39" s="127" t="s">
        <v>117</v>
      </c>
      <c r="D39" s="119" t="s">
        <v>67</v>
      </c>
      <c r="E39" s="24" t="s">
        <v>28</v>
      </c>
      <c r="F39" s="119" t="s">
        <v>13</v>
      </c>
      <c r="G39" s="30" t="s">
        <v>42</v>
      </c>
      <c r="H39" s="122"/>
      <c r="I39" s="25">
        <v>2</v>
      </c>
      <c r="J39" s="119" t="s">
        <v>13</v>
      </c>
      <c r="K39" s="25">
        <v>0</v>
      </c>
      <c r="L39" s="120"/>
      <c r="M39" s="121"/>
      <c r="N39" s="110"/>
    </row>
    <row r="40" spans="2:14" ht="15.75">
      <c r="B40" s="215">
        <v>34</v>
      </c>
      <c r="C40" s="127" t="s">
        <v>118</v>
      </c>
      <c r="D40" s="119" t="s">
        <v>67</v>
      </c>
      <c r="E40" s="24" t="s">
        <v>36</v>
      </c>
      <c r="F40" s="119" t="s">
        <v>13</v>
      </c>
      <c r="G40" s="30" t="s">
        <v>49</v>
      </c>
      <c r="H40" s="122"/>
      <c r="I40" s="25">
        <v>3</v>
      </c>
      <c r="J40" s="119" t="s">
        <v>13</v>
      </c>
      <c r="K40" s="25">
        <v>1</v>
      </c>
      <c r="L40" s="120"/>
      <c r="M40" s="121"/>
      <c r="N40" s="110"/>
    </row>
    <row r="41" spans="2:14" ht="15.75">
      <c r="B41" s="215">
        <v>35</v>
      </c>
      <c r="C41" s="127" t="s">
        <v>119</v>
      </c>
      <c r="D41" s="119" t="s">
        <v>82</v>
      </c>
      <c r="E41" s="24" t="s">
        <v>29</v>
      </c>
      <c r="F41" s="119" t="s">
        <v>13</v>
      </c>
      <c r="G41" s="30" t="s">
        <v>37</v>
      </c>
      <c r="H41" s="122"/>
      <c r="I41" s="25">
        <v>2</v>
      </c>
      <c r="J41" s="119" t="s">
        <v>13</v>
      </c>
      <c r="K41" s="25">
        <v>0</v>
      </c>
      <c r="L41" s="120"/>
      <c r="M41" s="121"/>
      <c r="N41" s="110"/>
    </row>
    <row r="42" spans="2:14" ht="15.75">
      <c r="B42" s="215">
        <v>36</v>
      </c>
      <c r="C42" s="127" t="s">
        <v>120</v>
      </c>
      <c r="D42" s="119" t="s">
        <v>82</v>
      </c>
      <c r="E42" s="24" t="s">
        <v>50</v>
      </c>
      <c r="F42" s="119" t="s">
        <v>13</v>
      </c>
      <c r="G42" s="30" t="s">
        <v>43</v>
      </c>
      <c r="H42" s="122"/>
      <c r="I42" s="25">
        <v>0</v>
      </c>
      <c r="J42" s="119" t="s">
        <v>13</v>
      </c>
      <c r="K42" s="25">
        <v>2</v>
      </c>
      <c r="L42" s="120"/>
      <c r="M42" s="121"/>
      <c r="N42" s="110"/>
    </row>
    <row r="43" spans="2:14" ht="15.75">
      <c r="B43" s="215">
        <v>37</v>
      </c>
      <c r="C43" s="127" t="s">
        <v>121</v>
      </c>
      <c r="D43" s="119" t="s">
        <v>91</v>
      </c>
      <c r="E43" s="24" t="s">
        <v>69</v>
      </c>
      <c r="F43" s="119" t="s">
        <v>13</v>
      </c>
      <c r="G43" s="30" t="s">
        <v>76</v>
      </c>
      <c r="H43" s="122"/>
      <c r="I43" s="25">
        <v>5</v>
      </c>
      <c r="J43" s="119" t="s">
        <v>13</v>
      </c>
      <c r="K43" s="25">
        <v>0</v>
      </c>
      <c r="L43" s="120"/>
      <c r="M43" s="121"/>
      <c r="N43" s="96"/>
    </row>
    <row r="44" spans="2:14" ht="15.75">
      <c r="B44" s="215">
        <v>38</v>
      </c>
      <c r="C44" s="127" t="s">
        <v>122</v>
      </c>
      <c r="D44" s="119" t="s">
        <v>91</v>
      </c>
      <c r="E44" s="24" t="s">
        <v>61</v>
      </c>
      <c r="F44" s="119" t="s">
        <v>13</v>
      </c>
      <c r="G44" s="30" t="s">
        <v>84</v>
      </c>
      <c r="H44" s="122"/>
      <c r="I44" s="25">
        <v>4</v>
      </c>
      <c r="J44" s="119" t="s">
        <v>13</v>
      </c>
      <c r="K44" s="25">
        <v>0</v>
      </c>
      <c r="L44" s="120"/>
      <c r="M44" s="121"/>
      <c r="N44" s="96"/>
    </row>
    <row r="45" spans="2:14" ht="15.75">
      <c r="B45" s="215">
        <v>39</v>
      </c>
      <c r="C45" s="127" t="s">
        <v>123</v>
      </c>
      <c r="D45" s="119" t="s">
        <v>95</v>
      </c>
      <c r="E45" s="24" t="s">
        <v>60</v>
      </c>
      <c r="F45" s="119" t="s">
        <v>13</v>
      </c>
      <c r="G45" s="30" t="s">
        <v>83</v>
      </c>
      <c r="H45" s="122"/>
      <c r="I45" s="25">
        <v>2</v>
      </c>
      <c r="J45" s="119" t="s">
        <v>13</v>
      </c>
      <c r="K45" s="25">
        <v>1</v>
      </c>
      <c r="L45" s="120"/>
      <c r="M45" s="121"/>
      <c r="N45" s="96"/>
    </row>
    <row r="46" spans="2:14" ht="15.75">
      <c r="B46" s="215">
        <v>40</v>
      </c>
      <c r="C46" s="127" t="s">
        <v>124</v>
      </c>
      <c r="D46" s="119" t="s">
        <v>95</v>
      </c>
      <c r="E46" s="24" t="s">
        <v>75</v>
      </c>
      <c r="F46" s="119" t="s">
        <v>13</v>
      </c>
      <c r="G46" s="30" t="s">
        <v>68</v>
      </c>
      <c r="H46" s="122"/>
      <c r="I46" s="25">
        <v>0</v>
      </c>
      <c r="J46" s="119" t="s">
        <v>13</v>
      </c>
      <c r="K46" s="25">
        <v>1</v>
      </c>
      <c r="L46" s="120"/>
      <c r="M46" s="121"/>
      <c r="N46" s="96"/>
    </row>
    <row r="47" spans="2:14" ht="15.75">
      <c r="B47" s="215">
        <v>41</v>
      </c>
      <c r="C47" s="127" t="s">
        <v>125</v>
      </c>
      <c r="D47" s="119" t="s">
        <v>98</v>
      </c>
      <c r="E47" s="24" t="s">
        <v>70</v>
      </c>
      <c r="F47" s="119" t="s">
        <v>13</v>
      </c>
      <c r="G47" s="30" t="s">
        <v>77</v>
      </c>
      <c r="H47" s="122"/>
      <c r="I47" s="25">
        <v>1</v>
      </c>
      <c r="J47" s="119" t="s">
        <v>13</v>
      </c>
      <c r="K47" s="25">
        <v>1</v>
      </c>
      <c r="L47" s="120"/>
      <c r="M47" s="121"/>
      <c r="N47" s="96"/>
    </row>
    <row r="48" spans="2:14" ht="15.75">
      <c r="B48" s="215">
        <v>42</v>
      </c>
      <c r="C48" s="127" t="s">
        <v>126</v>
      </c>
      <c r="D48" s="119" t="s">
        <v>98</v>
      </c>
      <c r="E48" s="24" t="s">
        <v>62</v>
      </c>
      <c r="F48" s="119" t="s">
        <v>13</v>
      </c>
      <c r="G48" s="30" t="s">
        <v>85</v>
      </c>
      <c r="H48" s="122"/>
      <c r="I48" s="25">
        <v>3</v>
      </c>
      <c r="J48" s="119" t="s">
        <v>13</v>
      </c>
      <c r="K48" s="25">
        <v>0</v>
      </c>
      <c r="L48" s="120"/>
      <c r="M48" s="121"/>
      <c r="N48" s="96"/>
    </row>
    <row r="49" spans="2:13" ht="15.75">
      <c r="B49" s="215">
        <v>43</v>
      </c>
      <c r="C49" s="127" t="s">
        <v>127</v>
      </c>
      <c r="D49" s="119" t="s">
        <v>101</v>
      </c>
      <c r="E49" s="24" t="s">
        <v>63</v>
      </c>
      <c r="F49" s="119" t="s">
        <v>13</v>
      </c>
      <c r="G49" s="30" t="s">
        <v>71</v>
      </c>
      <c r="H49" s="122"/>
      <c r="I49" s="25">
        <v>2</v>
      </c>
      <c r="J49" s="119" t="s">
        <v>13</v>
      </c>
      <c r="K49" s="25">
        <v>1</v>
      </c>
      <c r="L49" s="120"/>
      <c r="M49" s="121"/>
    </row>
    <row r="50" spans="2:13" ht="15.75">
      <c r="B50" s="215">
        <v>44</v>
      </c>
      <c r="C50" s="127" t="s">
        <v>128</v>
      </c>
      <c r="D50" s="119" t="s">
        <v>101</v>
      </c>
      <c r="E50" s="24" t="s">
        <v>86</v>
      </c>
      <c r="F50" s="119" t="s">
        <v>13</v>
      </c>
      <c r="G50" s="30" t="s">
        <v>78</v>
      </c>
      <c r="H50" s="122"/>
      <c r="I50" s="25">
        <v>0</v>
      </c>
      <c r="J50" s="119" t="s">
        <v>13</v>
      </c>
      <c r="K50" s="25">
        <v>1</v>
      </c>
      <c r="L50" s="120"/>
      <c r="M50" s="121"/>
    </row>
    <row r="51" spans="2:13" ht="15.75">
      <c r="B51" s="215">
        <v>45</v>
      </c>
      <c r="C51" s="127" t="s">
        <v>129</v>
      </c>
      <c r="D51" s="119" t="s">
        <v>104</v>
      </c>
      <c r="E51" s="24" t="s">
        <v>65</v>
      </c>
      <c r="F51" s="119" t="s">
        <v>13</v>
      </c>
      <c r="G51" s="30" t="s">
        <v>80</v>
      </c>
      <c r="H51" s="122"/>
      <c r="I51" s="25">
        <v>1</v>
      </c>
      <c r="J51" s="119" t="s">
        <v>13</v>
      </c>
      <c r="K51" s="25">
        <v>0</v>
      </c>
      <c r="L51" s="120"/>
      <c r="M51" s="121"/>
    </row>
    <row r="52" spans="2:13" ht="15.75">
      <c r="B52" s="215">
        <v>46</v>
      </c>
      <c r="C52" s="127" t="s">
        <v>130</v>
      </c>
      <c r="D52" s="119" t="s">
        <v>104</v>
      </c>
      <c r="E52" s="24" t="s">
        <v>88</v>
      </c>
      <c r="F52" s="119" t="s">
        <v>13</v>
      </c>
      <c r="G52" s="30" t="s">
        <v>73</v>
      </c>
      <c r="H52" s="122"/>
      <c r="I52" s="25">
        <v>1</v>
      </c>
      <c r="J52" s="119" t="s">
        <v>13</v>
      </c>
      <c r="K52" s="25">
        <v>1</v>
      </c>
      <c r="L52" s="120"/>
      <c r="M52" s="121"/>
    </row>
    <row r="53" spans="2:13" ht="15.75">
      <c r="B53" s="215">
        <v>47</v>
      </c>
      <c r="C53" s="127" t="s">
        <v>131</v>
      </c>
      <c r="D53" s="119" t="s">
        <v>107</v>
      </c>
      <c r="E53" s="24" t="s">
        <v>64</v>
      </c>
      <c r="F53" s="119" t="s">
        <v>13</v>
      </c>
      <c r="G53" s="30" t="s">
        <v>79</v>
      </c>
      <c r="H53" s="122"/>
      <c r="I53" s="25">
        <v>2</v>
      </c>
      <c r="J53" s="119" t="s">
        <v>13</v>
      </c>
      <c r="K53" s="25">
        <v>0</v>
      </c>
      <c r="L53" s="120"/>
      <c r="M53" s="121"/>
    </row>
    <row r="54" spans="2:13" ht="15.75">
      <c r="B54" s="215">
        <v>48</v>
      </c>
      <c r="C54" s="127" t="s">
        <v>132</v>
      </c>
      <c r="D54" s="119" t="s">
        <v>107</v>
      </c>
      <c r="E54" s="24" t="s">
        <v>72</v>
      </c>
      <c r="F54" s="119" t="s">
        <v>13</v>
      </c>
      <c r="G54" s="30" t="s">
        <v>87</v>
      </c>
      <c r="H54" s="122"/>
      <c r="I54" s="25">
        <v>2</v>
      </c>
      <c r="J54" s="119" t="s">
        <v>13</v>
      </c>
      <c r="K54" s="25">
        <v>0</v>
      </c>
      <c r="L54" s="120"/>
      <c r="M54" s="121"/>
    </row>
    <row r="55" spans="2:13" ht="15.75">
      <c r="B55" s="215">
        <v>49</v>
      </c>
      <c r="C55" s="127" t="s">
        <v>133</v>
      </c>
      <c r="D55" s="119" t="s">
        <v>45</v>
      </c>
      <c r="E55" s="24" t="s">
        <v>34</v>
      </c>
      <c r="F55" s="119" t="s">
        <v>13</v>
      </c>
      <c r="G55" s="30" t="s">
        <v>26</v>
      </c>
      <c r="H55" s="122"/>
      <c r="I55" s="25">
        <v>0</v>
      </c>
      <c r="J55" s="119" t="s">
        <v>13</v>
      </c>
      <c r="K55" s="25">
        <v>3</v>
      </c>
      <c r="L55" s="120"/>
      <c r="M55" s="121"/>
    </row>
    <row r="56" spans="2:13" ht="15.75">
      <c r="B56" s="215">
        <v>50</v>
      </c>
      <c r="C56" s="127" t="s">
        <v>133</v>
      </c>
      <c r="D56" s="119" t="s">
        <v>45</v>
      </c>
      <c r="E56" s="24" t="s">
        <v>41</v>
      </c>
      <c r="F56" s="119" t="s">
        <v>13</v>
      </c>
      <c r="G56" s="30" t="s">
        <v>46</v>
      </c>
      <c r="H56" s="122"/>
      <c r="I56" s="25">
        <v>4</v>
      </c>
      <c r="J56" s="119" t="s">
        <v>13</v>
      </c>
      <c r="K56" s="25">
        <v>0</v>
      </c>
      <c r="L56" s="120"/>
      <c r="M56" s="121"/>
    </row>
    <row r="57" spans="2:13" ht="15.75">
      <c r="B57" s="215">
        <v>51</v>
      </c>
      <c r="C57" s="127" t="s">
        <v>134</v>
      </c>
      <c r="D57" s="119" t="s">
        <v>31</v>
      </c>
      <c r="E57" s="24" t="s">
        <v>25</v>
      </c>
      <c r="F57" s="119" t="s">
        <v>13</v>
      </c>
      <c r="G57" s="30" t="s">
        <v>32</v>
      </c>
      <c r="H57" s="122"/>
      <c r="I57" s="25">
        <v>0</v>
      </c>
      <c r="J57" s="119" t="s">
        <v>13</v>
      </c>
      <c r="K57" s="25">
        <v>2</v>
      </c>
      <c r="L57" s="120"/>
      <c r="M57" s="121"/>
    </row>
    <row r="58" spans="2:13" ht="15.75">
      <c r="B58" s="215">
        <v>52</v>
      </c>
      <c r="C58" s="127" t="s">
        <v>134</v>
      </c>
      <c r="D58" s="119" t="s">
        <v>31</v>
      </c>
      <c r="E58" s="24" t="s">
        <v>33</v>
      </c>
      <c r="F58" s="119" t="s">
        <v>13</v>
      </c>
      <c r="G58" s="30" t="s">
        <v>47</v>
      </c>
      <c r="H58" s="122"/>
      <c r="I58" s="25">
        <v>3</v>
      </c>
      <c r="J58" s="119" t="s">
        <v>13</v>
      </c>
      <c r="K58" s="25">
        <v>0</v>
      </c>
      <c r="L58" s="120"/>
      <c r="M58" s="121"/>
    </row>
    <row r="59" spans="2:13" ht="15.75">
      <c r="B59" s="215">
        <v>53</v>
      </c>
      <c r="C59" s="127" t="s">
        <v>135</v>
      </c>
      <c r="D59" s="119" t="s">
        <v>11</v>
      </c>
      <c r="E59" s="24" t="s">
        <v>24</v>
      </c>
      <c r="F59" s="119" t="s">
        <v>13</v>
      </c>
      <c r="G59" s="30" t="s">
        <v>12</v>
      </c>
      <c r="H59" s="122"/>
      <c r="I59" s="25">
        <v>0</v>
      </c>
      <c r="J59" s="119" t="s">
        <v>13</v>
      </c>
      <c r="K59" s="25">
        <v>2</v>
      </c>
      <c r="L59" s="120"/>
      <c r="M59" s="121"/>
    </row>
    <row r="60" spans="2:13" ht="15.75">
      <c r="B60" s="215">
        <v>54</v>
      </c>
      <c r="C60" s="127" t="s">
        <v>135</v>
      </c>
      <c r="D60" s="119" t="s">
        <v>11</v>
      </c>
      <c r="E60" s="24" t="s">
        <v>14</v>
      </c>
      <c r="F60" s="119" t="s">
        <v>13</v>
      </c>
      <c r="G60" s="30" t="s">
        <v>23</v>
      </c>
      <c r="H60" s="122"/>
      <c r="I60" s="25">
        <v>0</v>
      </c>
      <c r="J60" s="119" t="s">
        <v>13</v>
      </c>
      <c r="K60" s="25">
        <v>1</v>
      </c>
      <c r="L60" s="120"/>
      <c r="M60" s="121"/>
    </row>
    <row r="61" spans="2:13" ht="15.75">
      <c r="B61" s="215">
        <v>55</v>
      </c>
      <c r="C61" s="127" t="s">
        <v>136</v>
      </c>
      <c r="D61" s="119" t="s">
        <v>67</v>
      </c>
      <c r="E61" s="24" t="s">
        <v>49</v>
      </c>
      <c r="F61" s="119" t="s">
        <v>13</v>
      </c>
      <c r="G61" s="30" t="s">
        <v>42</v>
      </c>
      <c r="H61" s="122"/>
      <c r="I61" s="25">
        <v>0</v>
      </c>
      <c r="J61" s="119" t="s">
        <v>13</v>
      </c>
      <c r="K61" s="25">
        <v>2</v>
      </c>
      <c r="L61" s="120"/>
      <c r="M61" s="121"/>
    </row>
    <row r="62" spans="2:13" ht="15.75">
      <c r="B62" s="215">
        <v>56</v>
      </c>
      <c r="C62" s="127" t="s">
        <v>136</v>
      </c>
      <c r="D62" s="119" t="s">
        <v>67</v>
      </c>
      <c r="E62" s="24" t="s">
        <v>36</v>
      </c>
      <c r="F62" s="119" t="s">
        <v>13</v>
      </c>
      <c r="G62" s="30" t="s">
        <v>28</v>
      </c>
      <c r="H62" s="122"/>
      <c r="I62" s="25">
        <v>1</v>
      </c>
      <c r="J62" s="119" t="s">
        <v>13</v>
      </c>
      <c r="K62" s="25">
        <v>2</v>
      </c>
      <c r="L62" s="120"/>
      <c r="M62" s="121"/>
    </row>
    <row r="63" spans="2:13" ht="15.75">
      <c r="B63" s="215">
        <v>57</v>
      </c>
      <c r="C63" s="127" t="s">
        <v>137</v>
      </c>
      <c r="D63" s="119" t="s">
        <v>82</v>
      </c>
      <c r="E63" s="24" t="s">
        <v>43</v>
      </c>
      <c r="F63" s="119" t="s">
        <v>13</v>
      </c>
      <c r="G63" s="30" t="s">
        <v>37</v>
      </c>
      <c r="H63" s="122"/>
      <c r="I63" s="25">
        <v>1</v>
      </c>
      <c r="J63" s="119" t="s">
        <v>13</v>
      </c>
      <c r="K63" s="25">
        <v>0</v>
      </c>
      <c r="L63" s="120"/>
      <c r="M63" s="121"/>
    </row>
    <row r="64" spans="2:13" ht="15.75">
      <c r="B64" s="215">
        <v>58</v>
      </c>
      <c r="C64" s="127" t="s">
        <v>137</v>
      </c>
      <c r="D64" s="119" t="s">
        <v>82</v>
      </c>
      <c r="E64" s="24" t="s">
        <v>50</v>
      </c>
      <c r="F64" s="119" t="s">
        <v>13</v>
      </c>
      <c r="G64" s="30" t="s">
        <v>29</v>
      </c>
      <c r="H64" s="122"/>
      <c r="I64" s="25">
        <v>0</v>
      </c>
      <c r="J64" s="119" t="s">
        <v>13</v>
      </c>
      <c r="K64" s="25">
        <v>2</v>
      </c>
      <c r="L64" s="120"/>
      <c r="M64" s="121"/>
    </row>
    <row r="65" spans="2:14" ht="15.75">
      <c r="B65" s="215">
        <v>59</v>
      </c>
      <c r="C65" s="127" t="s">
        <v>138</v>
      </c>
      <c r="D65" s="119" t="s">
        <v>39</v>
      </c>
      <c r="E65" s="24" t="s">
        <v>27</v>
      </c>
      <c r="F65" s="119" t="s">
        <v>13</v>
      </c>
      <c r="G65" s="30" t="s">
        <v>35</v>
      </c>
      <c r="H65" s="122"/>
      <c r="I65" s="25">
        <v>0</v>
      </c>
      <c r="J65" s="119" t="s">
        <v>13</v>
      </c>
      <c r="K65" s="25">
        <v>1</v>
      </c>
      <c r="L65" s="120"/>
      <c r="M65" s="121"/>
      <c r="N65" s="96"/>
    </row>
    <row r="66" spans="2:14" ht="15.75">
      <c r="B66" s="215">
        <v>60</v>
      </c>
      <c r="C66" s="127" t="s">
        <v>138</v>
      </c>
      <c r="D66" s="119" t="s">
        <v>39</v>
      </c>
      <c r="E66" s="24" t="s">
        <v>40</v>
      </c>
      <c r="F66" s="119" t="s">
        <v>13</v>
      </c>
      <c r="G66" s="30" t="s">
        <v>48</v>
      </c>
      <c r="H66" s="122"/>
      <c r="I66" s="25">
        <v>1</v>
      </c>
      <c r="J66" s="119" t="s">
        <v>13</v>
      </c>
      <c r="K66" s="25">
        <v>1</v>
      </c>
      <c r="L66" s="120"/>
      <c r="M66" s="121"/>
      <c r="N66" s="96"/>
    </row>
    <row r="67" spans="2:14" ht="15.75">
      <c r="B67" s="215">
        <v>61</v>
      </c>
      <c r="C67" s="127" t="s">
        <v>139</v>
      </c>
      <c r="D67" s="119" t="s">
        <v>98</v>
      </c>
      <c r="E67" s="24" t="s">
        <v>70</v>
      </c>
      <c r="F67" s="119" t="s">
        <v>13</v>
      </c>
      <c r="G67" s="30" t="s">
        <v>62</v>
      </c>
      <c r="H67" s="122"/>
      <c r="I67" s="25">
        <v>0</v>
      </c>
      <c r="J67" s="119" t="s">
        <v>13</v>
      </c>
      <c r="K67" s="25">
        <v>2</v>
      </c>
      <c r="L67" s="120"/>
      <c r="M67" s="121"/>
      <c r="N67" s="96"/>
    </row>
    <row r="68" spans="2:14" ht="15.75">
      <c r="B68" s="215">
        <v>62</v>
      </c>
      <c r="C68" s="127" t="s">
        <v>139</v>
      </c>
      <c r="D68" s="119" t="s">
        <v>98</v>
      </c>
      <c r="E68" s="24" t="s">
        <v>77</v>
      </c>
      <c r="F68" s="119" t="s">
        <v>13</v>
      </c>
      <c r="G68" s="30" t="s">
        <v>85</v>
      </c>
      <c r="H68" s="122"/>
      <c r="I68" s="25">
        <v>1</v>
      </c>
      <c r="J68" s="119" t="s">
        <v>13</v>
      </c>
      <c r="K68" s="25">
        <v>0</v>
      </c>
      <c r="L68" s="120"/>
      <c r="M68" s="121"/>
      <c r="N68" s="96"/>
    </row>
    <row r="69" spans="2:14" ht="15.75">
      <c r="B69" s="215">
        <v>63</v>
      </c>
      <c r="C69" s="127" t="s">
        <v>140</v>
      </c>
      <c r="D69" s="119" t="s">
        <v>95</v>
      </c>
      <c r="E69" s="24" t="s">
        <v>68</v>
      </c>
      <c r="F69" s="119" t="s">
        <v>13</v>
      </c>
      <c r="G69" s="30" t="s">
        <v>83</v>
      </c>
      <c r="H69" s="122"/>
      <c r="I69" s="25">
        <v>0</v>
      </c>
      <c r="J69" s="119" t="s">
        <v>13</v>
      </c>
      <c r="K69" s="25">
        <v>1</v>
      </c>
      <c r="L69" s="120"/>
      <c r="M69" s="121"/>
      <c r="N69" s="96"/>
    </row>
    <row r="70" spans="2:14" ht="15.75">
      <c r="B70" s="215">
        <v>64</v>
      </c>
      <c r="C70" s="127" t="s">
        <v>140</v>
      </c>
      <c r="D70" s="119" t="s">
        <v>95</v>
      </c>
      <c r="E70" s="24" t="s">
        <v>75</v>
      </c>
      <c r="F70" s="119" t="s">
        <v>13</v>
      </c>
      <c r="G70" s="30" t="s">
        <v>60</v>
      </c>
      <c r="H70" s="122"/>
      <c r="I70" s="25">
        <v>0</v>
      </c>
      <c r="J70" s="119" t="s">
        <v>13</v>
      </c>
      <c r="K70" s="25">
        <v>2</v>
      </c>
      <c r="L70" s="120"/>
      <c r="M70" s="121"/>
      <c r="N70" s="96"/>
    </row>
    <row r="71" spans="2:14" ht="15.75">
      <c r="B71" s="215">
        <v>65</v>
      </c>
      <c r="C71" s="127" t="s">
        <v>141</v>
      </c>
      <c r="D71" s="119" t="s">
        <v>91</v>
      </c>
      <c r="E71" s="24" t="s">
        <v>76</v>
      </c>
      <c r="F71" s="119" t="s">
        <v>13</v>
      </c>
      <c r="G71" s="30" t="s">
        <v>84</v>
      </c>
      <c r="H71" s="122"/>
      <c r="I71" s="25">
        <v>0</v>
      </c>
      <c r="J71" s="119" t="s">
        <v>13</v>
      </c>
      <c r="K71" s="25">
        <v>2</v>
      </c>
      <c r="L71" s="120"/>
      <c r="M71" s="121"/>
      <c r="N71" s="96"/>
    </row>
    <row r="72" spans="2:14" ht="15.75">
      <c r="B72" s="215">
        <v>66</v>
      </c>
      <c r="C72" s="127" t="s">
        <v>141</v>
      </c>
      <c r="D72" s="119" t="s">
        <v>91</v>
      </c>
      <c r="E72" s="24" t="s">
        <v>69</v>
      </c>
      <c r="F72" s="119" t="s">
        <v>13</v>
      </c>
      <c r="G72" s="30" t="s">
        <v>61</v>
      </c>
      <c r="H72" s="122"/>
      <c r="I72" s="25">
        <v>1</v>
      </c>
      <c r="J72" s="119" t="s">
        <v>13</v>
      </c>
      <c r="K72" s="25">
        <v>2</v>
      </c>
      <c r="L72" s="120"/>
      <c r="M72" s="121"/>
      <c r="N72" s="96"/>
    </row>
    <row r="73" spans="2:14" ht="15.75">
      <c r="B73" s="215">
        <v>67</v>
      </c>
      <c r="C73" s="127" t="s">
        <v>142</v>
      </c>
      <c r="D73" s="119" t="s">
        <v>104</v>
      </c>
      <c r="E73" s="24" t="s">
        <v>88</v>
      </c>
      <c r="F73" s="119" t="s">
        <v>13</v>
      </c>
      <c r="G73" s="30" t="s">
        <v>65</v>
      </c>
      <c r="H73" s="122"/>
      <c r="I73" s="25">
        <v>0</v>
      </c>
      <c r="J73" s="119" t="s">
        <v>13</v>
      </c>
      <c r="K73" s="25">
        <v>1</v>
      </c>
      <c r="L73" s="120"/>
      <c r="M73" s="121"/>
      <c r="N73" s="96"/>
    </row>
    <row r="74" spans="2:14" ht="15.75">
      <c r="B74" s="215">
        <v>68</v>
      </c>
      <c r="C74" s="127" t="s">
        <v>142</v>
      </c>
      <c r="D74" s="119" t="s">
        <v>104</v>
      </c>
      <c r="E74" s="24" t="s">
        <v>73</v>
      </c>
      <c r="F74" s="119" t="s">
        <v>13</v>
      </c>
      <c r="G74" s="30" t="s">
        <v>80</v>
      </c>
      <c r="H74" s="122"/>
      <c r="I74" s="25">
        <v>0</v>
      </c>
      <c r="J74" s="119" t="s">
        <v>13</v>
      </c>
      <c r="K74" s="25">
        <v>1</v>
      </c>
      <c r="L74" s="120"/>
      <c r="M74" s="121"/>
      <c r="N74" s="96"/>
    </row>
    <row r="75" spans="2:14" ht="15.75">
      <c r="B75" s="215">
        <v>69</v>
      </c>
      <c r="C75" s="127" t="s">
        <v>143</v>
      </c>
      <c r="D75" s="119" t="s">
        <v>101</v>
      </c>
      <c r="E75" s="24" t="s">
        <v>78</v>
      </c>
      <c r="F75" s="119" t="s">
        <v>13</v>
      </c>
      <c r="G75" s="30" t="s">
        <v>71</v>
      </c>
      <c r="H75" s="122"/>
      <c r="I75" s="25">
        <v>2</v>
      </c>
      <c r="J75" s="119" t="s">
        <v>13</v>
      </c>
      <c r="K75" s="25">
        <v>0</v>
      </c>
      <c r="L75" s="120"/>
      <c r="M75" s="121"/>
      <c r="N75" s="96"/>
    </row>
    <row r="76" spans="2:14" ht="15.75">
      <c r="B76" s="215">
        <v>70</v>
      </c>
      <c r="C76" s="127" t="s">
        <v>143</v>
      </c>
      <c r="D76" s="119" t="s">
        <v>101</v>
      </c>
      <c r="E76" s="24" t="s">
        <v>86</v>
      </c>
      <c r="F76" s="119" t="s">
        <v>13</v>
      </c>
      <c r="G76" s="30" t="s">
        <v>63</v>
      </c>
      <c r="H76" s="122"/>
      <c r="I76" s="25">
        <v>0</v>
      </c>
      <c r="J76" s="119" t="s">
        <v>13</v>
      </c>
      <c r="K76" s="25">
        <v>2</v>
      </c>
      <c r="L76" s="120"/>
      <c r="M76" s="121"/>
      <c r="N76" s="96"/>
    </row>
    <row r="77" spans="2:14" ht="15.75">
      <c r="B77" s="215">
        <v>71</v>
      </c>
      <c r="C77" s="127" t="s">
        <v>144</v>
      </c>
      <c r="D77" s="119" t="s">
        <v>107</v>
      </c>
      <c r="E77" s="24" t="s">
        <v>72</v>
      </c>
      <c r="F77" s="119" t="s">
        <v>13</v>
      </c>
      <c r="G77" s="30" t="s">
        <v>64</v>
      </c>
      <c r="H77" s="122"/>
      <c r="I77" s="25">
        <v>2</v>
      </c>
      <c r="J77" s="119" t="s">
        <v>13</v>
      </c>
      <c r="K77" s="25">
        <v>0</v>
      </c>
      <c r="L77" s="120"/>
      <c r="M77" s="121"/>
      <c r="N77" s="96"/>
    </row>
    <row r="78" spans="2:14" ht="15.75">
      <c r="B78" s="215">
        <v>72</v>
      </c>
      <c r="C78" s="127" t="s">
        <v>144</v>
      </c>
      <c r="D78" s="119" t="s">
        <v>107</v>
      </c>
      <c r="E78" s="24" t="s">
        <v>87</v>
      </c>
      <c r="F78" s="119" t="s">
        <v>13</v>
      </c>
      <c r="G78" s="30" t="s">
        <v>79</v>
      </c>
      <c r="H78" s="122"/>
      <c r="I78" s="25">
        <v>2</v>
      </c>
      <c r="J78" s="119" t="s">
        <v>13</v>
      </c>
      <c r="K78" s="25">
        <v>0</v>
      </c>
      <c r="L78" s="120"/>
      <c r="M78" s="121"/>
      <c r="N78" s="96"/>
    </row>
    <row r="79" spans="2:14" ht="15.75">
      <c r="B79" s="96"/>
      <c r="C79" s="96"/>
      <c r="D79" s="97" t="s">
        <v>145</v>
      </c>
      <c r="E79" s="105" t="s">
        <v>61</v>
      </c>
      <c r="F79" s="118" t="s">
        <v>13</v>
      </c>
      <c r="G79" s="105" t="s">
        <v>26</v>
      </c>
      <c r="H79" s="96"/>
      <c r="I79" s="96"/>
      <c r="J79" s="96"/>
      <c r="K79" s="96"/>
      <c r="L79" s="109"/>
      <c r="M79" s="109"/>
      <c r="N79" s="110"/>
    </row>
    <row r="80" spans="2:14" ht="15.75">
      <c r="B80" s="96"/>
      <c r="C80" s="128"/>
      <c r="D80" s="97" t="s">
        <v>146</v>
      </c>
      <c r="E80" s="106" t="s">
        <v>62</v>
      </c>
      <c r="F80" s="118" t="s">
        <v>13</v>
      </c>
      <c r="G80" s="106" t="s">
        <v>63</v>
      </c>
      <c r="H80" s="96"/>
      <c r="I80" s="96"/>
      <c r="J80" s="96"/>
      <c r="K80" s="96"/>
      <c r="L80" s="104"/>
      <c r="M80" s="104"/>
      <c r="N80" s="110"/>
    </row>
    <row r="81" spans="1:14" ht="15.75">
      <c r="A81" s="96"/>
      <c r="B81" s="96"/>
      <c r="C81" s="128"/>
      <c r="D81" s="96"/>
      <c r="E81" s="96"/>
      <c r="F81" s="99"/>
      <c r="G81" s="96"/>
      <c r="H81" s="96"/>
      <c r="I81" s="96"/>
      <c r="J81" s="96"/>
      <c r="K81" s="99"/>
      <c r="L81" s="99"/>
      <c r="M81" s="99"/>
      <c r="N81" s="110"/>
    </row>
    <row r="82" spans="1:14" ht="15.75">
      <c r="A82" s="96"/>
      <c r="B82" s="96"/>
      <c r="C82" s="128"/>
      <c r="D82" s="96"/>
      <c r="E82" s="96"/>
      <c r="F82" s="99"/>
      <c r="G82" s="96"/>
      <c r="H82" s="96"/>
      <c r="I82" s="96"/>
      <c r="J82" s="96"/>
      <c r="K82" s="99"/>
      <c r="L82" s="212" t="s">
        <v>147</v>
      </c>
      <c r="M82" s="103"/>
      <c r="N82" s="110"/>
    </row>
    <row r="83" spans="1:14" ht="15.75">
      <c r="A83" s="96"/>
      <c r="B83" s="96"/>
      <c r="C83" s="128"/>
      <c r="D83" s="96"/>
      <c r="E83" s="96"/>
      <c r="F83" s="99"/>
      <c r="G83" s="96"/>
      <c r="H83" s="96"/>
      <c r="I83" s="96"/>
      <c r="J83" s="96"/>
      <c r="K83" s="99"/>
      <c r="L83" s="99"/>
      <c r="M83" s="99"/>
      <c r="N83" s="110"/>
    </row>
    <row r="84" spans="1:14" ht="15.75">
      <c r="A84" s="97"/>
      <c r="B84" s="96"/>
      <c r="C84" s="128"/>
      <c r="D84" s="96"/>
      <c r="E84" s="96"/>
      <c r="F84" s="99"/>
      <c r="G84" s="100"/>
      <c r="H84" s="96"/>
      <c r="I84" s="96"/>
      <c r="J84" s="96"/>
      <c r="K84" s="99"/>
      <c r="L84" s="96"/>
      <c r="M84" s="96"/>
      <c r="N84" s="96"/>
    </row>
    <row r="85" spans="1:14" ht="15.75">
      <c r="A85" s="97"/>
      <c r="B85" s="96"/>
      <c r="C85" s="128"/>
      <c r="D85" s="96"/>
      <c r="E85" s="96"/>
      <c r="F85" s="99"/>
      <c r="G85" s="100"/>
      <c r="H85" s="96"/>
      <c r="I85" s="96"/>
      <c r="J85" s="96"/>
      <c r="K85" s="99"/>
      <c r="L85" s="96"/>
      <c r="M85" s="96"/>
      <c r="N85" s="96"/>
    </row>
    <row r="86" spans="1:14" ht="15.75">
      <c r="A86" s="97"/>
      <c r="B86" s="211"/>
      <c r="C86" s="129"/>
      <c r="D86" s="96"/>
      <c r="E86" s="96"/>
      <c r="F86" s="99"/>
      <c r="G86" s="100"/>
      <c r="H86" s="96"/>
      <c r="I86" s="96"/>
      <c r="J86" s="96"/>
      <c r="K86" s="99"/>
      <c r="L86" s="96"/>
      <c r="M86" s="96"/>
      <c r="N86" s="96"/>
    </row>
    <row r="87" spans="1:14" ht="15.75">
      <c r="A87" s="97"/>
      <c r="B87" s="211"/>
      <c r="C87" s="129"/>
      <c r="D87" s="96"/>
      <c r="E87" s="96"/>
      <c r="F87" s="99"/>
      <c r="G87" s="100"/>
      <c r="H87" s="96"/>
      <c r="I87" s="96"/>
      <c r="J87" s="96"/>
      <c r="K87" s="99"/>
      <c r="L87" s="96"/>
      <c r="M87" s="96"/>
      <c r="N87" s="96"/>
    </row>
  </sheetData>
  <mergeCells count="1">
    <mergeCell ref="H2:M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selection activeCell="H3" sqref="H3"/>
    </sheetView>
  </sheetViews>
  <sheetFormatPr defaultRowHeight="15"/>
  <sheetData>
    <row r="1" spans="1:26" ht="15.75">
      <c r="A1" s="218"/>
      <c r="B1" s="221"/>
      <c r="C1" s="222"/>
      <c r="D1" s="218"/>
      <c r="E1" s="218"/>
      <c r="F1" s="220"/>
      <c r="G1" s="218"/>
      <c r="H1" s="218"/>
      <c r="I1" s="218"/>
      <c r="J1" s="218"/>
      <c r="K1" s="220"/>
      <c r="L1" s="220"/>
      <c r="M1" s="220"/>
      <c r="N1" s="220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spans="1:26" ht="15.75">
      <c r="A2" s="218"/>
      <c r="B2" s="221"/>
      <c r="C2" s="222"/>
      <c r="D2" s="218"/>
      <c r="E2" s="218"/>
      <c r="F2" s="220"/>
      <c r="G2" s="221" t="s">
        <v>0</v>
      </c>
      <c r="H2" s="302" t="s">
        <v>399</v>
      </c>
      <c r="I2" s="303"/>
      <c r="J2" s="303"/>
      <c r="K2" s="303"/>
      <c r="L2" s="303"/>
      <c r="M2" s="303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spans="1:26" ht="15.75">
      <c r="A3" s="218"/>
      <c r="B3" s="221"/>
      <c r="C3" s="222"/>
      <c r="D3" s="218"/>
      <c r="E3" s="218"/>
      <c r="F3" s="220"/>
      <c r="G3" s="218"/>
      <c r="H3" s="218"/>
      <c r="I3" s="218"/>
      <c r="J3" s="218"/>
      <c r="K3" s="220"/>
      <c r="L3" s="220"/>
      <c r="M3" s="220"/>
      <c r="N3" s="220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spans="1:26" ht="18">
      <c r="A4" s="218"/>
      <c r="B4" s="223" t="s">
        <v>2</v>
      </c>
      <c r="C4" s="222"/>
      <c r="D4" s="218"/>
      <c r="E4" s="218"/>
      <c r="F4" s="220"/>
      <c r="G4" s="221"/>
      <c r="H4" s="221"/>
      <c r="I4" s="221"/>
      <c r="J4" s="221"/>
      <c r="K4" s="220"/>
      <c r="L4" s="220"/>
      <c r="M4" s="220"/>
      <c r="N4" s="220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spans="1:26" ht="15.75">
      <c r="A5" s="218"/>
      <c r="B5" s="221"/>
      <c r="C5" s="224"/>
      <c r="D5" s="218"/>
      <c r="E5" s="218"/>
      <c r="F5" s="220"/>
      <c r="G5" s="221"/>
      <c r="H5" s="221"/>
      <c r="I5" s="221"/>
      <c r="J5" s="221"/>
      <c r="K5" s="220"/>
      <c r="L5" s="220"/>
      <c r="M5" s="220"/>
      <c r="N5" s="220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spans="1:26" ht="18.75" thickBot="1">
      <c r="A6" s="218"/>
      <c r="B6" s="221"/>
      <c r="C6" s="225" t="s">
        <v>3</v>
      </c>
      <c r="D6" s="226" t="s">
        <v>4</v>
      </c>
      <c r="E6" s="219"/>
      <c r="F6" s="226" t="s">
        <v>5</v>
      </c>
      <c r="G6" s="219"/>
      <c r="H6" s="219"/>
      <c r="I6" s="219"/>
      <c r="J6" s="226" t="s">
        <v>6</v>
      </c>
      <c r="K6" s="226"/>
      <c r="L6" s="226" t="s">
        <v>7</v>
      </c>
      <c r="M6" s="226" t="s">
        <v>8</v>
      </c>
      <c r="N6" s="226"/>
      <c r="O6" s="227" t="s">
        <v>9</v>
      </c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spans="1:26" ht="16.5" thickBot="1">
      <c r="A7" s="218"/>
      <c r="B7" s="228">
        <v>1</v>
      </c>
      <c r="C7" s="229" t="s">
        <v>10</v>
      </c>
      <c r="D7" s="230" t="s">
        <v>11</v>
      </c>
      <c r="E7" s="231" t="s">
        <v>12</v>
      </c>
      <c r="F7" s="230" t="s">
        <v>13</v>
      </c>
      <c r="G7" s="232" t="s">
        <v>14</v>
      </c>
      <c r="H7" s="233"/>
      <c r="I7" s="234">
        <v>2</v>
      </c>
      <c r="J7" s="230" t="s">
        <v>13</v>
      </c>
      <c r="K7" s="234">
        <v>1</v>
      </c>
      <c r="L7" s="234"/>
      <c r="M7" s="235"/>
      <c r="N7" s="236"/>
      <c r="O7" s="237" t="s">
        <v>15</v>
      </c>
      <c r="P7" s="238" t="s">
        <v>16</v>
      </c>
      <c r="Q7" s="238" t="s">
        <v>17</v>
      </c>
      <c r="R7" s="238" t="s">
        <v>18</v>
      </c>
      <c r="S7" s="238" t="s">
        <v>19</v>
      </c>
      <c r="T7" s="238" t="s">
        <v>20</v>
      </c>
      <c r="U7" s="238" t="s">
        <v>21</v>
      </c>
      <c r="V7" s="218"/>
      <c r="W7" s="218"/>
      <c r="X7" s="218"/>
      <c r="Y7" s="218"/>
      <c r="Z7" s="218"/>
    </row>
    <row r="8" spans="1:26" ht="15.75">
      <c r="A8" s="218"/>
      <c r="B8" s="228">
        <v>2</v>
      </c>
      <c r="C8" s="229" t="s">
        <v>22</v>
      </c>
      <c r="D8" s="230" t="s">
        <v>11</v>
      </c>
      <c r="E8" s="231" t="s">
        <v>23</v>
      </c>
      <c r="F8" s="230" t="s">
        <v>13</v>
      </c>
      <c r="G8" s="232" t="s">
        <v>24</v>
      </c>
      <c r="H8" s="233"/>
      <c r="I8" s="234">
        <v>1</v>
      </c>
      <c r="J8" s="230" t="s">
        <v>13</v>
      </c>
      <c r="K8" s="234">
        <v>0</v>
      </c>
      <c r="L8" s="234"/>
      <c r="M8" s="235"/>
      <c r="N8" s="236"/>
      <c r="O8" s="239">
        <v>1</v>
      </c>
      <c r="P8" s="243" t="s">
        <v>12</v>
      </c>
      <c r="Q8" s="243" t="s">
        <v>32</v>
      </c>
      <c r="R8" s="243" t="s">
        <v>26</v>
      </c>
      <c r="S8" s="243" t="s">
        <v>168</v>
      </c>
      <c r="T8" s="243" t="s">
        <v>28</v>
      </c>
      <c r="U8" s="243" t="s">
        <v>43</v>
      </c>
      <c r="V8" s="218"/>
      <c r="W8" s="218"/>
      <c r="X8" s="218"/>
      <c r="Y8" s="218"/>
      <c r="Z8" s="218"/>
    </row>
    <row r="9" spans="1:26" ht="15.75">
      <c r="A9" s="218"/>
      <c r="B9" s="228">
        <v>3</v>
      </c>
      <c r="C9" s="229" t="s">
        <v>30</v>
      </c>
      <c r="D9" s="230" t="s">
        <v>31</v>
      </c>
      <c r="E9" s="231" t="s">
        <v>32</v>
      </c>
      <c r="F9" s="230" t="s">
        <v>13</v>
      </c>
      <c r="G9" s="232" t="s">
        <v>33</v>
      </c>
      <c r="H9" s="233"/>
      <c r="I9" s="234">
        <v>2</v>
      </c>
      <c r="J9" s="230" t="s">
        <v>13</v>
      </c>
      <c r="K9" s="234">
        <v>1</v>
      </c>
      <c r="L9" s="234"/>
      <c r="M9" s="235"/>
      <c r="N9" s="236"/>
      <c r="O9" s="240">
        <v>2</v>
      </c>
      <c r="P9" s="241" t="s">
        <v>23</v>
      </c>
      <c r="Q9" s="241" t="s">
        <v>25</v>
      </c>
      <c r="R9" s="241" t="s">
        <v>41</v>
      </c>
      <c r="S9" s="241" t="s">
        <v>27</v>
      </c>
      <c r="T9" s="241" t="s">
        <v>42</v>
      </c>
      <c r="U9" s="241" t="s">
        <v>29</v>
      </c>
      <c r="V9" s="218"/>
      <c r="W9" s="218"/>
      <c r="X9" s="218"/>
      <c r="Y9" s="218"/>
      <c r="Z9" s="218"/>
    </row>
    <row r="10" spans="1:26" ht="15.75">
      <c r="A10" s="218"/>
      <c r="B10" s="228">
        <v>4</v>
      </c>
      <c r="C10" s="229" t="s">
        <v>38</v>
      </c>
      <c r="D10" s="230" t="s">
        <v>39</v>
      </c>
      <c r="E10" s="231" t="s">
        <v>35</v>
      </c>
      <c r="F10" s="230" t="s">
        <v>13</v>
      </c>
      <c r="G10" s="232" t="s">
        <v>40</v>
      </c>
      <c r="H10" s="233"/>
      <c r="I10" s="234">
        <v>2</v>
      </c>
      <c r="J10" s="230" t="s">
        <v>13</v>
      </c>
      <c r="K10" s="234">
        <v>0</v>
      </c>
      <c r="L10" s="234"/>
      <c r="M10" s="235"/>
      <c r="N10" s="236"/>
      <c r="O10" s="240">
        <v>3</v>
      </c>
      <c r="P10" s="241" t="s">
        <v>24</v>
      </c>
      <c r="Q10" s="241" t="s">
        <v>396</v>
      </c>
      <c r="R10" s="241" t="s">
        <v>34</v>
      </c>
      <c r="S10" s="241" t="s">
        <v>48</v>
      </c>
      <c r="T10" s="241" t="s">
        <v>36</v>
      </c>
      <c r="U10" s="241" t="s">
        <v>37</v>
      </c>
      <c r="V10" s="218"/>
      <c r="W10" s="218"/>
      <c r="X10" s="218"/>
      <c r="Y10" s="218"/>
      <c r="Z10" s="218"/>
    </row>
    <row r="11" spans="1:26" ht="15.75">
      <c r="A11" s="218"/>
      <c r="B11" s="228">
        <v>5</v>
      </c>
      <c r="C11" s="229" t="s">
        <v>44</v>
      </c>
      <c r="D11" s="230" t="s">
        <v>45</v>
      </c>
      <c r="E11" s="231" t="s">
        <v>46</v>
      </c>
      <c r="F11" s="230" t="s">
        <v>13</v>
      </c>
      <c r="G11" s="232" t="s">
        <v>34</v>
      </c>
      <c r="H11" s="233"/>
      <c r="I11" s="234">
        <v>0</v>
      </c>
      <c r="J11" s="230" t="s">
        <v>13</v>
      </c>
      <c r="K11" s="234">
        <v>2</v>
      </c>
      <c r="L11" s="234"/>
      <c r="M11" s="235"/>
      <c r="N11" s="236"/>
      <c r="O11" s="240">
        <v>4</v>
      </c>
      <c r="P11" s="241" t="s">
        <v>14</v>
      </c>
      <c r="Q11" s="241" t="s">
        <v>47</v>
      </c>
      <c r="R11" s="241" t="s">
        <v>46</v>
      </c>
      <c r="S11" s="241" t="s">
        <v>40</v>
      </c>
      <c r="T11" s="241" t="s">
        <v>159</v>
      </c>
      <c r="U11" s="241" t="s">
        <v>50</v>
      </c>
      <c r="V11" s="218"/>
      <c r="W11" s="218"/>
      <c r="X11" s="218"/>
      <c r="Y11" s="218"/>
      <c r="Z11" s="218"/>
    </row>
    <row r="12" spans="1:26" ht="16.5" thickBot="1">
      <c r="A12" s="218"/>
      <c r="B12" s="228">
        <v>6</v>
      </c>
      <c r="C12" s="229" t="s">
        <v>51</v>
      </c>
      <c r="D12" s="230" t="s">
        <v>39</v>
      </c>
      <c r="E12" s="231" t="s">
        <v>48</v>
      </c>
      <c r="F12" s="230" t="s">
        <v>13</v>
      </c>
      <c r="G12" s="232" t="s">
        <v>27</v>
      </c>
      <c r="H12" s="233"/>
      <c r="I12" s="234">
        <v>1</v>
      </c>
      <c r="J12" s="230" t="s">
        <v>13</v>
      </c>
      <c r="K12" s="234">
        <v>2</v>
      </c>
      <c r="L12" s="234"/>
      <c r="M12" s="235"/>
      <c r="N12" s="236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spans="1:26" ht="16.5" thickBot="1">
      <c r="A13" s="218"/>
      <c r="B13" s="228">
        <v>7</v>
      </c>
      <c r="C13" s="229" t="s">
        <v>52</v>
      </c>
      <c r="D13" s="230" t="s">
        <v>45</v>
      </c>
      <c r="E13" s="231" t="s">
        <v>26</v>
      </c>
      <c r="F13" s="230" t="s">
        <v>13</v>
      </c>
      <c r="G13" s="232" t="s">
        <v>41</v>
      </c>
      <c r="H13" s="233"/>
      <c r="I13" s="234">
        <v>2</v>
      </c>
      <c r="J13" s="230" t="s">
        <v>13</v>
      </c>
      <c r="K13" s="234">
        <v>2</v>
      </c>
      <c r="L13" s="234"/>
      <c r="M13" s="235"/>
      <c r="N13" s="236"/>
      <c r="O13" s="237" t="s">
        <v>15</v>
      </c>
      <c r="P13" s="238" t="s">
        <v>53</v>
      </c>
      <c r="Q13" s="238" t="s">
        <v>54</v>
      </c>
      <c r="R13" s="238" t="s">
        <v>55</v>
      </c>
      <c r="S13" s="238" t="s">
        <v>56</v>
      </c>
      <c r="T13" s="238" t="s">
        <v>57</v>
      </c>
      <c r="U13" s="238" t="s">
        <v>58</v>
      </c>
      <c r="V13" s="218"/>
      <c r="W13" s="218"/>
      <c r="X13" s="218"/>
      <c r="Y13" s="218"/>
      <c r="Z13" s="218"/>
    </row>
    <row r="14" spans="1:26" ht="15.75">
      <c r="A14" s="218"/>
      <c r="B14" s="228">
        <v>8</v>
      </c>
      <c r="C14" s="229" t="s">
        <v>59</v>
      </c>
      <c r="D14" s="230" t="s">
        <v>31</v>
      </c>
      <c r="E14" s="231" t="s">
        <v>47</v>
      </c>
      <c r="F14" s="230" t="s">
        <v>13</v>
      </c>
      <c r="G14" s="232" t="s">
        <v>25</v>
      </c>
      <c r="H14" s="233"/>
      <c r="I14" s="234">
        <v>0</v>
      </c>
      <c r="J14" s="230" t="s">
        <v>13</v>
      </c>
      <c r="K14" s="234">
        <v>2</v>
      </c>
      <c r="L14" s="234"/>
      <c r="M14" s="235"/>
      <c r="N14" s="236"/>
      <c r="O14" s="239">
        <v>1</v>
      </c>
      <c r="P14" s="243" t="s">
        <v>60</v>
      </c>
      <c r="Q14" s="243" t="s">
        <v>61</v>
      </c>
      <c r="R14" s="243" t="s">
        <v>62</v>
      </c>
      <c r="S14" s="243" t="s">
        <v>397</v>
      </c>
      <c r="T14" s="243" t="s">
        <v>64</v>
      </c>
      <c r="U14" s="243" t="s">
        <v>65</v>
      </c>
      <c r="V14" s="218"/>
      <c r="W14" s="218"/>
      <c r="X14" s="218"/>
      <c r="Y14" s="218"/>
      <c r="Z14" s="218"/>
    </row>
    <row r="15" spans="1:26" ht="15.75">
      <c r="A15" s="218"/>
      <c r="B15" s="228">
        <v>9</v>
      </c>
      <c r="C15" s="229" t="s">
        <v>66</v>
      </c>
      <c r="D15" s="230" t="s">
        <v>67</v>
      </c>
      <c r="E15" s="231" t="s">
        <v>42</v>
      </c>
      <c r="F15" s="230" t="s">
        <v>13</v>
      </c>
      <c r="G15" s="232" t="s">
        <v>36</v>
      </c>
      <c r="H15" s="233"/>
      <c r="I15" s="234">
        <v>1</v>
      </c>
      <c r="J15" s="230" t="s">
        <v>13</v>
      </c>
      <c r="K15" s="234">
        <v>1</v>
      </c>
      <c r="L15" s="234"/>
      <c r="M15" s="235"/>
      <c r="N15" s="236"/>
      <c r="O15" s="240">
        <v>2</v>
      </c>
      <c r="P15" s="241" t="s">
        <v>68</v>
      </c>
      <c r="Q15" s="241" t="s">
        <v>69</v>
      </c>
      <c r="R15" s="241" t="s">
        <v>77</v>
      </c>
      <c r="S15" s="241" t="s">
        <v>71</v>
      </c>
      <c r="T15" s="241" t="s">
        <v>178</v>
      </c>
      <c r="U15" s="241" t="s">
        <v>73</v>
      </c>
      <c r="V15" s="218"/>
      <c r="W15" s="218"/>
      <c r="X15" s="218"/>
      <c r="Y15" s="218"/>
      <c r="Z15" s="218"/>
    </row>
    <row r="16" spans="1:26" ht="15.75">
      <c r="A16" s="218"/>
      <c r="B16" s="228">
        <v>10</v>
      </c>
      <c r="C16" s="229" t="s">
        <v>74</v>
      </c>
      <c r="D16" s="230" t="s">
        <v>67</v>
      </c>
      <c r="E16" s="231" t="s">
        <v>28</v>
      </c>
      <c r="F16" s="230" t="s">
        <v>13</v>
      </c>
      <c r="G16" s="232" t="s">
        <v>49</v>
      </c>
      <c r="H16" s="233"/>
      <c r="I16" s="234">
        <v>4</v>
      </c>
      <c r="J16" s="230" t="s">
        <v>13</v>
      </c>
      <c r="K16" s="234">
        <v>1</v>
      </c>
      <c r="L16" s="234"/>
      <c r="M16" s="235"/>
      <c r="N16" s="236"/>
      <c r="O16" s="240">
        <v>3</v>
      </c>
      <c r="P16" s="241" t="s">
        <v>83</v>
      </c>
      <c r="Q16" s="241" t="s">
        <v>164</v>
      </c>
      <c r="R16" s="241" t="s">
        <v>70</v>
      </c>
      <c r="S16" s="241" t="s">
        <v>78</v>
      </c>
      <c r="T16" s="241" t="s">
        <v>72</v>
      </c>
      <c r="U16" s="241" t="s">
        <v>80</v>
      </c>
      <c r="V16" s="218"/>
      <c r="W16" s="218"/>
      <c r="X16" s="218"/>
      <c r="Y16" s="218"/>
      <c r="Z16" s="218"/>
    </row>
    <row r="17" spans="1:26" ht="15.75">
      <c r="A17" s="218"/>
      <c r="B17" s="228">
        <v>11</v>
      </c>
      <c r="C17" s="229" t="s">
        <v>81</v>
      </c>
      <c r="D17" s="230" t="s">
        <v>82</v>
      </c>
      <c r="E17" s="231" t="s">
        <v>29</v>
      </c>
      <c r="F17" s="230" t="s">
        <v>13</v>
      </c>
      <c r="G17" s="232" t="s">
        <v>43</v>
      </c>
      <c r="H17" s="233"/>
      <c r="I17" s="234">
        <v>2</v>
      </c>
      <c r="J17" s="230" t="s">
        <v>13</v>
      </c>
      <c r="K17" s="234">
        <v>3</v>
      </c>
      <c r="L17" s="234"/>
      <c r="M17" s="235"/>
      <c r="N17" s="236"/>
      <c r="O17" s="240">
        <v>4</v>
      </c>
      <c r="P17" s="241" t="s">
        <v>75</v>
      </c>
      <c r="Q17" s="241" t="s">
        <v>84</v>
      </c>
      <c r="R17" s="241" t="s">
        <v>85</v>
      </c>
      <c r="S17" s="241" t="s">
        <v>86</v>
      </c>
      <c r="T17" s="241" t="s">
        <v>79</v>
      </c>
      <c r="U17" s="241" t="s">
        <v>88</v>
      </c>
      <c r="V17" s="218"/>
      <c r="W17" s="218"/>
      <c r="X17" s="218"/>
      <c r="Y17" s="218"/>
      <c r="Z17" s="218"/>
    </row>
    <row r="18" spans="1:26" ht="15.75">
      <c r="A18" s="218"/>
      <c r="B18" s="228">
        <v>12</v>
      </c>
      <c r="C18" s="229" t="s">
        <v>89</v>
      </c>
      <c r="D18" s="230" t="s">
        <v>82</v>
      </c>
      <c r="E18" s="231" t="s">
        <v>37</v>
      </c>
      <c r="F18" s="230" t="s">
        <v>13</v>
      </c>
      <c r="G18" s="232" t="s">
        <v>50</v>
      </c>
      <c r="H18" s="233"/>
      <c r="I18" s="234">
        <v>2</v>
      </c>
      <c r="J18" s="230" t="s">
        <v>13</v>
      </c>
      <c r="K18" s="234">
        <v>0</v>
      </c>
      <c r="L18" s="234"/>
      <c r="M18" s="235"/>
      <c r="N18" s="236"/>
      <c r="O18" s="218"/>
      <c r="P18" s="241"/>
      <c r="Q18" s="241"/>
      <c r="R18" s="241"/>
      <c r="S18" s="241"/>
      <c r="T18" s="241"/>
      <c r="U18" s="241"/>
      <c r="V18" s="218"/>
      <c r="W18" s="218"/>
      <c r="X18" s="218"/>
      <c r="Y18" s="218"/>
      <c r="Z18" s="218"/>
    </row>
    <row r="19" spans="1:26" ht="15.75">
      <c r="A19" s="218"/>
      <c r="B19" s="228">
        <v>13</v>
      </c>
      <c r="C19" s="229" t="s">
        <v>90</v>
      </c>
      <c r="D19" s="230" t="s">
        <v>91</v>
      </c>
      <c r="E19" s="231" t="s">
        <v>84</v>
      </c>
      <c r="F19" s="230" t="s">
        <v>13</v>
      </c>
      <c r="G19" s="232" t="s">
        <v>69</v>
      </c>
      <c r="H19" s="233"/>
      <c r="I19" s="234">
        <v>0</v>
      </c>
      <c r="J19" s="230" t="s">
        <v>13</v>
      </c>
      <c r="K19" s="234">
        <v>0</v>
      </c>
      <c r="L19" s="234"/>
      <c r="M19" s="235"/>
      <c r="N19" s="236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spans="1:26" ht="16.5" thickBot="1">
      <c r="A20" s="218"/>
      <c r="B20" s="228">
        <v>14</v>
      </c>
      <c r="C20" s="229" t="s">
        <v>92</v>
      </c>
      <c r="D20" s="230" t="s">
        <v>91</v>
      </c>
      <c r="E20" s="231" t="s">
        <v>61</v>
      </c>
      <c r="F20" s="230" t="s">
        <v>13</v>
      </c>
      <c r="G20" s="232" t="s">
        <v>76</v>
      </c>
      <c r="H20" s="233"/>
      <c r="I20" s="234">
        <v>4</v>
      </c>
      <c r="J20" s="230" t="s">
        <v>13</v>
      </c>
      <c r="K20" s="234">
        <v>0</v>
      </c>
      <c r="L20" s="234"/>
      <c r="M20" s="235"/>
      <c r="N20" s="236"/>
      <c r="O20" s="242" t="s">
        <v>93</v>
      </c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spans="1:26" ht="16.5" thickBot="1">
      <c r="A21" s="218"/>
      <c r="B21" s="228">
        <v>15</v>
      </c>
      <c r="C21" s="229" t="s">
        <v>94</v>
      </c>
      <c r="D21" s="230" t="s">
        <v>95</v>
      </c>
      <c r="E21" s="231" t="s">
        <v>83</v>
      </c>
      <c r="F21" s="230" t="s">
        <v>13</v>
      </c>
      <c r="G21" s="232" t="s">
        <v>75</v>
      </c>
      <c r="H21" s="233"/>
      <c r="I21" s="234">
        <v>1</v>
      </c>
      <c r="J21" s="230" t="s">
        <v>13</v>
      </c>
      <c r="K21" s="234">
        <v>0</v>
      </c>
      <c r="L21" s="234"/>
      <c r="M21" s="235"/>
      <c r="N21" s="236"/>
      <c r="O21" s="218"/>
      <c r="P21" s="237" t="s">
        <v>16</v>
      </c>
      <c r="Q21" s="238" t="s">
        <v>17</v>
      </c>
      <c r="R21" s="238" t="s">
        <v>18</v>
      </c>
      <c r="S21" s="238" t="s">
        <v>19</v>
      </c>
      <c r="T21" s="238" t="s">
        <v>20</v>
      </c>
      <c r="U21" s="238" t="s">
        <v>21</v>
      </c>
      <c r="V21" s="218"/>
      <c r="W21" s="218"/>
      <c r="X21" s="218"/>
      <c r="Y21" s="218"/>
      <c r="Z21" s="218"/>
    </row>
    <row r="22" spans="1:26" ht="15.75">
      <c r="A22" s="218"/>
      <c r="B22" s="228">
        <v>16</v>
      </c>
      <c r="C22" s="229" t="s">
        <v>96</v>
      </c>
      <c r="D22" s="230" t="s">
        <v>95</v>
      </c>
      <c r="E22" s="231" t="s">
        <v>60</v>
      </c>
      <c r="F22" s="230" t="s">
        <v>13</v>
      </c>
      <c r="G22" s="232" t="s">
        <v>68</v>
      </c>
      <c r="H22" s="233"/>
      <c r="I22" s="234">
        <v>1</v>
      </c>
      <c r="J22" s="230" t="s">
        <v>13</v>
      </c>
      <c r="K22" s="234">
        <v>0</v>
      </c>
      <c r="L22" s="234"/>
      <c r="M22" s="235"/>
      <c r="N22" s="236"/>
      <c r="O22" s="218"/>
      <c r="P22" s="243" t="s">
        <v>12</v>
      </c>
      <c r="Q22" s="243" t="s">
        <v>32</v>
      </c>
      <c r="R22" s="243" t="s">
        <v>46</v>
      </c>
      <c r="S22" s="243" t="s">
        <v>35</v>
      </c>
      <c r="T22" s="243" t="s">
        <v>42</v>
      </c>
      <c r="U22" s="243" t="s">
        <v>29</v>
      </c>
      <c r="V22" s="218"/>
      <c r="W22" s="218"/>
      <c r="X22" s="218"/>
      <c r="Y22" s="218"/>
      <c r="Z22" s="218"/>
    </row>
    <row r="23" spans="1:26" ht="15.75">
      <c r="A23" s="218"/>
      <c r="B23" s="228">
        <v>17</v>
      </c>
      <c r="C23" s="229" t="s">
        <v>97</v>
      </c>
      <c r="D23" s="230" t="s">
        <v>98</v>
      </c>
      <c r="E23" s="231" t="s">
        <v>62</v>
      </c>
      <c r="F23" s="230" t="s">
        <v>13</v>
      </c>
      <c r="G23" s="232" t="s">
        <v>77</v>
      </c>
      <c r="H23" s="233"/>
      <c r="I23" s="234">
        <v>3</v>
      </c>
      <c r="J23" s="230" t="s">
        <v>13</v>
      </c>
      <c r="K23" s="234">
        <v>1</v>
      </c>
      <c r="L23" s="234"/>
      <c r="M23" s="235"/>
      <c r="N23" s="236"/>
      <c r="O23" s="218"/>
      <c r="P23" s="241" t="s">
        <v>14</v>
      </c>
      <c r="Q23" s="241" t="s">
        <v>33</v>
      </c>
      <c r="R23" s="241" t="s">
        <v>34</v>
      </c>
      <c r="S23" s="241" t="s">
        <v>40</v>
      </c>
      <c r="T23" s="241" t="s">
        <v>36</v>
      </c>
      <c r="U23" s="241" t="s">
        <v>43</v>
      </c>
      <c r="V23" s="218"/>
      <c r="W23" s="218"/>
      <c r="X23" s="218"/>
      <c r="Y23" s="218"/>
      <c r="Z23" s="218"/>
    </row>
    <row r="24" spans="1:26" ht="15.75">
      <c r="A24" s="218"/>
      <c r="B24" s="228">
        <v>18</v>
      </c>
      <c r="C24" s="229" t="s">
        <v>99</v>
      </c>
      <c r="D24" s="230" t="s">
        <v>98</v>
      </c>
      <c r="E24" s="231" t="s">
        <v>85</v>
      </c>
      <c r="F24" s="230" t="s">
        <v>13</v>
      </c>
      <c r="G24" s="232" t="s">
        <v>70</v>
      </c>
      <c r="H24" s="233"/>
      <c r="I24" s="234">
        <v>1</v>
      </c>
      <c r="J24" s="230" t="s">
        <v>13</v>
      </c>
      <c r="K24" s="234">
        <v>3</v>
      </c>
      <c r="L24" s="234"/>
      <c r="M24" s="235"/>
      <c r="N24" s="236"/>
      <c r="O24" s="218"/>
      <c r="P24" s="241" t="s">
        <v>23</v>
      </c>
      <c r="Q24" s="241" t="s">
        <v>47</v>
      </c>
      <c r="R24" s="241" t="s">
        <v>26</v>
      </c>
      <c r="S24" s="241" t="s">
        <v>48</v>
      </c>
      <c r="T24" s="241" t="s">
        <v>28</v>
      </c>
      <c r="U24" s="241" t="s">
        <v>37</v>
      </c>
      <c r="V24" s="218"/>
      <c r="W24" s="218"/>
      <c r="X24" s="218"/>
      <c r="Y24" s="218"/>
      <c r="Z24" s="218"/>
    </row>
    <row r="25" spans="1:26" ht="15.75">
      <c r="A25" s="218"/>
      <c r="B25" s="228">
        <v>19</v>
      </c>
      <c r="C25" s="229" t="s">
        <v>100</v>
      </c>
      <c r="D25" s="230" t="s">
        <v>101</v>
      </c>
      <c r="E25" s="231" t="s">
        <v>63</v>
      </c>
      <c r="F25" s="230" t="s">
        <v>13</v>
      </c>
      <c r="G25" s="232" t="s">
        <v>78</v>
      </c>
      <c r="H25" s="233"/>
      <c r="I25" s="234">
        <v>2</v>
      </c>
      <c r="J25" s="230" t="s">
        <v>13</v>
      </c>
      <c r="K25" s="234">
        <v>0</v>
      </c>
      <c r="L25" s="234"/>
      <c r="M25" s="235"/>
      <c r="N25" s="236"/>
      <c r="O25" s="218"/>
      <c r="P25" s="241" t="s">
        <v>24</v>
      </c>
      <c r="Q25" s="241" t="s">
        <v>25</v>
      </c>
      <c r="R25" s="241" t="s">
        <v>41</v>
      </c>
      <c r="S25" s="241" t="s">
        <v>27</v>
      </c>
      <c r="T25" s="241" t="s">
        <v>49</v>
      </c>
      <c r="U25" s="241" t="s">
        <v>50</v>
      </c>
      <c r="V25" s="218"/>
      <c r="W25" s="218"/>
      <c r="X25" s="218"/>
      <c r="Y25" s="218"/>
      <c r="Z25" s="218"/>
    </row>
    <row r="26" spans="1:26" ht="16.5" thickBot="1">
      <c r="A26" s="218"/>
      <c r="B26" s="228">
        <v>20</v>
      </c>
      <c r="C26" s="229" t="s">
        <v>102</v>
      </c>
      <c r="D26" s="230" t="s">
        <v>101</v>
      </c>
      <c r="E26" s="231" t="s">
        <v>71</v>
      </c>
      <c r="F26" s="230" t="s">
        <v>13</v>
      </c>
      <c r="G26" s="232" t="s">
        <v>86</v>
      </c>
      <c r="H26" s="233"/>
      <c r="I26" s="234">
        <v>1</v>
      </c>
      <c r="J26" s="230" t="s">
        <v>13</v>
      </c>
      <c r="K26" s="234">
        <v>0</v>
      </c>
      <c r="L26" s="234"/>
      <c r="M26" s="235"/>
      <c r="N26" s="236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spans="1:26" ht="16.5" thickBot="1">
      <c r="A27" s="218"/>
      <c r="B27" s="228">
        <v>21</v>
      </c>
      <c r="C27" s="229" t="s">
        <v>103</v>
      </c>
      <c r="D27" s="230" t="s">
        <v>104</v>
      </c>
      <c r="E27" s="231" t="s">
        <v>80</v>
      </c>
      <c r="F27" s="230" t="s">
        <v>13</v>
      </c>
      <c r="G27" s="232" t="s">
        <v>88</v>
      </c>
      <c r="H27" s="233"/>
      <c r="I27" s="234">
        <v>2</v>
      </c>
      <c r="J27" s="230" t="s">
        <v>13</v>
      </c>
      <c r="K27" s="234">
        <v>0</v>
      </c>
      <c r="L27" s="234"/>
      <c r="M27" s="235"/>
      <c r="N27" s="236"/>
      <c r="O27" s="218"/>
      <c r="P27" s="237" t="s">
        <v>53</v>
      </c>
      <c r="Q27" s="238" t="s">
        <v>54</v>
      </c>
      <c r="R27" s="238" t="s">
        <v>55</v>
      </c>
      <c r="S27" s="238" t="s">
        <v>56</v>
      </c>
      <c r="T27" s="238" t="s">
        <v>57</v>
      </c>
      <c r="U27" s="238" t="s">
        <v>58</v>
      </c>
      <c r="V27" s="218"/>
      <c r="W27" s="218"/>
      <c r="X27" s="218"/>
      <c r="Y27" s="218"/>
      <c r="Z27" s="218"/>
    </row>
    <row r="28" spans="1:26" ht="15.75">
      <c r="A28" s="218"/>
      <c r="B28" s="228">
        <v>22</v>
      </c>
      <c r="C28" s="229" t="s">
        <v>105</v>
      </c>
      <c r="D28" s="230" t="s">
        <v>104</v>
      </c>
      <c r="E28" s="231" t="s">
        <v>65</v>
      </c>
      <c r="F28" s="230" t="s">
        <v>13</v>
      </c>
      <c r="G28" s="232" t="s">
        <v>73</v>
      </c>
      <c r="H28" s="233"/>
      <c r="I28" s="234">
        <v>2</v>
      </c>
      <c r="J28" s="230" t="s">
        <v>13</v>
      </c>
      <c r="K28" s="234">
        <v>1</v>
      </c>
      <c r="L28" s="234"/>
      <c r="M28" s="235"/>
      <c r="N28" s="236"/>
      <c r="O28" s="218"/>
      <c r="P28" s="243" t="s">
        <v>83</v>
      </c>
      <c r="Q28" s="243" t="s">
        <v>84</v>
      </c>
      <c r="R28" s="243" t="s">
        <v>62</v>
      </c>
      <c r="S28" s="243" t="s">
        <v>63</v>
      </c>
      <c r="T28" s="243" t="s">
        <v>64</v>
      </c>
      <c r="U28" s="243" t="s">
        <v>80</v>
      </c>
      <c r="V28" s="218"/>
      <c r="W28" s="218"/>
      <c r="X28" s="218"/>
      <c r="Y28" s="218"/>
      <c r="Z28" s="218"/>
    </row>
    <row r="29" spans="1:26" ht="15.75">
      <c r="A29" s="218"/>
      <c r="B29" s="228">
        <v>23</v>
      </c>
      <c r="C29" s="229" t="s">
        <v>106</v>
      </c>
      <c r="D29" s="230" t="s">
        <v>107</v>
      </c>
      <c r="E29" s="231" t="s">
        <v>64</v>
      </c>
      <c r="F29" s="230" t="s">
        <v>13</v>
      </c>
      <c r="G29" s="232" t="s">
        <v>87</v>
      </c>
      <c r="H29" s="233"/>
      <c r="I29" s="234">
        <v>3</v>
      </c>
      <c r="J29" s="230" t="s">
        <v>13</v>
      </c>
      <c r="K29" s="234">
        <v>1</v>
      </c>
      <c r="L29" s="234"/>
      <c r="M29" s="235"/>
      <c r="N29" s="236"/>
      <c r="O29" s="218"/>
      <c r="P29" s="241" t="s">
        <v>75</v>
      </c>
      <c r="Q29" s="241" t="s">
        <v>69</v>
      </c>
      <c r="R29" s="241" t="s">
        <v>77</v>
      </c>
      <c r="S29" s="241" t="s">
        <v>78</v>
      </c>
      <c r="T29" s="241" t="s">
        <v>87</v>
      </c>
      <c r="U29" s="241" t="s">
        <v>88</v>
      </c>
      <c r="V29" s="218"/>
      <c r="W29" s="218"/>
      <c r="X29" s="218"/>
      <c r="Y29" s="218"/>
      <c r="Z29" s="218"/>
    </row>
    <row r="30" spans="1:26" ht="15.75">
      <c r="A30" s="218"/>
      <c r="B30" s="228">
        <v>24</v>
      </c>
      <c r="C30" s="229" t="s">
        <v>108</v>
      </c>
      <c r="D30" s="230" t="s">
        <v>107</v>
      </c>
      <c r="E30" s="231" t="s">
        <v>79</v>
      </c>
      <c r="F30" s="230" t="s">
        <v>13</v>
      </c>
      <c r="G30" s="232" t="s">
        <v>72</v>
      </c>
      <c r="H30" s="233"/>
      <c r="I30" s="234">
        <v>1</v>
      </c>
      <c r="J30" s="230" t="s">
        <v>13</v>
      </c>
      <c r="K30" s="234">
        <v>1</v>
      </c>
      <c r="L30" s="234"/>
      <c r="M30" s="235"/>
      <c r="N30" s="236"/>
      <c r="O30" s="218"/>
      <c r="P30" s="241" t="s">
        <v>60</v>
      </c>
      <c r="Q30" s="241" t="s">
        <v>61</v>
      </c>
      <c r="R30" s="241" t="s">
        <v>85</v>
      </c>
      <c r="S30" s="241" t="s">
        <v>71</v>
      </c>
      <c r="T30" s="241" t="s">
        <v>79</v>
      </c>
      <c r="U30" s="241" t="s">
        <v>65</v>
      </c>
      <c r="V30" s="218"/>
      <c r="W30" s="218"/>
      <c r="X30" s="218"/>
      <c r="Y30" s="218"/>
      <c r="Z30" s="218"/>
    </row>
    <row r="31" spans="1:26" ht="15.75">
      <c r="A31" s="218"/>
      <c r="B31" s="228">
        <v>25</v>
      </c>
      <c r="C31" s="229" t="s">
        <v>109</v>
      </c>
      <c r="D31" s="230" t="s">
        <v>11</v>
      </c>
      <c r="E31" s="231" t="s">
        <v>24</v>
      </c>
      <c r="F31" s="230" t="s">
        <v>13</v>
      </c>
      <c r="G31" s="232" t="s">
        <v>14</v>
      </c>
      <c r="H31" s="233"/>
      <c r="I31" s="234">
        <v>1</v>
      </c>
      <c r="J31" s="230" t="s">
        <v>13</v>
      </c>
      <c r="K31" s="234">
        <v>0</v>
      </c>
      <c r="L31" s="234"/>
      <c r="M31" s="235"/>
      <c r="N31" s="236"/>
      <c r="O31" s="218"/>
      <c r="P31" s="241" t="s">
        <v>68</v>
      </c>
      <c r="Q31" s="241" t="s">
        <v>76</v>
      </c>
      <c r="R31" s="241" t="s">
        <v>70</v>
      </c>
      <c r="S31" s="241" t="s">
        <v>86</v>
      </c>
      <c r="T31" s="241" t="s">
        <v>72</v>
      </c>
      <c r="U31" s="241" t="s">
        <v>73</v>
      </c>
      <c r="V31" s="218"/>
      <c r="W31" s="218"/>
      <c r="X31" s="218"/>
      <c r="Y31" s="218"/>
      <c r="Z31" s="218"/>
    </row>
    <row r="32" spans="1:26" ht="15.75">
      <c r="A32" s="218"/>
      <c r="B32" s="228">
        <v>26</v>
      </c>
      <c r="C32" s="229" t="s">
        <v>110</v>
      </c>
      <c r="D32" s="230" t="s">
        <v>31</v>
      </c>
      <c r="E32" s="231" t="s">
        <v>25</v>
      </c>
      <c r="F32" s="230" t="s">
        <v>13</v>
      </c>
      <c r="G32" s="232" t="s">
        <v>33</v>
      </c>
      <c r="H32" s="233"/>
      <c r="I32" s="234">
        <v>0</v>
      </c>
      <c r="J32" s="230" t="s">
        <v>13</v>
      </c>
      <c r="K32" s="234">
        <v>0</v>
      </c>
      <c r="L32" s="234"/>
      <c r="M32" s="235"/>
      <c r="N32" s="236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spans="1:26" ht="15.75">
      <c r="A33" s="218"/>
      <c r="B33" s="228">
        <v>27</v>
      </c>
      <c r="C33" s="229" t="s">
        <v>111</v>
      </c>
      <c r="D33" s="230" t="s">
        <v>31</v>
      </c>
      <c r="E33" s="231" t="s">
        <v>32</v>
      </c>
      <c r="F33" s="230" t="s">
        <v>13</v>
      </c>
      <c r="G33" s="232" t="s">
        <v>47</v>
      </c>
      <c r="H33" s="233"/>
      <c r="I33" s="234">
        <v>2</v>
      </c>
      <c r="J33" s="230" t="s">
        <v>13</v>
      </c>
      <c r="K33" s="234">
        <v>1</v>
      </c>
      <c r="L33" s="234"/>
      <c r="M33" s="235"/>
      <c r="N33" s="236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spans="1:26" ht="15.75">
      <c r="A34" s="218"/>
      <c r="B34" s="228">
        <v>28</v>
      </c>
      <c r="C34" s="229" t="s">
        <v>112</v>
      </c>
      <c r="D34" s="230" t="s">
        <v>11</v>
      </c>
      <c r="E34" s="231" t="s">
        <v>12</v>
      </c>
      <c r="F34" s="230" t="s">
        <v>13</v>
      </c>
      <c r="G34" s="232" t="s">
        <v>23</v>
      </c>
      <c r="H34" s="233"/>
      <c r="I34" s="234">
        <v>1</v>
      </c>
      <c r="J34" s="230" t="s">
        <v>13</v>
      </c>
      <c r="K34" s="234">
        <v>1</v>
      </c>
      <c r="L34" s="234"/>
      <c r="M34" s="235"/>
      <c r="N34" s="236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spans="1:26" ht="15.75">
      <c r="A35" s="218"/>
      <c r="B35" s="228">
        <v>29</v>
      </c>
      <c r="C35" s="229" t="s">
        <v>113</v>
      </c>
      <c r="D35" s="230" t="s">
        <v>45</v>
      </c>
      <c r="E35" s="231" t="s">
        <v>26</v>
      </c>
      <c r="F35" s="230" t="s">
        <v>13</v>
      </c>
      <c r="G35" s="232" t="s">
        <v>46</v>
      </c>
      <c r="H35" s="233"/>
      <c r="I35" s="234">
        <v>3</v>
      </c>
      <c r="J35" s="230" t="s">
        <v>13</v>
      </c>
      <c r="K35" s="234">
        <v>0</v>
      </c>
      <c r="L35" s="234"/>
      <c r="M35" s="235"/>
      <c r="N35" s="236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spans="1:26" ht="15.75">
      <c r="A36" s="218"/>
      <c r="B36" s="228">
        <v>30</v>
      </c>
      <c r="C36" s="229" t="s">
        <v>114</v>
      </c>
      <c r="D36" s="230" t="s">
        <v>45</v>
      </c>
      <c r="E36" s="231" t="s">
        <v>34</v>
      </c>
      <c r="F36" s="230" t="s">
        <v>13</v>
      </c>
      <c r="G36" s="232" t="s">
        <v>41</v>
      </c>
      <c r="H36" s="233"/>
      <c r="I36" s="234">
        <v>2</v>
      </c>
      <c r="J36" s="230" t="s">
        <v>13</v>
      </c>
      <c r="K36" s="234">
        <v>2</v>
      </c>
      <c r="L36" s="234"/>
      <c r="M36" s="235"/>
      <c r="N36" s="236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spans="1:26" ht="15.75">
      <c r="A37" s="218"/>
      <c r="B37" s="228">
        <v>31</v>
      </c>
      <c r="C37" s="229" t="s">
        <v>115</v>
      </c>
      <c r="D37" s="230" t="s">
        <v>39</v>
      </c>
      <c r="E37" s="231" t="s">
        <v>27</v>
      </c>
      <c r="F37" s="230" t="s">
        <v>13</v>
      </c>
      <c r="G37" s="232" t="s">
        <v>40</v>
      </c>
      <c r="H37" s="233"/>
      <c r="I37" s="234">
        <v>2</v>
      </c>
      <c r="J37" s="230" t="s">
        <v>13</v>
      </c>
      <c r="K37" s="234">
        <v>0</v>
      </c>
      <c r="L37" s="234"/>
      <c r="M37" s="235"/>
      <c r="N37" s="236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spans="1:26" ht="15.75">
      <c r="A38" s="218"/>
      <c r="B38" s="228">
        <v>32</v>
      </c>
      <c r="C38" s="229" t="s">
        <v>116</v>
      </c>
      <c r="D38" s="230" t="s">
        <v>39</v>
      </c>
      <c r="E38" s="231" t="s">
        <v>35</v>
      </c>
      <c r="F38" s="230" t="s">
        <v>13</v>
      </c>
      <c r="G38" s="232" t="s">
        <v>48</v>
      </c>
      <c r="H38" s="233"/>
      <c r="I38" s="234">
        <v>2</v>
      </c>
      <c r="J38" s="230" t="s">
        <v>13</v>
      </c>
      <c r="K38" s="234">
        <v>0</v>
      </c>
      <c r="L38" s="234"/>
      <c r="M38" s="235"/>
      <c r="N38" s="236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spans="1:26" ht="15.75">
      <c r="A39" s="218"/>
      <c r="B39" s="228">
        <v>33</v>
      </c>
      <c r="C39" s="229" t="s">
        <v>117</v>
      </c>
      <c r="D39" s="230" t="s">
        <v>67</v>
      </c>
      <c r="E39" s="231" t="s">
        <v>28</v>
      </c>
      <c r="F39" s="230" t="s">
        <v>13</v>
      </c>
      <c r="G39" s="232" t="s">
        <v>42</v>
      </c>
      <c r="H39" s="233"/>
      <c r="I39" s="234">
        <v>3</v>
      </c>
      <c r="J39" s="230" t="s">
        <v>13</v>
      </c>
      <c r="K39" s="234">
        <v>1</v>
      </c>
      <c r="L39" s="234"/>
      <c r="M39" s="235"/>
      <c r="N39" s="236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spans="1:26" ht="15.75">
      <c r="A40" s="218"/>
      <c r="B40" s="228">
        <v>34</v>
      </c>
      <c r="C40" s="229" t="s">
        <v>118</v>
      </c>
      <c r="D40" s="230" t="s">
        <v>67</v>
      </c>
      <c r="E40" s="231" t="s">
        <v>36</v>
      </c>
      <c r="F40" s="230" t="s">
        <v>13</v>
      </c>
      <c r="G40" s="232" t="s">
        <v>49</v>
      </c>
      <c r="H40" s="233"/>
      <c r="I40" s="234">
        <v>1</v>
      </c>
      <c r="J40" s="230" t="s">
        <v>13</v>
      </c>
      <c r="K40" s="234">
        <v>0</v>
      </c>
      <c r="L40" s="234"/>
      <c r="M40" s="235"/>
      <c r="N40" s="236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spans="1:26" ht="15.75">
      <c r="A41" s="218"/>
      <c r="B41" s="228">
        <v>35</v>
      </c>
      <c r="C41" s="229" t="s">
        <v>119</v>
      </c>
      <c r="D41" s="230" t="s">
        <v>82</v>
      </c>
      <c r="E41" s="231" t="s">
        <v>29</v>
      </c>
      <c r="F41" s="230" t="s">
        <v>13</v>
      </c>
      <c r="G41" s="232" t="s">
        <v>37</v>
      </c>
      <c r="H41" s="233"/>
      <c r="I41" s="234">
        <v>3</v>
      </c>
      <c r="J41" s="230" t="s">
        <v>13</v>
      </c>
      <c r="K41" s="234">
        <v>2</v>
      </c>
      <c r="L41" s="234"/>
      <c r="M41" s="235"/>
      <c r="N41" s="236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spans="1:26" ht="15.75">
      <c r="A42" s="218"/>
      <c r="B42" s="228">
        <v>36</v>
      </c>
      <c r="C42" s="229" t="s">
        <v>120</v>
      </c>
      <c r="D42" s="230" t="s">
        <v>82</v>
      </c>
      <c r="E42" s="231" t="s">
        <v>50</v>
      </c>
      <c r="F42" s="230" t="s">
        <v>13</v>
      </c>
      <c r="G42" s="232" t="s">
        <v>43</v>
      </c>
      <c r="H42" s="233"/>
      <c r="I42" s="234">
        <v>0</v>
      </c>
      <c r="J42" s="230" t="s">
        <v>13</v>
      </c>
      <c r="K42" s="234">
        <v>2</v>
      </c>
      <c r="L42" s="234"/>
      <c r="M42" s="235"/>
      <c r="N42" s="236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spans="1:26" ht="15.75">
      <c r="A43" s="218"/>
      <c r="B43" s="228">
        <v>37</v>
      </c>
      <c r="C43" s="229" t="s">
        <v>121</v>
      </c>
      <c r="D43" s="230" t="s">
        <v>91</v>
      </c>
      <c r="E43" s="231" t="s">
        <v>69</v>
      </c>
      <c r="F43" s="230" t="s">
        <v>13</v>
      </c>
      <c r="G43" s="232" t="s">
        <v>76</v>
      </c>
      <c r="H43" s="233"/>
      <c r="I43" s="234">
        <v>1</v>
      </c>
      <c r="J43" s="230" t="s">
        <v>13</v>
      </c>
      <c r="K43" s="234">
        <v>0</v>
      </c>
      <c r="L43" s="234"/>
      <c r="M43" s="235"/>
      <c r="N43" s="220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spans="1:26" ht="15.75">
      <c r="A44" s="218"/>
      <c r="B44" s="228">
        <v>38</v>
      </c>
      <c r="C44" s="229" t="s">
        <v>122</v>
      </c>
      <c r="D44" s="230" t="s">
        <v>91</v>
      </c>
      <c r="E44" s="231" t="s">
        <v>61</v>
      </c>
      <c r="F44" s="230" t="s">
        <v>13</v>
      </c>
      <c r="G44" s="232" t="s">
        <v>84</v>
      </c>
      <c r="H44" s="233"/>
      <c r="I44" s="234">
        <v>4</v>
      </c>
      <c r="J44" s="230" t="s">
        <v>13</v>
      </c>
      <c r="K44" s="234">
        <v>1</v>
      </c>
      <c r="L44" s="234"/>
      <c r="M44" s="235"/>
      <c r="N44" s="220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spans="1:26" ht="15.75">
      <c r="A45" s="218"/>
      <c r="B45" s="228">
        <v>39</v>
      </c>
      <c r="C45" s="229" t="s">
        <v>123</v>
      </c>
      <c r="D45" s="230" t="s">
        <v>95</v>
      </c>
      <c r="E45" s="231" t="s">
        <v>60</v>
      </c>
      <c r="F45" s="230" t="s">
        <v>13</v>
      </c>
      <c r="G45" s="232" t="s">
        <v>83</v>
      </c>
      <c r="H45" s="233"/>
      <c r="I45" s="234">
        <v>3</v>
      </c>
      <c r="J45" s="230" t="s">
        <v>13</v>
      </c>
      <c r="K45" s="234">
        <v>1</v>
      </c>
      <c r="L45" s="234"/>
      <c r="M45" s="235"/>
      <c r="N45" s="220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spans="1:26" ht="15.75">
      <c r="A46" s="218"/>
      <c r="B46" s="228">
        <v>40</v>
      </c>
      <c r="C46" s="229" t="s">
        <v>124</v>
      </c>
      <c r="D46" s="230" t="s">
        <v>95</v>
      </c>
      <c r="E46" s="231" t="s">
        <v>75</v>
      </c>
      <c r="F46" s="230" t="s">
        <v>13</v>
      </c>
      <c r="G46" s="232" t="s">
        <v>68</v>
      </c>
      <c r="H46" s="233"/>
      <c r="I46" s="234">
        <v>0</v>
      </c>
      <c r="J46" s="230" t="s">
        <v>13</v>
      </c>
      <c r="K46" s="234">
        <v>2</v>
      </c>
      <c r="L46" s="234"/>
      <c r="M46" s="235"/>
      <c r="N46" s="220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spans="1:26" ht="15.75">
      <c r="A47" s="218"/>
      <c r="B47" s="228">
        <v>41</v>
      </c>
      <c r="C47" s="229" t="s">
        <v>125</v>
      </c>
      <c r="D47" s="230" t="s">
        <v>98</v>
      </c>
      <c r="E47" s="231" t="s">
        <v>70</v>
      </c>
      <c r="F47" s="230" t="s">
        <v>13</v>
      </c>
      <c r="G47" s="232" t="s">
        <v>77</v>
      </c>
      <c r="H47" s="233"/>
      <c r="I47" s="234">
        <v>2</v>
      </c>
      <c r="J47" s="230" t="s">
        <v>13</v>
      </c>
      <c r="K47" s="234">
        <v>2</v>
      </c>
      <c r="L47" s="234"/>
      <c r="M47" s="235"/>
      <c r="N47" s="220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spans="1:26" ht="15.75">
      <c r="A48" s="218"/>
      <c r="B48" s="228">
        <v>42</v>
      </c>
      <c r="C48" s="229" t="s">
        <v>126</v>
      </c>
      <c r="D48" s="230" t="s">
        <v>98</v>
      </c>
      <c r="E48" s="231" t="s">
        <v>62</v>
      </c>
      <c r="F48" s="230" t="s">
        <v>13</v>
      </c>
      <c r="G48" s="232" t="s">
        <v>85</v>
      </c>
      <c r="H48" s="233"/>
      <c r="I48" s="234">
        <v>4</v>
      </c>
      <c r="J48" s="230" t="s">
        <v>13</v>
      </c>
      <c r="K48" s="234">
        <v>0</v>
      </c>
      <c r="L48" s="234"/>
      <c r="M48" s="235"/>
      <c r="N48" s="220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spans="1:26" ht="15.75">
      <c r="A49" s="218"/>
      <c r="B49" s="228">
        <v>43</v>
      </c>
      <c r="C49" s="229" t="s">
        <v>127</v>
      </c>
      <c r="D49" s="230" t="s">
        <v>101</v>
      </c>
      <c r="E49" s="231" t="s">
        <v>63</v>
      </c>
      <c r="F49" s="230" t="s">
        <v>13</v>
      </c>
      <c r="G49" s="232" t="s">
        <v>71</v>
      </c>
      <c r="H49" s="233"/>
      <c r="I49" s="234">
        <v>2</v>
      </c>
      <c r="J49" s="230" t="s">
        <v>13</v>
      </c>
      <c r="K49" s="234">
        <v>0</v>
      </c>
      <c r="L49" s="234"/>
      <c r="M49" s="235"/>
      <c r="N49" s="220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spans="1:26" ht="15.75">
      <c r="A50" s="218"/>
      <c r="B50" s="228">
        <v>44</v>
      </c>
      <c r="C50" s="229" t="s">
        <v>128</v>
      </c>
      <c r="D50" s="230" t="s">
        <v>101</v>
      </c>
      <c r="E50" s="231" t="s">
        <v>86</v>
      </c>
      <c r="F50" s="230" t="s">
        <v>13</v>
      </c>
      <c r="G50" s="232" t="s">
        <v>78</v>
      </c>
      <c r="H50" s="233"/>
      <c r="I50" s="234">
        <v>0</v>
      </c>
      <c r="J50" s="230" t="s">
        <v>13</v>
      </c>
      <c r="K50" s="234">
        <v>0</v>
      </c>
      <c r="L50" s="234"/>
      <c r="M50" s="235"/>
      <c r="N50" s="220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spans="1:26" ht="15.75">
      <c r="A51" s="218"/>
      <c r="B51" s="228">
        <v>45</v>
      </c>
      <c r="C51" s="229" t="s">
        <v>129</v>
      </c>
      <c r="D51" s="230" t="s">
        <v>104</v>
      </c>
      <c r="E51" s="231" t="s">
        <v>65</v>
      </c>
      <c r="F51" s="230" t="s">
        <v>13</v>
      </c>
      <c r="G51" s="232" t="s">
        <v>80</v>
      </c>
      <c r="H51" s="233"/>
      <c r="I51" s="234">
        <v>2</v>
      </c>
      <c r="J51" s="230" t="s">
        <v>13</v>
      </c>
      <c r="K51" s="234">
        <v>0</v>
      </c>
      <c r="L51" s="234"/>
      <c r="M51" s="235"/>
      <c r="N51" s="220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spans="1:26" ht="15.75">
      <c r="A52" s="218"/>
      <c r="B52" s="228">
        <v>46</v>
      </c>
      <c r="C52" s="229" t="s">
        <v>130</v>
      </c>
      <c r="D52" s="230" t="s">
        <v>104</v>
      </c>
      <c r="E52" s="231" t="s">
        <v>88</v>
      </c>
      <c r="F52" s="230" t="s">
        <v>13</v>
      </c>
      <c r="G52" s="232" t="s">
        <v>73</v>
      </c>
      <c r="H52" s="233"/>
      <c r="I52" s="234">
        <v>0</v>
      </c>
      <c r="J52" s="230" t="s">
        <v>13</v>
      </c>
      <c r="K52" s="234">
        <v>2</v>
      </c>
      <c r="L52" s="234"/>
      <c r="M52" s="235"/>
      <c r="N52" s="220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spans="1:26" ht="15.75">
      <c r="A53" s="218"/>
      <c r="B53" s="228">
        <v>47</v>
      </c>
      <c r="C53" s="229" t="s">
        <v>131</v>
      </c>
      <c r="D53" s="230" t="s">
        <v>107</v>
      </c>
      <c r="E53" s="231" t="s">
        <v>64</v>
      </c>
      <c r="F53" s="230" t="s">
        <v>13</v>
      </c>
      <c r="G53" s="232" t="s">
        <v>79</v>
      </c>
      <c r="H53" s="233"/>
      <c r="I53" s="234">
        <v>3</v>
      </c>
      <c r="J53" s="230" t="s">
        <v>13</v>
      </c>
      <c r="K53" s="234">
        <v>0</v>
      </c>
      <c r="L53" s="234"/>
      <c r="M53" s="235"/>
      <c r="N53" s="220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spans="1:26" ht="15.75">
      <c r="A54" s="218"/>
      <c r="B54" s="228">
        <v>48</v>
      </c>
      <c r="C54" s="229" t="s">
        <v>132</v>
      </c>
      <c r="D54" s="230" t="s">
        <v>107</v>
      </c>
      <c r="E54" s="231" t="s">
        <v>72</v>
      </c>
      <c r="F54" s="230" t="s">
        <v>13</v>
      </c>
      <c r="G54" s="232" t="s">
        <v>87</v>
      </c>
      <c r="H54" s="233"/>
      <c r="I54" s="234">
        <v>0</v>
      </c>
      <c r="J54" s="230" t="s">
        <v>13</v>
      </c>
      <c r="K54" s="234">
        <v>1</v>
      </c>
      <c r="L54" s="234"/>
      <c r="M54" s="235"/>
      <c r="N54" s="220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spans="1:26" ht="15.75">
      <c r="A55" s="218"/>
      <c r="B55" s="228">
        <v>49</v>
      </c>
      <c r="C55" s="229" t="s">
        <v>133</v>
      </c>
      <c r="D55" s="230" t="s">
        <v>45</v>
      </c>
      <c r="E55" s="231" t="s">
        <v>34</v>
      </c>
      <c r="F55" s="230" t="s">
        <v>13</v>
      </c>
      <c r="G55" s="232" t="s">
        <v>26</v>
      </c>
      <c r="H55" s="233"/>
      <c r="I55" s="234">
        <v>1</v>
      </c>
      <c r="J55" s="230" t="s">
        <v>13</v>
      </c>
      <c r="K55" s="234">
        <v>3</v>
      </c>
      <c r="L55" s="234"/>
      <c r="M55" s="235"/>
      <c r="N55" s="220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spans="1:26" ht="15.75">
      <c r="A56" s="218"/>
      <c r="B56" s="228">
        <v>50</v>
      </c>
      <c r="C56" s="229" t="s">
        <v>133</v>
      </c>
      <c r="D56" s="230" t="s">
        <v>45</v>
      </c>
      <c r="E56" s="231" t="s">
        <v>41</v>
      </c>
      <c r="F56" s="230" t="s">
        <v>13</v>
      </c>
      <c r="G56" s="232" t="s">
        <v>46</v>
      </c>
      <c r="H56" s="233"/>
      <c r="I56" s="234">
        <v>2</v>
      </c>
      <c r="J56" s="230" t="s">
        <v>13</v>
      </c>
      <c r="K56" s="234">
        <v>0</v>
      </c>
      <c r="L56" s="234"/>
      <c r="M56" s="235"/>
      <c r="N56" s="220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spans="1:26" ht="15.75">
      <c r="A57" s="218"/>
      <c r="B57" s="228">
        <v>51</v>
      </c>
      <c r="C57" s="229" t="s">
        <v>134</v>
      </c>
      <c r="D57" s="230" t="s">
        <v>31</v>
      </c>
      <c r="E57" s="231" t="s">
        <v>25</v>
      </c>
      <c r="F57" s="230" t="s">
        <v>13</v>
      </c>
      <c r="G57" s="232" t="s">
        <v>32</v>
      </c>
      <c r="H57" s="233"/>
      <c r="I57" s="234">
        <v>1</v>
      </c>
      <c r="J57" s="230" t="s">
        <v>13</v>
      </c>
      <c r="K57" s="234">
        <v>1</v>
      </c>
      <c r="L57" s="234"/>
      <c r="M57" s="235"/>
      <c r="N57" s="220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spans="1:26" ht="15.75">
      <c r="A58" s="218"/>
      <c r="B58" s="228">
        <v>52</v>
      </c>
      <c r="C58" s="229" t="s">
        <v>134</v>
      </c>
      <c r="D58" s="230" t="s">
        <v>31</v>
      </c>
      <c r="E58" s="231" t="s">
        <v>33</v>
      </c>
      <c r="F58" s="230" t="s">
        <v>13</v>
      </c>
      <c r="G58" s="232" t="s">
        <v>47</v>
      </c>
      <c r="H58" s="233"/>
      <c r="I58" s="234">
        <v>1</v>
      </c>
      <c r="J58" s="230" t="s">
        <v>13</v>
      </c>
      <c r="K58" s="234">
        <v>0</v>
      </c>
      <c r="L58" s="234"/>
      <c r="M58" s="235"/>
      <c r="N58" s="220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spans="1:26" ht="15.75">
      <c r="A59" s="218"/>
      <c r="B59" s="228">
        <v>53</v>
      </c>
      <c r="C59" s="229" t="s">
        <v>135</v>
      </c>
      <c r="D59" s="230" t="s">
        <v>11</v>
      </c>
      <c r="E59" s="231" t="s">
        <v>24</v>
      </c>
      <c r="F59" s="230" t="s">
        <v>13</v>
      </c>
      <c r="G59" s="232" t="s">
        <v>12</v>
      </c>
      <c r="H59" s="233"/>
      <c r="I59" s="234">
        <v>0</v>
      </c>
      <c r="J59" s="230" t="s">
        <v>13</v>
      </c>
      <c r="K59" s="234">
        <v>2</v>
      </c>
      <c r="L59" s="234"/>
      <c r="M59" s="235"/>
      <c r="N59" s="220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spans="1:26" ht="15.75">
      <c r="A60" s="218"/>
      <c r="B60" s="228">
        <v>54</v>
      </c>
      <c r="C60" s="229" t="s">
        <v>135</v>
      </c>
      <c r="D60" s="230" t="s">
        <v>11</v>
      </c>
      <c r="E60" s="231" t="s">
        <v>14</v>
      </c>
      <c r="F60" s="230" t="s">
        <v>13</v>
      </c>
      <c r="G60" s="232" t="s">
        <v>23</v>
      </c>
      <c r="H60" s="233"/>
      <c r="I60" s="234">
        <v>0</v>
      </c>
      <c r="J60" s="230" t="s">
        <v>13</v>
      </c>
      <c r="K60" s="234">
        <v>2</v>
      </c>
      <c r="L60" s="234"/>
      <c r="M60" s="235"/>
      <c r="N60" s="220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spans="1:26" ht="15.75">
      <c r="A61" s="218"/>
      <c r="B61" s="228">
        <v>55</v>
      </c>
      <c r="C61" s="229" t="s">
        <v>136</v>
      </c>
      <c r="D61" s="230" t="s">
        <v>67</v>
      </c>
      <c r="E61" s="231" t="s">
        <v>49</v>
      </c>
      <c r="F61" s="230" t="s">
        <v>13</v>
      </c>
      <c r="G61" s="232" t="s">
        <v>42</v>
      </c>
      <c r="H61" s="233"/>
      <c r="I61" s="234">
        <v>1</v>
      </c>
      <c r="J61" s="230" t="s">
        <v>13</v>
      </c>
      <c r="K61" s="234">
        <v>1</v>
      </c>
      <c r="L61" s="234"/>
      <c r="M61" s="235"/>
      <c r="N61" s="220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spans="1:26" ht="15.75">
      <c r="A62" s="218"/>
      <c r="B62" s="228">
        <v>56</v>
      </c>
      <c r="C62" s="229" t="s">
        <v>136</v>
      </c>
      <c r="D62" s="230" t="s">
        <v>67</v>
      </c>
      <c r="E62" s="231" t="s">
        <v>36</v>
      </c>
      <c r="F62" s="230" t="s">
        <v>13</v>
      </c>
      <c r="G62" s="232" t="s">
        <v>28</v>
      </c>
      <c r="H62" s="233"/>
      <c r="I62" s="234">
        <v>0</v>
      </c>
      <c r="J62" s="230" t="s">
        <v>13</v>
      </c>
      <c r="K62" s="234">
        <v>3</v>
      </c>
      <c r="L62" s="234"/>
      <c r="M62" s="235"/>
      <c r="N62" s="220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spans="1:26" ht="15.75">
      <c r="A63" s="218"/>
      <c r="B63" s="228">
        <v>57</v>
      </c>
      <c r="C63" s="229" t="s">
        <v>137</v>
      </c>
      <c r="D63" s="230" t="s">
        <v>82</v>
      </c>
      <c r="E63" s="231" t="s">
        <v>43</v>
      </c>
      <c r="F63" s="230" t="s">
        <v>13</v>
      </c>
      <c r="G63" s="232" t="s">
        <v>37</v>
      </c>
      <c r="H63" s="233"/>
      <c r="I63" s="234">
        <v>2</v>
      </c>
      <c r="J63" s="230" t="s">
        <v>13</v>
      </c>
      <c r="K63" s="234">
        <v>2</v>
      </c>
      <c r="L63" s="234"/>
      <c r="M63" s="235"/>
      <c r="N63" s="220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spans="1:26" ht="15.75">
      <c r="A64" s="218"/>
      <c r="B64" s="228">
        <v>58</v>
      </c>
      <c r="C64" s="229" t="s">
        <v>137</v>
      </c>
      <c r="D64" s="230" t="s">
        <v>82</v>
      </c>
      <c r="E64" s="231" t="s">
        <v>50</v>
      </c>
      <c r="F64" s="230" t="s">
        <v>13</v>
      </c>
      <c r="G64" s="232" t="s">
        <v>29</v>
      </c>
      <c r="H64" s="233"/>
      <c r="I64" s="234">
        <v>0</v>
      </c>
      <c r="J64" s="230" t="s">
        <v>13</v>
      </c>
      <c r="K64" s="234">
        <v>2</v>
      </c>
      <c r="L64" s="234"/>
      <c r="M64" s="235"/>
      <c r="N64" s="220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spans="1:26" ht="15.75">
      <c r="A65" s="218"/>
      <c r="B65" s="228">
        <v>59</v>
      </c>
      <c r="C65" s="229" t="s">
        <v>138</v>
      </c>
      <c r="D65" s="230" t="s">
        <v>39</v>
      </c>
      <c r="E65" s="231" t="s">
        <v>27</v>
      </c>
      <c r="F65" s="230" t="s">
        <v>13</v>
      </c>
      <c r="G65" s="232" t="s">
        <v>35</v>
      </c>
      <c r="H65" s="233"/>
      <c r="I65" s="234">
        <v>1</v>
      </c>
      <c r="J65" s="230" t="s">
        <v>13</v>
      </c>
      <c r="K65" s="234">
        <v>2</v>
      </c>
      <c r="L65" s="234"/>
      <c r="M65" s="235"/>
      <c r="N65" s="220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spans="1:26" ht="15.75">
      <c r="A66" s="218"/>
      <c r="B66" s="228">
        <v>60</v>
      </c>
      <c r="C66" s="229" t="s">
        <v>138</v>
      </c>
      <c r="D66" s="230" t="s">
        <v>39</v>
      </c>
      <c r="E66" s="231" t="s">
        <v>40</v>
      </c>
      <c r="F66" s="230" t="s">
        <v>13</v>
      </c>
      <c r="G66" s="232" t="s">
        <v>48</v>
      </c>
      <c r="H66" s="233"/>
      <c r="I66" s="234">
        <v>0</v>
      </c>
      <c r="J66" s="230" t="s">
        <v>13</v>
      </c>
      <c r="K66" s="234">
        <v>1</v>
      </c>
      <c r="L66" s="234"/>
      <c r="M66" s="235"/>
      <c r="N66" s="220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spans="1:26" ht="15.75">
      <c r="A67" s="218"/>
      <c r="B67" s="228">
        <v>61</v>
      </c>
      <c r="C67" s="229" t="s">
        <v>139</v>
      </c>
      <c r="D67" s="230" t="s">
        <v>98</v>
      </c>
      <c r="E67" s="231" t="s">
        <v>70</v>
      </c>
      <c r="F67" s="230" t="s">
        <v>13</v>
      </c>
      <c r="G67" s="232" t="s">
        <v>62</v>
      </c>
      <c r="H67" s="233"/>
      <c r="I67" s="234">
        <v>2</v>
      </c>
      <c r="J67" s="230" t="s">
        <v>13</v>
      </c>
      <c r="K67" s="234">
        <v>4</v>
      </c>
      <c r="L67" s="234"/>
      <c r="M67" s="235"/>
      <c r="N67" s="220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spans="1:26" ht="15.75">
      <c r="A68" s="218"/>
      <c r="B68" s="228">
        <v>62</v>
      </c>
      <c r="C68" s="229" t="s">
        <v>139</v>
      </c>
      <c r="D68" s="230" t="s">
        <v>98</v>
      </c>
      <c r="E68" s="231" t="s">
        <v>77</v>
      </c>
      <c r="F68" s="230" t="s">
        <v>13</v>
      </c>
      <c r="G68" s="232" t="s">
        <v>85</v>
      </c>
      <c r="H68" s="233"/>
      <c r="I68" s="234">
        <v>3</v>
      </c>
      <c r="J68" s="230" t="s">
        <v>13</v>
      </c>
      <c r="K68" s="234">
        <v>1</v>
      </c>
      <c r="L68" s="234"/>
      <c r="M68" s="235"/>
      <c r="N68" s="220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spans="1:26" ht="15.75">
      <c r="A69" s="218"/>
      <c r="B69" s="228">
        <v>63</v>
      </c>
      <c r="C69" s="229" t="s">
        <v>140</v>
      </c>
      <c r="D69" s="230" t="s">
        <v>95</v>
      </c>
      <c r="E69" s="231" t="s">
        <v>68</v>
      </c>
      <c r="F69" s="230" t="s">
        <v>13</v>
      </c>
      <c r="G69" s="232" t="s">
        <v>83</v>
      </c>
      <c r="H69" s="233"/>
      <c r="I69" s="234">
        <v>2</v>
      </c>
      <c r="J69" s="230" t="s">
        <v>13</v>
      </c>
      <c r="K69" s="234">
        <v>1</v>
      </c>
      <c r="L69" s="234"/>
      <c r="M69" s="235"/>
      <c r="N69" s="220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spans="1:26" ht="15.75">
      <c r="A70" s="218"/>
      <c r="B70" s="228">
        <v>64</v>
      </c>
      <c r="C70" s="229" t="s">
        <v>140</v>
      </c>
      <c r="D70" s="230" t="s">
        <v>95</v>
      </c>
      <c r="E70" s="231" t="s">
        <v>75</v>
      </c>
      <c r="F70" s="230" t="s">
        <v>13</v>
      </c>
      <c r="G70" s="232" t="s">
        <v>60</v>
      </c>
      <c r="H70" s="233"/>
      <c r="I70" s="234">
        <v>0</v>
      </c>
      <c r="J70" s="230" t="s">
        <v>13</v>
      </c>
      <c r="K70" s="234">
        <v>3</v>
      </c>
      <c r="L70" s="234"/>
      <c r="M70" s="235"/>
      <c r="N70" s="220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spans="1:26" ht="15.75">
      <c r="A71" s="218"/>
      <c r="B71" s="228">
        <v>65</v>
      </c>
      <c r="C71" s="229" t="s">
        <v>141</v>
      </c>
      <c r="D71" s="230" t="s">
        <v>91</v>
      </c>
      <c r="E71" s="231" t="s">
        <v>76</v>
      </c>
      <c r="F71" s="230" t="s">
        <v>13</v>
      </c>
      <c r="G71" s="232" t="s">
        <v>84</v>
      </c>
      <c r="H71" s="233"/>
      <c r="I71" s="234">
        <v>1</v>
      </c>
      <c r="J71" s="230" t="s">
        <v>13</v>
      </c>
      <c r="K71" s="234">
        <v>0</v>
      </c>
      <c r="L71" s="234"/>
      <c r="M71" s="235"/>
      <c r="N71" s="220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spans="1:26" ht="15.75">
      <c r="A72" s="218"/>
      <c r="B72" s="228">
        <v>66</v>
      </c>
      <c r="C72" s="229" t="s">
        <v>141</v>
      </c>
      <c r="D72" s="230" t="s">
        <v>91</v>
      </c>
      <c r="E72" s="231" t="s">
        <v>69</v>
      </c>
      <c r="F72" s="230" t="s">
        <v>13</v>
      </c>
      <c r="G72" s="232" t="s">
        <v>61</v>
      </c>
      <c r="H72" s="233"/>
      <c r="I72" s="234">
        <v>0</v>
      </c>
      <c r="J72" s="230" t="s">
        <v>13</v>
      </c>
      <c r="K72" s="234">
        <v>4</v>
      </c>
      <c r="L72" s="234"/>
      <c r="M72" s="235"/>
      <c r="N72" s="220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spans="1:26" ht="15.75">
      <c r="A73" s="218"/>
      <c r="B73" s="228">
        <v>67</v>
      </c>
      <c r="C73" s="229" t="s">
        <v>142</v>
      </c>
      <c r="D73" s="230" t="s">
        <v>104</v>
      </c>
      <c r="E73" s="231" t="s">
        <v>88</v>
      </c>
      <c r="F73" s="230" t="s">
        <v>13</v>
      </c>
      <c r="G73" s="232" t="s">
        <v>65</v>
      </c>
      <c r="H73" s="233"/>
      <c r="I73" s="234">
        <v>0</v>
      </c>
      <c r="J73" s="230" t="s">
        <v>13</v>
      </c>
      <c r="K73" s="234">
        <v>6</v>
      </c>
      <c r="L73" s="234"/>
      <c r="M73" s="235"/>
      <c r="N73" s="220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spans="1:26" ht="15.75">
      <c r="A74" s="218"/>
      <c r="B74" s="228">
        <v>68</v>
      </c>
      <c r="C74" s="229" t="s">
        <v>142</v>
      </c>
      <c r="D74" s="230" t="s">
        <v>104</v>
      </c>
      <c r="E74" s="231" t="s">
        <v>73</v>
      </c>
      <c r="F74" s="230" t="s">
        <v>13</v>
      </c>
      <c r="G74" s="232" t="s">
        <v>80</v>
      </c>
      <c r="H74" s="233"/>
      <c r="I74" s="234">
        <v>2</v>
      </c>
      <c r="J74" s="230" t="s">
        <v>13</v>
      </c>
      <c r="K74" s="234">
        <v>2</v>
      </c>
      <c r="L74" s="234"/>
      <c r="M74" s="235"/>
      <c r="N74" s="220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spans="1:26" ht="15.75">
      <c r="A75" s="218"/>
      <c r="B75" s="228">
        <v>69</v>
      </c>
      <c r="C75" s="229" t="s">
        <v>143</v>
      </c>
      <c r="D75" s="230" t="s">
        <v>101</v>
      </c>
      <c r="E75" s="231" t="s">
        <v>78</v>
      </c>
      <c r="F75" s="230" t="s">
        <v>13</v>
      </c>
      <c r="G75" s="232" t="s">
        <v>71</v>
      </c>
      <c r="H75" s="233"/>
      <c r="I75" s="234">
        <v>0</v>
      </c>
      <c r="J75" s="230" t="s">
        <v>13</v>
      </c>
      <c r="K75" s="234">
        <v>1</v>
      </c>
      <c r="L75" s="234"/>
      <c r="M75" s="235"/>
      <c r="N75" s="220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spans="1:26" ht="15.75">
      <c r="A76" s="218"/>
      <c r="B76" s="228">
        <v>70</v>
      </c>
      <c r="C76" s="229" t="s">
        <v>143</v>
      </c>
      <c r="D76" s="230" t="s">
        <v>101</v>
      </c>
      <c r="E76" s="231" t="s">
        <v>86</v>
      </c>
      <c r="F76" s="230" t="s">
        <v>13</v>
      </c>
      <c r="G76" s="232" t="s">
        <v>63</v>
      </c>
      <c r="H76" s="233"/>
      <c r="I76" s="234">
        <v>0</v>
      </c>
      <c r="J76" s="230" t="s">
        <v>13</v>
      </c>
      <c r="K76" s="234">
        <v>3</v>
      </c>
      <c r="L76" s="234"/>
      <c r="M76" s="235"/>
      <c r="N76" s="220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spans="1:26" ht="15.75">
      <c r="A77" s="218"/>
      <c r="B77" s="228">
        <v>71</v>
      </c>
      <c r="C77" s="229" t="s">
        <v>144</v>
      </c>
      <c r="D77" s="230" t="s">
        <v>107</v>
      </c>
      <c r="E77" s="231" t="s">
        <v>72</v>
      </c>
      <c r="F77" s="230" t="s">
        <v>13</v>
      </c>
      <c r="G77" s="232" t="s">
        <v>64</v>
      </c>
      <c r="H77" s="233"/>
      <c r="I77" s="234">
        <v>1</v>
      </c>
      <c r="J77" s="230" t="s">
        <v>13</v>
      </c>
      <c r="K77" s="234">
        <v>4</v>
      </c>
      <c r="L77" s="234"/>
      <c r="M77" s="235"/>
      <c r="N77" s="220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spans="1:26" ht="15.75">
      <c r="A78" s="218"/>
      <c r="B78" s="228">
        <v>72</v>
      </c>
      <c r="C78" s="229" t="s">
        <v>144</v>
      </c>
      <c r="D78" s="230" t="s">
        <v>107</v>
      </c>
      <c r="E78" s="231" t="s">
        <v>87</v>
      </c>
      <c r="F78" s="230" t="s">
        <v>13</v>
      </c>
      <c r="G78" s="232" t="s">
        <v>79</v>
      </c>
      <c r="H78" s="233"/>
      <c r="I78" s="234">
        <v>2</v>
      </c>
      <c r="J78" s="230" t="s">
        <v>13</v>
      </c>
      <c r="K78" s="234">
        <v>1</v>
      </c>
      <c r="L78" s="234"/>
      <c r="M78" s="235"/>
      <c r="N78" s="220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spans="1:26" ht="15.75">
      <c r="A79" s="218"/>
      <c r="B79" s="221"/>
      <c r="C79" s="222"/>
      <c r="D79" s="221" t="s">
        <v>145</v>
      </c>
      <c r="E79" s="244" t="s">
        <v>62</v>
      </c>
      <c r="F79" s="245" t="s">
        <v>13</v>
      </c>
      <c r="G79" s="244" t="s">
        <v>61</v>
      </c>
      <c r="H79" s="218"/>
      <c r="I79" s="218"/>
      <c r="J79" s="218"/>
      <c r="K79" s="220"/>
      <c r="L79" s="246"/>
      <c r="M79" s="246"/>
      <c r="N79" s="236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spans="1:26" ht="15.75">
      <c r="A80" s="218"/>
      <c r="B80" s="221"/>
      <c r="C80" s="222"/>
      <c r="D80" s="221" t="s">
        <v>146</v>
      </c>
      <c r="E80" s="247" t="s">
        <v>43</v>
      </c>
      <c r="F80" s="245" t="s">
        <v>13</v>
      </c>
      <c r="G80" s="247" t="s">
        <v>65</v>
      </c>
      <c r="H80" s="218"/>
      <c r="I80" s="218"/>
      <c r="J80" s="218"/>
      <c r="K80" s="220"/>
      <c r="L80" s="248"/>
      <c r="M80" s="248"/>
      <c r="N80" s="236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spans="1:26" ht="15.75">
      <c r="A81" s="218"/>
      <c r="B81" s="221"/>
      <c r="C81" s="222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36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spans="1:26" ht="15.75">
      <c r="A82" s="218"/>
      <c r="B82" s="221"/>
      <c r="C82" s="222"/>
      <c r="D82" s="218"/>
      <c r="E82" s="218"/>
      <c r="F82" s="218"/>
      <c r="G82" s="218"/>
      <c r="H82" s="218"/>
      <c r="I82" s="218"/>
      <c r="J82" s="218"/>
      <c r="K82" s="218"/>
      <c r="L82" s="249" t="s">
        <v>147</v>
      </c>
      <c r="M82" s="250"/>
      <c r="N82" s="236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spans="1:26" ht="15.75">
      <c r="A83" s="218"/>
      <c r="B83" s="221"/>
      <c r="C83" s="222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36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spans="1:26" ht="15.75">
      <c r="A84" s="221"/>
      <c r="B84" s="221"/>
      <c r="C84" s="222"/>
      <c r="D84" s="218"/>
      <c r="E84" s="218"/>
      <c r="F84" s="218"/>
      <c r="G84" s="220"/>
      <c r="H84" s="218"/>
      <c r="I84" s="218"/>
      <c r="J84" s="218"/>
      <c r="K84" s="218"/>
      <c r="L84" s="220"/>
      <c r="M84" s="220"/>
      <c r="N84" s="220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spans="1:26" ht="15.75">
      <c r="A85" s="221"/>
      <c r="B85" s="221"/>
      <c r="C85" s="222"/>
      <c r="D85" s="218"/>
      <c r="E85" s="218"/>
      <c r="F85" s="218"/>
      <c r="G85" s="220"/>
      <c r="H85" s="218"/>
      <c r="I85" s="218"/>
      <c r="J85" s="218"/>
      <c r="K85" s="218"/>
      <c r="L85" s="220"/>
      <c r="M85" s="220"/>
      <c r="N85" s="220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spans="1:26" ht="15.75">
      <c r="A86" s="221"/>
      <c r="B86" s="251"/>
      <c r="C86" s="252"/>
      <c r="D86" s="218"/>
      <c r="E86" s="218"/>
      <c r="F86" s="218"/>
      <c r="G86" s="220"/>
      <c r="H86" s="218"/>
      <c r="I86" s="218"/>
      <c r="J86" s="218"/>
      <c r="K86" s="218"/>
      <c r="L86" s="220"/>
      <c r="M86" s="220"/>
      <c r="N86" s="220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spans="1:26" ht="15.75">
      <c r="A87" s="221"/>
      <c r="B87" s="251"/>
      <c r="C87" s="252"/>
      <c r="D87" s="218"/>
      <c r="E87" s="218"/>
      <c r="F87" s="218"/>
      <c r="G87" s="220"/>
      <c r="H87" s="218"/>
      <c r="I87" s="218"/>
      <c r="J87" s="218"/>
      <c r="K87" s="218"/>
      <c r="L87" s="220"/>
      <c r="M87" s="220"/>
      <c r="N87" s="220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spans="1:26" ht="15.75">
      <c r="A88" s="218"/>
      <c r="B88" s="221"/>
      <c r="C88" s="222"/>
      <c r="D88" s="218"/>
      <c r="E88" s="218"/>
      <c r="F88" s="220"/>
      <c r="G88" s="218"/>
      <c r="H88" s="218"/>
      <c r="I88" s="218"/>
      <c r="J88" s="218"/>
      <c r="K88" s="220"/>
      <c r="L88" s="220"/>
      <c r="M88" s="220"/>
      <c r="N88" s="220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spans="1:26" ht="15.75">
      <c r="A89" s="218"/>
      <c r="B89" s="221"/>
      <c r="C89" s="222"/>
      <c r="D89" s="218"/>
      <c r="E89" s="218"/>
      <c r="F89" s="220"/>
      <c r="G89" s="218"/>
      <c r="H89" s="218"/>
      <c r="I89" s="218"/>
      <c r="J89" s="218"/>
      <c r="K89" s="220"/>
      <c r="L89" s="220"/>
      <c r="M89" s="220"/>
      <c r="N89" s="220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spans="1:26" ht="15.75">
      <c r="A90" s="218"/>
      <c r="B90" s="221"/>
      <c r="C90" s="222"/>
      <c r="D90" s="218"/>
      <c r="E90" s="218"/>
      <c r="F90" s="220"/>
      <c r="G90" s="218"/>
      <c r="H90" s="218"/>
      <c r="I90" s="218"/>
      <c r="J90" s="218"/>
      <c r="K90" s="220"/>
      <c r="L90" s="220"/>
      <c r="M90" s="220"/>
      <c r="N90" s="220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spans="1:26" ht="15.75">
      <c r="A91" s="218"/>
      <c r="B91" s="221"/>
      <c r="C91" s="222"/>
      <c r="D91" s="218"/>
      <c r="E91" s="218"/>
      <c r="F91" s="220"/>
      <c r="G91" s="218"/>
      <c r="H91" s="218"/>
      <c r="I91" s="218"/>
      <c r="J91" s="218"/>
      <c r="K91" s="220"/>
      <c r="L91" s="220"/>
      <c r="M91" s="220"/>
      <c r="N91" s="220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spans="1:26" ht="15.75">
      <c r="A92" s="218"/>
      <c r="B92" s="221"/>
      <c r="C92" s="222"/>
      <c r="D92" s="218"/>
      <c r="E92" s="218"/>
      <c r="F92" s="220"/>
      <c r="G92" s="218"/>
      <c r="H92" s="218"/>
      <c r="I92" s="218"/>
      <c r="J92" s="218"/>
      <c r="K92" s="220"/>
      <c r="L92" s="220"/>
      <c r="M92" s="220"/>
      <c r="N92" s="220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spans="1:26" ht="15.75">
      <c r="A93" s="218"/>
      <c r="B93" s="221"/>
      <c r="C93" s="222"/>
      <c r="D93" s="218"/>
      <c r="E93" s="218"/>
      <c r="F93" s="220"/>
      <c r="G93" s="218"/>
      <c r="H93" s="218"/>
      <c r="I93" s="218"/>
      <c r="J93" s="218"/>
      <c r="K93" s="220"/>
      <c r="L93" s="220"/>
      <c r="M93" s="220"/>
      <c r="N93" s="220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spans="1:26" ht="15.75">
      <c r="A94" s="218"/>
      <c r="B94" s="221"/>
      <c r="C94" s="222"/>
      <c r="D94" s="218"/>
      <c r="E94" s="218"/>
      <c r="F94" s="220"/>
      <c r="G94" s="218"/>
      <c r="H94" s="218"/>
      <c r="I94" s="218"/>
      <c r="J94" s="218"/>
      <c r="K94" s="220"/>
      <c r="L94" s="220"/>
      <c r="M94" s="220"/>
      <c r="N94" s="220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spans="1:26" ht="15.75">
      <c r="A95" s="218"/>
      <c r="B95" s="221"/>
      <c r="C95" s="222"/>
      <c r="D95" s="218"/>
      <c r="E95" s="218"/>
      <c r="F95" s="220"/>
      <c r="G95" s="218"/>
      <c r="H95" s="218"/>
      <c r="I95" s="218"/>
      <c r="J95" s="218"/>
      <c r="K95" s="220"/>
      <c r="L95" s="220"/>
      <c r="M95" s="220"/>
      <c r="N95" s="220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spans="1:26" ht="15.75">
      <c r="A96" s="218"/>
      <c r="B96" s="221"/>
      <c r="C96" s="222"/>
      <c r="D96" s="218"/>
      <c r="E96" s="218"/>
      <c r="F96" s="220"/>
      <c r="G96" s="218"/>
      <c r="H96" s="218"/>
      <c r="I96" s="218"/>
      <c r="J96" s="218"/>
      <c r="K96" s="220"/>
      <c r="L96" s="220"/>
      <c r="M96" s="220"/>
      <c r="N96" s="220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spans="1:26" ht="15.75">
      <c r="A97" s="218"/>
      <c r="B97" s="221"/>
      <c r="C97" s="222"/>
      <c r="D97" s="218"/>
      <c r="E97" s="218"/>
      <c r="F97" s="220"/>
      <c r="G97" s="218"/>
      <c r="H97" s="218"/>
      <c r="I97" s="218"/>
      <c r="J97" s="218"/>
      <c r="K97" s="220"/>
      <c r="L97" s="220"/>
      <c r="M97" s="220"/>
      <c r="N97" s="220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spans="1:26" ht="15.75">
      <c r="A98" s="218"/>
      <c r="B98" s="221"/>
      <c r="C98" s="222"/>
      <c r="D98" s="218"/>
      <c r="E98" s="218"/>
      <c r="F98" s="220"/>
      <c r="G98" s="218"/>
      <c r="H98" s="218"/>
      <c r="I98" s="218"/>
      <c r="J98" s="218"/>
      <c r="K98" s="220"/>
      <c r="L98" s="220"/>
      <c r="M98" s="220"/>
      <c r="N98" s="220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spans="1:26" ht="15.75">
      <c r="A99" s="218"/>
      <c r="B99" s="221"/>
      <c r="C99" s="222"/>
      <c r="D99" s="218"/>
      <c r="E99" s="218"/>
      <c r="F99" s="220"/>
      <c r="G99" s="218"/>
      <c r="H99" s="218"/>
      <c r="I99" s="218"/>
      <c r="J99" s="218"/>
      <c r="K99" s="220"/>
      <c r="L99" s="220"/>
      <c r="M99" s="220"/>
      <c r="N99" s="220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spans="1:26" ht="15.75">
      <c r="A100" s="218"/>
      <c r="B100" s="221"/>
      <c r="C100" s="222"/>
      <c r="D100" s="218"/>
      <c r="E100" s="218"/>
      <c r="F100" s="220"/>
      <c r="G100" s="218"/>
      <c r="H100" s="218"/>
      <c r="I100" s="218"/>
      <c r="J100" s="218"/>
      <c r="K100" s="220"/>
      <c r="L100" s="220"/>
      <c r="M100" s="220"/>
      <c r="N100" s="220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spans="1:26" ht="15.75">
      <c r="A101" s="218"/>
      <c r="B101" s="221"/>
      <c r="C101" s="222"/>
      <c r="D101" s="218"/>
      <c r="E101" s="218"/>
      <c r="F101" s="220"/>
      <c r="G101" s="218"/>
      <c r="H101" s="218"/>
      <c r="I101" s="218"/>
      <c r="J101" s="218"/>
      <c r="K101" s="220"/>
      <c r="L101" s="220"/>
      <c r="M101" s="220"/>
      <c r="N101" s="220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spans="1:26" ht="15.75">
      <c r="A102" s="218"/>
      <c r="B102" s="221"/>
      <c r="C102" s="222"/>
      <c r="D102" s="218"/>
      <c r="E102" s="218"/>
      <c r="F102" s="220"/>
      <c r="G102" s="218"/>
      <c r="H102" s="218"/>
      <c r="I102" s="218"/>
      <c r="J102" s="218"/>
      <c r="K102" s="220"/>
      <c r="L102" s="220"/>
      <c r="M102" s="220"/>
      <c r="N102" s="220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spans="1:26" ht="15.75">
      <c r="A103" s="218"/>
      <c r="B103" s="221"/>
      <c r="C103" s="222"/>
      <c r="D103" s="218"/>
      <c r="E103" s="218"/>
      <c r="F103" s="220"/>
      <c r="G103" s="218"/>
      <c r="H103" s="218"/>
      <c r="I103" s="218"/>
      <c r="J103" s="218"/>
      <c r="K103" s="220"/>
      <c r="L103" s="220"/>
      <c r="M103" s="220"/>
      <c r="N103" s="220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spans="1:26" ht="15.75">
      <c r="A104" s="218"/>
      <c r="B104" s="221"/>
      <c r="C104" s="222"/>
      <c r="D104" s="218"/>
      <c r="E104" s="218"/>
      <c r="F104" s="220"/>
      <c r="G104" s="218"/>
      <c r="H104" s="218"/>
      <c r="I104" s="218"/>
      <c r="J104" s="218"/>
      <c r="K104" s="220"/>
      <c r="L104" s="220"/>
      <c r="M104" s="220"/>
      <c r="N104" s="220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spans="1:26" ht="15.75">
      <c r="A105" s="218"/>
      <c r="B105" s="221"/>
      <c r="C105" s="222"/>
      <c r="D105" s="218"/>
      <c r="E105" s="218"/>
      <c r="F105" s="220"/>
      <c r="G105" s="218"/>
      <c r="H105" s="218"/>
      <c r="I105" s="218"/>
      <c r="J105" s="218"/>
      <c r="K105" s="220"/>
      <c r="L105" s="220"/>
      <c r="M105" s="220"/>
      <c r="N105" s="220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spans="1:26" ht="15.75">
      <c r="A106" s="218"/>
      <c r="B106" s="221"/>
      <c r="C106" s="222"/>
      <c r="D106" s="218"/>
      <c r="E106" s="218"/>
      <c r="F106" s="220"/>
      <c r="G106" s="218"/>
      <c r="H106" s="218"/>
      <c r="I106" s="218"/>
      <c r="J106" s="218"/>
      <c r="K106" s="220"/>
      <c r="L106" s="220"/>
      <c r="M106" s="220"/>
      <c r="N106" s="220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spans="1:26" ht="15.75">
      <c r="A107" s="218"/>
      <c r="B107" s="221"/>
      <c r="C107" s="222"/>
      <c r="D107" s="218"/>
      <c r="E107" s="218"/>
      <c r="F107" s="220"/>
      <c r="G107" s="218"/>
      <c r="H107" s="218"/>
      <c r="I107" s="218"/>
      <c r="J107" s="218"/>
      <c r="K107" s="220"/>
      <c r="L107" s="220"/>
      <c r="M107" s="220"/>
      <c r="N107" s="220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spans="1:26" ht="15.75">
      <c r="A108" s="218"/>
      <c r="B108" s="221"/>
      <c r="C108" s="222"/>
      <c r="D108" s="218"/>
      <c r="E108" s="218"/>
      <c r="F108" s="220"/>
      <c r="G108" s="218"/>
      <c r="H108" s="218"/>
      <c r="I108" s="218"/>
      <c r="J108" s="218"/>
      <c r="K108" s="220"/>
      <c r="L108" s="220"/>
      <c r="M108" s="220"/>
      <c r="N108" s="220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spans="1:26" ht="15.75">
      <c r="A109" s="218"/>
      <c r="B109" s="221"/>
      <c r="C109" s="222"/>
      <c r="D109" s="218"/>
      <c r="E109" s="218"/>
      <c r="F109" s="220"/>
      <c r="G109" s="218"/>
      <c r="H109" s="218"/>
      <c r="I109" s="218"/>
      <c r="J109" s="218"/>
      <c r="K109" s="220"/>
      <c r="L109" s="220"/>
      <c r="M109" s="220"/>
      <c r="N109" s="220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spans="1:26" ht="15.75">
      <c r="A110" s="218"/>
      <c r="B110" s="221"/>
      <c r="C110" s="222"/>
      <c r="D110" s="218"/>
      <c r="E110" s="218"/>
      <c r="F110" s="220"/>
      <c r="G110" s="218"/>
      <c r="H110" s="218"/>
      <c r="I110" s="218"/>
      <c r="J110" s="218"/>
      <c r="K110" s="220"/>
      <c r="L110" s="220"/>
      <c r="M110" s="220"/>
      <c r="N110" s="220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spans="1:26" ht="15.75">
      <c r="A111" s="218"/>
      <c r="B111" s="221"/>
      <c r="C111" s="222"/>
      <c r="D111" s="218"/>
      <c r="E111" s="218"/>
      <c r="F111" s="220"/>
      <c r="G111" s="218"/>
      <c r="H111" s="218"/>
      <c r="I111" s="218"/>
      <c r="J111" s="218"/>
      <c r="K111" s="220"/>
      <c r="L111" s="220"/>
      <c r="M111" s="220"/>
      <c r="N111" s="220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spans="1:26" ht="15.75">
      <c r="A112" s="218"/>
      <c r="B112" s="221"/>
      <c r="C112" s="222"/>
      <c r="D112" s="218"/>
      <c r="E112" s="218"/>
      <c r="F112" s="220"/>
      <c r="G112" s="218"/>
      <c r="H112" s="218"/>
      <c r="I112" s="218"/>
      <c r="J112" s="218"/>
      <c r="K112" s="220"/>
      <c r="L112" s="220"/>
      <c r="M112" s="220"/>
      <c r="N112" s="220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spans="1:26" ht="15.75">
      <c r="A113" s="218"/>
      <c r="B113" s="221"/>
      <c r="C113" s="222"/>
      <c r="D113" s="218"/>
      <c r="E113" s="218"/>
      <c r="F113" s="220"/>
      <c r="G113" s="218"/>
      <c r="H113" s="218"/>
      <c r="I113" s="218"/>
      <c r="J113" s="218"/>
      <c r="K113" s="220"/>
      <c r="L113" s="220"/>
      <c r="M113" s="220"/>
      <c r="N113" s="220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spans="1:26" ht="15.75">
      <c r="A114" s="218"/>
      <c r="B114" s="221"/>
      <c r="C114" s="222"/>
      <c r="D114" s="218"/>
      <c r="E114" s="218"/>
      <c r="F114" s="220"/>
      <c r="G114" s="218"/>
      <c r="H114" s="218"/>
      <c r="I114" s="218"/>
      <c r="J114" s="218"/>
      <c r="K114" s="220"/>
      <c r="L114" s="220"/>
      <c r="M114" s="220"/>
      <c r="N114" s="220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spans="1:26" ht="15.75">
      <c r="A115" s="218"/>
      <c r="B115" s="221"/>
      <c r="C115" s="222"/>
      <c r="D115" s="218"/>
      <c r="E115" s="218"/>
      <c r="F115" s="220"/>
      <c r="G115" s="218"/>
      <c r="H115" s="218"/>
      <c r="I115" s="218"/>
      <c r="J115" s="218"/>
      <c r="K115" s="220"/>
      <c r="L115" s="220"/>
      <c r="M115" s="220"/>
      <c r="N115" s="220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spans="1:26" ht="15.75">
      <c r="A116" s="218"/>
      <c r="B116" s="221"/>
      <c r="C116" s="222"/>
      <c r="D116" s="218"/>
      <c r="E116" s="218"/>
      <c r="F116" s="220"/>
      <c r="G116" s="218"/>
      <c r="H116" s="218"/>
      <c r="I116" s="218"/>
      <c r="J116" s="218"/>
      <c r="K116" s="220"/>
      <c r="L116" s="220"/>
      <c r="M116" s="220"/>
      <c r="N116" s="220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spans="1:26" ht="15.75">
      <c r="A117" s="218"/>
      <c r="B117" s="221"/>
      <c r="C117" s="222"/>
      <c r="D117" s="218"/>
      <c r="E117" s="218"/>
      <c r="F117" s="220"/>
      <c r="G117" s="218"/>
      <c r="H117" s="218"/>
      <c r="I117" s="218"/>
      <c r="J117" s="218"/>
      <c r="K117" s="220"/>
      <c r="L117" s="220"/>
      <c r="M117" s="220"/>
      <c r="N117" s="220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spans="1:26" ht="15.75">
      <c r="A118" s="218"/>
      <c r="B118" s="221"/>
      <c r="C118" s="222"/>
      <c r="D118" s="218"/>
      <c r="E118" s="218"/>
      <c r="F118" s="220"/>
      <c r="G118" s="218"/>
      <c r="H118" s="218"/>
      <c r="I118" s="218"/>
      <c r="J118" s="218"/>
      <c r="K118" s="220"/>
      <c r="L118" s="220"/>
      <c r="M118" s="220"/>
      <c r="N118" s="220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spans="1:26" ht="15.75">
      <c r="A119" s="218"/>
      <c r="B119" s="221"/>
      <c r="C119" s="222"/>
      <c r="D119" s="218"/>
      <c r="E119" s="218"/>
      <c r="F119" s="220"/>
      <c r="G119" s="218"/>
      <c r="H119" s="218"/>
      <c r="I119" s="218"/>
      <c r="J119" s="218"/>
      <c r="K119" s="220"/>
      <c r="L119" s="220"/>
      <c r="M119" s="220"/>
      <c r="N119" s="220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spans="1:26" ht="15.75">
      <c r="A120" s="218"/>
      <c r="B120" s="221"/>
      <c r="C120" s="222"/>
      <c r="D120" s="218"/>
      <c r="E120" s="218"/>
      <c r="F120" s="220"/>
      <c r="G120" s="218"/>
      <c r="H120" s="218"/>
      <c r="I120" s="218"/>
      <c r="J120" s="218"/>
      <c r="K120" s="220"/>
      <c r="L120" s="220"/>
      <c r="M120" s="220"/>
      <c r="N120" s="220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spans="1:26" ht="15.75">
      <c r="A121" s="218"/>
      <c r="B121" s="221"/>
      <c r="C121" s="222"/>
      <c r="D121" s="218"/>
      <c r="E121" s="218"/>
      <c r="F121" s="220"/>
      <c r="G121" s="218"/>
      <c r="H121" s="218"/>
      <c r="I121" s="218"/>
      <c r="J121" s="218"/>
      <c r="K121" s="220"/>
      <c r="L121" s="220"/>
      <c r="M121" s="220"/>
      <c r="N121" s="220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spans="1:26" ht="15.75">
      <c r="A122" s="218"/>
      <c r="B122" s="221"/>
      <c r="C122" s="222"/>
      <c r="D122" s="218"/>
      <c r="E122" s="218"/>
      <c r="F122" s="220"/>
      <c r="G122" s="218"/>
      <c r="H122" s="218"/>
      <c r="I122" s="218"/>
      <c r="J122" s="218"/>
      <c r="K122" s="220"/>
      <c r="L122" s="220"/>
      <c r="M122" s="220"/>
      <c r="N122" s="220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spans="1:26" ht="15.75">
      <c r="A123" s="218"/>
      <c r="B123" s="221"/>
      <c r="C123" s="222"/>
      <c r="D123" s="218"/>
      <c r="E123" s="218"/>
      <c r="F123" s="220"/>
      <c r="G123" s="218"/>
      <c r="H123" s="218"/>
      <c r="I123" s="218"/>
      <c r="J123" s="218"/>
      <c r="K123" s="220"/>
      <c r="L123" s="220"/>
      <c r="M123" s="220"/>
      <c r="N123" s="220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spans="1:26" ht="15.75">
      <c r="A124" s="218"/>
      <c r="B124" s="221"/>
      <c r="C124" s="222"/>
      <c r="D124" s="218"/>
      <c r="E124" s="218"/>
      <c r="F124" s="220"/>
      <c r="G124" s="218"/>
      <c r="H124" s="218"/>
      <c r="I124" s="218"/>
      <c r="J124" s="218"/>
      <c r="K124" s="220"/>
      <c r="L124" s="220"/>
      <c r="M124" s="220"/>
      <c r="N124" s="220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spans="1:26" ht="15.75">
      <c r="A125" s="218"/>
      <c r="B125" s="221"/>
      <c r="C125" s="222"/>
      <c r="D125" s="218"/>
      <c r="E125" s="218"/>
      <c r="F125" s="220"/>
      <c r="G125" s="218"/>
      <c r="H125" s="218"/>
      <c r="I125" s="218"/>
      <c r="J125" s="218"/>
      <c r="K125" s="220"/>
      <c r="L125" s="220"/>
      <c r="M125" s="220"/>
      <c r="N125" s="220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spans="1:26" ht="15.75">
      <c r="A126" s="218"/>
      <c r="B126" s="221"/>
      <c r="C126" s="222"/>
      <c r="D126" s="218"/>
      <c r="E126" s="218"/>
      <c r="F126" s="220"/>
      <c r="G126" s="218"/>
      <c r="H126" s="218"/>
      <c r="I126" s="218"/>
      <c r="J126" s="218"/>
      <c r="K126" s="220"/>
      <c r="L126" s="220"/>
      <c r="M126" s="220"/>
      <c r="N126" s="220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spans="1:26" ht="15.75">
      <c r="A127" s="218"/>
      <c r="B127" s="221"/>
      <c r="C127" s="222"/>
      <c r="D127" s="218"/>
      <c r="E127" s="218"/>
      <c r="F127" s="220"/>
      <c r="G127" s="218"/>
      <c r="H127" s="218"/>
      <c r="I127" s="218"/>
      <c r="J127" s="218"/>
      <c r="K127" s="220"/>
      <c r="L127" s="220"/>
      <c r="M127" s="220"/>
      <c r="N127" s="220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spans="1:26" ht="15.75">
      <c r="A128" s="218"/>
      <c r="B128" s="221"/>
      <c r="C128" s="222"/>
      <c r="D128" s="218"/>
      <c r="E128" s="218"/>
      <c r="F128" s="220"/>
      <c r="G128" s="218"/>
      <c r="H128" s="218"/>
      <c r="I128" s="218"/>
      <c r="J128" s="218"/>
      <c r="K128" s="220"/>
      <c r="L128" s="220"/>
      <c r="M128" s="220"/>
      <c r="N128" s="220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spans="1:26" ht="15.75">
      <c r="A129" s="218"/>
      <c r="B129" s="221"/>
      <c r="C129" s="222"/>
      <c r="D129" s="218"/>
      <c r="E129" s="218"/>
      <c r="F129" s="220"/>
      <c r="G129" s="218"/>
      <c r="H129" s="218"/>
      <c r="I129" s="218"/>
      <c r="J129" s="218"/>
      <c r="K129" s="220"/>
      <c r="L129" s="220"/>
      <c r="M129" s="220"/>
      <c r="N129" s="220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spans="1:26" ht="15.75">
      <c r="A130" s="218"/>
      <c r="B130" s="221"/>
      <c r="C130" s="222"/>
      <c r="D130" s="218"/>
      <c r="E130" s="218"/>
      <c r="F130" s="220"/>
      <c r="G130" s="218"/>
      <c r="H130" s="218"/>
      <c r="I130" s="218"/>
      <c r="J130" s="218"/>
      <c r="K130" s="220"/>
      <c r="L130" s="220"/>
      <c r="M130" s="220"/>
      <c r="N130" s="220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spans="1:26" ht="15.75">
      <c r="A131" s="218"/>
      <c r="B131" s="221"/>
      <c r="C131" s="222"/>
      <c r="D131" s="218"/>
      <c r="E131" s="218"/>
      <c r="F131" s="220"/>
      <c r="G131" s="218"/>
      <c r="H131" s="218"/>
      <c r="I131" s="218"/>
      <c r="J131" s="218"/>
      <c r="K131" s="220"/>
      <c r="L131" s="220"/>
      <c r="M131" s="220"/>
      <c r="N131" s="220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spans="1:26" ht="15.75">
      <c r="A132" s="218"/>
      <c r="B132" s="221"/>
      <c r="C132" s="222"/>
      <c r="D132" s="218"/>
      <c r="E132" s="218"/>
      <c r="F132" s="220"/>
      <c r="G132" s="218"/>
      <c r="H132" s="218"/>
      <c r="I132" s="218"/>
      <c r="J132" s="218"/>
      <c r="K132" s="220"/>
      <c r="L132" s="220"/>
      <c r="M132" s="220"/>
      <c r="N132" s="220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spans="1:26" ht="15.75">
      <c r="A133" s="218"/>
      <c r="B133" s="221"/>
      <c r="C133" s="222"/>
      <c r="D133" s="218"/>
      <c r="E133" s="218"/>
      <c r="F133" s="220"/>
      <c r="G133" s="218"/>
      <c r="H133" s="218"/>
      <c r="I133" s="218"/>
      <c r="J133" s="218"/>
      <c r="K133" s="220"/>
      <c r="L133" s="220"/>
      <c r="M133" s="220"/>
      <c r="N133" s="220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spans="1:26" ht="15.75">
      <c r="A134" s="218"/>
      <c r="B134" s="221"/>
      <c r="C134" s="222"/>
      <c r="D134" s="218"/>
      <c r="E134" s="218"/>
      <c r="F134" s="220"/>
      <c r="G134" s="218"/>
      <c r="H134" s="218"/>
      <c r="I134" s="218"/>
      <c r="J134" s="218"/>
      <c r="K134" s="220"/>
      <c r="L134" s="220"/>
      <c r="M134" s="220"/>
      <c r="N134" s="220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spans="1:26" ht="15.75">
      <c r="A135" s="218"/>
      <c r="B135" s="221"/>
      <c r="C135" s="222"/>
      <c r="D135" s="218"/>
      <c r="E135" s="218"/>
      <c r="F135" s="220"/>
      <c r="G135" s="218"/>
      <c r="H135" s="218"/>
      <c r="I135" s="218"/>
      <c r="J135" s="218"/>
      <c r="K135" s="220"/>
      <c r="L135" s="220"/>
      <c r="M135" s="220"/>
      <c r="N135" s="220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spans="1:26" ht="15.75">
      <c r="A136" s="218"/>
      <c r="B136" s="221"/>
      <c r="C136" s="222"/>
      <c r="D136" s="218"/>
      <c r="E136" s="218"/>
      <c r="F136" s="220"/>
      <c r="G136" s="218"/>
      <c r="H136" s="218"/>
      <c r="I136" s="218"/>
      <c r="J136" s="218"/>
      <c r="K136" s="220"/>
      <c r="L136" s="220"/>
      <c r="M136" s="220"/>
      <c r="N136" s="220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spans="1:26" ht="15.75">
      <c r="A137" s="218"/>
      <c r="B137" s="221"/>
      <c r="C137" s="222"/>
      <c r="D137" s="218"/>
      <c r="E137" s="218"/>
      <c r="F137" s="220"/>
      <c r="G137" s="218"/>
      <c r="H137" s="218"/>
      <c r="I137" s="218"/>
      <c r="J137" s="218"/>
      <c r="K137" s="220"/>
      <c r="L137" s="220"/>
      <c r="M137" s="220"/>
      <c r="N137" s="220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spans="1:26" ht="15.75">
      <c r="A138" s="218"/>
      <c r="B138" s="221"/>
      <c r="C138" s="222"/>
      <c r="D138" s="218"/>
      <c r="E138" s="218"/>
      <c r="F138" s="220"/>
      <c r="G138" s="218"/>
      <c r="H138" s="218"/>
      <c r="I138" s="218"/>
      <c r="J138" s="218"/>
      <c r="K138" s="220"/>
      <c r="L138" s="220"/>
      <c r="M138" s="220"/>
      <c r="N138" s="220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spans="1:26" ht="15.75">
      <c r="A139" s="218"/>
      <c r="B139" s="221"/>
      <c r="C139" s="222"/>
      <c r="D139" s="218"/>
      <c r="E139" s="218"/>
      <c r="F139" s="220"/>
      <c r="G139" s="218"/>
      <c r="H139" s="218"/>
      <c r="I139" s="218"/>
      <c r="J139" s="218"/>
      <c r="K139" s="220"/>
      <c r="L139" s="220"/>
      <c r="M139" s="220"/>
      <c r="N139" s="220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spans="1:26" ht="15.75">
      <c r="A140" s="218"/>
      <c r="B140" s="221"/>
      <c r="C140" s="222"/>
      <c r="D140" s="218"/>
      <c r="E140" s="218"/>
      <c r="F140" s="220"/>
      <c r="G140" s="218"/>
      <c r="H140" s="218"/>
      <c r="I140" s="218"/>
      <c r="J140" s="218"/>
      <c r="K140" s="220"/>
      <c r="L140" s="220"/>
      <c r="M140" s="220"/>
      <c r="N140" s="220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spans="1:26" ht="15.75">
      <c r="A141" s="218"/>
      <c r="B141" s="221"/>
      <c r="C141" s="222"/>
      <c r="D141" s="218"/>
      <c r="E141" s="218"/>
      <c r="F141" s="220"/>
      <c r="G141" s="218"/>
      <c r="H141" s="218"/>
      <c r="I141" s="218"/>
      <c r="J141" s="218"/>
      <c r="K141" s="220"/>
      <c r="L141" s="220"/>
      <c r="M141" s="220"/>
      <c r="N141" s="220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spans="1:26" ht="15.75">
      <c r="A142" s="218"/>
      <c r="B142" s="221"/>
      <c r="C142" s="222"/>
      <c r="D142" s="218"/>
      <c r="E142" s="218"/>
      <c r="F142" s="220"/>
      <c r="G142" s="218"/>
      <c r="H142" s="218"/>
      <c r="I142" s="218"/>
      <c r="J142" s="218"/>
      <c r="K142" s="220"/>
      <c r="L142" s="220"/>
      <c r="M142" s="220"/>
      <c r="N142" s="220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spans="1:26" ht="15.75">
      <c r="A143" s="218"/>
      <c r="B143" s="221"/>
      <c r="C143" s="222"/>
      <c r="D143" s="218"/>
      <c r="E143" s="218"/>
      <c r="F143" s="220"/>
      <c r="G143" s="218"/>
      <c r="H143" s="218"/>
      <c r="I143" s="218"/>
      <c r="J143" s="218"/>
      <c r="K143" s="220"/>
      <c r="L143" s="220"/>
      <c r="M143" s="220"/>
      <c r="N143" s="220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spans="1:26" ht="15.75">
      <c r="A144" s="218"/>
      <c r="B144" s="221"/>
      <c r="C144" s="222"/>
      <c r="D144" s="218"/>
      <c r="E144" s="218"/>
      <c r="F144" s="220"/>
      <c r="G144" s="218"/>
      <c r="H144" s="218"/>
      <c r="I144" s="218"/>
      <c r="J144" s="218"/>
      <c r="K144" s="220"/>
      <c r="L144" s="220"/>
      <c r="M144" s="220"/>
      <c r="N144" s="220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spans="1:26" ht="15.75">
      <c r="A145" s="218"/>
      <c r="B145" s="221"/>
      <c r="C145" s="222"/>
      <c r="D145" s="218"/>
      <c r="E145" s="218"/>
      <c r="F145" s="220"/>
      <c r="G145" s="218"/>
      <c r="H145" s="218"/>
      <c r="I145" s="218"/>
      <c r="J145" s="218"/>
      <c r="K145" s="220"/>
      <c r="L145" s="220"/>
      <c r="M145" s="220"/>
      <c r="N145" s="220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spans="1:26" ht="15.75">
      <c r="A146" s="218"/>
      <c r="B146" s="221"/>
      <c r="C146" s="222"/>
      <c r="D146" s="218"/>
      <c r="E146" s="218"/>
      <c r="F146" s="220"/>
      <c r="G146" s="218"/>
      <c r="H146" s="218"/>
      <c r="I146" s="218"/>
      <c r="J146" s="218"/>
      <c r="K146" s="220"/>
      <c r="L146" s="220"/>
      <c r="M146" s="220"/>
      <c r="N146" s="220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spans="1:26" ht="15.75">
      <c r="A147" s="218"/>
      <c r="B147" s="221"/>
      <c r="C147" s="222"/>
      <c r="D147" s="218"/>
      <c r="E147" s="218"/>
      <c r="F147" s="220"/>
      <c r="G147" s="218"/>
      <c r="H147" s="218"/>
      <c r="I147" s="218"/>
      <c r="J147" s="218"/>
      <c r="K147" s="220"/>
      <c r="L147" s="220"/>
      <c r="M147" s="220"/>
      <c r="N147" s="220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spans="1:26" ht="15.75">
      <c r="A148" s="218"/>
      <c r="B148" s="221"/>
      <c r="C148" s="222"/>
      <c r="D148" s="218"/>
      <c r="E148" s="218"/>
      <c r="F148" s="220"/>
      <c r="G148" s="218"/>
      <c r="H148" s="218"/>
      <c r="I148" s="218"/>
      <c r="J148" s="218"/>
      <c r="K148" s="220"/>
      <c r="L148" s="220"/>
      <c r="M148" s="220"/>
      <c r="N148" s="220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spans="1:26" ht="15.75">
      <c r="A149" s="218"/>
      <c r="B149" s="221"/>
      <c r="C149" s="222"/>
      <c r="D149" s="218"/>
      <c r="E149" s="218"/>
      <c r="F149" s="220"/>
      <c r="G149" s="218"/>
      <c r="H149" s="218"/>
      <c r="I149" s="218"/>
      <c r="J149" s="218"/>
      <c r="K149" s="220"/>
      <c r="L149" s="220"/>
      <c r="M149" s="220"/>
      <c r="N149" s="220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spans="1:26" ht="15.75">
      <c r="A150" s="218"/>
      <c r="B150" s="221"/>
      <c r="C150" s="222"/>
      <c r="D150" s="218"/>
      <c r="E150" s="218"/>
      <c r="F150" s="220"/>
      <c r="G150" s="218"/>
      <c r="H150" s="218"/>
      <c r="I150" s="218"/>
      <c r="J150" s="218"/>
      <c r="K150" s="220"/>
      <c r="L150" s="220"/>
      <c r="M150" s="220"/>
      <c r="N150" s="220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spans="1:26" ht="15.75">
      <c r="A151" s="218"/>
      <c r="B151" s="221"/>
      <c r="C151" s="222"/>
      <c r="D151" s="218"/>
      <c r="E151" s="218"/>
      <c r="F151" s="220"/>
      <c r="G151" s="218"/>
      <c r="H151" s="218"/>
      <c r="I151" s="218"/>
      <c r="J151" s="218"/>
      <c r="K151" s="220"/>
      <c r="L151" s="220"/>
      <c r="M151" s="220"/>
      <c r="N151" s="220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spans="1:26" ht="15.75">
      <c r="A152" s="218"/>
      <c r="B152" s="221"/>
      <c r="C152" s="222"/>
      <c r="D152" s="218"/>
      <c r="E152" s="218"/>
      <c r="F152" s="220"/>
      <c r="G152" s="218"/>
      <c r="H152" s="218"/>
      <c r="I152" s="218"/>
      <c r="J152" s="218"/>
      <c r="K152" s="220"/>
      <c r="L152" s="220"/>
      <c r="M152" s="220"/>
      <c r="N152" s="220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spans="1:26" ht="15.75">
      <c r="A153" s="218"/>
      <c r="B153" s="221"/>
      <c r="C153" s="222"/>
      <c r="D153" s="218"/>
      <c r="E153" s="218"/>
      <c r="F153" s="220"/>
      <c r="G153" s="218"/>
      <c r="H153" s="218"/>
      <c r="I153" s="218"/>
      <c r="J153" s="218"/>
      <c r="K153" s="220"/>
      <c r="L153" s="220"/>
      <c r="M153" s="220"/>
      <c r="N153" s="220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spans="1:26" ht="15.75">
      <c r="A154" s="218"/>
      <c r="B154" s="221"/>
      <c r="C154" s="222"/>
      <c r="D154" s="218"/>
      <c r="E154" s="218"/>
      <c r="F154" s="220"/>
      <c r="G154" s="218"/>
      <c r="H154" s="218"/>
      <c r="I154" s="218"/>
      <c r="J154" s="218"/>
      <c r="K154" s="220"/>
      <c r="L154" s="220"/>
      <c r="M154" s="220"/>
      <c r="N154" s="220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spans="1:26" ht="15.75">
      <c r="A155" s="218"/>
      <c r="B155" s="221"/>
      <c r="C155" s="222"/>
      <c r="D155" s="218"/>
      <c r="E155" s="218"/>
      <c r="F155" s="220"/>
      <c r="G155" s="218"/>
      <c r="H155" s="218"/>
      <c r="I155" s="218"/>
      <c r="J155" s="218"/>
      <c r="K155" s="220"/>
      <c r="L155" s="220"/>
      <c r="M155" s="220"/>
      <c r="N155" s="220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spans="1:26" ht="15.75">
      <c r="A156" s="218"/>
      <c r="B156" s="221"/>
      <c r="C156" s="222"/>
      <c r="D156" s="218"/>
      <c r="E156" s="218"/>
      <c r="F156" s="220"/>
      <c r="G156" s="218"/>
      <c r="H156" s="218"/>
      <c r="I156" s="218"/>
      <c r="J156" s="218"/>
      <c r="K156" s="220"/>
      <c r="L156" s="220"/>
      <c r="M156" s="220"/>
      <c r="N156" s="220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spans="1:26" ht="15.75">
      <c r="A157" s="218"/>
      <c r="B157" s="221"/>
      <c r="C157" s="222"/>
      <c r="D157" s="218"/>
      <c r="E157" s="218"/>
      <c r="F157" s="220"/>
      <c r="G157" s="218"/>
      <c r="H157" s="218"/>
      <c r="I157" s="218"/>
      <c r="J157" s="218"/>
      <c r="K157" s="220"/>
      <c r="L157" s="220"/>
      <c r="M157" s="220"/>
      <c r="N157" s="220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spans="1:26" ht="15.75">
      <c r="A158" s="218"/>
      <c r="B158" s="221"/>
      <c r="C158" s="222"/>
      <c r="D158" s="218"/>
      <c r="E158" s="218"/>
      <c r="F158" s="220"/>
      <c r="G158" s="218"/>
      <c r="H158" s="218"/>
      <c r="I158" s="218"/>
      <c r="J158" s="218"/>
      <c r="K158" s="220"/>
      <c r="L158" s="220"/>
      <c r="M158" s="220"/>
      <c r="N158" s="220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spans="1:26" ht="15.75">
      <c r="A159" s="218"/>
      <c r="B159" s="221"/>
      <c r="C159" s="222"/>
      <c r="D159" s="218"/>
      <c r="E159" s="218"/>
      <c r="F159" s="220"/>
      <c r="G159" s="218"/>
      <c r="H159" s="218"/>
      <c r="I159" s="218"/>
      <c r="J159" s="218"/>
      <c r="K159" s="220"/>
      <c r="L159" s="220"/>
      <c r="M159" s="220"/>
      <c r="N159" s="220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spans="1:26" ht="15.75">
      <c r="A160" s="218"/>
      <c r="B160" s="221"/>
      <c r="C160" s="222"/>
      <c r="D160" s="218"/>
      <c r="E160" s="218"/>
      <c r="F160" s="220"/>
      <c r="G160" s="218"/>
      <c r="H160" s="218"/>
      <c r="I160" s="218"/>
      <c r="J160" s="218"/>
      <c r="K160" s="220"/>
      <c r="L160" s="220"/>
      <c r="M160" s="220"/>
      <c r="N160" s="220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spans="1:26" ht="15.75">
      <c r="A161" s="218"/>
      <c r="B161" s="221"/>
      <c r="C161" s="222"/>
      <c r="D161" s="218"/>
      <c r="E161" s="218"/>
      <c r="F161" s="220"/>
      <c r="G161" s="218"/>
      <c r="H161" s="218"/>
      <c r="I161" s="218"/>
      <c r="J161" s="218"/>
      <c r="K161" s="220"/>
      <c r="L161" s="220"/>
      <c r="M161" s="220"/>
      <c r="N161" s="220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spans="1:26" ht="15.75">
      <c r="A162" s="218"/>
      <c r="B162" s="221"/>
      <c r="C162" s="222"/>
      <c r="D162" s="218"/>
      <c r="E162" s="218"/>
      <c r="F162" s="220"/>
      <c r="G162" s="218"/>
      <c r="H162" s="218"/>
      <c r="I162" s="218"/>
      <c r="J162" s="218"/>
      <c r="K162" s="220"/>
      <c r="L162" s="220"/>
      <c r="M162" s="220"/>
      <c r="N162" s="220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spans="1:26" ht="15.75">
      <c r="A163" s="218"/>
      <c r="B163" s="221"/>
      <c r="C163" s="222"/>
      <c r="D163" s="218"/>
      <c r="E163" s="218"/>
      <c r="F163" s="220"/>
      <c r="G163" s="218"/>
      <c r="H163" s="218"/>
      <c r="I163" s="218"/>
      <c r="J163" s="218"/>
      <c r="K163" s="220"/>
      <c r="L163" s="220"/>
      <c r="M163" s="220"/>
      <c r="N163" s="220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spans="1:26" ht="15.75">
      <c r="A164" s="218"/>
      <c r="B164" s="221"/>
      <c r="C164" s="222"/>
      <c r="D164" s="218"/>
      <c r="E164" s="218"/>
      <c r="F164" s="220"/>
      <c r="G164" s="218"/>
      <c r="H164" s="218"/>
      <c r="I164" s="218"/>
      <c r="J164" s="218"/>
      <c r="K164" s="220"/>
      <c r="L164" s="220"/>
      <c r="M164" s="220"/>
      <c r="N164" s="220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spans="1:26" ht="15.75">
      <c r="A165" s="218"/>
      <c r="B165" s="221"/>
      <c r="C165" s="222"/>
      <c r="D165" s="218"/>
      <c r="E165" s="218"/>
      <c r="F165" s="220"/>
      <c r="G165" s="218"/>
      <c r="H165" s="218"/>
      <c r="I165" s="218"/>
      <c r="J165" s="218"/>
      <c r="K165" s="220"/>
      <c r="L165" s="220"/>
      <c r="M165" s="220"/>
      <c r="N165" s="220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spans="1:26" ht="15.75">
      <c r="A166" s="218"/>
      <c r="B166" s="221"/>
      <c r="C166" s="222"/>
      <c r="D166" s="218"/>
      <c r="E166" s="218"/>
      <c r="F166" s="220"/>
      <c r="G166" s="218"/>
      <c r="H166" s="218"/>
      <c r="I166" s="218"/>
      <c r="J166" s="218"/>
      <c r="K166" s="220"/>
      <c r="L166" s="220"/>
      <c r="M166" s="220"/>
      <c r="N166" s="220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spans="1:26" ht="15.75">
      <c r="A167" s="218"/>
      <c r="B167" s="221"/>
      <c r="C167" s="222"/>
      <c r="D167" s="218"/>
      <c r="E167" s="218"/>
      <c r="F167" s="220"/>
      <c r="G167" s="218"/>
      <c r="H167" s="218"/>
      <c r="I167" s="218"/>
      <c r="J167" s="218"/>
      <c r="K167" s="220"/>
      <c r="L167" s="220"/>
      <c r="M167" s="220"/>
      <c r="N167" s="220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spans="1:26" ht="15.75">
      <c r="A168" s="218"/>
      <c r="B168" s="221"/>
      <c r="C168" s="222"/>
      <c r="D168" s="218"/>
      <c r="E168" s="218"/>
      <c r="F168" s="220"/>
      <c r="G168" s="218"/>
      <c r="H168" s="218"/>
      <c r="I168" s="218"/>
      <c r="J168" s="218"/>
      <c r="K168" s="220"/>
      <c r="L168" s="220"/>
      <c r="M168" s="220"/>
      <c r="N168" s="220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spans="1:26" ht="15.75">
      <c r="A169" s="218"/>
      <c r="B169" s="221"/>
      <c r="C169" s="222"/>
      <c r="D169" s="218"/>
      <c r="E169" s="218"/>
      <c r="F169" s="220"/>
      <c r="G169" s="218"/>
      <c r="H169" s="218"/>
      <c r="I169" s="218"/>
      <c r="J169" s="218"/>
      <c r="K169" s="220"/>
      <c r="L169" s="220"/>
      <c r="M169" s="220"/>
      <c r="N169" s="220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spans="1:26" ht="15.75">
      <c r="A170" s="218"/>
      <c r="B170" s="221"/>
      <c r="C170" s="222"/>
      <c r="D170" s="218"/>
      <c r="E170" s="218"/>
      <c r="F170" s="220"/>
      <c r="G170" s="218"/>
      <c r="H170" s="218"/>
      <c r="I170" s="218"/>
      <c r="J170" s="218"/>
      <c r="K170" s="220"/>
      <c r="L170" s="220"/>
      <c r="M170" s="220"/>
      <c r="N170" s="220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spans="1:26" ht="15.75">
      <c r="A171" s="218"/>
      <c r="B171" s="221"/>
      <c r="C171" s="222"/>
      <c r="D171" s="218"/>
      <c r="E171" s="218"/>
      <c r="F171" s="220"/>
      <c r="G171" s="218"/>
      <c r="H171" s="218"/>
      <c r="I171" s="218"/>
      <c r="J171" s="218"/>
      <c r="K171" s="220"/>
      <c r="L171" s="220"/>
      <c r="M171" s="220"/>
      <c r="N171" s="220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spans="1:26" ht="15.75">
      <c r="A172" s="218"/>
      <c r="B172" s="221"/>
      <c r="C172" s="222"/>
      <c r="D172" s="218"/>
      <c r="E172" s="218"/>
      <c r="F172" s="220"/>
      <c r="G172" s="218"/>
      <c r="H172" s="218"/>
      <c r="I172" s="218"/>
      <c r="J172" s="218"/>
      <c r="K172" s="220"/>
      <c r="L172" s="220"/>
      <c r="M172" s="220"/>
      <c r="N172" s="220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spans="1:26" ht="15.75">
      <c r="A173" s="218"/>
      <c r="B173" s="221"/>
      <c r="C173" s="222"/>
      <c r="D173" s="218"/>
      <c r="E173" s="218"/>
      <c r="F173" s="220"/>
      <c r="G173" s="218"/>
      <c r="H173" s="218"/>
      <c r="I173" s="218"/>
      <c r="J173" s="218"/>
      <c r="K173" s="220"/>
      <c r="L173" s="220"/>
      <c r="M173" s="220"/>
      <c r="N173" s="220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spans="1:26" ht="15.75">
      <c r="A174" s="218"/>
      <c r="B174" s="221"/>
      <c r="C174" s="222"/>
      <c r="D174" s="218"/>
      <c r="E174" s="218"/>
      <c r="F174" s="220"/>
      <c r="G174" s="218"/>
      <c r="H174" s="218"/>
      <c r="I174" s="218"/>
      <c r="J174" s="218"/>
      <c r="K174" s="220"/>
      <c r="L174" s="220"/>
      <c r="M174" s="220"/>
      <c r="N174" s="220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spans="1:26" ht="15.75">
      <c r="A175" s="218"/>
      <c r="B175" s="221"/>
      <c r="C175" s="222"/>
      <c r="D175" s="218"/>
      <c r="E175" s="218"/>
      <c r="F175" s="220"/>
      <c r="G175" s="218"/>
      <c r="H175" s="218"/>
      <c r="I175" s="218"/>
      <c r="J175" s="218"/>
      <c r="K175" s="220"/>
      <c r="L175" s="220"/>
      <c r="M175" s="220"/>
      <c r="N175" s="220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spans="1:26" ht="15.75">
      <c r="A176" s="218"/>
      <c r="B176" s="221"/>
      <c r="C176" s="222"/>
      <c r="D176" s="218"/>
      <c r="E176" s="218"/>
      <c r="F176" s="220"/>
      <c r="G176" s="218"/>
      <c r="H176" s="218"/>
      <c r="I176" s="218"/>
      <c r="J176" s="218"/>
      <c r="K176" s="220"/>
      <c r="L176" s="220"/>
      <c r="M176" s="220"/>
      <c r="N176" s="220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spans="1:26" ht="15.75">
      <c r="A177" s="218"/>
      <c r="B177" s="221"/>
      <c r="C177" s="222"/>
      <c r="D177" s="218"/>
      <c r="E177" s="218"/>
      <c r="F177" s="220"/>
      <c r="G177" s="218"/>
      <c r="H177" s="218"/>
      <c r="I177" s="218"/>
      <c r="J177" s="218"/>
      <c r="K177" s="220"/>
      <c r="L177" s="220"/>
      <c r="M177" s="220"/>
      <c r="N177" s="220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spans="1:26" ht="15.75">
      <c r="A178" s="218"/>
      <c r="B178" s="221"/>
      <c r="C178" s="222"/>
      <c r="D178" s="218"/>
      <c r="E178" s="218"/>
      <c r="F178" s="220"/>
      <c r="G178" s="218"/>
      <c r="H178" s="218"/>
      <c r="I178" s="218"/>
      <c r="J178" s="218"/>
      <c r="K178" s="220"/>
      <c r="L178" s="220"/>
      <c r="M178" s="220"/>
      <c r="N178" s="220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spans="1:26" ht="15.75">
      <c r="A179" s="218"/>
      <c r="B179" s="221"/>
      <c r="C179" s="222"/>
      <c r="D179" s="218"/>
      <c r="E179" s="218"/>
      <c r="F179" s="220"/>
      <c r="G179" s="218"/>
      <c r="H179" s="218"/>
      <c r="I179" s="218"/>
      <c r="J179" s="218"/>
      <c r="K179" s="220"/>
      <c r="L179" s="220"/>
      <c r="M179" s="220"/>
      <c r="N179" s="220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spans="1:26" ht="15.75">
      <c r="A180" s="218"/>
      <c r="B180" s="221"/>
      <c r="C180" s="222"/>
      <c r="D180" s="218"/>
      <c r="E180" s="218"/>
      <c r="F180" s="220"/>
      <c r="G180" s="218"/>
      <c r="H180" s="218"/>
      <c r="I180" s="218"/>
      <c r="J180" s="218"/>
      <c r="K180" s="220"/>
      <c r="L180" s="220"/>
      <c r="M180" s="220"/>
      <c r="N180" s="220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spans="1:26" ht="15.75">
      <c r="A181" s="218"/>
      <c r="B181" s="221"/>
      <c r="C181" s="222"/>
      <c r="D181" s="218"/>
      <c r="E181" s="218"/>
      <c r="F181" s="220"/>
      <c r="G181" s="218"/>
      <c r="H181" s="218"/>
      <c r="I181" s="218"/>
      <c r="J181" s="218"/>
      <c r="K181" s="220"/>
      <c r="L181" s="220"/>
      <c r="M181" s="220"/>
      <c r="N181" s="220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spans="1:26" ht="15.75">
      <c r="A182" s="218"/>
      <c r="B182" s="221"/>
      <c r="C182" s="222"/>
      <c r="D182" s="218"/>
      <c r="E182" s="218"/>
      <c r="F182" s="220"/>
      <c r="G182" s="218"/>
      <c r="H182" s="218"/>
      <c r="I182" s="218"/>
      <c r="J182" s="218"/>
      <c r="K182" s="220"/>
      <c r="L182" s="220"/>
      <c r="M182" s="220"/>
      <c r="N182" s="220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spans="1:26" ht="15.75">
      <c r="A183" s="218"/>
      <c r="B183" s="221"/>
      <c r="C183" s="222"/>
      <c r="D183" s="218"/>
      <c r="E183" s="218"/>
      <c r="F183" s="220"/>
      <c r="G183" s="218"/>
      <c r="H183" s="218"/>
      <c r="I183" s="218"/>
      <c r="J183" s="218"/>
      <c r="K183" s="220"/>
      <c r="L183" s="220"/>
      <c r="M183" s="220"/>
      <c r="N183" s="220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spans="1:26" ht="15.75">
      <c r="A184" s="218"/>
      <c r="B184" s="221"/>
      <c r="C184" s="222"/>
      <c r="D184" s="218"/>
      <c r="E184" s="218"/>
      <c r="F184" s="220"/>
      <c r="G184" s="218"/>
      <c r="H184" s="218"/>
      <c r="I184" s="218"/>
      <c r="J184" s="218"/>
      <c r="K184" s="220"/>
      <c r="L184" s="220"/>
      <c r="M184" s="220"/>
      <c r="N184" s="220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spans="1:26" ht="15.75">
      <c r="A185" s="218"/>
      <c r="B185" s="221"/>
      <c r="C185" s="222"/>
      <c r="D185" s="218"/>
      <c r="E185" s="218"/>
      <c r="F185" s="220"/>
      <c r="G185" s="218"/>
      <c r="H185" s="218"/>
      <c r="I185" s="218"/>
      <c r="J185" s="218"/>
      <c r="K185" s="220"/>
      <c r="L185" s="220"/>
      <c r="M185" s="220"/>
      <c r="N185" s="220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spans="1:26" ht="15.75">
      <c r="A186" s="218"/>
      <c r="B186" s="221"/>
      <c r="C186" s="222"/>
      <c r="D186" s="218"/>
      <c r="E186" s="218"/>
      <c r="F186" s="220"/>
      <c r="G186" s="218"/>
      <c r="H186" s="218"/>
      <c r="I186" s="218"/>
      <c r="J186" s="218"/>
      <c r="K186" s="220"/>
      <c r="L186" s="220"/>
      <c r="M186" s="220"/>
      <c r="N186" s="220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spans="1:26" ht="15.75">
      <c r="A187" s="218"/>
      <c r="B187" s="221"/>
      <c r="C187" s="222"/>
      <c r="D187" s="218"/>
      <c r="E187" s="218"/>
      <c r="F187" s="220"/>
      <c r="G187" s="218"/>
      <c r="H187" s="218"/>
      <c r="I187" s="218"/>
      <c r="J187" s="218"/>
      <c r="K187" s="220"/>
      <c r="L187" s="220"/>
      <c r="M187" s="220"/>
      <c r="N187" s="220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spans="1:26" ht="15.75">
      <c r="A188" s="218"/>
      <c r="B188" s="221"/>
      <c r="C188" s="222"/>
      <c r="D188" s="218"/>
      <c r="E188" s="218"/>
      <c r="F188" s="220"/>
      <c r="G188" s="218"/>
      <c r="H188" s="218"/>
      <c r="I188" s="218"/>
      <c r="J188" s="218"/>
      <c r="K188" s="220"/>
      <c r="L188" s="220"/>
      <c r="M188" s="220"/>
      <c r="N188" s="220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spans="1:26" ht="15.75">
      <c r="A189" s="218"/>
      <c r="B189" s="221"/>
      <c r="C189" s="222"/>
      <c r="D189" s="218"/>
      <c r="E189" s="218"/>
      <c r="F189" s="220"/>
      <c r="G189" s="218"/>
      <c r="H189" s="218"/>
      <c r="I189" s="218"/>
      <c r="J189" s="218"/>
      <c r="K189" s="220"/>
      <c r="L189" s="220"/>
      <c r="M189" s="220"/>
      <c r="N189" s="220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spans="1:26" ht="15.75">
      <c r="A190" s="218"/>
      <c r="B190" s="221"/>
      <c r="C190" s="222"/>
      <c r="D190" s="218"/>
      <c r="E190" s="218"/>
      <c r="F190" s="220"/>
      <c r="G190" s="218"/>
      <c r="H190" s="218"/>
      <c r="I190" s="218"/>
      <c r="J190" s="218"/>
      <c r="K190" s="220"/>
      <c r="L190" s="220"/>
      <c r="M190" s="220"/>
      <c r="N190" s="220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spans="1:26" ht="15.75">
      <c r="A191" s="218"/>
      <c r="B191" s="221"/>
      <c r="C191" s="222"/>
      <c r="D191" s="218"/>
      <c r="E191" s="218"/>
      <c r="F191" s="220"/>
      <c r="G191" s="218"/>
      <c r="H191" s="218"/>
      <c r="I191" s="218"/>
      <c r="J191" s="218"/>
      <c r="K191" s="220"/>
      <c r="L191" s="220"/>
      <c r="M191" s="220"/>
      <c r="N191" s="220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spans="1:26" ht="15.75">
      <c r="A192" s="218"/>
      <c r="B192" s="221"/>
      <c r="C192" s="222"/>
      <c r="D192" s="218"/>
      <c r="E192" s="218"/>
      <c r="F192" s="220"/>
      <c r="G192" s="218"/>
      <c r="H192" s="218"/>
      <c r="I192" s="218"/>
      <c r="J192" s="218"/>
      <c r="K192" s="220"/>
      <c r="L192" s="220"/>
      <c r="M192" s="220"/>
      <c r="N192" s="220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spans="1:26" ht="15.75">
      <c r="A193" s="218"/>
      <c r="B193" s="221"/>
      <c r="C193" s="222"/>
      <c r="D193" s="218"/>
      <c r="E193" s="218"/>
      <c r="F193" s="220"/>
      <c r="G193" s="218"/>
      <c r="H193" s="218"/>
      <c r="I193" s="218"/>
      <c r="J193" s="218"/>
      <c r="K193" s="220"/>
      <c r="L193" s="220"/>
      <c r="M193" s="220"/>
      <c r="N193" s="220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spans="1:26" ht="15.75">
      <c r="A194" s="218"/>
      <c r="B194" s="221"/>
      <c r="C194" s="222"/>
      <c r="D194" s="218"/>
      <c r="E194" s="218"/>
      <c r="F194" s="220"/>
      <c r="G194" s="218"/>
      <c r="H194" s="218"/>
      <c r="I194" s="218"/>
      <c r="J194" s="218"/>
      <c r="K194" s="220"/>
      <c r="L194" s="220"/>
      <c r="M194" s="220"/>
      <c r="N194" s="220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spans="1:26" ht="15.75">
      <c r="A195" s="218"/>
      <c r="B195" s="221"/>
      <c r="C195" s="222"/>
      <c r="D195" s="218"/>
      <c r="E195" s="218"/>
      <c r="F195" s="220"/>
      <c r="G195" s="218"/>
      <c r="H195" s="218"/>
      <c r="I195" s="218"/>
      <c r="J195" s="218"/>
      <c r="K195" s="220"/>
      <c r="L195" s="220"/>
      <c r="M195" s="220"/>
      <c r="N195" s="220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spans="1:26" ht="15.75">
      <c r="A196" s="218"/>
      <c r="B196" s="221"/>
      <c r="C196" s="222"/>
      <c r="D196" s="218"/>
      <c r="E196" s="218"/>
      <c r="F196" s="220"/>
      <c r="G196" s="218"/>
      <c r="H196" s="218"/>
      <c r="I196" s="218"/>
      <c r="J196" s="218"/>
      <c r="K196" s="220"/>
      <c r="L196" s="220"/>
      <c r="M196" s="220"/>
      <c r="N196" s="220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spans="1:26" ht="15.75">
      <c r="A197" s="218"/>
      <c r="B197" s="221"/>
      <c r="C197" s="222"/>
      <c r="D197" s="218"/>
      <c r="E197" s="218"/>
      <c r="F197" s="220"/>
      <c r="G197" s="218"/>
      <c r="H197" s="218"/>
      <c r="I197" s="218"/>
      <c r="J197" s="218"/>
      <c r="K197" s="220"/>
      <c r="L197" s="220"/>
      <c r="M197" s="220"/>
      <c r="N197" s="220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spans="1:26" ht="15.75">
      <c r="A198" s="218"/>
      <c r="B198" s="221"/>
      <c r="C198" s="222"/>
      <c r="D198" s="218"/>
      <c r="E198" s="218"/>
      <c r="F198" s="220"/>
      <c r="G198" s="218"/>
      <c r="H198" s="218"/>
      <c r="I198" s="218"/>
      <c r="J198" s="218"/>
      <c r="K198" s="220"/>
      <c r="L198" s="220"/>
      <c r="M198" s="220"/>
      <c r="N198" s="220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spans="1:26" ht="15.75">
      <c r="A199" s="218"/>
      <c r="B199" s="221"/>
      <c r="C199" s="222"/>
      <c r="D199" s="218"/>
      <c r="E199" s="218"/>
      <c r="F199" s="220"/>
      <c r="G199" s="218"/>
      <c r="H199" s="218"/>
      <c r="I199" s="218"/>
      <c r="J199" s="218"/>
      <c r="K199" s="220"/>
      <c r="L199" s="220"/>
      <c r="M199" s="220"/>
      <c r="N199" s="220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spans="1:26" ht="15.75">
      <c r="A200" s="218"/>
      <c r="B200" s="221"/>
      <c r="C200" s="222"/>
      <c r="D200" s="218"/>
      <c r="E200" s="218"/>
      <c r="F200" s="220"/>
      <c r="G200" s="218"/>
      <c r="H200" s="218"/>
      <c r="I200" s="218"/>
      <c r="J200" s="218"/>
      <c r="K200" s="220"/>
      <c r="L200" s="220"/>
      <c r="M200" s="220"/>
      <c r="N200" s="220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spans="1:26" ht="15.75">
      <c r="A201" s="218"/>
      <c r="B201" s="221"/>
      <c r="C201" s="222"/>
      <c r="D201" s="218"/>
      <c r="E201" s="218"/>
      <c r="F201" s="220"/>
      <c r="G201" s="218"/>
      <c r="H201" s="218"/>
      <c r="I201" s="218"/>
      <c r="J201" s="218"/>
      <c r="K201" s="220"/>
      <c r="L201" s="220"/>
      <c r="M201" s="220"/>
      <c r="N201" s="220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spans="1:26" ht="15.75">
      <c r="A202" s="218"/>
      <c r="B202" s="221"/>
      <c r="C202" s="222"/>
      <c r="D202" s="218"/>
      <c r="E202" s="218"/>
      <c r="F202" s="220"/>
      <c r="G202" s="218"/>
      <c r="H202" s="218"/>
      <c r="I202" s="218"/>
      <c r="J202" s="218"/>
      <c r="K202" s="220"/>
      <c r="L202" s="220"/>
      <c r="M202" s="220"/>
      <c r="N202" s="220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spans="1:26" ht="15.75">
      <c r="A203" s="218"/>
      <c r="B203" s="221"/>
      <c r="C203" s="222"/>
      <c r="D203" s="218"/>
      <c r="E203" s="218"/>
      <c r="F203" s="220"/>
      <c r="G203" s="218"/>
      <c r="H203" s="218"/>
      <c r="I203" s="218"/>
      <c r="J203" s="218"/>
      <c r="K203" s="220"/>
      <c r="L203" s="220"/>
      <c r="M203" s="220"/>
      <c r="N203" s="220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spans="1:26" ht="15.75">
      <c r="A204" s="218"/>
      <c r="B204" s="221"/>
      <c r="C204" s="222"/>
      <c r="D204" s="218"/>
      <c r="E204" s="218"/>
      <c r="F204" s="220"/>
      <c r="G204" s="218"/>
      <c r="H204" s="218"/>
      <c r="I204" s="218"/>
      <c r="J204" s="218"/>
      <c r="K204" s="220"/>
      <c r="L204" s="220"/>
      <c r="M204" s="220"/>
      <c r="N204" s="220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spans="1:26" ht="15.75">
      <c r="A205" s="218"/>
      <c r="B205" s="221"/>
      <c r="C205" s="222"/>
      <c r="D205" s="218"/>
      <c r="E205" s="218"/>
      <c r="F205" s="220"/>
      <c r="G205" s="218"/>
      <c r="H205" s="218"/>
      <c r="I205" s="218"/>
      <c r="J205" s="218"/>
      <c r="K205" s="220"/>
      <c r="L205" s="220"/>
      <c r="M205" s="220"/>
      <c r="N205" s="220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spans="1:26" ht="15.75">
      <c r="A206" s="218"/>
      <c r="B206" s="221"/>
      <c r="C206" s="222"/>
      <c r="D206" s="218"/>
      <c r="E206" s="218"/>
      <c r="F206" s="220"/>
      <c r="G206" s="218"/>
      <c r="H206" s="218"/>
      <c r="I206" s="218"/>
      <c r="J206" s="218"/>
      <c r="K206" s="220"/>
      <c r="L206" s="220"/>
      <c r="M206" s="220"/>
      <c r="N206" s="220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spans="1:26" ht="15.75">
      <c r="A207" s="218"/>
      <c r="B207" s="221"/>
      <c r="C207" s="222"/>
      <c r="D207" s="218"/>
      <c r="E207" s="218"/>
      <c r="F207" s="220"/>
      <c r="G207" s="218"/>
      <c r="H207" s="218"/>
      <c r="I207" s="218"/>
      <c r="J207" s="218"/>
      <c r="K207" s="220"/>
      <c r="L207" s="220"/>
      <c r="M207" s="220"/>
      <c r="N207" s="220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spans="1:26" ht="15.75">
      <c r="A208" s="218"/>
      <c r="B208" s="221"/>
      <c r="C208" s="222"/>
      <c r="D208" s="218"/>
      <c r="E208" s="218"/>
      <c r="F208" s="220"/>
      <c r="G208" s="218"/>
      <c r="H208" s="218"/>
      <c r="I208" s="218"/>
      <c r="J208" s="218"/>
      <c r="K208" s="220"/>
      <c r="L208" s="220"/>
      <c r="M208" s="220"/>
      <c r="N208" s="220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spans="1:26" ht="15.75">
      <c r="A209" s="218"/>
      <c r="B209" s="221"/>
      <c r="C209" s="222"/>
      <c r="D209" s="218"/>
      <c r="E209" s="218"/>
      <c r="F209" s="220"/>
      <c r="G209" s="218"/>
      <c r="H209" s="218"/>
      <c r="I209" s="218"/>
      <c r="J209" s="218"/>
      <c r="K209" s="220"/>
      <c r="L209" s="220"/>
      <c r="M209" s="220"/>
      <c r="N209" s="220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spans="1:26" ht="15.75">
      <c r="A210" s="218"/>
      <c r="B210" s="221"/>
      <c r="C210" s="222"/>
      <c r="D210" s="218"/>
      <c r="E210" s="218"/>
      <c r="F210" s="220"/>
      <c r="G210" s="218"/>
      <c r="H210" s="218"/>
      <c r="I210" s="218"/>
      <c r="J210" s="218"/>
      <c r="K210" s="220"/>
      <c r="L210" s="220"/>
      <c r="M210" s="220"/>
      <c r="N210" s="220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spans="1:26" ht="15.75">
      <c r="A211" s="218"/>
      <c r="B211" s="221"/>
      <c r="C211" s="222"/>
      <c r="D211" s="218"/>
      <c r="E211" s="218"/>
      <c r="F211" s="220"/>
      <c r="G211" s="218"/>
      <c r="H211" s="218"/>
      <c r="I211" s="218"/>
      <c r="J211" s="218"/>
      <c r="K211" s="220"/>
      <c r="L211" s="220"/>
      <c r="M211" s="220"/>
      <c r="N211" s="220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spans="1:26" ht="15.75">
      <c r="A212" s="218"/>
      <c r="B212" s="221"/>
      <c r="C212" s="222"/>
      <c r="D212" s="218"/>
      <c r="E212" s="218"/>
      <c r="F212" s="220"/>
      <c r="G212" s="218"/>
      <c r="H212" s="218"/>
      <c r="I212" s="218"/>
      <c r="J212" s="218"/>
      <c r="K212" s="220"/>
      <c r="L212" s="220"/>
      <c r="M212" s="220"/>
      <c r="N212" s="220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spans="1:26" ht="15.75">
      <c r="A213" s="218"/>
      <c r="B213" s="221"/>
      <c r="C213" s="222"/>
      <c r="D213" s="218"/>
      <c r="E213" s="218"/>
      <c r="F213" s="220"/>
      <c r="G213" s="218"/>
      <c r="H213" s="218"/>
      <c r="I213" s="218"/>
      <c r="J213" s="218"/>
      <c r="K213" s="220"/>
      <c r="L213" s="220"/>
      <c r="M213" s="220"/>
      <c r="N213" s="220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spans="1:26" ht="15.75">
      <c r="A214" s="218"/>
      <c r="B214" s="221"/>
      <c r="C214" s="222"/>
      <c r="D214" s="218"/>
      <c r="E214" s="218"/>
      <c r="F214" s="220"/>
      <c r="G214" s="218"/>
      <c r="H214" s="218"/>
      <c r="I214" s="218"/>
      <c r="J214" s="218"/>
      <c r="K214" s="220"/>
      <c r="L214" s="220"/>
      <c r="M214" s="220"/>
      <c r="N214" s="220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spans="1:26" ht="15.75">
      <c r="A215" s="218"/>
      <c r="B215" s="221"/>
      <c r="C215" s="222"/>
      <c r="D215" s="218"/>
      <c r="E215" s="218"/>
      <c r="F215" s="220"/>
      <c r="G215" s="218"/>
      <c r="H215" s="218"/>
      <c r="I215" s="218"/>
      <c r="J215" s="218"/>
      <c r="K215" s="220"/>
      <c r="L215" s="220"/>
      <c r="M215" s="220"/>
      <c r="N215" s="220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spans="1:26" ht="15.75">
      <c r="A216" s="218"/>
      <c r="B216" s="221"/>
      <c r="C216" s="222"/>
      <c r="D216" s="218"/>
      <c r="E216" s="218"/>
      <c r="F216" s="220"/>
      <c r="G216" s="218"/>
      <c r="H216" s="218"/>
      <c r="I216" s="218"/>
      <c r="J216" s="218"/>
      <c r="K216" s="220"/>
      <c r="L216" s="220"/>
      <c r="M216" s="220"/>
      <c r="N216" s="220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spans="1:26" ht="15.75">
      <c r="A217" s="218"/>
      <c r="B217" s="221"/>
      <c r="C217" s="222"/>
      <c r="D217" s="218"/>
      <c r="E217" s="218"/>
      <c r="F217" s="220"/>
      <c r="G217" s="218"/>
      <c r="H217" s="218"/>
      <c r="I217" s="218"/>
      <c r="J217" s="218"/>
      <c r="K217" s="220"/>
      <c r="L217" s="220"/>
      <c r="M217" s="220"/>
      <c r="N217" s="220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spans="1:26" ht="15.75">
      <c r="A218" s="218"/>
      <c r="B218" s="221"/>
      <c r="C218" s="222"/>
      <c r="D218" s="218"/>
      <c r="E218" s="218"/>
      <c r="F218" s="220"/>
      <c r="G218" s="218"/>
      <c r="H218" s="218"/>
      <c r="I218" s="218"/>
      <c r="J218" s="218"/>
      <c r="K218" s="220"/>
      <c r="L218" s="220"/>
      <c r="M218" s="220"/>
      <c r="N218" s="220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spans="1:26" ht="15.75">
      <c r="A219" s="218"/>
      <c r="B219" s="221"/>
      <c r="C219" s="222"/>
      <c r="D219" s="218"/>
      <c r="E219" s="218"/>
      <c r="F219" s="220"/>
      <c r="G219" s="218"/>
      <c r="H219" s="218"/>
      <c r="I219" s="218"/>
      <c r="J219" s="218"/>
      <c r="K219" s="220"/>
      <c r="L219" s="220"/>
      <c r="M219" s="220"/>
      <c r="N219" s="220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spans="1:26" ht="15.75">
      <c r="A220" s="218"/>
      <c r="B220" s="221"/>
      <c r="C220" s="222"/>
      <c r="D220" s="218"/>
      <c r="E220" s="218"/>
      <c r="F220" s="220"/>
      <c r="G220" s="218"/>
      <c r="H220" s="218"/>
      <c r="I220" s="218"/>
      <c r="J220" s="218"/>
      <c r="K220" s="220"/>
      <c r="L220" s="220"/>
      <c r="M220" s="220"/>
      <c r="N220" s="220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spans="1:26" ht="15.75">
      <c r="A221" s="218"/>
      <c r="B221" s="221"/>
      <c r="C221" s="222"/>
      <c r="D221" s="218"/>
      <c r="E221" s="218"/>
      <c r="F221" s="220"/>
      <c r="G221" s="218"/>
      <c r="H221" s="218"/>
      <c r="I221" s="218"/>
      <c r="J221" s="218"/>
      <c r="K221" s="220"/>
      <c r="L221" s="220"/>
      <c r="M221" s="220"/>
      <c r="N221" s="220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spans="1:26" ht="15.75">
      <c r="A222" s="218"/>
      <c r="B222" s="221"/>
      <c r="C222" s="222"/>
      <c r="D222" s="218"/>
      <c r="E222" s="218"/>
      <c r="F222" s="220"/>
      <c r="G222" s="218"/>
      <c r="H222" s="218"/>
      <c r="I222" s="218"/>
      <c r="J222" s="218"/>
      <c r="K222" s="220"/>
      <c r="L222" s="220"/>
      <c r="M222" s="220"/>
      <c r="N222" s="220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spans="1:26" ht="15.75">
      <c r="A223" s="218"/>
      <c r="B223" s="221"/>
      <c r="C223" s="222"/>
      <c r="D223" s="218"/>
      <c r="E223" s="218"/>
      <c r="F223" s="220"/>
      <c r="G223" s="218"/>
      <c r="H223" s="218"/>
      <c r="I223" s="218"/>
      <c r="J223" s="218"/>
      <c r="K223" s="220"/>
      <c r="L223" s="220"/>
      <c r="M223" s="220"/>
      <c r="N223" s="220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spans="1:26" ht="15.75">
      <c r="A224" s="218"/>
      <c r="B224" s="221"/>
      <c r="C224" s="222"/>
      <c r="D224" s="218"/>
      <c r="E224" s="218"/>
      <c r="F224" s="220"/>
      <c r="G224" s="218"/>
      <c r="H224" s="218"/>
      <c r="I224" s="218"/>
      <c r="J224" s="218"/>
      <c r="K224" s="220"/>
      <c r="L224" s="220"/>
      <c r="M224" s="220"/>
      <c r="N224" s="220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spans="1:26" ht="15.75">
      <c r="A225" s="218"/>
      <c r="B225" s="221"/>
      <c r="C225" s="222"/>
      <c r="D225" s="218"/>
      <c r="E225" s="218"/>
      <c r="F225" s="220"/>
      <c r="G225" s="218"/>
      <c r="H225" s="218"/>
      <c r="I225" s="218"/>
      <c r="J225" s="218"/>
      <c r="K225" s="220"/>
      <c r="L225" s="220"/>
      <c r="M225" s="220"/>
      <c r="N225" s="220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spans="1:26" ht="15.75">
      <c r="A226" s="218"/>
      <c r="B226" s="221"/>
      <c r="C226" s="222"/>
      <c r="D226" s="218"/>
      <c r="E226" s="218"/>
      <c r="F226" s="220"/>
      <c r="G226" s="218"/>
      <c r="H226" s="218"/>
      <c r="I226" s="218"/>
      <c r="J226" s="218"/>
      <c r="K226" s="220"/>
      <c r="L226" s="220"/>
      <c r="M226" s="220"/>
      <c r="N226" s="220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spans="1:26" ht="15.75">
      <c r="A227" s="218"/>
      <c r="B227" s="221"/>
      <c r="C227" s="222"/>
      <c r="D227" s="218"/>
      <c r="E227" s="218"/>
      <c r="F227" s="220"/>
      <c r="G227" s="218"/>
      <c r="H227" s="218"/>
      <c r="I227" s="218"/>
      <c r="J227" s="218"/>
      <c r="K227" s="220"/>
      <c r="L227" s="220"/>
      <c r="M227" s="220"/>
      <c r="N227" s="220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spans="1:26" ht="15.75">
      <c r="A228" s="218"/>
      <c r="B228" s="221"/>
      <c r="C228" s="222"/>
      <c r="D228" s="218"/>
      <c r="E228" s="218"/>
      <c r="F228" s="220"/>
      <c r="G228" s="218"/>
      <c r="H228" s="218"/>
      <c r="I228" s="218"/>
      <c r="J228" s="218"/>
      <c r="K228" s="220"/>
      <c r="L228" s="220"/>
      <c r="M228" s="220"/>
      <c r="N228" s="220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spans="1:26" ht="15.75">
      <c r="A229" s="218"/>
      <c r="B229" s="221"/>
      <c r="C229" s="222"/>
      <c r="D229" s="218"/>
      <c r="E229" s="218"/>
      <c r="F229" s="220"/>
      <c r="G229" s="218"/>
      <c r="H229" s="218"/>
      <c r="I229" s="218"/>
      <c r="J229" s="218"/>
      <c r="K229" s="220"/>
      <c r="L229" s="220"/>
      <c r="M229" s="220"/>
      <c r="N229" s="220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spans="1:26" ht="15.75">
      <c r="A230" s="218"/>
      <c r="B230" s="221"/>
      <c r="C230" s="222"/>
      <c r="D230" s="218"/>
      <c r="E230" s="218"/>
      <c r="F230" s="220"/>
      <c r="G230" s="218"/>
      <c r="H230" s="218"/>
      <c r="I230" s="218"/>
      <c r="J230" s="218"/>
      <c r="K230" s="220"/>
      <c r="L230" s="220"/>
      <c r="M230" s="220"/>
      <c r="N230" s="220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spans="1:26" ht="15.75">
      <c r="A231" s="218"/>
      <c r="B231" s="221"/>
      <c r="C231" s="222"/>
      <c r="D231" s="218"/>
      <c r="E231" s="218"/>
      <c r="F231" s="220"/>
      <c r="G231" s="218"/>
      <c r="H231" s="218"/>
      <c r="I231" s="218"/>
      <c r="J231" s="218"/>
      <c r="K231" s="220"/>
      <c r="L231" s="220"/>
      <c r="M231" s="220"/>
      <c r="N231" s="220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spans="1:26" ht="15.75">
      <c r="A232" s="218"/>
      <c r="B232" s="221"/>
      <c r="C232" s="222"/>
      <c r="D232" s="218"/>
      <c r="E232" s="218"/>
      <c r="F232" s="220"/>
      <c r="G232" s="218"/>
      <c r="H232" s="218"/>
      <c r="I232" s="218"/>
      <c r="J232" s="218"/>
      <c r="K232" s="220"/>
      <c r="L232" s="220"/>
      <c r="M232" s="220"/>
      <c r="N232" s="220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spans="1:26" ht="15.75">
      <c r="A233" s="218"/>
      <c r="B233" s="221"/>
      <c r="C233" s="222"/>
      <c r="D233" s="218"/>
      <c r="E233" s="218"/>
      <c r="F233" s="220"/>
      <c r="G233" s="218"/>
      <c r="H233" s="218"/>
      <c r="I233" s="218"/>
      <c r="J233" s="218"/>
      <c r="K233" s="220"/>
      <c r="L233" s="220"/>
      <c r="M233" s="220"/>
      <c r="N233" s="220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spans="1:26" ht="15.75">
      <c r="A234" s="218"/>
      <c r="B234" s="221"/>
      <c r="C234" s="222"/>
      <c r="D234" s="218"/>
      <c r="E234" s="218"/>
      <c r="F234" s="220"/>
      <c r="G234" s="218"/>
      <c r="H234" s="218"/>
      <c r="I234" s="218"/>
      <c r="J234" s="218"/>
      <c r="K234" s="220"/>
      <c r="L234" s="220"/>
      <c r="M234" s="220"/>
      <c r="N234" s="220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spans="1:26" ht="15.75">
      <c r="A235" s="218"/>
      <c r="B235" s="221"/>
      <c r="C235" s="222"/>
      <c r="D235" s="218"/>
      <c r="E235" s="218"/>
      <c r="F235" s="220"/>
      <c r="G235" s="218"/>
      <c r="H235" s="218"/>
      <c r="I235" s="218"/>
      <c r="J235" s="218"/>
      <c r="K235" s="220"/>
      <c r="L235" s="220"/>
      <c r="M235" s="220"/>
      <c r="N235" s="220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spans="1:26" ht="15.75">
      <c r="A236" s="218"/>
      <c r="B236" s="221"/>
      <c r="C236" s="222"/>
      <c r="D236" s="218"/>
      <c r="E236" s="218"/>
      <c r="F236" s="220"/>
      <c r="G236" s="218"/>
      <c r="H236" s="218"/>
      <c r="I236" s="218"/>
      <c r="J236" s="218"/>
      <c r="K236" s="220"/>
      <c r="L236" s="220"/>
      <c r="M236" s="220"/>
      <c r="N236" s="220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spans="1:26" ht="15.75">
      <c r="A237" s="218"/>
      <c r="B237" s="221"/>
      <c r="C237" s="222"/>
      <c r="D237" s="218"/>
      <c r="E237" s="218"/>
      <c r="F237" s="220"/>
      <c r="G237" s="218"/>
      <c r="H237" s="218"/>
      <c r="I237" s="218"/>
      <c r="J237" s="218"/>
      <c r="K237" s="220"/>
      <c r="L237" s="220"/>
      <c r="M237" s="220"/>
      <c r="N237" s="220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spans="1:26" ht="15.75">
      <c r="A238" s="218"/>
      <c r="B238" s="221"/>
      <c r="C238" s="222"/>
      <c r="D238" s="218"/>
      <c r="E238" s="218"/>
      <c r="F238" s="220"/>
      <c r="G238" s="218"/>
      <c r="H238" s="218"/>
      <c r="I238" s="218"/>
      <c r="J238" s="218"/>
      <c r="K238" s="220"/>
      <c r="L238" s="220"/>
      <c r="M238" s="220"/>
      <c r="N238" s="220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spans="1:26" ht="15.75">
      <c r="A239" s="218"/>
      <c r="B239" s="221"/>
      <c r="C239" s="222"/>
      <c r="D239" s="218"/>
      <c r="E239" s="218"/>
      <c r="F239" s="220"/>
      <c r="G239" s="218"/>
      <c r="H239" s="218"/>
      <c r="I239" s="218"/>
      <c r="J239" s="218"/>
      <c r="K239" s="220"/>
      <c r="L239" s="220"/>
      <c r="M239" s="220"/>
      <c r="N239" s="220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spans="1:26" ht="15.75">
      <c r="A240" s="218"/>
      <c r="B240" s="221"/>
      <c r="C240" s="222"/>
      <c r="D240" s="218"/>
      <c r="E240" s="218"/>
      <c r="F240" s="220"/>
      <c r="G240" s="218"/>
      <c r="H240" s="218"/>
      <c r="I240" s="218"/>
      <c r="J240" s="218"/>
      <c r="K240" s="220"/>
      <c r="L240" s="220"/>
      <c r="M240" s="220"/>
      <c r="N240" s="220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spans="1:26" ht="15.75">
      <c r="A241" s="218"/>
      <c r="B241" s="221"/>
      <c r="C241" s="222"/>
      <c r="D241" s="218"/>
      <c r="E241" s="218"/>
      <c r="F241" s="220"/>
      <c r="G241" s="218"/>
      <c r="H241" s="218"/>
      <c r="I241" s="218"/>
      <c r="J241" s="218"/>
      <c r="K241" s="220"/>
      <c r="L241" s="220"/>
      <c r="M241" s="220"/>
      <c r="N241" s="220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spans="1:26" ht="15.75">
      <c r="A242" s="218"/>
      <c r="B242" s="221"/>
      <c r="C242" s="222"/>
      <c r="D242" s="218"/>
      <c r="E242" s="218"/>
      <c r="F242" s="220"/>
      <c r="G242" s="218"/>
      <c r="H242" s="218"/>
      <c r="I242" s="218"/>
      <c r="J242" s="218"/>
      <c r="K242" s="220"/>
      <c r="L242" s="220"/>
      <c r="M242" s="220"/>
      <c r="N242" s="220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spans="1:26" ht="15.75">
      <c r="A243" s="218"/>
      <c r="B243" s="221"/>
      <c r="C243" s="222"/>
      <c r="D243" s="218"/>
      <c r="E243" s="218"/>
      <c r="F243" s="220"/>
      <c r="G243" s="218"/>
      <c r="H243" s="218"/>
      <c r="I243" s="218"/>
      <c r="J243" s="218"/>
      <c r="K243" s="220"/>
      <c r="L243" s="220"/>
      <c r="M243" s="220"/>
      <c r="N243" s="220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spans="1:26" ht="15.75">
      <c r="A244" s="218"/>
      <c r="B244" s="221"/>
      <c r="C244" s="222"/>
      <c r="D244" s="218"/>
      <c r="E244" s="218"/>
      <c r="F244" s="220"/>
      <c r="G244" s="218"/>
      <c r="H244" s="218"/>
      <c r="I244" s="218"/>
      <c r="J244" s="218"/>
      <c r="K244" s="220"/>
      <c r="L244" s="220"/>
      <c r="M244" s="220"/>
      <c r="N244" s="220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spans="1:26" ht="15.75">
      <c r="A245" s="218"/>
      <c r="B245" s="221"/>
      <c r="C245" s="222"/>
      <c r="D245" s="218"/>
      <c r="E245" s="218"/>
      <c r="F245" s="220"/>
      <c r="G245" s="218"/>
      <c r="H245" s="218"/>
      <c r="I245" s="218"/>
      <c r="J245" s="218"/>
      <c r="K245" s="220"/>
      <c r="L245" s="220"/>
      <c r="M245" s="220"/>
      <c r="N245" s="220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spans="1:26" ht="15.75">
      <c r="A246" s="218"/>
      <c r="B246" s="221"/>
      <c r="C246" s="222"/>
      <c r="D246" s="218"/>
      <c r="E246" s="218"/>
      <c r="F246" s="220"/>
      <c r="G246" s="218"/>
      <c r="H246" s="218"/>
      <c r="I246" s="218"/>
      <c r="J246" s="218"/>
      <c r="K246" s="220"/>
      <c r="L246" s="220"/>
      <c r="M246" s="220"/>
      <c r="N246" s="220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spans="1:26" ht="15.75">
      <c r="A247" s="218"/>
      <c r="B247" s="221"/>
      <c r="C247" s="222"/>
      <c r="D247" s="218"/>
      <c r="E247" s="218"/>
      <c r="F247" s="220"/>
      <c r="G247" s="218"/>
      <c r="H247" s="218"/>
      <c r="I247" s="218"/>
      <c r="J247" s="218"/>
      <c r="K247" s="220"/>
      <c r="L247" s="220"/>
      <c r="M247" s="220"/>
      <c r="N247" s="220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spans="1:26" ht="15.75">
      <c r="A248" s="218"/>
      <c r="B248" s="221"/>
      <c r="C248" s="222"/>
      <c r="D248" s="218"/>
      <c r="E248" s="218"/>
      <c r="F248" s="220"/>
      <c r="G248" s="218"/>
      <c r="H248" s="218"/>
      <c r="I248" s="218"/>
      <c r="J248" s="218"/>
      <c r="K248" s="220"/>
      <c r="L248" s="220"/>
      <c r="M248" s="220"/>
      <c r="N248" s="220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spans="1:26" ht="15.75">
      <c r="A249" s="218"/>
      <c r="B249" s="221"/>
      <c r="C249" s="222"/>
      <c r="D249" s="218"/>
      <c r="E249" s="218"/>
      <c r="F249" s="220"/>
      <c r="G249" s="218"/>
      <c r="H249" s="218"/>
      <c r="I249" s="218"/>
      <c r="J249" s="218"/>
      <c r="K249" s="220"/>
      <c r="L249" s="220"/>
      <c r="M249" s="220"/>
      <c r="N249" s="220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spans="1:26" ht="15.75">
      <c r="A250" s="218"/>
      <c r="B250" s="221"/>
      <c r="C250" s="222"/>
      <c r="D250" s="218"/>
      <c r="E250" s="218"/>
      <c r="F250" s="220"/>
      <c r="G250" s="218"/>
      <c r="H250" s="218"/>
      <c r="I250" s="218"/>
      <c r="J250" s="218"/>
      <c r="K250" s="220"/>
      <c r="L250" s="220"/>
      <c r="M250" s="220"/>
      <c r="N250" s="220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spans="1:26" ht="15.75">
      <c r="A251" s="218"/>
      <c r="B251" s="221"/>
      <c r="C251" s="222"/>
      <c r="D251" s="218"/>
      <c r="E251" s="218"/>
      <c r="F251" s="220"/>
      <c r="G251" s="218"/>
      <c r="H251" s="218"/>
      <c r="I251" s="218"/>
      <c r="J251" s="218"/>
      <c r="K251" s="220"/>
      <c r="L251" s="220"/>
      <c r="M251" s="220"/>
      <c r="N251" s="220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spans="1:26" ht="15.75">
      <c r="A252" s="218"/>
      <c r="B252" s="221"/>
      <c r="C252" s="222"/>
      <c r="D252" s="218"/>
      <c r="E252" s="218"/>
      <c r="F252" s="220"/>
      <c r="G252" s="218"/>
      <c r="H252" s="218"/>
      <c r="I252" s="218"/>
      <c r="J252" s="218"/>
      <c r="K252" s="220"/>
      <c r="L252" s="220"/>
      <c r="M252" s="220"/>
      <c r="N252" s="220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spans="1:26" ht="15.75">
      <c r="A253" s="218"/>
      <c r="B253" s="221"/>
      <c r="C253" s="222"/>
      <c r="D253" s="218"/>
      <c r="E253" s="218"/>
      <c r="F253" s="220"/>
      <c r="G253" s="218"/>
      <c r="H253" s="218"/>
      <c r="I253" s="218"/>
      <c r="J253" s="218"/>
      <c r="K253" s="220"/>
      <c r="L253" s="220"/>
      <c r="M253" s="220"/>
      <c r="N253" s="220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spans="1:26" ht="15.75">
      <c r="A254" s="218"/>
      <c r="B254" s="221"/>
      <c r="C254" s="222"/>
      <c r="D254" s="218"/>
      <c r="E254" s="218"/>
      <c r="F254" s="220"/>
      <c r="G254" s="218"/>
      <c r="H254" s="218"/>
      <c r="I254" s="218"/>
      <c r="J254" s="218"/>
      <c r="K254" s="220"/>
      <c r="L254" s="220"/>
      <c r="M254" s="220"/>
      <c r="N254" s="220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spans="1:26" ht="15.75">
      <c r="A255" s="218"/>
      <c r="B255" s="221"/>
      <c r="C255" s="222"/>
      <c r="D255" s="218"/>
      <c r="E255" s="218"/>
      <c r="F255" s="220"/>
      <c r="G255" s="218"/>
      <c r="H255" s="218"/>
      <c r="I255" s="218"/>
      <c r="J255" s="218"/>
      <c r="K255" s="220"/>
      <c r="L255" s="220"/>
      <c r="M255" s="220"/>
      <c r="N255" s="220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spans="1:26" ht="15.75">
      <c r="A256" s="218"/>
      <c r="B256" s="221"/>
      <c r="C256" s="222"/>
      <c r="D256" s="218"/>
      <c r="E256" s="218"/>
      <c r="F256" s="220"/>
      <c r="G256" s="218"/>
      <c r="H256" s="218"/>
      <c r="I256" s="218"/>
      <c r="J256" s="218"/>
      <c r="K256" s="220"/>
      <c r="L256" s="220"/>
      <c r="M256" s="220"/>
      <c r="N256" s="220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spans="1:26" ht="15.75">
      <c r="A257" s="218"/>
      <c r="B257" s="221"/>
      <c r="C257" s="222"/>
      <c r="D257" s="218"/>
      <c r="E257" s="218"/>
      <c r="F257" s="220"/>
      <c r="G257" s="218"/>
      <c r="H257" s="218"/>
      <c r="I257" s="218"/>
      <c r="J257" s="218"/>
      <c r="K257" s="220"/>
      <c r="L257" s="220"/>
      <c r="M257" s="220"/>
      <c r="N257" s="220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spans="1:26" ht="15.75">
      <c r="A258" s="218"/>
      <c r="B258" s="221"/>
      <c r="C258" s="222"/>
      <c r="D258" s="218"/>
      <c r="E258" s="218"/>
      <c r="F258" s="220"/>
      <c r="G258" s="218"/>
      <c r="H258" s="218"/>
      <c r="I258" s="218"/>
      <c r="J258" s="218"/>
      <c r="K258" s="220"/>
      <c r="L258" s="220"/>
      <c r="M258" s="220"/>
      <c r="N258" s="220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spans="1:26" ht="15.75">
      <c r="A259" s="218"/>
      <c r="B259" s="221"/>
      <c r="C259" s="222"/>
      <c r="D259" s="218"/>
      <c r="E259" s="218"/>
      <c r="F259" s="220"/>
      <c r="G259" s="218"/>
      <c r="H259" s="218"/>
      <c r="I259" s="218"/>
      <c r="J259" s="218"/>
      <c r="K259" s="220"/>
      <c r="L259" s="220"/>
      <c r="M259" s="220"/>
      <c r="N259" s="220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spans="1:26" ht="15.75">
      <c r="A260" s="218"/>
      <c r="B260" s="221"/>
      <c r="C260" s="222"/>
      <c r="D260" s="218"/>
      <c r="E260" s="218"/>
      <c r="F260" s="220"/>
      <c r="G260" s="218"/>
      <c r="H260" s="218"/>
      <c r="I260" s="218"/>
      <c r="J260" s="218"/>
      <c r="K260" s="220"/>
      <c r="L260" s="220"/>
      <c r="M260" s="220"/>
      <c r="N260" s="220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spans="1:26" ht="15.75">
      <c r="A261" s="218"/>
      <c r="B261" s="221"/>
      <c r="C261" s="222"/>
      <c r="D261" s="218"/>
      <c r="E261" s="218"/>
      <c r="F261" s="220"/>
      <c r="G261" s="218"/>
      <c r="H261" s="218"/>
      <c r="I261" s="218"/>
      <c r="J261" s="218"/>
      <c r="K261" s="220"/>
      <c r="L261" s="220"/>
      <c r="M261" s="220"/>
      <c r="N261" s="220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spans="1:26" ht="15.75">
      <c r="A262" s="218"/>
      <c r="B262" s="221"/>
      <c r="C262" s="222"/>
      <c r="D262" s="218"/>
      <c r="E262" s="218"/>
      <c r="F262" s="220"/>
      <c r="G262" s="218"/>
      <c r="H262" s="218"/>
      <c r="I262" s="218"/>
      <c r="J262" s="218"/>
      <c r="K262" s="220"/>
      <c r="L262" s="220"/>
      <c r="M262" s="220"/>
      <c r="N262" s="220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spans="1:26" ht="15.75">
      <c r="A263" s="218"/>
      <c r="B263" s="221"/>
      <c r="C263" s="222"/>
      <c r="D263" s="218"/>
      <c r="E263" s="218"/>
      <c r="F263" s="220"/>
      <c r="G263" s="218"/>
      <c r="H263" s="218"/>
      <c r="I263" s="218"/>
      <c r="J263" s="218"/>
      <c r="K263" s="220"/>
      <c r="L263" s="220"/>
      <c r="M263" s="220"/>
      <c r="N263" s="220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spans="1:26" ht="15.75">
      <c r="A264" s="218"/>
      <c r="B264" s="221"/>
      <c r="C264" s="222"/>
      <c r="D264" s="218"/>
      <c r="E264" s="218"/>
      <c r="F264" s="220"/>
      <c r="G264" s="218"/>
      <c r="H264" s="218"/>
      <c r="I264" s="218"/>
      <c r="J264" s="218"/>
      <c r="K264" s="220"/>
      <c r="L264" s="220"/>
      <c r="M264" s="220"/>
      <c r="N264" s="220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spans="1:26" ht="15.75">
      <c r="A265" s="218"/>
      <c r="B265" s="221"/>
      <c r="C265" s="222"/>
      <c r="D265" s="218"/>
      <c r="E265" s="218"/>
      <c r="F265" s="220"/>
      <c r="G265" s="218"/>
      <c r="H265" s="218"/>
      <c r="I265" s="218"/>
      <c r="J265" s="218"/>
      <c r="K265" s="220"/>
      <c r="L265" s="220"/>
      <c r="M265" s="220"/>
      <c r="N265" s="220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spans="1:26" ht="15.75">
      <c r="A266" s="218"/>
      <c r="B266" s="221"/>
      <c r="C266" s="222"/>
      <c r="D266" s="218"/>
      <c r="E266" s="218"/>
      <c r="F266" s="220"/>
      <c r="G266" s="218"/>
      <c r="H266" s="218"/>
      <c r="I266" s="218"/>
      <c r="J266" s="218"/>
      <c r="K266" s="220"/>
      <c r="L266" s="220"/>
      <c r="M266" s="220"/>
      <c r="N266" s="220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spans="1:26" ht="15.75">
      <c r="A267" s="218"/>
      <c r="B267" s="221"/>
      <c r="C267" s="222"/>
      <c r="D267" s="218"/>
      <c r="E267" s="218"/>
      <c r="F267" s="220"/>
      <c r="G267" s="218"/>
      <c r="H267" s="218"/>
      <c r="I267" s="218"/>
      <c r="J267" s="218"/>
      <c r="K267" s="220"/>
      <c r="L267" s="220"/>
      <c r="M267" s="220"/>
      <c r="N267" s="220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spans="1:26" ht="15.75">
      <c r="A268" s="218"/>
      <c r="B268" s="221"/>
      <c r="C268" s="222"/>
      <c r="D268" s="218"/>
      <c r="E268" s="218"/>
      <c r="F268" s="220"/>
      <c r="G268" s="218"/>
      <c r="H268" s="218"/>
      <c r="I268" s="218"/>
      <c r="J268" s="218"/>
      <c r="K268" s="220"/>
      <c r="L268" s="220"/>
      <c r="M268" s="220"/>
      <c r="N268" s="220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spans="1:26" ht="15.75">
      <c r="A269" s="218"/>
      <c r="B269" s="221"/>
      <c r="C269" s="222"/>
      <c r="D269" s="218"/>
      <c r="E269" s="218"/>
      <c r="F269" s="220"/>
      <c r="G269" s="218"/>
      <c r="H269" s="218"/>
      <c r="I269" s="218"/>
      <c r="J269" s="218"/>
      <c r="K269" s="220"/>
      <c r="L269" s="220"/>
      <c r="M269" s="220"/>
      <c r="N269" s="220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spans="1:26" ht="15.75">
      <c r="A270" s="218"/>
      <c r="B270" s="221"/>
      <c r="C270" s="222"/>
      <c r="D270" s="218"/>
      <c r="E270" s="218"/>
      <c r="F270" s="220"/>
      <c r="G270" s="218"/>
      <c r="H270" s="218"/>
      <c r="I270" s="218"/>
      <c r="J270" s="218"/>
      <c r="K270" s="220"/>
      <c r="L270" s="220"/>
      <c r="M270" s="220"/>
      <c r="N270" s="220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spans="1:26" ht="15.75">
      <c r="A271" s="218"/>
      <c r="B271" s="221"/>
      <c r="C271" s="222"/>
      <c r="D271" s="218"/>
      <c r="E271" s="218"/>
      <c r="F271" s="220"/>
      <c r="G271" s="218"/>
      <c r="H271" s="218"/>
      <c r="I271" s="218"/>
      <c r="J271" s="218"/>
      <c r="K271" s="220"/>
      <c r="L271" s="220"/>
      <c r="M271" s="220"/>
      <c r="N271" s="220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spans="1:26" ht="15.75">
      <c r="A272" s="218"/>
      <c r="B272" s="221"/>
      <c r="C272" s="222"/>
      <c r="D272" s="218"/>
      <c r="E272" s="218"/>
      <c r="F272" s="220"/>
      <c r="G272" s="218"/>
      <c r="H272" s="218"/>
      <c r="I272" s="218"/>
      <c r="J272" s="218"/>
      <c r="K272" s="220"/>
      <c r="L272" s="220"/>
      <c r="M272" s="220"/>
      <c r="N272" s="220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spans="1:26" ht="15.75">
      <c r="A273" s="218"/>
      <c r="B273" s="221"/>
      <c r="C273" s="222"/>
      <c r="D273" s="218"/>
      <c r="E273" s="218"/>
      <c r="F273" s="220"/>
      <c r="G273" s="218"/>
      <c r="H273" s="218"/>
      <c r="I273" s="218"/>
      <c r="J273" s="218"/>
      <c r="K273" s="220"/>
      <c r="L273" s="220"/>
      <c r="M273" s="220"/>
      <c r="N273" s="220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spans="1:26" ht="15.75">
      <c r="A274" s="218"/>
      <c r="B274" s="221"/>
      <c r="C274" s="222"/>
      <c r="D274" s="218"/>
      <c r="E274" s="218"/>
      <c r="F274" s="220"/>
      <c r="G274" s="218"/>
      <c r="H274" s="218"/>
      <c r="I274" s="218"/>
      <c r="J274" s="218"/>
      <c r="K274" s="220"/>
      <c r="L274" s="220"/>
      <c r="M274" s="220"/>
      <c r="N274" s="220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spans="1:26" ht="15.75">
      <c r="A275" s="218"/>
      <c r="B275" s="221"/>
      <c r="C275" s="222"/>
      <c r="D275" s="218"/>
      <c r="E275" s="218"/>
      <c r="F275" s="220"/>
      <c r="G275" s="218"/>
      <c r="H275" s="218"/>
      <c r="I275" s="218"/>
      <c r="J275" s="218"/>
      <c r="K275" s="220"/>
      <c r="L275" s="220"/>
      <c r="M275" s="220"/>
      <c r="N275" s="220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spans="1:26" ht="15.75">
      <c r="A276" s="218"/>
      <c r="B276" s="221"/>
      <c r="C276" s="222"/>
      <c r="D276" s="218"/>
      <c r="E276" s="218"/>
      <c r="F276" s="220"/>
      <c r="G276" s="218"/>
      <c r="H276" s="218"/>
      <c r="I276" s="218"/>
      <c r="J276" s="218"/>
      <c r="K276" s="220"/>
      <c r="L276" s="220"/>
      <c r="M276" s="220"/>
      <c r="N276" s="220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spans="1:26" ht="15.75">
      <c r="A277" s="218"/>
      <c r="B277" s="221"/>
      <c r="C277" s="222"/>
      <c r="D277" s="218"/>
      <c r="E277" s="218"/>
      <c r="F277" s="220"/>
      <c r="G277" s="218"/>
      <c r="H277" s="218"/>
      <c r="I277" s="218"/>
      <c r="J277" s="218"/>
      <c r="K277" s="220"/>
      <c r="L277" s="220"/>
      <c r="M277" s="220"/>
      <c r="N277" s="220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spans="1:26" ht="15.75">
      <c r="A278" s="218"/>
      <c r="B278" s="221"/>
      <c r="C278" s="222"/>
      <c r="D278" s="218"/>
      <c r="E278" s="218"/>
      <c r="F278" s="220"/>
      <c r="G278" s="218"/>
      <c r="H278" s="218"/>
      <c r="I278" s="218"/>
      <c r="J278" s="218"/>
      <c r="K278" s="220"/>
      <c r="L278" s="220"/>
      <c r="M278" s="220"/>
      <c r="N278" s="220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spans="1:26" ht="15.75">
      <c r="A279" s="218"/>
      <c r="B279" s="221"/>
      <c r="C279" s="222"/>
      <c r="D279" s="218"/>
      <c r="E279" s="218"/>
      <c r="F279" s="220"/>
      <c r="G279" s="218"/>
      <c r="H279" s="218"/>
      <c r="I279" s="218"/>
      <c r="J279" s="218"/>
      <c r="K279" s="220"/>
      <c r="L279" s="220"/>
      <c r="M279" s="220"/>
      <c r="N279" s="220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spans="1:26" ht="15.75">
      <c r="A280" s="218"/>
      <c r="B280" s="221"/>
      <c r="C280" s="222"/>
      <c r="D280" s="218"/>
      <c r="E280" s="218"/>
      <c r="F280" s="220"/>
      <c r="G280" s="218"/>
      <c r="H280" s="218"/>
      <c r="I280" s="218"/>
      <c r="J280" s="218"/>
      <c r="K280" s="220"/>
      <c r="L280" s="220"/>
      <c r="M280" s="220"/>
      <c r="N280" s="220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spans="1:26" ht="15.75">
      <c r="A281" s="218"/>
      <c r="B281" s="221"/>
      <c r="C281" s="222"/>
      <c r="D281" s="218"/>
      <c r="E281" s="218"/>
      <c r="F281" s="220"/>
      <c r="G281" s="218"/>
      <c r="H281" s="218"/>
      <c r="I281" s="218"/>
      <c r="J281" s="218"/>
      <c r="K281" s="220"/>
      <c r="L281" s="220"/>
      <c r="M281" s="220"/>
      <c r="N281" s="220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spans="1:26" ht="15.75">
      <c r="A282" s="218"/>
      <c r="B282" s="221"/>
      <c r="C282" s="222"/>
      <c r="D282" s="218"/>
      <c r="E282" s="218"/>
      <c r="F282" s="220"/>
      <c r="G282" s="218"/>
      <c r="H282" s="218"/>
      <c r="I282" s="218"/>
      <c r="J282" s="218"/>
      <c r="K282" s="220"/>
      <c r="L282" s="220"/>
      <c r="M282" s="220"/>
      <c r="N282" s="220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spans="1:26" ht="15.75">
      <c r="A283" s="218"/>
      <c r="B283" s="221"/>
      <c r="C283" s="222"/>
      <c r="D283" s="218"/>
      <c r="E283" s="218"/>
      <c r="F283" s="220"/>
      <c r="G283" s="218"/>
      <c r="H283" s="218"/>
      <c r="I283" s="218"/>
      <c r="J283" s="218"/>
      <c r="K283" s="220"/>
      <c r="L283" s="220"/>
      <c r="M283" s="220"/>
      <c r="N283" s="220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spans="1:26" ht="15.75">
      <c r="A284" s="218"/>
      <c r="B284" s="221"/>
      <c r="C284" s="222"/>
      <c r="D284" s="218"/>
      <c r="E284" s="218"/>
      <c r="F284" s="220"/>
      <c r="G284" s="218"/>
      <c r="H284" s="218"/>
      <c r="I284" s="218"/>
      <c r="J284" s="218"/>
      <c r="K284" s="220"/>
      <c r="L284" s="220"/>
      <c r="M284" s="220"/>
      <c r="N284" s="220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spans="1:26" ht="15.75">
      <c r="A285" s="218"/>
      <c r="B285" s="221"/>
      <c r="C285" s="222"/>
      <c r="D285" s="218"/>
      <c r="E285" s="218"/>
      <c r="F285" s="220"/>
      <c r="G285" s="218"/>
      <c r="H285" s="218"/>
      <c r="I285" s="218"/>
      <c r="J285" s="218"/>
      <c r="K285" s="220"/>
      <c r="L285" s="220"/>
      <c r="M285" s="220"/>
      <c r="N285" s="220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spans="1:26" ht="15.75">
      <c r="A286" s="218"/>
      <c r="B286" s="221"/>
      <c r="C286" s="222"/>
      <c r="D286" s="218"/>
      <c r="E286" s="218"/>
      <c r="F286" s="220"/>
      <c r="G286" s="218"/>
      <c r="H286" s="218"/>
      <c r="I286" s="218"/>
      <c r="J286" s="218"/>
      <c r="K286" s="220"/>
      <c r="L286" s="220"/>
      <c r="M286" s="220"/>
      <c r="N286" s="220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spans="1:26" ht="15.75">
      <c r="A287" s="218"/>
      <c r="B287" s="221"/>
      <c r="C287" s="222"/>
      <c r="D287" s="218"/>
      <c r="E287" s="218"/>
      <c r="F287" s="220"/>
      <c r="G287" s="218"/>
      <c r="H287" s="218"/>
      <c r="I287" s="218"/>
      <c r="J287" s="218"/>
      <c r="K287" s="220"/>
      <c r="L287" s="220"/>
      <c r="M287" s="220"/>
      <c r="N287" s="220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spans="1:26" ht="15.75">
      <c r="A288" s="218"/>
      <c r="B288" s="221"/>
      <c r="C288" s="222"/>
      <c r="D288" s="218"/>
      <c r="E288" s="218"/>
      <c r="F288" s="220"/>
      <c r="G288" s="218"/>
      <c r="H288" s="218"/>
      <c r="I288" s="218"/>
      <c r="J288" s="218"/>
      <c r="K288" s="220"/>
      <c r="L288" s="220"/>
      <c r="M288" s="220"/>
      <c r="N288" s="220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spans="1:26" ht="15.75">
      <c r="A289" s="218"/>
      <c r="B289" s="221"/>
      <c r="C289" s="222"/>
      <c r="D289" s="218"/>
      <c r="E289" s="218"/>
      <c r="F289" s="220"/>
      <c r="G289" s="218"/>
      <c r="H289" s="218"/>
      <c r="I289" s="218"/>
      <c r="J289" s="218"/>
      <c r="K289" s="220"/>
      <c r="L289" s="220"/>
      <c r="M289" s="220"/>
      <c r="N289" s="220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spans="1:26" ht="15.75">
      <c r="A290" s="218"/>
      <c r="B290" s="221"/>
      <c r="C290" s="222"/>
      <c r="D290" s="218"/>
      <c r="E290" s="218"/>
      <c r="F290" s="220"/>
      <c r="G290" s="218"/>
      <c r="H290" s="218"/>
      <c r="I290" s="218"/>
      <c r="J290" s="218"/>
      <c r="K290" s="220"/>
      <c r="L290" s="220"/>
      <c r="M290" s="220"/>
      <c r="N290" s="220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spans="1:26" ht="15.75">
      <c r="A291" s="218"/>
      <c r="B291" s="221"/>
      <c r="C291" s="222"/>
      <c r="D291" s="218"/>
      <c r="E291" s="218"/>
      <c r="F291" s="220"/>
      <c r="G291" s="218"/>
      <c r="H291" s="218"/>
      <c r="I291" s="218"/>
      <c r="J291" s="218"/>
      <c r="K291" s="220"/>
      <c r="L291" s="220"/>
      <c r="M291" s="220"/>
      <c r="N291" s="220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spans="1:26" ht="15.75">
      <c r="A292" s="218"/>
      <c r="B292" s="221"/>
      <c r="C292" s="222"/>
      <c r="D292" s="218"/>
      <c r="E292" s="218"/>
      <c r="F292" s="220"/>
      <c r="G292" s="218"/>
      <c r="H292" s="218"/>
      <c r="I292" s="218"/>
      <c r="J292" s="218"/>
      <c r="K292" s="220"/>
      <c r="L292" s="220"/>
      <c r="M292" s="220"/>
      <c r="N292" s="220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spans="1:26" ht="15.75">
      <c r="A293" s="218"/>
      <c r="B293" s="221"/>
      <c r="C293" s="222"/>
      <c r="D293" s="218"/>
      <c r="E293" s="218"/>
      <c r="F293" s="220"/>
      <c r="G293" s="218"/>
      <c r="H293" s="218"/>
      <c r="I293" s="218"/>
      <c r="J293" s="218"/>
      <c r="K293" s="220"/>
      <c r="L293" s="220"/>
      <c r="M293" s="220"/>
      <c r="N293" s="220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spans="1:26" ht="15.75">
      <c r="A294" s="218"/>
      <c r="B294" s="221"/>
      <c r="C294" s="222"/>
      <c r="D294" s="218"/>
      <c r="E294" s="218"/>
      <c r="F294" s="220"/>
      <c r="G294" s="218"/>
      <c r="H294" s="218"/>
      <c r="I294" s="218"/>
      <c r="J294" s="218"/>
      <c r="K294" s="220"/>
      <c r="L294" s="220"/>
      <c r="M294" s="220"/>
      <c r="N294" s="220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spans="1:26" ht="15.75">
      <c r="A295" s="218"/>
      <c r="B295" s="221"/>
      <c r="C295" s="222"/>
      <c r="D295" s="218"/>
      <c r="E295" s="218"/>
      <c r="F295" s="220"/>
      <c r="G295" s="218"/>
      <c r="H295" s="218"/>
      <c r="I295" s="218"/>
      <c r="J295" s="218"/>
      <c r="K295" s="220"/>
      <c r="L295" s="220"/>
      <c r="M295" s="220"/>
      <c r="N295" s="220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spans="1:26" ht="15.75">
      <c r="A296" s="218"/>
      <c r="B296" s="221"/>
      <c r="C296" s="222"/>
      <c r="D296" s="218"/>
      <c r="E296" s="218"/>
      <c r="F296" s="220"/>
      <c r="G296" s="218"/>
      <c r="H296" s="218"/>
      <c r="I296" s="218"/>
      <c r="J296" s="218"/>
      <c r="K296" s="220"/>
      <c r="L296" s="220"/>
      <c r="M296" s="220"/>
      <c r="N296" s="220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spans="1:26" ht="15.75">
      <c r="A297" s="218"/>
      <c r="B297" s="221"/>
      <c r="C297" s="222"/>
      <c r="D297" s="218"/>
      <c r="E297" s="218"/>
      <c r="F297" s="220"/>
      <c r="G297" s="218"/>
      <c r="H297" s="218"/>
      <c r="I297" s="218"/>
      <c r="J297" s="218"/>
      <c r="K297" s="220"/>
      <c r="L297" s="220"/>
      <c r="M297" s="220"/>
      <c r="N297" s="220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spans="1:26" ht="15.75">
      <c r="A298" s="218"/>
      <c r="B298" s="221"/>
      <c r="C298" s="222"/>
      <c r="D298" s="218"/>
      <c r="E298" s="218"/>
      <c r="F298" s="220"/>
      <c r="G298" s="218"/>
      <c r="H298" s="218"/>
      <c r="I298" s="218"/>
      <c r="J298" s="218"/>
      <c r="K298" s="220"/>
      <c r="L298" s="220"/>
      <c r="M298" s="220"/>
      <c r="N298" s="220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spans="1:26" ht="15.75">
      <c r="A299" s="218"/>
      <c r="B299" s="221"/>
      <c r="C299" s="222"/>
      <c r="D299" s="218"/>
      <c r="E299" s="218"/>
      <c r="F299" s="220"/>
      <c r="G299" s="218"/>
      <c r="H299" s="218"/>
      <c r="I299" s="218"/>
      <c r="J299" s="218"/>
      <c r="K299" s="220"/>
      <c r="L299" s="220"/>
      <c r="M299" s="220"/>
      <c r="N299" s="220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spans="1:26" ht="15.75">
      <c r="A300" s="218"/>
      <c r="B300" s="221"/>
      <c r="C300" s="222"/>
      <c r="D300" s="218"/>
      <c r="E300" s="218"/>
      <c r="F300" s="220"/>
      <c r="G300" s="218"/>
      <c r="H300" s="218"/>
      <c r="I300" s="218"/>
      <c r="J300" s="218"/>
      <c r="K300" s="220"/>
      <c r="L300" s="220"/>
      <c r="M300" s="220"/>
      <c r="N300" s="220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spans="1:26" ht="15.75">
      <c r="A301" s="218"/>
      <c r="B301" s="221"/>
      <c r="C301" s="222"/>
      <c r="D301" s="218"/>
      <c r="E301" s="218"/>
      <c r="F301" s="220"/>
      <c r="G301" s="218"/>
      <c r="H301" s="218"/>
      <c r="I301" s="218"/>
      <c r="J301" s="218"/>
      <c r="K301" s="220"/>
      <c r="L301" s="220"/>
      <c r="M301" s="220"/>
      <c r="N301" s="220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spans="1:26" ht="15.75">
      <c r="A302" s="218"/>
      <c r="B302" s="221"/>
      <c r="C302" s="222"/>
      <c r="D302" s="218"/>
      <c r="E302" s="218"/>
      <c r="F302" s="220"/>
      <c r="G302" s="218"/>
      <c r="H302" s="218"/>
      <c r="I302" s="218"/>
      <c r="J302" s="218"/>
      <c r="K302" s="220"/>
      <c r="L302" s="220"/>
      <c r="M302" s="220"/>
      <c r="N302" s="220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spans="1:26" ht="15.75">
      <c r="A303" s="218"/>
      <c r="B303" s="221"/>
      <c r="C303" s="222"/>
      <c r="D303" s="218"/>
      <c r="E303" s="218"/>
      <c r="F303" s="220"/>
      <c r="G303" s="218"/>
      <c r="H303" s="218"/>
      <c r="I303" s="218"/>
      <c r="J303" s="218"/>
      <c r="K303" s="220"/>
      <c r="L303" s="220"/>
      <c r="M303" s="220"/>
      <c r="N303" s="220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spans="1:26" ht="15.75">
      <c r="A304" s="218"/>
      <c r="B304" s="221"/>
      <c r="C304" s="222"/>
      <c r="D304" s="218"/>
      <c r="E304" s="218"/>
      <c r="F304" s="220"/>
      <c r="G304" s="218"/>
      <c r="H304" s="218"/>
      <c r="I304" s="218"/>
      <c r="J304" s="218"/>
      <c r="K304" s="220"/>
      <c r="L304" s="220"/>
      <c r="M304" s="220"/>
      <c r="N304" s="220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spans="1:26" ht="15.75">
      <c r="A305" s="218"/>
      <c r="B305" s="221"/>
      <c r="C305" s="222"/>
      <c r="D305" s="218"/>
      <c r="E305" s="218"/>
      <c r="F305" s="220"/>
      <c r="G305" s="218"/>
      <c r="H305" s="218"/>
      <c r="I305" s="218"/>
      <c r="J305" s="218"/>
      <c r="K305" s="220"/>
      <c r="L305" s="220"/>
      <c r="M305" s="220"/>
      <c r="N305" s="220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spans="1:26" ht="15.75">
      <c r="A306" s="218"/>
      <c r="B306" s="221"/>
      <c r="C306" s="222"/>
      <c r="D306" s="218"/>
      <c r="E306" s="218"/>
      <c r="F306" s="220"/>
      <c r="G306" s="218"/>
      <c r="H306" s="218"/>
      <c r="I306" s="218"/>
      <c r="J306" s="218"/>
      <c r="K306" s="220"/>
      <c r="L306" s="220"/>
      <c r="M306" s="220"/>
      <c r="N306" s="220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spans="1:26" ht="15.75">
      <c r="A307" s="218"/>
      <c r="B307" s="221"/>
      <c r="C307" s="222"/>
      <c r="D307" s="218"/>
      <c r="E307" s="218"/>
      <c r="F307" s="220"/>
      <c r="G307" s="218"/>
      <c r="H307" s="218"/>
      <c r="I307" s="218"/>
      <c r="J307" s="218"/>
      <c r="K307" s="220"/>
      <c r="L307" s="220"/>
      <c r="M307" s="220"/>
      <c r="N307" s="220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spans="1:26" ht="15.75">
      <c r="A308" s="218"/>
      <c r="B308" s="221"/>
      <c r="C308" s="222"/>
      <c r="D308" s="218"/>
      <c r="E308" s="218"/>
      <c r="F308" s="220"/>
      <c r="G308" s="218"/>
      <c r="H308" s="218"/>
      <c r="I308" s="218"/>
      <c r="J308" s="218"/>
      <c r="K308" s="220"/>
      <c r="L308" s="220"/>
      <c r="M308" s="220"/>
      <c r="N308" s="220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spans="1:26" ht="15.75">
      <c r="A309" s="218"/>
      <c r="B309" s="221"/>
      <c r="C309" s="222"/>
      <c r="D309" s="218"/>
      <c r="E309" s="218"/>
      <c r="F309" s="220"/>
      <c r="G309" s="218"/>
      <c r="H309" s="218"/>
      <c r="I309" s="218"/>
      <c r="J309" s="218"/>
      <c r="K309" s="220"/>
      <c r="L309" s="220"/>
      <c r="M309" s="220"/>
      <c r="N309" s="220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spans="1:26" ht="15.75">
      <c r="A310" s="218"/>
      <c r="B310" s="221"/>
      <c r="C310" s="222"/>
      <c r="D310" s="218"/>
      <c r="E310" s="218"/>
      <c r="F310" s="220"/>
      <c r="G310" s="218"/>
      <c r="H310" s="218"/>
      <c r="I310" s="218"/>
      <c r="J310" s="218"/>
      <c r="K310" s="220"/>
      <c r="L310" s="220"/>
      <c r="M310" s="220"/>
      <c r="N310" s="220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spans="1:26" ht="15.75">
      <c r="A311" s="218"/>
      <c r="B311" s="221"/>
      <c r="C311" s="222"/>
      <c r="D311" s="218"/>
      <c r="E311" s="218"/>
      <c r="F311" s="220"/>
      <c r="G311" s="218"/>
      <c r="H311" s="218"/>
      <c r="I311" s="218"/>
      <c r="J311" s="218"/>
      <c r="K311" s="220"/>
      <c r="L311" s="220"/>
      <c r="M311" s="220"/>
      <c r="N311" s="220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spans="1:26" ht="15.75">
      <c r="A312" s="218"/>
      <c r="B312" s="221"/>
      <c r="C312" s="222"/>
      <c r="D312" s="218"/>
      <c r="E312" s="218"/>
      <c r="F312" s="220"/>
      <c r="G312" s="218"/>
      <c r="H312" s="218"/>
      <c r="I312" s="218"/>
      <c r="J312" s="218"/>
      <c r="K312" s="220"/>
      <c r="L312" s="220"/>
      <c r="M312" s="220"/>
      <c r="N312" s="220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spans="1:26" ht="15.75">
      <c r="A313" s="218"/>
      <c r="B313" s="221"/>
      <c r="C313" s="222"/>
      <c r="D313" s="218"/>
      <c r="E313" s="218"/>
      <c r="F313" s="220"/>
      <c r="G313" s="218"/>
      <c r="H313" s="218"/>
      <c r="I313" s="218"/>
      <c r="J313" s="218"/>
      <c r="K313" s="220"/>
      <c r="L313" s="220"/>
      <c r="M313" s="220"/>
      <c r="N313" s="220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spans="1:26" ht="15.75">
      <c r="A314" s="218"/>
      <c r="B314" s="221"/>
      <c r="C314" s="222"/>
      <c r="D314" s="218"/>
      <c r="E314" s="218"/>
      <c r="F314" s="220"/>
      <c r="G314" s="218"/>
      <c r="H314" s="218"/>
      <c r="I314" s="218"/>
      <c r="J314" s="218"/>
      <c r="K314" s="220"/>
      <c r="L314" s="220"/>
      <c r="M314" s="220"/>
      <c r="N314" s="220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spans="1:26" ht="15.75">
      <c r="A315" s="218"/>
      <c r="B315" s="221"/>
      <c r="C315" s="222"/>
      <c r="D315" s="218"/>
      <c r="E315" s="218"/>
      <c r="F315" s="220"/>
      <c r="G315" s="218"/>
      <c r="H315" s="218"/>
      <c r="I315" s="218"/>
      <c r="J315" s="218"/>
      <c r="K315" s="220"/>
      <c r="L315" s="220"/>
      <c r="M315" s="220"/>
      <c r="N315" s="220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spans="1:26" ht="15.75">
      <c r="A316" s="218"/>
      <c r="B316" s="221"/>
      <c r="C316" s="222"/>
      <c r="D316" s="218"/>
      <c r="E316" s="218"/>
      <c r="F316" s="220"/>
      <c r="G316" s="218"/>
      <c r="H316" s="218"/>
      <c r="I316" s="218"/>
      <c r="J316" s="218"/>
      <c r="K316" s="220"/>
      <c r="L316" s="220"/>
      <c r="M316" s="220"/>
      <c r="N316" s="220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spans="1:26" ht="15.75">
      <c r="A317" s="218"/>
      <c r="B317" s="221"/>
      <c r="C317" s="222"/>
      <c r="D317" s="218"/>
      <c r="E317" s="218"/>
      <c r="F317" s="220"/>
      <c r="G317" s="218"/>
      <c r="H317" s="218"/>
      <c r="I317" s="218"/>
      <c r="J317" s="218"/>
      <c r="K317" s="220"/>
      <c r="L317" s="220"/>
      <c r="M317" s="220"/>
      <c r="N317" s="220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spans="1:26" ht="15.75">
      <c r="A318" s="218"/>
      <c r="B318" s="221"/>
      <c r="C318" s="222"/>
      <c r="D318" s="218"/>
      <c r="E318" s="218"/>
      <c r="F318" s="220"/>
      <c r="G318" s="218"/>
      <c r="H318" s="218"/>
      <c r="I318" s="218"/>
      <c r="J318" s="218"/>
      <c r="K318" s="220"/>
      <c r="L318" s="220"/>
      <c r="M318" s="220"/>
      <c r="N318" s="220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spans="1:26" ht="15.75">
      <c r="A319" s="218"/>
      <c r="B319" s="221"/>
      <c r="C319" s="222"/>
      <c r="D319" s="218"/>
      <c r="E319" s="218"/>
      <c r="F319" s="220"/>
      <c r="G319" s="218"/>
      <c r="H319" s="218"/>
      <c r="I319" s="218"/>
      <c r="J319" s="218"/>
      <c r="K319" s="220"/>
      <c r="L319" s="220"/>
      <c r="M319" s="220"/>
      <c r="N319" s="220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spans="1:26" ht="15.75">
      <c r="A320" s="218"/>
      <c r="B320" s="221"/>
      <c r="C320" s="222"/>
      <c r="D320" s="218"/>
      <c r="E320" s="218"/>
      <c r="F320" s="220"/>
      <c r="G320" s="218"/>
      <c r="H320" s="218"/>
      <c r="I320" s="218"/>
      <c r="J320" s="218"/>
      <c r="K320" s="220"/>
      <c r="L320" s="220"/>
      <c r="M320" s="220"/>
      <c r="N320" s="220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spans="1:26" ht="15.75">
      <c r="A321" s="218"/>
      <c r="B321" s="221"/>
      <c r="C321" s="222"/>
      <c r="D321" s="218"/>
      <c r="E321" s="218"/>
      <c r="F321" s="220"/>
      <c r="G321" s="218"/>
      <c r="H321" s="218"/>
      <c r="I321" s="218"/>
      <c r="J321" s="218"/>
      <c r="K321" s="220"/>
      <c r="L321" s="220"/>
      <c r="M321" s="220"/>
      <c r="N321" s="220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spans="1:26" ht="15.75">
      <c r="A322" s="218"/>
      <c r="B322" s="221"/>
      <c r="C322" s="222"/>
      <c r="D322" s="218"/>
      <c r="E322" s="218"/>
      <c r="F322" s="220"/>
      <c r="G322" s="218"/>
      <c r="H322" s="218"/>
      <c r="I322" s="218"/>
      <c r="J322" s="218"/>
      <c r="K322" s="220"/>
      <c r="L322" s="220"/>
      <c r="M322" s="220"/>
      <c r="N322" s="220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spans="1:26" ht="15.75">
      <c r="A323" s="218"/>
      <c r="B323" s="221"/>
      <c r="C323" s="222"/>
      <c r="D323" s="218"/>
      <c r="E323" s="218"/>
      <c r="F323" s="220"/>
      <c r="G323" s="218"/>
      <c r="H323" s="218"/>
      <c r="I323" s="218"/>
      <c r="J323" s="218"/>
      <c r="K323" s="220"/>
      <c r="L323" s="220"/>
      <c r="M323" s="220"/>
      <c r="N323" s="220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spans="1:26" ht="15.75">
      <c r="A324" s="218"/>
      <c r="B324" s="221"/>
      <c r="C324" s="222"/>
      <c r="D324" s="218"/>
      <c r="E324" s="218"/>
      <c r="F324" s="220"/>
      <c r="G324" s="218"/>
      <c r="H324" s="218"/>
      <c r="I324" s="218"/>
      <c r="J324" s="218"/>
      <c r="K324" s="220"/>
      <c r="L324" s="220"/>
      <c r="M324" s="220"/>
      <c r="N324" s="220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spans="1:26" ht="15.75">
      <c r="A325" s="218"/>
      <c r="B325" s="221"/>
      <c r="C325" s="222"/>
      <c r="D325" s="218"/>
      <c r="E325" s="218"/>
      <c r="F325" s="220"/>
      <c r="G325" s="218"/>
      <c r="H325" s="218"/>
      <c r="I325" s="218"/>
      <c r="J325" s="218"/>
      <c r="K325" s="220"/>
      <c r="L325" s="220"/>
      <c r="M325" s="220"/>
      <c r="N325" s="220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spans="1:26" ht="15.75">
      <c r="A326" s="218"/>
      <c r="B326" s="221"/>
      <c r="C326" s="222"/>
      <c r="D326" s="218"/>
      <c r="E326" s="218"/>
      <c r="F326" s="220"/>
      <c r="G326" s="218"/>
      <c r="H326" s="218"/>
      <c r="I326" s="218"/>
      <c r="J326" s="218"/>
      <c r="K326" s="220"/>
      <c r="L326" s="220"/>
      <c r="M326" s="220"/>
      <c r="N326" s="220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spans="1:26" ht="15.75">
      <c r="A327" s="218"/>
      <c r="B327" s="221"/>
      <c r="C327" s="222"/>
      <c r="D327" s="218"/>
      <c r="E327" s="218"/>
      <c r="F327" s="220"/>
      <c r="G327" s="218"/>
      <c r="H327" s="218"/>
      <c r="I327" s="218"/>
      <c r="J327" s="218"/>
      <c r="K327" s="220"/>
      <c r="L327" s="220"/>
      <c r="M327" s="220"/>
      <c r="N327" s="220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spans="1:26" ht="15.75">
      <c r="A328" s="218"/>
      <c r="B328" s="221"/>
      <c r="C328" s="222"/>
      <c r="D328" s="218"/>
      <c r="E328" s="218"/>
      <c r="F328" s="220"/>
      <c r="G328" s="218"/>
      <c r="H328" s="218"/>
      <c r="I328" s="218"/>
      <c r="J328" s="218"/>
      <c r="K328" s="220"/>
      <c r="L328" s="220"/>
      <c r="M328" s="220"/>
      <c r="N328" s="220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spans="1:26" ht="15.75">
      <c r="A329" s="218"/>
      <c r="B329" s="221"/>
      <c r="C329" s="222"/>
      <c r="D329" s="218"/>
      <c r="E329" s="218"/>
      <c r="F329" s="220"/>
      <c r="G329" s="218"/>
      <c r="H329" s="218"/>
      <c r="I329" s="218"/>
      <c r="J329" s="218"/>
      <c r="K329" s="220"/>
      <c r="L329" s="220"/>
      <c r="M329" s="220"/>
      <c r="N329" s="220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spans="1:26" ht="15.75">
      <c r="A330" s="218"/>
      <c r="B330" s="221"/>
      <c r="C330" s="222"/>
      <c r="D330" s="218"/>
      <c r="E330" s="218"/>
      <c r="F330" s="220"/>
      <c r="G330" s="218"/>
      <c r="H330" s="218"/>
      <c r="I330" s="218"/>
      <c r="J330" s="218"/>
      <c r="K330" s="220"/>
      <c r="L330" s="220"/>
      <c r="M330" s="220"/>
      <c r="N330" s="220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spans="1:26" ht="15.75">
      <c r="A331" s="218"/>
      <c r="B331" s="221"/>
      <c r="C331" s="222"/>
      <c r="D331" s="218"/>
      <c r="E331" s="218"/>
      <c r="F331" s="220"/>
      <c r="G331" s="218"/>
      <c r="H331" s="218"/>
      <c r="I331" s="218"/>
      <c r="J331" s="218"/>
      <c r="K331" s="220"/>
      <c r="L331" s="220"/>
      <c r="M331" s="220"/>
      <c r="N331" s="220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spans="1:26" ht="15.75">
      <c r="A332" s="218"/>
      <c r="B332" s="221"/>
      <c r="C332" s="222"/>
      <c r="D332" s="218"/>
      <c r="E332" s="218"/>
      <c r="F332" s="220"/>
      <c r="G332" s="218"/>
      <c r="H332" s="218"/>
      <c r="I332" s="218"/>
      <c r="J332" s="218"/>
      <c r="K332" s="220"/>
      <c r="L332" s="220"/>
      <c r="M332" s="220"/>
      <c r="N332" s="220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spans="1:26" ht="15.75">
      <c r="A333" s="218"/>
      <c r="B333" s="221"/>
      <c r="C333" s="222"/>
      <c r="D333" s="218"/>
      <c r="E333" s="218"/>
      <c r="F333" s="220"/>
      <c r="G333" s="218"/>
      <c r="H333" s="218"/>
      <c r="I333" s="218"/>
      <c r="J333" s="218"/>
      <c r="K333" s="220"/>
      <c r="L333" s="220"/>
      <c r="M333" s="220"/>
      <c r="N333" s="220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spans="1:26" ht="15.75">
      <c r="A334" s="218"/>
      <c r="B334" s="221"/>
      <c r="C334" s="222"/>
      <c r="D334" s="218"/>
      <c r="E334" s="218"/>
      <c r="F334" s="220"/>
      <c r="G334" s="218"/>
      <c r="H334" s="218"/>
      <c r="I334" s="218"/>
      <c r="J334" s="218"/>
      <c r="K334" s="220"/>
      <c r="L334" s="220"/>
      <c r="M334" s="220"/>
      <c r="N334" s="220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spans="1:26" ht="15.75">
      <c r="A335" s="218"/>
      <c r="B335" s="221"/>
      <c r="C335" s="222"/>
      <c r="D335" s="218"/>
      <c r="E335" s="218"/>
      <c r="F335" s="220"/>
      <c r="G335" s="218"/>
      <c r="H335" s="218"/>
      <c r="I335" s="218"/>
      <c r="J335" s="218"/>
      <c r="K335" s="220"/>
      <c r="L335" s="220"/>
      <c r="M335" s="220"/>
      <c r="N335" s="220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spans="1:26" ht="15.75">
      <c r="A336" s="218"/>
      <c r="B336" s="221"/>
      <c r="C336" s="222"/>
      <c r="D336" s="218"/>
      <c r="E336" s="218"/>
      <c r="F336" s="220"/>
      <c r="G336" s="218"/>
      <c r="H336" s="218"/>
      <c r="I336" s="218"/>
      <c r="J336" s="218"/>
      <c r="K336" s="220"/>
      <c r="L336" s="220"/>
      <c r="M336" s="220"/>
      <c r="N336" s="220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spans="1:26" ht="15.75">
      <c r="A337" s="218"/>
      <c r="B337" s="221"/>
      <c r="C337" s="222"/>
      <c r="D337" s="218"/>
      <c r="E337" s="218"/>
      <c r="F337" s="220"/>
      <c r="G337" s="218"/>
      <c r="H337" s="218"/>
      <c r="I337" s="218"/>
      <c r="J337" s="218"/>
      <c r="K337" s="220"/>
      <c r="L337" s="220"/>
      <c r="M337" s="220"/>
      <c r="N337" s="220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spans="1:26" ht="15.75">
      <c r="A338" s="218"/>
      <c r="B338" s="221"/>
      <c r="C338" s="222"/>
      <c r="D338" s="218"/>
      <c r="E338" s="218"/>
      <c r="F338" s="220"/>
      <c r="G338" s="218"/>
      <c r="H338" s="218"/>
      <c r="I338" s="218"/>
      <c r="J338" s="218"/>
      <c r="K338" s="220"/>
      <c r="L338" s="220"/>
      <c r="M338" s="220"/>
      <c r="N338" s="220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spans="1:26" ht="15.75">
      <c r="A339" s="218"/>
      <c r="B339" s="221"/>
      <c r="C339" s="222"/>
      <c r="D339" s="218"/>
      <c r="E339" s="218"/>
      <c r="F339" s="220"/>
      <c r="G339" s="218"/>
      <c r="H339" s="218"/>
      <c r="I339" s="218"/>
      <c r="J339" s="218"/>
      <c r="K339" s="220"/>
      <c r="L339" s="220"/>
      <c r="M339" s="220"/>
      <c r="N339" s="220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spans="1:26" ht="15.75">
      <c r="A340" s="218"/>
      <c r="B340" s="221"/>
      <c r="C340" s="222"/>
      <c r="D340" s="218"/>
      <c r="E340" s="218"/>
      <c r="F340" s="220"/>
      <c r="G340" s="218"/>
      <c r="H340" s="218"/>
      <c r="I340" s="218"/>
      <c r="J340" s="218"/>
      <c r="K340" s="220"/>
      <c r="L340" s="220"/>
      <c r="M340" s="220"/>
      <c r="N340" s="220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spans="1:26" ht="15.75">
      <c r="A341" s="218"/>
      <c r="B341" s="221"/>
      <c r="C341" s="222"/>
      <c r="D341" s="218"/>
      <c r="E341" s="218"/>
      <c r="F341" s="220"/>
      <c r="G341" s="218"/>
      <c r="H341" s="218"/>
      <c r="I341" s="218"/>
      <c r="J341" s="218"/>
      <c r="K341" s="220"/>
      <c r="L341" s="220"/>
      <c r="M341" s="220"/>
      <c r="N341" s="220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spans="1:26" ht="15.75">
      <c r="A342" s="218"/>
      <c r="B342" s="221"/>
      <c r="C342" s="222"/>
      <c r="D342" s="218"/>
      <c r="E342" s="218"/>
      <c r="F342" s="220"/>
      <c r="G342" s="218"/>
      <c r="H342" s="218"/>
      <c r="I342" s="218"/>
      <c r="J342" s="218"/>
      <c r="K342" s="220"/>
      <c r="L342" s="220"/>
      <c r="M342" s="220"/>
      <c r="N342" s="220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spans="1:26" ht="15.75">
      <c r="A343" s="218"/>
      <c r="B343" s="221"/>
      <c r="C343" s="222"/>
      <c r="D343" s="218"/>
      <c r="E343" s="218"/>
      <c r="F343" s="220"/>
      <c r="G343" s="218"/>
      <c r="H343" s="218"/>
      <c r="I343" s="218"/>
      <c r="J343" s="218"/>
      <c r="K343" s="220"/>
      <c r="L343" s="220"/>
      <c r="M343" s="220"/>
      <c r="N343" s="220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spans="1:26" ht="15.75">
      <c r="A344" s="218"/>
      <c r="B344" s="221"/>
      <c r="C344" s="222"/>
      <c r="D344" s="218"/>
      <c r="E344" s="218"/>
      <c r="F344" s="220"/>
      <c r="G344" s="218"/>
      <c r="H344" s="218"/>
      <c r="I344" s="218"/>
      <c r="J344" s="218"/>
      <c r="K344" s="220"/>
      <c r="L344" s="220"/>
      <c r="M344" s="220"/>
      <c r="N344" s="220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spans="1:26" ht="15.75">
      <c r="A345" s="218"/>
      <c r="B345" s="221"/>
      <c r="C345" s="222"/>
      <c r="D345" s="218"/>
      <c r="E345" s="218"/>
      <c r="F345" s="220"/>
      <c r="G345" s="218"/>
      <c r="H345" s="218"/>
      <c r="I345" s="218"/>
      <c r="J345" s="218"/>
      <c r="K345" s="220"/>
      <c r="L345" s="220"/>
      <c r="M345" s="220"/>
      <c r="N345" s="220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spans="1:26" ht="15.75">
      <c r="A346" s="218"/>
      <c r="B346" s="221"/>
      <c r="C346" s="222"/>
      <c r="D346" s="218"/>
      <c r="E346" s="218"/>
      <c r="F346" s="220"/>
      <c r="G346" s="218"/>
      <c r="H346" s="218"/>
      <c r="I346" s="218"/>
      <c r="J346" s="218"/>
      <c r="K346" s="220"/>
      <c r="L346" s="220"/>
      <c r="M346" s="220"/>
      <c r="N346" s="220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spans="1:26" ht="15.75">
      <c r="A347" s="218"/>
      <c r="B347" s="221"/>
      <c r="C347" s="222"/>
      <c r="D347" s="218"/>
      <c r="E347" s="218"/>
      <c r="F347" s="220"/>
      <c r="G347" s="218"/>
      <c r="H347" s="218"/>
      <c r="I347" s="218"/>
      <c r="J347" s="218"/>
      <c r="K347" s="220"/>
      <c r="L347" s="220"/>
      <c r="M347" s="220"/>
      <c r="N347" s="220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spans="1:26" ht="15.75">
      <c r="A348" s="218"/>
      <c r="B348" s="221"/>
      <c r="C348" s="222"/>
      <c r="D348" s="218"/>
      <c r="E348" s="218"/>
      <c r="F348" s="220"/>
      <c r="G348" s="218"/>
      <c r="H348" s="218"/>
      <c r="I348" s="218"/>
      <c r="J348" s="218"/>
      <c r="K348" s="220"/>
      <c r="L348" s="220"/>
      <c r="M348" s="220"/>
      <c r="N348" s="220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spans="1:26" ht="15.75">
      <c r="A349" s="218"/>
      <c r="B349" s="221"/>
      <c r="C349" s="222"/>
      <c r="D349" s="218"/>
      <c r="E349" s="218"/>
      <c r="F349" s="220"/>
      <c r="G349" s="218"/>
      <c r="H349" s="218"/>
      <c r="I349" s="218"/>
      <c r="J349" s="218"/>
      <c r="K349" s="220"/>
      <c r="L349" s="220"/>
      <c r="M349" s="220"/>
      <c r="N349" s="220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spans="1:26" ht="15.75">
      <c r="A350" s="218"/>
      <c r="B350" s="221"/>
      <c r="C350" s="222"/>
      <c r="D350" s="218"/>
      <c r="E350" s="218"/>
      <c r="F350" s="220"/>
      <c r="G350" s="218"/>
      <c r="H350" s="218"/>
      <c r="I350" s="218"/>
      <c r="J350" s="218"/>
      <c r="K350" s="220"/>
      <c r="L350" s="220"/>
      <c r="M350" s="220"/>
      <c r="N350" s="220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spans="1:26" ht="15.75">
      <c r="A351" s="218"/>
      <c r="B351" s="221"/>
      <c r="C351" s="222"/>
      <c r="D351" s="218"/>
      <c r="E351" s="218"/>
      <c r="F351" s="220"/>
      <c r="G351" s="218"/>
      <c r="H351" s="218"/>
      <c r="I351" s="218"/>
      <c r="J351" s="218"/>
      <c r="K351" s="220"/>
      <c r="L351" s="220"/>
      <c r="M351" s="220"/>
      <c r="N351" s="220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spans="1:26" ht="15.75">
      <c r="A352" s="218"/>
      <c r="B352" s="221"/>
      <c r="C352" s="222"/>
      <c r="D352" s="218"/>
      <c r="E352" s="218"/>
      <c r="F352" s="220"/>
      <c r="G352" s="218"/>
      <c r="H352" s="218"/>
      <c r="I352" s="218"/>
      <c r="J352" s="218"/>
      <c r="K352" s="220"/>
      <c r="L352" s="220"/>
      <c r="M352" s="220"/>
      <c r="N352" s="220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spans="1:26" ht="15.75">
      <c r="A353" s="218"/>
      <c r="B353" s="221"/>
      <c r="C353" s="222"/>
      <c r="D353" s="218"/>
      <c r="E353" s="218"/>
      <c r="F353" s="220"/>
      <c r="G353" s="218"/>
      <c r="H353" s="218"/>
      <c r="I353" s="218"/>
      <c r="J353" s="218"/>
      <c r="K353" s="220"/>
      <c r="L353" s="220"/>
      <c r="M353" s="220"/>
      <c r="N353" s="220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spans="1:26" ht="15.75">
      <c r="A354" s="218"/>
      <c r="B354" s="221"/>
      <c r="C354" s="222"/>
      <c r="D354" s="218"/>
      <c r="E354" s="218"/>
      <c r="F354" s="220"/>
      <c r="G354" s="218"/>
      <c r="H354" s="218"/>
      <c r="I354" s="218"/>
      <c r="J354" s="218"/>
      <c r="K354" s="220"/>
      <c r="L354" s="220"/>
      <c r="M354" s="220"/>
      <c r="N354" s="220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spans="1:26" ht="15.75">
      <c r="A355" s="218"/>
      <c r="B355" s="221"/>
      <c r="C355" s="222"/>
      <c r="D355" s="218"/>
      <c r="E355" s="218"/>
      <c r="F355" s="220"/>
      <c r="G355" s="218"/>
      <c r="H355" s="218"/>
      <c r="I355" s="218"/>
      <c r="J355" s="218"/>
      <c r="K355" s="220"/>
      <c r="L355" s="220"/>
      <c r="M355" s="220"/>
      <c r="N355" s="220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spans="1:26" ht="15.75">
      <c r="A356" s="218"/>
      <c r="B356" s="221"/>
      <c r="C356" s="222"/>
      <c r="D356" s="218"/>
      <c r="E356" s="218"/>
      <c r="F356" s="220"/>
      <c r="G356" s="218"/>
      <c r="H356" s="218"/>
      <c r="I356" s="218"/>
      <c r="J356" s="218"/>
      <c r="K356" s="220"/>
      <c r="L356" s="220"/>
      <c r="M356" s="220"/>
      <c r="N356" s="220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spans="1:26" ht="15.75">
      <c r="A357" s="218"/>
      <c r="B357" s="221"/>
      <c r="C357" s="222"/>
      <c r="D357" s="218"/>
      <c r="E357" s="218"/>
      <c r="F357" s="220"/>
      <c r="G357" s="218"/>
      <c r="H357" s="218"/>
      <c r="I357" s="218"/>
      <c r="J357" s="218"/>
      <c r="K357" s="220"/>
      <c r="L357" s="220"/>
      <c r="M357" s="220"/>
      <c r="N357" s="220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spans="1:26" ht="15.75">
      <c r="A358" s="218"/>
      <c r="B358" s="221"/>
      <c r="C358" s="222"/>
      <c r="D358" s="218"/>
      <c r="E358" s="218"/>
      <c r="F358" s="220"/>
      <c r="G358" s="218"/>
      <c r="H358" s="218"/>
      <c r="I358" s="218"/>
      <c r="J358" s="218"/>
      <c r="K358" s="220"/>
      <c r="L358" s="220"/>
      <c r="M358" s="220"/>
      <c r="N358" s="220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spans="1:26" ht="15.75">
      <c r="A359" s="218"/>
      <c r="B359" s="221"/>
      <c r="C359" s="222"/>
      <c r="D359" s="218"/>
      <c r="E359" s="218"/>
      <c r="F359" s="220"/>
      <c r="G359" s="218"/>
      <c r="H359" s="218"/>
      <c r="I359" s="218"/>
      <c r="J359" s="218"/>
      <c r="K359" s="220"/>
      <c r="L359" s="220"/>
      <c r="M359" s="220"/>
      <c r="N359" s="220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spans="1:26" ht="15.75">
      <c r="A360" s="218"/>
      <c r="B360" s="221"/>
      <c r="C360" s="222"/>
      <c r="D360" s="218"/>
      <c r="E360" s="218"/>
      <c r="F360" s="220"/>
      <c r="G360" s="218"/>
      <c r="H360" s="218"/>
      <c r="I360" s="218"/>
      <c r="J360" s="218"/>
      <c r="K360" s="220"/>
      <c r="L360" s="220"/>
      <c r="M360" s="220"/>
      <c r="N360" s="220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spans="1:26" ht="15.75">
      <c r="A361" s="218"/>
      <c r="B361" s="221"/>
      <c r="C361" s="222"/>
      <c r="D361" s="218"/>
      <c r="E361" s="218"/>
      <c r="F361" s="220"/>
      <c r="G361" s="218"/>
      <c r="H361" s="218"/>
      <c r="I361" s="218"/>
      <c r="J361" s="218"/>
      <c r="K361" s="220"/>
      <c r="L361" s="220"/>
      <c r="M361" s="220"/>
      <c r="N361" s="220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spans="1:26" ht="15.75">
      <c r="A362" s="218"/>
      <c r="B362" s="221"/>
      <c r="C362" s="222"/>
      <c r="D362" s="218"/>
      <c r="E362" s="218"/>
      <c r="F362" s="220"/>
      <c r="G362" s="218"/>
      <c r="H362" s="218"/>
      <c r="I362" s="218"/>
      <c r="J362" s="218"/>
      <c r="K362" s="220"/>
      <c r="L362" s="220"/>
      <c r="M362" s="220"/>
      <c r="N362" s="220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spans="1:26" ht="15.75">
      <c r="A363" s="218"/>
      <c r="B363" s="221"/>
      <c r="C363" s="222"/>
      <c r="D363" s="218"/>
      <c r="E363" s="218"/>
      <c r="F363" s="220"/>
      <c r="G363" s="218"/>
      <c r="H363" s="218"/>
      <c r="I363" s="218"/>
      <c r="J363" s="218"/>
      <c r="K363" s="220"/>
      <c r="L363" s="220"/>
      <c r="M363" s="220"/>
      <c r="N363" s="220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spans="1:26" ht="15.75">
      <c r="A364" s="218"/>
      <c r="B364" s="221"/>
      <c r="C364" s="222"/>
      <c r="D364" s="218"/>
      <c r="E364" s="218"/>
      <c r="F364" s="220"/>
      <c r="G364" s="218"/>
      <c r="H364" s="218"/>
      <c r="I364" s="218"/>
      <c r="J364" s="218"/>
      <c r="K364" s="220"/>
      <c r="L364" s="220"/>
      <c r="M364" s="220"/>
      <c r="N364" s="220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spans="1:26" ht="15.75">
      <c r="A365" s="218"/>
      <c r="B365" s="221"/>
      <c r="C365" s="222"/>
      <c r="D365" s="218"/>
      <c r="E365" s="218"/>
      <c r="F365" s="220"/>
      <c r="G365" s="218"/>
      <c r="H365" s="218"/>
      <c r="I365" s="218"/>
      <c r="J365" s="218"/>
      <c r="K365" s="220"/>
      <c r="L365" s="220"/>
      <c r="M365" s="220"/>
      <c r="N365" s="220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spans="1:26" ht="15.75">
      <c r="A366" s="218"/>
      <c r="B366" s="221"/>
      <c r="C366" s="222"/>
      <c r="D366" s="218"/>
      <c r="E366" s="218"/>
      <c r="F366" s="220"/>
      <c r="G366" s="218"/>
      <c r="H366" s="218"/>
      <c r="I366" s="218"/>
      <c r="J366" s="218"/>
      <c r="K366" s="220"/>
      <c r="L366" s="220"/>
      <c r="M366" s="220"/>
      <c r="N366" s="220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spans="1:26" ht="15.75">
      <c r="A367" s="218"/>
      <c r="B367" s="221"/>
      <c r="C367" s="222"/>
      <c r="D367" s="218"/>
      <c r="E367" s="218"/>
      <c r="F367" s="220"/>
      <c r="G367" s="218"/>
      <c r="H367" s="218"/>
      <c r="I367" s="218"/>
      <c r="J367" s="218"/>
      <c r="K367" s="220"/>
      <c r="L367" s="220"/>
      <c r="M367" s="220"/>
      <c r="N367" s="220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spans="1:26" ht="15.75">
      <c r="A368" s="218"/>
      <c r="B368" s="221"/>
      <c r="C368" s="222"/>
      <c r="D368" s="218"/>
      <c r="E368" s="218"/>
      <c r="F368" s="220"/>
      <c r="G368" s="218"/>
      <c r="H368" s="218"/>
      <c r="I368" s="218"/>
      <c r="J368" s="218"/>
      <c r="K368" s="220"/>
      <c r="L368" s="220"/>
      <c r="M368" s="220"/>
      <c r="N368" s="220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spans="1:26" ht="15.75">
      <c r="A369" s="218"/>
      <c r="B369" s="221"/>
      <c r="C369" s="222"/>
      <c r="D369" s="218"/>
      <c r="E369" s="218"/>
      <c r="F369" s="220"/>
      <c r="G369" s="218"/>
      <c r="H369" s="218"/>
      <c r="I369" s="218"/>
      <c r="J369" s="218"/>
      <c r="K369" s="220"/>
      <c r="L369" s="220"/>
      <c r="M369" s="220"/>
      <c r="N369" s="220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spans="1:26" ht="15.75">
      <c r="A370" s="218"/>
      <c r="B370" s="221"/>
      <c r="C370" s="222"/>
      <c r="D370" s="218"/>
      <c r="E370" s="218"/>
      <c r="F370" s="220"/>
      <c r="G370" s="218"/>
      <c r="H370" s="218"/>
      <c r="I370" s="218"/>
      <c r="J370" s="218"/>
      <c r="K370" s="220"/>
      <c r="L370" s="220"/>
      <c r="M370" s="220"/>
      <c r="N370" s="220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spans="1:26" ht="15.75">
      <c r="A371" s="218"/>
      <c r="B371" s="221"/>
      <c r="C371" s="222"/>
      <c r="D371" s="218"/>
      <c r="E371" s="218"/>
      <c r="F371" s="220"/>
      <c r="G371" s="218"/>
      <c r="H371" s="218"/>
      <c r="I371" s="218"/>
      <c r="J371" s="218"/>
      <c r="K371" s="220"/>
      <c r="L371" s="220"/>
      <c r="M371" s="220"/>
      <c r="N371" s="220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spans="1:26" ht="15.75">
      <c r="A372" s="218"/>
      <c r="B372" s="221"/>
      <c r="C372" s="222"/>
      <c r="D372" s="218"/>
      <c r="E372" s="218"/>
      <c r="F372" s="220"/>
      <c r="G372" s="218"/>
      <c r="H372" s="218"/>
      <c r="I372" s="218"/>
      <c r="J372" s="218"/>
      <c r="K372" s="220"/>
      <c r="L372" s="220"/>
      <c r="M372" s="220"/>
      <c r="N372" s="220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spans="1:26" ht="15.75">
      <c r="A373" s="218"/>
      <c r="B373" s="221"/>
      <c r="C373" s="222"/>
      <c r="D373" s="218"/>
      <c r="E373" s="218"/>
      <c r="F373" s="220"/>
      <c r="G373" s="218"/>
      <c r="H373" s="218"/>
      <c r="I373" s="218"/>
      <c r="J373" s="218"/>
      <c r="K373" s="220"/>
      <c r="L373" s="220"/>
      <c r="M373" s="220"/>
      <c r="N373" s="220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spans="1:26" ht="15.75">
      <c r="A374" s="218"/>
      <c r="B374" s="221"/>
      <c r="C374" s="222"/>
      <c r="D374" s="218"/>
      <c r="E374" s="218"/>
      <c r="F374" s="220"/>
      <c r="G374" s="218"/>
      <c r="H374" s="218"/>
      <c r="I374" s="218"/>
      <c r="J374" s="218"/>
      <c r="K374" s="220"/>
      <c r="L374" s="220"/>
      <c r="M374" s="220"/>
      <c r="N374" s="220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spans="1:26" ht="15.75">
      <c r="A375" s="218"/>
      <c r="B375" s="221"/>
      <c r="C375" s="222"/>
      <c r="D375" s="218"/>
      <c r="E375" s="218"/>
      <c r="F375" s="220"/>
      <c r="G375" s="218"/>
      <c r="H375" s="218"/>
      <c r="I375" s="218"/>
      <c r="J375" s="218"/>
      <c r="K375" s="220"/>
      <c r="L375" s="220"/>
      <c r="M375" s="220"/>
      <c r="N375" s="220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spans="1:26" ht="15.75">
      <c r="A376" s="218"/>
      <c r="B376" s="221"/>
      <c r="C376" s="222"/>
      <c r="D376" s="218"/>
      <c r="E376" s="218"/>
      <c r="F376" s="220"/>
      <c r="G376" s="218"/>
      <c r="H376" s="218"/>
      <c r="I376" s="218"/>
      <c r="J376" s="218"/>
      <c r="K376" s="220"/>
      <c r="L376" s="220"/>
      <c r="M376" s="220"/>
      <c r="N376" s="220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spans="1:26" ht="15.75">
      <c r="A377" s="218"/>
      <c r="B377" s="221"/>
      <c r="C377" s="222"/>
      <c r="D377" s="218"/>
      <c r="E377" s="218"/>
      <c r="F377" s="220"/>
      <c r="G377" s="218"/>
      <c r="H377" s="218"/>
      <c r="I377" s="218"/>
      <c r="J377" s="218"/>
      <c r="K377" s="220"/>
      <c r="L377" s="220"/>
      <c r="M377" s="220"/>
      <c r="N377" s="220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spans="1:26" ht="15.75">
      <c r="A378" s="218"/>
      <c r="B378" s="221"/>
      <c r="C378" s="222"/>
      <c r="D378" s="218"/>
      <c r="E378" s="218"/>
      <c r="F378" s="220"/>
      <c r="G378" s="218"/>
      <c r="H378" s="218"/>
      <c r="I378" s="218"/>
      <c r="J378" s="218"/>
      <c r="K378" s="220"/>
      <c r="L378" s="220"/>
      <c r="M378" s="220"/>
      <c r="N378" s="220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spans="1:26" ht="15.75">
      <c r="A379" s="218"/>
      <c r="B379" s="221"/>
      <c r="C379" s="222"/>
      <c r="D379" s="218"/>
      <c r="E379" s="218"/>
      <c r="F379" s="220"/>
      <c r="G379" s="218"/>
      <c r="H379" s="218"/>
      <c r="I379" s="218"/>
      <c r="J379" s="218"/>
      <c r="K379" s="220"/>
      <c r="L379" s="220"/>
      <c r="M379" s="220"/>
      <c r="N379" s="220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spans="1:26" ht="15.75">
      <c r="A380" s="218"/>
      <c r="B380" s="221"/>
      <c r="C380" s="222"/>
      <c r="D380" s="218"/>
      <c r="E380" s="218"/>
      <c r="F380" s="220"/>
      <c r="G380" s="218"/>
      <c r="H380" s="218"/>
      <c r="I380" s="218"/>
      <c r="J380" s="218"/>
      <c r="K380" s="220"/>
      <c r="L380" s="220"/>
      <c r="M380" s="220"/>
      <c r="N380" s="220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spans="1:26" ht="15.75">
      <c r="A381" s="218"/>
      <c r="B381" s="221"/>
      <c r="C381" s="222"/>
      <c r="D381" s="218"/>
      <c r="E381" s="218"/>
      <c r="F381" s="220"/>
      <c r="G381" s="218"/>
      <c r="H381" s="218"/>
      <c r="I381" s="218"/>
      <c r="J381" s="218"/>
      <c r="K381" s="220"/>
      <c r="L381" s="220"/>
      <c r="M381" s="220"/>
      <c r="N381" s="220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spans="1:26" ht="15.75">
      <c r="A382" s="218"/>
      <c r="B382" s="221"/>
      <c r="C382" s="222"/>
      <c r="D382" s="218"/>
      <c r="E382" s="218"/>
      <c r="F382" s="220"/>
      <c r="G382" s="218"/>
      <c r="H382" s="218"/>
      <c r="I382" s="218"/>
      <c r="J382" s="218"/>
      <c r="K382" s="220"/>
      <c r="L382" s="220"/>
      <c r="M382" s="220"/>
      <c r="N382" s="220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spans="1:26" ht="15.75">
      <c r="A383" s="218"/>
      <c r="B383" s="221"/>
      <c r="C383" s="222"/>
      <c r="D383" s="218"/>
      <c r="E383" s="218"/>
      <c r="F383" s="220"/>
      <c r="G383" s="218"/>
      <c r="H383" s="218"/>
      <c r="I383" s="218"/>
      <c r="J383" s="218"/>
      <c r="K383" s="220"/>
      <c r="L383" s="220"/>
      <c r="M383" s="220"/>
      <c r="N383" s="220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spans="1:26" ht="15.75">
      <c r="A384" s="218"/>
      <c r="B384" s="221"/>
      <c r="C384" s="222"/>
      <c r="D384" s="218"/>
      <c r="E384" s="218"/>
      <c r="F384" s="220"/>
      <c r="G384" s="218"/>
      <c r="H384" s="218"/>
      <c r="I384" s="218"/>
      <c r="J384" s="218"/>
      <c r="K384" s="220"/>
      <c r="L384" s="220"/>
      <c r="M384" s="220"/>
      <c r="N384" s="220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spans="1:26" ht="15.75">
      <c r="A385" s="218"/>
      <c r="B385" s="221"/>
      <c r="C385" s="222"/>
      <c r="D385" s="218"/>
      <c r="E385" s="218"/>
      <c r="F385" s="220"/>
      <c r="G385" s="218"/>
      <c r="H385" s="218"/>
      <c r="I385" s="218"/>
      <c r="J385" s="218"/>
      <c r="K385" s="220"/>
      <c r="L385" s="220"/>
      <c r="M385" s="220"/>
      <c r="N385" s="220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spans="1:26" ht="15.75">
      <c r="A386" s="218"/>
      <c r="B386" s="221"/>
      <c r="C386" s="222"/>
      <c r="D386" s="218"/>
      <c r="E386" s="218"/>
      <c r="F386" s="220"/>
      <c r="G386" s="218"/>
      <c r="H386" s="218"/>
      <c r="I386" s="218"/>
      <c r="J386" s="218"/>
      <c r="K386" s="220"/>
      <c r="L386" s="220"/>
      <c r="M386" s="220"/>
      <c r="N386" s="220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spans="1:26" ht="15.75">
      <c r="A387" s="218"/>
      <c r="B387" s="221"/>
      <c r="C387" s="222"/>
      <c r="D387" s="218"/>
      <c r="E387" s="218"/>
      <c r="F387" s="220"/>
      <c r="G387" s="218"/>
      <c r="H387" s="218"/>
      <c r="I387" s="218"/>
      <c r="J387" s="218"/>
      <c r="K387" s="220"/>
      <c r="L387" s="220"/>
      <c r="M387" s="220"/>
      <c r="N387" s="220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spans="1:26" ht="15.75">
      <c r="A388" s="218"/>
      <c r="B388" s="221"/>
      <c r="C388" s="222"/>
      <c r="D388" s="218"/>
      <c r="E388" s="218"/>
      <c r="F388" s="220"/>
      <c r="G388" s="218"/>
      <c r="H388" s="218"/>
      <c r="I388" s="218"/>
      <c r="J388" s="218"/>
      <c r="K388" s="220"/>
      <c r="L388" s="220"/>
      <c r="M388" s="220"/>
      <c r="N388" s="220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spans="1:26" ht="15.75">
      <c r="A389" s="218"/>
      <c r="B389" s="221"/>
      <c r="C389" s="222"/>
      <c r="D389" s="218"/>
      <c r="E389" s="218"/>
      <c r="F389" s="220"/>
      <c r="G389" s="218"/>
      <c r="H389" s="218"/>
      <c r="I389" s="218"/>
      <c r="J389" s="218"/>
      <c r="K389" s="220"/>
      <c r="L389" s="220"/>
      <c r="M389" s="220"/>
      <c r="N389" s="220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spans="1:26" ht="15.75">
      <c r="A390" s="218"/>
      <c r="B390" s="221"/>
      <c r="C390" s="222"/>
      <c r="D390" s="218"/>
      <c r="E390" s="218"/>
      <c r="F390" s="220"/>
      <c r="G390" s="218"/>
      <c r="H390" s="218"/>
      <c r="I390" s="218"/>
      <c r="J390" s="218"/>
      <c r="K390" s="220"/>
      <c r="L390" s="220"/>
      <c r="M390" s="220"/>
      <c r="N390" s="220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spans="1:26" ht="15.75">
      <c r="A391" s="218"/>
      <c r="B391" s="221"/>
      <c r="C391" s="222"/>
      <c r="D391" s="218"/>
      <c r="E391" s="218"/>
      <c r="F391" s="220"/>
      <c r="G391" s="218"/>
      <c r="H391" s="218"/>
      <c r="I391" s="218"/>
      <c r="J391" s="218"/>
      <c r="K391" s="220"/>
      <c r="L391" s="220"/>
      <c r="M391" s="220"/>
      <c r="N391" s="220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spans="1:26" ht="15.75">
      <c r="A392" s="218"/>
      <c r="B392" s="221"/>
      <c r="C392" s="222"/>
      <c r="D392" s="218"/>
      <c r="E392" s="218"/>
      <c r="F392" s="220"/>
      <c r="G392" s="218"/>
      <c r="H392" s="218"/>
      <c r="I392" s="218"/>
      <c r="J392" s="218"/>
      <c r="K392" s="220"/>
      <c r="L392" s="220"/>
      <c r="M392" s="220"/>
      <c r="N392" s="220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spans="1:26" ht="15.75">
      <c r="A393" s="218"/>
      <c r="B393" s="221"/>
      <c r="C393" s="222"/>
      <c r="D393" s="218"/>
      <c r="E393" s="218"/>
      <c r="F393" s="220"/>
      <c r="G393" s="218"/>
      <c r="H393" s="218"/>
      <c r="I393" s="218"/>
      <c r="J393" s="218"/>
      <c r="K393" s="220"/>
      <c r="L393" s="220"/>
      <c r="M393" s="220"/>
      <c r="N393" s="220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spans="1:26" ht="15.75">
      <c r="A394" s="218"/>
      <c r="B394" s="221"/>
      <c r="C394" s="222"/>
      <c r="D394" s="218"/>
      <c r="E394" s="218"/>
      <c r="F394" s="220"/>
      <c r="G394" s="218"/>
      <c r="H394" s="218"/>
      <c r="I394" s="218"/>
      <c r="J394" s="218"/>
      <c r="K394" s="220"/>
      <c r="L394" s="220"/>
      <c r="M394" s="220"/>
      <c r="N394" s="220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spans="1:26" ht="15.75">
      <c r="A395" s="218"/>
      <c r="B395" s="221"/>
      <c r="C395" s="222"/>
      <c r="D395" s="218"/>
      <c r="E395" s="218"/>
      <c r="F395" s="220"/>
      <c r="G395" s="218"/>
      <c r="H395" s="218"/>
      <c r="I395" s="218"/>
      <c r="J395" s="218"/>
      <c r="K395" s="220"/>
      <c r="L395" s="220"/>
      <c r="M395" s="220"/>
      <c r="N395" s="220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spans="1:26" ht="15.75">
      <c r="A396" s="218"/>
      <c r="B396" s="221"/>
      <c r="C396" s="222"/>
      <c r="D396" s="218"/>
      <c r="E396" s="218"/>
      <c r="F396" s="220"/>
      <c r="G396" s="218"/>
      <c r="H396" s="218"/>
      <c r="I396" s="218"/>
      <c r="J396" s="218"/>
      <c r="K396" s="220"/>
      <c r="L396" s="220"/>
      <c r="M396" s="220"/>
      <c r="N396" s="220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spans="1:26" ht="15.75">
      <c r="A397" s="218"/>
      <c r="B397" s="221"/>
      <c r="C397" s="222"/>
      <c r="D397" s="218"/>
      <c r="E397" s="218"/>
      <c r="F397" s="220"/>
      <c r="G397" s="218"/>
      <c r="H397" s="218"/>
      <c r="I397" s="218"/>
      <c r="J397" s="218"/>
      <c r="K397" s="220"/>
      <c r="L397" s="220"/>
      <c r="M397" s="220"/>
      <c r="N397" s="220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spans="1:26" ht="15.75">
      <c r="A398" s="218"/>
      <c r="B398" s="221"/>
      <c r="C398" s="222"/>
      <c r="D398" s="218"/>
      <c r="E398" s="218"/>
      <c r="F398" s="220"/>
      <c r="G398" s="218"/>
      <c r="H398" s="218"/>
      <c r="I398" s="218"/>
      <c r="J398" s="218"/>
      <c r="K398" s="220"/>
      <c r="L398" s="220"/>
      <c r="M398" s="220"/>
      <c r="N398" s="220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spans="1:26" ht="15.75">
      <c r="A399" s="218"/>
      <c r="B399" s="221"/>
      <c r="C399" s="222"/>
      <c r="D399" s="218"/>
      <c r="E399" s="218"/>
      <c r="F399" s="220"/>
      <c r="G399" s="218"/>
      <c r="H399" s="218"/>
      <c r="I399" s="218"/>
      <c r="J399" s="218"/>
      <c r="K399" s="220"/>
      <c r="L399" s="220"/>
      <c r="M399" s="220"/>
      <c r="N399" s="220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spans="1:26" ht="15.75">
      <c r="A400" s="218"/>
      <c r="B400" s="221"/>
      <c r="C400" s="222"/>
      <c r="D400" s="218"/>
      <c r="E400" s="218"/>
      <c r="F400" s="220"/>
      <c r="G400" s="218"/>
      <c r="H400" s="218"/>
      <c r="I400" s="218"/>
      <c r="J400" s="218"/>
      <c r="K400" s="220"/>
      <c r="L400" s="220"/>
      <c r="M400" s="220"/>
      <c r="N400" s="220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spans="1:26" ht="15.75">
      <c r="A401" s="218"/>
      <c r="B401" s="221"/>
      <c r="C401" s="222"/>
      <c r="D401" s="218"/>
      <c r="E401" s="218"/>
      <c r="F401" s="220"/>
      <c r="G401" s="218"/>
      <c r="H401" s="218"/>
      <c r="I401" s="218"/>
      <c r="J401" s="218"/>
      <c r="K401" s="220"/>
      <c r="L401" s="220"/>
      <c r="M401" s="220"/>
      <c r="N401" s="220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spans="1:26" ht="15.75">
      <c r="A402" s="218"/>
      <c r="B402" s="221"/>
      <c r="C402" s="222"/>
      <c r="D402" s="218"/>
      <c r="E402" s="218"/>
      <c r="F402" s="220"/>
      <c r="G402" s="218"/>
      <c r="H402" s="218"/>
      <c r="I402" s="218"/>
      <c r="J402" s="218"/>
      <c r="K402" s="220"/>
      <c r="L402" s="220"/>
      <c r="M402" s="220"/>
      <c r="N402" s="220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spans="1:26" ht="15.75">
      <c r="A403" s="218"/>
      <c r="B403" s="221"/>
      <c r="C403" s="222"/>
      <c r="D403" s="218"/>
      <c r="E403" s="218"/>
      <c r="F403" s="220"/>
      <c r="G403" s="218"/>
      <c r="H403" s="218"/>
      <c r="I403" s="218"/>
      <c r="J403" s="218"/>
      <c r="K403" s="220"/>
      <c r="L403" s="220"/>
      <c r="M403" s="220"/>
      <c r="N403" s="220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spans="1:26" ht="15.75">
      <c r="A404" s="218"/>
      <c r="B404" s="221"/>
      <c r="C404" s="222"/>
      <c r="D404" s="218"/>
      <c r="E404" s="218"/>
      <c r="F404" s="220"/>
      <c r="G404" s="218"/>
      <c r="H404" s="218"/>
      <c r="I404" s="218"/>
      <c r="J404" s="218"/>
      <c r="K404" s="220"/>
      <c r="L404" s="220"/>
      <c r="M404" s="220"/>
      <c r="N404" s="220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spans="1:26" ht="15.75">
      <c r="A405" s="218"/>
      <c r="B405" s="221"/>
      <c r="C405" s="222"/>
      <c r="D405" s="218"/>
      <c r="E405" s="218"/>
      <c r="F405" s="220"/>
      <c r="G405" s="218"/>
      <c r="H405" s="218"/>
      <c r="I405" s="218"/>
      <c r="J405" s="218"/>
      <c r="K405" s="220"/>
      <c r="L405" s="220"/>
      <c r="M405" s="220"/>
      <c r="N405" s="220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spans="1:26" ht="15.75">
      <c r="A406" s="218"/>
      <c r="B406" s="221"/>
      <c r="C406" s="222"/>
      <c r="D406" s="218"/>
      <c r="E406" s="218"/>
      <c r="F406" s="220"/>
      <c r="G406" s="218"/>
      <c r="H406" s="218"/>
      <c r="I406" s="218"/>
      <c r="J406" s="218"/>
      <c r="K406" s="220"/>
      <c r="L406" s="220"/>
      <c r="M406" s="220"/>
      <c r="N406" s="220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spans="1:26" ht="15.75">
      <c r="A407" s="218"/>
      <c r="B407" s="221"/>
      <c r="C407" s="222"/>
      <c r="D407" s="218"/>
      <c r="E407" s="218"/>
      <c r="F407" s="220"/>
      <c r="G407" s="218"/>
      <c r="H407" s="218"/>
      <c r="I407" s="218"/>
      <c r="J407" s="218"/>
      <c r="K407" s="220"/>
      <c r="L407" s="220"/>
      <c r="M407" s="220"/>
      <c r="N407" s="220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spans="1:26" ht="15.75">
      <c r="A408" s="218"/>
      <c r="B408" s="221"/>
      <c r="C408" s="222"/>
      <c r="D408" s="218"/>
      <c r="E408" s="218"/>
      <c r="F408" s="220"/>
      <c r="G408" s="218"/>
      <c r="H408" s="218"/>
      <c r="I408" s="218"/>
      <c r="J408" s="218"/>
      <c r="K408" s="220"/>
      <c r="L408" s="220"/>
      <c r="M408" s="220"/>
      <c r="N408" s="220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spans="1:26" ht="15.75">
      <c r="A409" s="218"/>
      <c r="B409" s="221"/>
      <c r="C409" s="222"/>
      <c r="D409" s="218"/>
      <c r="E409" s="218"/>
      <c r="F409" s="220"/>
      <c r="G409" s="218"/>
      <c r="H409" s="218"/>
      <c r="I409" s="218"/>
      <c r="J409" s="218"/>
      <c r="K409" s="220"/>
      <c r="L409" s="220"/>
      <c r="M409" s="220"/>
      <c r="N409" s="220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spans="1:26" ht="15.75">
      <c r="A410" s="218"/>
      <c r="B410" s="221"/>
      <c r="C410" s="222"/>
      <c r="D410" s="218"/>
      <c r="E410" s="218"/>
      <c r="F410" s="220"/>
      <c r="G410" s="218"/>
      <c r="H410" s="218"/>
      <c r="I410" s="218"/>
      <c r="J410" s="218"/>
      <c r="K410" s="220"/>
      <c r="L410" s="220"/>
      <c r="M410" s="220"/>
      <c r="N410" s="220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spans="1:26" ht="15.75">
      <c r="A411" s="218"/>
      <c r="B411" s="221"/>
      <c r="C411" s="222"/>
      <c r="D411" s="218"/>
      <c r="E411" s="218"/>
      <c r="F411" s="220"/>
      <c r="G411" s="218"/>
      <c r="H411" s="218"/>
      <c r="I411" s="218"/>
      <c r="J411" s="218"/>
      <c r="K411" s="220"/>
      <c r="L411" s="220"/>
      <c r="M411" s="220"/>
      <c r="N411" s="220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spans="1:26" ht="15.75">
      <c r="A412" s="218"/>
      <c r="B412" s="221"/>
      <c r="C412" s="222"/>
      <c r="D412" s="218"/>
      <c r="E412" s="218"/>
      <c r="F412" s="220"/>
      <c r="G412" s="218"/>
      <c r="H412" s="218"/>
      <c r="I412" s="218"/>
      <c r="J412" s="218"/>
      <c r="K412" s="220"/>
      <c r="L412" s="220"/>
      <c r="M412" s="220"/>
      <c r="N412" s="220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spans="1:26" ht="15.75">
      <c r="A413" s="218"/>
      <c r="B413" s="221"/>
      <c r="C413" s="222"/>
      <c r="D413" s="218"/>
      <c r="E413" s="218"/>
      <c r="F413" s="220"/>
      <c r="G413" s="218"/>
      <c r="H413" s="218"/>
      <c r="I413" s="218"/>
      <c r="J413" s="218"/>
      <c r="K413" s="220"/>
      <c r="L413" s="220"/>
      <c r="M413" s="220"/>
      <c r="N413" s="220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spans="1:26" ht="15.75">
      <c r="A414" s="218"/>
      <c r="B414" s="221"/>
      <c r="C414" s="222"/>
      <c r="D414" s="218"/>
      <c r="E414" s="218"/>
      <c r="F414" s="220"/>
      <c r="G414" s="218"/>
      <c r="H414" s="218"/>
      <c r="I414" s="218"/>
      <c r="J414" s="218"/>
      <c r="K414" s="220"/>
      <c r="L414" s="220"/>
      <c r="M414" s="220"/>
      <c r="N414" s="220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spans="1:26" ht="15.75">
      <c r="A415" s="218"/>
      <c r="B415" s="221"/>
      <c r="C415" s="222"/>
      <c r="D415" s="218"/>
      <c r="E415" s="218"/>
      <c r="F415" s="220"/>
      <c r="G415" s="218"/>
      <c r="H415" s="218"/>
      <c r="I415" s="218"/>
      <c r="J415" s="218"/>
      <c r="K415" s="220"/>
      <c r="L415" s="220"/>
      <c r="M415" s="220"/>
      <c r="N415" s="220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spans="1:26" ht="15.75">
      <c r="A416" s="218"/>
      <c r="B416" s="221"/>
      <c r="C416" s="222"/>
      <c r="D416" s="218"/>
      <c r="E416" s="218"/>
      <c r="F416" s="220"/>
      <c r="G416" s="218"/>
      <c r="H416" s="218"/>
      <c r="I416" s="218"/>
      <c r="J416" s="218"/>
      <c r="K416" s="220"/>
      <c r="L416" s="220"/>
      <c r="M416" s="220"/>
      <c r="N416" s="220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spans="1:26" ht="15.75">
      <c r="A417" s="218"/>
      <c r="B417" s="221"/>
      <c r="C417" s="222"/>
      <c r="D417" s="218"/>
      <c r="E417" s="218"/>
      <c r="F417" s="220"/>
      <c r="G417" s="218"/>
      <c r="H417" s="218"/>
      <c r="I417" s="218"/>
      <c r="J417" s="218"/>
      <c r="K417" s="220"/>
      <c r="L417" s="220"/>
      <c r="M417" s="220"/>
      <c r="N417" s="220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spans="1:26" ht="15.75">
      <c r="A418" s="218"/>
      <c r="B418" s="221"/>
      <c r="C418" s="222"/>
      <c r="D418" s="218"/>
      <c r="E418" s="218"/>
      <c r="F418" s="220"/>
      <c r="G418" s="218"/>
      <c r="H418" s="218"/>
      <c r="I418" s="218"/>
      <c r="J418" s="218"/>
      <c r="K418" s="220"/>
      <c r="L418" s="220"/>
      <c r="M418" s="220"/>
      <c r="N418" s="220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spans="1:26" ht="15.75">
      <c r="A419" s="218"/>
      <c r="B419" s="221"/>
      <c r="C419" s="222"/>
      <c r="D419" s="218"/>
      <c r="E419" s="218"/>
      <c r="F419" s="220"/>
      <c r="G419" s="218"/>
      <c r="H419" s="218"/>
      <c r="I419" s="218"/>
      <c r="J419" s="218"/>
      <c r="K419" s="220"/>
      <c r="L419" s="220"/>
      <c r="M419" s="220"/>
      <c r="N419" s="220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spans="1:26" ht="15.75">
      <c r="A420" s="218"/>
      <c r="B420" s="221"/>
      <c r="C420" s="222"/>
      <c r="D420" s="218"/>
      <c r="E420" s="218"/>
      <c r="F420" s="220"/>
      <c r="G420" s="218"/>
      <c r="H420" s="218"/>
      <c r="I420" s="218"/>
      <c r="J420" s="218"/>
      <c r="K420" s="220"/>
      <c r="L420" s="220"/>
      <c r="M420" s="220"/>
      <c r="N420" s="220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spans="1:26" ht="15.75">
      <c r="A421" s="218"/>
      <c r="B421" s="221"/>
      <c r="C421" s="222"/>
      <c r="D421" s="218"/>
      <c r="E421" s="218"/>
      <c r="F421" s="220"/>
      <c r="G421" s="218"/>
      <c r="H421" s="218"/>
      <c r="I421" s="218"/>
      <c r="J421" s="218"/>
      <c r="K421" s="220"/>
      <c r="L421" s="220"/>
      <c r="M421" s="220"/>
      <c r="N421" s="220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spans="1:26" ht="15.75">
      <c r="A422" s="218"/>
      <c r="B422" s="221"/>
      <c r="C422" s="222"/>
      <c r="D422" s="218"/>
      <c r="E422" s="218"/>
      <c r="F422" s="220"/>
      <c r="G422" s="218"/>
      <c r="H422" s="218"/>
      <c r="I422" s="218"/>
      <c r="J422" s="218"/>
      <c r="K422" s="220"/>
      <c r="L422" s="220"/>
      <c r="M422" s="220"/>
      <c r="N422" s="220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spans="1:26" ht="15.75">
      <c r="A423" s="218"/>
      <c r="B423" s="221"/>
      <c r="C423" s="222"/>
      <c r="D423" s="218"/>
      <c r="E423" s="218"/>
      <c r="F423" s="220"/>
      <c r="G423" s="218"/>
      <c r="H423" s="218"/>
      <c r="I423" s="218"/>
      <c r="J423" s="218"/>
      <c r="K423" s="220"/>
      <c r="L423" s="220"/>
      <c r="M423" s="220"/>
      <c r="N423" s="220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spans="1:26" ht="15.75">
      <c r="A424" s="218"/>
      <c r="B424" s="221"/>
      <c r="C424" s="222"/>
      <c r="D424" s="218"/>
      <c r="E424" s="218"/>
      <c r="F424" s="220"/>
      <c r="G424" s="218"/>
      <c r="H424" s="218"/>
      <c r="I424" s="218"/>
      <c r="J424" s="218"/>
      <c r="K424" s="220"/>
      <c r="L424" s="220"/>
      <c r="M424" s="220"/>
      <c r="N424" s="220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spans="1:26" ht="15.75">
      <c r="A425" s="218"/>
      <c r="B425" s="221"/>
      <c r="C425" s="222"/>
      <c r="D425" s="218"/>
      <c r="E425" s="218"/>
      <c r="F425" s="220"/>
      <c r="G425" s="218"/>
      <c r="H425" s="218"/>
      <c r="I425" s="218"/>
      <c r="J425" s="218"/>
      <c r="K425" s="220"/>
      <c r="L425" s="220"/>
      <c r="M425" s="220"/>
      <c r="N425" s="220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spans="1:26" ht="15.75">
      <c r="A426" s="218"/>
      <c r="B426" s="221"/>
      <c r="C426" s="222"/>
      <c r="D426" s="218"/>
      <c r="E426" s="218"/>
      <c r="F426" s="220"/>
      <c r="G426" s="218"/>
      <c r="H426" s="218"/>
      <c r="I426" s="218"/>
      <c r="J426" s="218"/>
      <c r="K426" s="220"/>
      <c r="L426" s="220"/>
      <c r="M426" s="220"/>
      <c r="N426" s="220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spans="1:26" ht="15.75">
      <c r="A427" s="218"/>
      <c r="B427" s="221"/>
      <c r="C427" s="222"/>
      <c r="D427" s="218"/>
      <c r="E427" s="218"/>
      <c r="F427" s="220"/>
      <c r="G427" s="218"/>
      <c r="H427" s="218"/>
      <c r="I427" s="218"/>
      <c r="J427" s="218"/>
      <c r="K427" s="220"/>
      <c r="L427" s="220"/>
      <c r="M427" s="220"/>
      <c r="N427" s="220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spans="1:26" ht="15.75">
      <c r="A428" s="218"/>
      <c r="B428" s="221"/>
      <c r="C428" s="222"/>
      <c r="D428" s="218"/>
      <c r="E428" s="218"/>
      <c r="F428" s="220"/>
      <c r="G428" s="218"/>
      <c r="H428" s="218"/>
      <c r="I428" s="218"/>
      <c r="J428" s="218"/>
      <c r="K428" s="220"/>
      <c r="L428" s="220"/>
      <c r="M428" s="220"/>
      <c r="N428" s="220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spans="1:26" ht="15.75">
      <c r="A429" s="218"/>
      <c r="B429" s="221"/>
      <c r="C429" s="222"/>
      <c r="D429" s="218"/>
      <c r="E429" s="218"/>
      <c r="F429" s="220"/>
      <c r="G429" s="218"/>
      <c r="H429" s="218"/>
      <c r="I429" s="218"/>
      <c r="J429" s="218"/>
      <c r="K429" s="220"/>
      <c r="L429" s="220"/>
      <c r="M429" s="220"/>
      <c r="N429" s="220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spans="1:26" ht="15.75">
      <c r="A430" s="218"/>
      <c r="B430" s="221"/>
      <c r="C430" s="222"/>
      <c r="D430" s="218"/>
      <c r="E430" s="218"/>
      <c r="F430" s="220"/>
      <c r="G430" s="218"/>
      <c r="H430" s="218"/>
      <c r="I430" s="218"/>
      <c r="J430" s="218"/>
      <c r="K430" s="220"/>
      <c r="L430" s="220"/>
      <c r="M430" s="220"/>
      <c r="N430" s="220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spans="1:26" ht="15.75">
      <c r="A431" s="218"/>
      <c r="B431" s="221"/>
      <c r="C431" s="222"/>
      <c r="D431" s="218"/>
      <c r="E431" s="218"/>
      <c r="F431" s="220"/>
      <c r="G431" s="218"/>
      <c r="H431" s="218"/>
      <c r="I431" s="218"/>
      <c r="J431" s="218"/>
      <c r="K431" s="220"/>
      <c r="L431" s="220"/>
      <c r="M431" s="220"/>
      <c r="N431" s="220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spans="1:26" ht="15.75">
      <c r="A432" s="218"/>
      <c r="B432" s="221"/>
      <c r="C432" s="222"/>
      <c r="D432" s="218"/>
      <c r="E432" s="218"/>
      <c r="F432" s="220"/>
      <c r="G432" s="218"/>
      <c r="H432" s="218"/>
      <c r="I432" s="218"/>
      <c r="J432" s="218"/>
      <c r="K432" s="220"/>
      <c r="L432" s="220"/>
      <c r="M432" s="220"/>
      <c r="N432" s="220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spans="1:26" ht="15.75">
      <c r="A433" s="218"/>
      <c r="B433" s="221"/>
      <c r="C433" s="222"/>
      <c r="D433" s="218"/>
      <c r="E433" s="218"/>
      <c r="F433" s="220"/>
      <c r="G433" s="218"/>
      <c r="H433" s="218"/>
      <c r="I433" s="218"/>
      <c r="J433" s="218"/>
      <c r="K433" s="220"/>
      <c r="L433" s="220"/>
      <c r="M433" s="220"/>
      <c r="N433" s="220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spans="1:26" ht="15.75">
      <c r="A434" s="218"/>
      <c r="B434" s="221"/>
      <c r="C434" s="222"/>
      <c r="D434" s="218"/>
      <c r="E434" s="218"/>
      <c r="F434" s="220"/>
      <c r="G434" s="218"/>
      <c r="H434" s="218"/>
      <c r="I434" s="218"/>
      <c r="J434" s="218"/>
      <c r="K434" s="220"/>
      <c r="L434" s="220"/>
      <c r="M434" s="220"/>
      <c r="N434" s="220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spans="1:26" ht="15.75">
      <c r="A435" s="218"/>
      <c r="B435" s="221"/>
      <c r="C435" s="222"/>
      <c r="D435" s="218"/>
      <c r="E435" s="218"/>
      <c r="F435" s="220"/>
      <c r="G435" s="218"/>
      <c r="H435" s="218"/>
      <c r="I435" s="218"/>
      <c r="J435" s="218"/>
      <c r="K435" s="220"/>
      <c r="L435" s="220"/>
      <c r="M435" s="220"/>
      <c r="N435" s="220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spans="1:26" ht="15.75">
      <c r="A436" s="218"/>
      <c r="B436" s="221"/>
      <c r="C436" s="222"/>
      <c r="D436" s="218"/>
      <c r="E436" s="218"/>
      <c r="F436" s="220"/>
      <c r="G436" s="218"/>
      <c r="H436" s="218"/>
      <c r="I436" s="218"/>
      <c r="J436" s="218"/>
      <c r="K436" s="220"/>
      <c r="L436" s="220"/>
      <c r="M436" s="220"/>
      <c r="N436" s="220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spans="1:26" ht="15.75">
      <c r="A437" s="218"/>
      <c r="B437" s="221"/>
      <c r="C437" s="222"/>
      <c r="D437" s="218"/>
      <c r="E437" s="218"/>
      <c r="F437" s="220"/>
      <c r="G437" s="218"/>
      <c r="H437" s="218"/>
      <c r="I437" s="218"/>
      <c r="J437" s="218"/>
      <c r="K437" s="220"/>
      <c r="L437" s="220"/>
      <c r="M437" s="220"/>
      <c r="N437" s="220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spans="1:26" ht="15.75">
      <c r="A438" s="218"/>
      <c r="B438" s="221"/>
      <c r="C438" s="222"/>
      <c r="D438" s="218"/>
      <c r="E438" s="218"/>
      <c r="F438" s="220"/>
      <c r="G438" s="218"/>
      <c r="H438" s="218"/>
      <c r="I438" s="218"/>
      <c r="J438" s="218"/>
      <c r="K438" s="220"/>
      <c r="L438" s="220"/>
      <c r="M438" s="220"/>
      <c r="N438" s="220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spans="1:26" ht="15.75">
      <c r="A439" s="218"/>
      <c r="B439" s="221"/>
      <c r="C439" s="222"/>
      <c r="D439" s="218"/>
      <c r="E439" s="218"/>
      <c r="F439" s="220"/>
      <c r="G439" s="218"/>
      <c r="H439" s="218"/>
      <c r="I439" s="218"/>
      <c r="J439" s="218"/>
      <c r="K439" s="220"/>
      <c r="L439" s="220"/>
      <c r="M439" s="220"/>
      <c r="N439" s="220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spans="1:26" ht="15.75">
      <c r="A440" s="218"/>
      <c r="B440" s="221"/>
      <c r="C440" s="222"/>
      <c r="D440" s="218"/>
      <c r="E440" s="218"/>
      <c r="F440" s="220"/>
      <c r="G440" s="218"/>
      <c r="H440" s="218"/>
      <c r="I440" s="218"/>
      <c r="J440" s="218"/>
      <c r="K440" s="220"/>
      <c r="L440" s="220"/>
      <c r="M440" s="220"/>
      <c r="N440" s="220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spans="1:26" ht="15.75">
      <c r="A441" s="218"/>
      <c r="B441" s="221"/>
      <c r="C441" s="222"/>
      <c r="D441" s="218"/>
      <c r="E441" s="218"/>
      <c r="F441" s="220"/>
      <c r="G441" s="218"/>
      <c r="H441" s="218"/>
      <c r="I441" s="218"/>
      <c r="J441" s="218"/>
      <c r="K441" s="220"/>
      <c r="L441" s="220"/>
      <c r="M441" s="220"/>
      <c r="N441" s="220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spans="1:26" ht="15.75">
      <c r="A442" s="218"/>
      <c r="B442" s="221"/>
      <c r="C442" s="222"/>
      <c r="D442" s="218"/>
      <c r="E442" s="218"/>
      <c r="F442" s="220"/>
      <c r="G442" s="218"/>
      <c r="H442" s="218"/>
      <c r="I442" s="218"/>
      <c r="J442" s="218"/>
      <c r="K442" s="220"/>
      <c r="L442" s="220"/>
      <c r="M442" s="220"/>
      <c r="N442" s="220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spans="1:26" ht="15.75">
      <c r="A443" s="218"/>
      <c r="B443" s="221"/>
      <c r="C443" s="222"/>
      <c r="D443" s="218"/>
      <c r="E443" s="218"/>
      <c r="F443" s="220"/>
      <c r="G443" s="218"/>
      <c r="H443" s="218"/>
      <c r="I443" s="218"/>
      <c r="J443" s="218"/>
      <c r="K443" s="220"/>
      <c r="L443" s="220"/>
      <c r="M443" s="220"/>
      <c r="N443" s="220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spans="1:26" ht="15.75">
      <c r="A444" s="218"/>
      <c r="B444" s="221"/>
      <c r="C444" s="222"/>
      <c r="D444" s="218"/>
      <c r="E444" s="218"/>
      <c r="F444" s="220"/>
      <c r="G444" s="218"/>
      <c r="H444" s="218"/>
      <c r="I444" s="218"/>
      <c r="J444" s="218"/>
      <c r="K444" s="220"/>
      <c r="L444" s="220"/>
      <c r="M444" s="220"/>
      <c r="N444" s="220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spans="1:26" ht="15.75">
      <c r="A445" s="218"/>
      <c r="B445" s="221"/>
      <c r="C445" s="222"/>
      <c r="D445" s="218"/>
      <c r="E445" s="218"/>
      <c r="F445" s="220"/>
      <c r="G445" s="218"/>
      <c r="H445" s="218"/>
      <c r="I445" s="218"/>
      <c r="J445" s="218"/>
      <c r="K445" s="220"/>
      <c r="L445" s="220"/>
      <c r="M445" s="220"/>
      <c r="N445" s="220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spans="1:26" ht="15.75">
      <c r="A446" s="218"/>
      <c r="B446" s="221"/>
      <c r="C446" s="222"/>
      <c r="D446" s="218"/>
      <c r="E446" s="218"/>
      <c r="F446" s="220"/>
      <c r="G446" s="218"/>
      <c r="H446" s="218"/>
      <c r="I446" s="218"/>
      <c r="J446" s="218"/>
      <c r="K446" s="220"/>
      <c r="L446" s="220"/>
      <c r="M446" s="220"/>
      <c r="N446" s="220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spans="1:26" ht="15.75">
      <c r="A447" s="218"/>
      <c r="B447" s="221"/>
      <c r="C447" s="222"/>
      <c r="D447" s="218"/>
      <c r="E447" s="218"/>
      <c r="F447" s="220"/>
      <c r="G447" s="218"/>
      <c r="H447" s="218"/>
      <c r="I447" s="218"/>
      <c r="J447" s="218"/>
      <c r="K447" s="220"/>
      <c r="L447" s="220"/>
      <c r="M447" s="220"/>
      <c r="N447" s="220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spans="1:26" ht="15.75">
      <c r="A448" s="218"/>
      <c r="B448" s="221"/>
      <c r="C448" s="222"/>
      <c r="D448" s="218"/>
      <c r="E448" s="218"/>
      <c r="F448" s="220"/>
      <c r="G448" s="218"/>
      <c r="H448" s="218"/>
      <c r="I448" s="218"/>
      <c r="J448" s="218"/>
      <c r="K448" s="220"/>
      <c r="L448" s="220"/>
      <c r="M448" s="220"/>
      <c r="N448" s="220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spans="1:26" ht="15.75">
      <c r="A449" s="218"/>
      <c r="B449" s="221"/>
      <c r="C449" s="222"/>
      <c r="D449" s="218"/>
      <c r="E449" s="218"/>
      <c r="F449" s="220"/>
      <c r="G449" s="218"/>
      <c r="H449" s="218"/>
      <c r="I449" s="218"/>
      <c r="J449" s="218"/>
      <c r="K449" s="220"/>
      <c r="L449" s="220"/>
      <c r="M449" s="220"/>
      <c r="N449" s="220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spans="1:26" ht="15.75">
      <c r="A450" s="218"/>
      <c r="B450" s="221"/>
      <c r="C450" s="222"/>
      <c r="D450" s="218"/>
      <c r="E450" s="218"/>
      <c r="F450" s="220"/>
      <c r="G450" s="218"/>
      <c r="H450" s="218"/>
      <c r="I450" s="218"/>
      <c r="J450" s="218"/>
      <c r="K450" s="220"/>
      <c r="L450" s="220"/>
      <c r="M450" s="220"/>
      <c r="N450" s="220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spans="1:26" ht="15.75">
      <c r="A451" s="218"/>
      <c r="B451" s="221"/>
      <c r="C451" s="222"/>
      <c r="D451" s="218"/>
      <c r="E451" s="218"/>
      <c r="F451" s="220"/>
      <c r="G451" s="218"/>
      <c r="H451" s="218"/>
      <c r="I451" s="218"/>
      <c r="J451" s="218"/>
      <c r="K451" s="220"/>
      <c r="L451" s="220"/>
      <c r="M451" s="220"/>
      <c r="N451" s="220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spans="1:26" ht="15.75">
      <c r="A452" s="218"/>
      <c r="B452" s="221"/>
      <c r="C452" s="222"/>
      <c r="D452" s="218"/>
      <c r="E452" s="218"/>
      <c r="F452" s="220"/>
      <c r="G452" s="218"/>
      <c r="H452" s="218"/>
      <c r="I452" s="218"/>
      <c r="J452" s="218"/>
      <c r="K452" s="220"/>
      <c r="L452" s="220"/>
      <c r="M452" s="220"/>
      <c r="N452" s="220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spans="1:26" ht="15.75">
      <c r="A453" s="218"/>
      <c r="B453" s="221"/>
      <c r="C453" s="222"/>
      <c r="D453" s="218"/>
      <c r="E453" s="218"/>
      <c r="F453" s="220"/>
      <c r="G453" s="218"/>
      <c r="H453" s="218"/>
      <c r="I453" s="218"/>
      <c r="J453" s="218"/>
      <c r="K453" s="220"/>
      <c r="L453" s="220"/>
      <c r="M453" s="220"/>
      <c r="N453" s="220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spans="1:26" ht="15.75">
      <c r="A454" s="218"/>
      <c r="B454" s="221"/>
      <c r="C454" s="222"/>
      <c r="D454" s="218"/>
      <c r="E454" s="218"/>
      <c r="F454" s="220"/>
      <c r="G454" s="218"/>
      <c r="H454" s="218"/>
      <c r="I454" s="218"/>
      <c r="J454" s="218"/>
      <c r="K454" s="220"/>
      <c r="L454" s="220"/>
      <c r="M454" s="220"/>
      <c r="N454" s="220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spans="1:26" ht="15.75">
      <c r="A455" s="218"/>
      <c r="B455" s="221"/>
      <c r="C455" s="222"/>
      <c r="D455" s="218"/>
      <c r="E455" s="218"/>
      <c r="F455" s="220"/>
      <c r="G455" s="218"/>
      <c r="H455" s="218"/>
      <c r="I455" s="218"/>
      <c r="J455" s="218"/>
      <c r="K455" s="220"/>
      <c r="L455" s="220"/>
      <c r="M455" s="220"/>
      <c r="N455" s="220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spans="1:26" ht="15.75">
      <c r="A456" s="218"/>
      <c r="B456" s="221"/>
      <c r="C456" s="222"/>
      <c r="D456" s="218"/>
      <c r="E456" s="218"/>
      <c r="F456" s="220"/>
      <c r="G456" s="218"/>
      <c r="H456" s="218"/>
      <c r="I456" s="218"/>
      <c r="J456" s="218"/>
      <c r="K456" s="220"/>
      <c r="L456" s="220"/>
      <c r="M456" s="220"/>
      <c r="N456" s="220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spans="1:26" ht="15.75">
      <c r="A457" s="218"/>
      <c r="B457" s="221"/>
      <c r="C457" s="222"/>
      <c r="D457" s="218"/>
      <c r="E457" s="218"/>
      <c r="F457" s="220"/>
      <c r="G457" s="218"/>
      <c r="H457" s="218"/>
      <c r="I457" s="218"/>
      <c r="J457" s="218"/>
      <c r="K457" s="220"/>
      <c r="L457" s="220"/>
      <c r="M457" s="220"/>
      <c r="N457" s="220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spans="1:26" ht="15.75">
      <c r="A458" s="218"/>
      <c r="B458" s="221"/>
      <c r="C458" s="222"/>
      <c r="D458" s="218"/>
      <c r="E458" s="218"/>
      <c r="F458" s="220"/>
      <c r="G458" s="218"/>
      <c r="H458" s="218"/>
      <c r="I458" s="218"/>
      <c r="J458" s="218"/>
      <c r="K458" s="220"/>
      <c r="L458" s="220"/>
      <c r="M458" s="220"/>
      <c r="N458" s="220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spans="1:26" ht="15.75">
      <c r="A459" s="218"/>
      <c r="B459" s="221"/>
      <c r="C459" s="222"/>
      <c r="D459" s="218"/>
      <c r="E459" s="218"/>
      <c r="F459" s="220"/>
      <c r="G459" s="218"/>
      <c r="H459" s="218"/>
      <c r="I459" s="218"/>
      <c r="J459" s="218"/>
      <c r="K459" s="220"/>
      <c r="L459" s="220"/>
      <c r="M459" s="220"/>
      <c r="N459" s="220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spans="1:26" ht="15.75">
      <c r="A460" s="218"/>
      <c r="B460" s="221"/>
      <c r="C460" s="222"/>
      <c r="D460" s="218"/>
      <c r="E460" s="218"/>
      <c r="F460" s="220"/>
      <c r="G460" s="218"/>
      <c r="H460" s="218"/>
      <c r="I460" s="218"/>
      <c r="J460" s="218"/>
      <c r="K460" s="220"/>
      <c r="L460" s="220"/>
      <c r="M460" s="220"/>
      <c r="N460" s="220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spans="1:26" ht="15.75">
      <c r="A461" s="218"/>
      <c r="B461" s="221"/>
      <c r="C461" s="222"/>
      <c r="D461" s="218"/>
      <c r="E461" s="218"/>
      <c r="F461" s="220"/>
      <c r="G461" s="218"/>
      <c r="H461" s="218"/>
      <c r="I461" s="218"/>
      <c r="J461" s="218"/>
      <c r="K461" s="220"/>
      <c r="L461" s="220"/>
      <c r="M461" s="220"/>
      <c r="N461" s="220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spans="1:26" ht="15.75">
      <c r="A462" s="218"/>
      <c r="B462" s="221"/>
      <c r="C462" s="222"/>
      <c r="D462" s="218"/>
      <c r="E462" s="218"/>
      <c r="F462" s="220"/>
      <c r="G462" s="218"/>
      <c r="H462" s="218"/>
      <c r="I462" s="218"/>
      <c r="J462" s="218"/>
      <c r="K462" s="220"/>
      <c r="L462" s="220"/>
      <c r="M462" s="220"/>
      <c r="N462" s="220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spans="1:26" ht="15.75">
      <c r="A463" s="218"/>
      <c r="B463" s="221"/>
      <c r="C463" s="222"/>
      <c r="D463" s="218"/>
      <c r="E463" s="218"/>
      <c r="F463" s="220"/>
      <c r="G463" s="218"/>
      <c r="H463" s="218"/>
      <c r="I463" s="218"/>
      <c r="J463" s="218"/>
      <c r="K463" s="220"/>
      <c r="L463" s="220"/>
      <c r="M463" s="220"/>
      <c r="N463" s="220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spans="1:26" ht="15.75">
      <c r="A464" s="218"/>
      <c r="B464" s="221"/>
      <c r="C464" s="222"/>
      <c r="D464" s="218"/>
      <c r="E464" s="218"/>
      <c r="F464" s="220"/>
      <c r="G464" s="218"/>
      <c r="H464" s="218"/>
      <c r="I464" s="218"/>
      <c r="J464" s="218"/>
      <c r="K464" s="220"/>
      <c r="L464" s="220"/>
      <c r="M464" s="220"/>
      <c r="N464" s="220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spans="1:26" ht="15.75">
      <c r="A465" s="218"/>
      <c r="B465" s="221"/>
      <c r="C465" s="222"/>
      <c r="D465" s="218"/>
      <c r="E465" s="218"/>
      <c r="F465" s="220"/>
      <c r="G465" s="218"/>
      <c r="H465" s="218"/>
      <c r="I465" s="218"/>
      <c r="J465" s="218"/>
      <c r="K465" s="220"/>
      <c r="L465" s="220"/>
      <c r="M465" s="220"/>
      <c r="N465" s="220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spans="1:26" ht="15.75">
      <c r="A466" s="218"/>
      <c r="B466" s="221"/>
      <c r="C466" s="222"/>
      <c r="D466" s="218"/>
      <c r="E466" s="218"/>
      <c r="F466" s="220"/>
      <c r="G466" s="218"/>
      <c r="H466" s="218"/>
      <c r="I466" s="218"/>
      <c r="J466" s="218"/>
      <c r="K466" s="220"/>
      <c r="L466" s="220"/>
      <c r="M466" s="220"/>
      <c r="N466" s="220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spans="1:26" ht="15.75">
      <c r="A467" s="218"/>
      <c r="B467" s="221"/>
      <c r="C467" s="222"/>
      <c r="D467" s="218"/>
      <c r="E467" s="218"/>
      <c r="F467" s="220"/>
      <c r="G467" s="218"/>
      <c r="H467" s="218"/>
      <c r="I467" s="218"/>
      <c r="J467" s="218"/>
      <c r="K467" s="220"/>
      <c r="L467" s="220"/>
      <c r="M467" s="220"/>
      <c r="N467" s="220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spans="1:26" ht="15.75">
      <c r="A468" s="218"/>
      <c r="B468" s="221"/>
      <c r="C468" s="222"/>
      <c r="D468" s="218"/>
      <c r="E468" s="218"/>
      <c r="F468" s="220"/>
      <c r="G468" s="218"/>
      <c r="H468" s="218"/>
      <c r="I468" s="218"/>
      <c r="J468" s="218"/>
      <c r="K468" s="220"/>
      <c r="L468" s="220"/>
      <c r="M468" s="220"/>
      <c r="N468" s="220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spans="1:26" ht="15.75">
      <c r="A469" s="218"/>
      <c r="B469" s="221"/>
      <c r="C469" s="222"/>
      <c r="D469" s="218"/>
      <c r="E469" s="218"/>
      <c r="F469" s="220"/>
      <c r="G469" s="218"/>
      <c r="H469" s="218"/>
      <c r="I469" s="218"/>
      <c r="J469" s="218"/>
      <c r="K469" s="220"/>
      <c r="L469" s="220"/>
      <c r="M469" s="220"/>
      <c r="N469" s="220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spans="1:26" ht="15.75">
      <c r="A470" s="218"/>
      <c r="B470" s="221"/>
      <c r="C470" s="222"/>
      <c r="D470" s="218"/>
      <c r="E470" s="218"/>
      <c r="F470" s="220"/>
      <c r="G470" s="218"/>
      <c r="H470" s="218"/>
      <c r="I470" s="218"/>
      <c r="J470" s="218"/>
      <c r="K470" s="220"/>
      <c r="L470" s="220"/>
      <c r="M470" s="220"/>
      <c r="N470" s="220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spans="1:26" ht="15.75">
      <c r="A471" s="218"/>
      <c r="B471" s="221"/>
      <c r="C471" s="222"/>
      <c r="D471" s="218"/>
      <c r="E471" s="218"/>
      <c r="F471" s="220"/>
      <c r="G471" s="218"/>
      <c r="H471" s="218"/>
      <c r="I471" s="218"/>
      <c r="J471" s="218"/>
      <c r="K471" s="220"/>
      <c r="L471" s="220"/>
      <c r="M471" s="220"/>
      <c r="N471" s="220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spans="1:26" ht="15.75">
      <c r="A472" s="218"/>
      <c r="B472" s="221"/>
      <c r="C472" s="222"/>
      <c r="D472" s="218"/>
      <c r="E472" s="218"/>
      <c r="F472" s="220"/>
      <c r="G472" s="218"/>
      <c r="H472" s="218"/>
      <c r="I472" s="218"/>
      <c r="J472" s="218"/>
      <c r="K472" s="220"/>
      <c r="L472" s="220"/>
      <c r="M472" s="220"/>
      <c r="N472" s="220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spans="1:26" ht="15.75">
      <c r="A473" s="218"/>
      <c r="B473" s="221"/>
      <c r="C473" s="222"/>
      <c r="D473" s="218"/>
      <c r="E473" s="218"/>
      <c r="F473" s="220"/>
      <c r="G473" s="218"/>
      <c r="H473" s="218"/>
      <c r="I473" s="218"/>
      <c r="J473" s="218"/>
      <c r="K473" s="220"/>
      <c r="L473" s="220"/>
      <c r="M473" s="220"/>
      <c r="N473" s="220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spans="1:26" ht="15.75">
      <c r="A474" s="218"/>
      <c r="B474" s="221"/>
      <c r="C474" s="222"/>
      <c r="D474" s="218"/>
      <c r="E474" s="218"/>
      <c r="F474" s="220"/>
      <c r="G474" s="218"/>
      <c r="H474" s="218"/>
      <c r="I474" s="218"/>
      <c r="J474" s="218"/>
      <c r="K474" s="220"/>
      <c r="L474" s="220"/>
      <c r="M474" s="220"/>
      <c r="N474" s="220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spans="1:26" ht="15.75">
      <c r="A475" s="218"/>
      <c r="B475" s="221"/>
      <c r="C475" s="222"/>
      <c r="D475" s="218"/>
      <c r="E475" s="218"/>
      <c r="F475" s="220"/>
      <c r="G475" s="218"/>
      <c r="H475" s="218"/>
      <c r="I475" s="218"/>
      <c r="J475" s="218"/>
      <c r="K475" s="220"/>
      <c r="L475" s="220"/>
      <c r="M475" s="220"/>
      <c r="N475" s="220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spans="1:26" ht="15.75">
      <c r="A476" s="218"/>
      <c r="B476" s="221"/>
      <c r="C476" s="222"/>
      <c r="D476" s="218"/>
      <c r="E476" s="218"/>
      <c r="F476" s="220"/>
      <c r="G476" s="218"/>
      <c r="H476" s="218"/>
      <c r="I476" s="218"/>
      <c r="J476" s="218"/>
      <c r="K476" s="220"/>
      <c r="L476" s="220"/>
      <c r="M476" s="220"/>
      <c r="N476" s="220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spans="1:26" ht="15.75">
      <c r="A477" s="218"/>
      <c r="B477" s="221"/>
      <c r="C477" s="222"/>
      <c r="D477" s="218"/>
      <c r="E477" s="218"/>
      <c r="F477" s="220"/>
      <c r="G477" s="218"/>
      <c r="H477" s="218"/>
      <c r="I477" s="218"/>
      <c r="J477" s="218"/>
      <c r="K477" s="220"/>
      <c r="L477" s="220"/>
      <c r="M477" s="220"/>
      <c r="N477" s="220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spans="1:26" ht="15.75">
      <c r="A478" s="218"/>
      <c r="B478" s="221"/>
      <c r="C478" s="222"/>
      <c r="D478" s="218"/>
      <c r="E478" s="218"/>
      <c r="F478" s="220"/>
      <c r="G478" s="218"/>
      <c r="H478" s="218"/>
      <c r="I478" s="218"/>
      <c r="J478" s="218"/>
      <c r="K478" s="220"/>
      <c r="L478" s="220"/>
      <c r="M478" s="220"/>
      <c r="N478" s="220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spans="1:26" ht="15.75">
      <c r="A479" s="218"/>
      <c r="B479" s="221"/>
      <c r="C479" s="222"/>
      <c r="D479" s="218"/>
      <c r="E479" s="218"/>
      <c r="F479" s="220"/>
      <c r="G479" s="218"/>
      <c r="H479" s="218"/>
      <c r="I479" s="218"/>
      <c r="J479" s="218"/>
      <c r="K479" s="220"/>
      <c r="L479" s="220"/>
      <c r="M479" s="220"/>
      <c r="N479" s="220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spans="1:26" ht="15.75">
      <c r="A480" s="218"/>
      <c r="B480" s="221"/>
      <c r="C480" s="222"/>
      <c r="D480" s="218"/>
      <c r="E480" s="218"/>
      <c r="F480" s="220"/>
      <c r="G480" s="218"/>
      <c r="H480" s="218"/>
      <c r="I480" s="218"/>
      <c r="J480" s="218"/>
      <c r="K480" s="220"/>
      <c r="L480" s="220"/>
      <c r="M480" s="220"/>
      <c r="N480" s="220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spans="1:26" ht="15.75">
      <c r="A481" s="218"/>
      <c r="B481" s="221"/>
      <c r="C481" s="222"/>
      <c r="D481" s="218"/>
      <c r="E481" s="218"/>
      <c r="F481" s="220"/>
      <c r="G481" s="218"/>
      <c r="H481" s="218"/>
      <c r="I481" s="218"/>
      <c r="J481" s="218"/>
      <c r="K481" s="220"/>
      <c r="L481" s="220"/>
      <c r="M481" s="220"/>
      <c r="N481" s="220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spans="1:26" ht="15.75">
      <c r="A482" s="218"/>
      <c r="B482" s="221"/>
      <c r="C482" s="222"/>
      <c r="D482" s="218"/>
      <c r="E482" s="218"/>
      <c r="F482" s="220"/>
      <c r="G482" s="218"/>
      <c r="H482" s="218"/>
      <c r="I482" s="218"/>
      <c r="J482" s="218"/>
      <c r="K482" s="220"/>
      <c r="L482" s="220"/>
      <c r="M482" s="220"/>
      <c r="N482" s="220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spans="1:26" ht="15.75">
      <c r="A483" s="218"/>
      <c r="B483" s="221"/>
      <c r="C483" s="222"/>
      <c r="D483" s="218"/>
      <c r="E483" s="218"/>
      <c r="F483" s="220"/>
      <c r="G483" s="218"/>
      <c r="H483" s="218"/>
      <c r="I483" s="218"/>
      <c r="J483" s="218"/>
      <c r="K483" s="220"/>
      <c r="L483" s="220"/>
      <c r="M483" s="220"/>
      <c r="N483" s="220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spans="1:26" ht="15.75">
      <c r="A484" s="218"/>
      <c r="B484" s="221"/>
      <c r="C484" s="222"/>
      <c r="D484" s="218"/>
      <c r="E484" s="218"/>
      <c r="F484" s="220"/>
      <c r="G484" s="218"/>
      <c r="H484" s="218"/>
      <c r="I484" s="218"/>
      <c r="J484" s="218"/>
      <c r="K484" s="220"/>
      <c r="L484" s="220"/>
      <c r="M484" s="220"/>
      <c r="N484" s="220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spans="1:26" ht="15.75">
      <c r="A485" s="218"/>
      <c r="B485" s="221"/>
      <c r="C485" s="222"/>
      <c r="D485" s="218"/>
      <c r="E485" s="218"/>
      <c r="F485" s="220"/>
      <c r="G485" s="218"/>
      <c r="H485" s="218"/>
      <c r="I485" s="218"/>
      <c r="J485" s="218"/>
      <c r="K485" s="220"/>
      <c r="L485" s="220"/>
      <c r="M485" s="220"/>
      <c r="N485" s="220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spans="1:26" ht="15.75">
      <c r="A486" s="218"/>
      <c r="B486" s="221"/>
      <c r="C486" s="222"/>
      <c r="D486" s="218"/>
      <c r="E486" s="218"/>
      <c r="F486" s="220"/>
      <c r="G486" s="218"/>
      <c r="H486" s="218"/>
      <c r="I486" s="218"/>
      <c r="J486" s="218"/>
      <c r="K486" s="220"/>
      <c r="L486" s="220"/>
      <c r="M486" s="220"/>
      <c r="N486" s="220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spans="1:26" ht="15.75">
      <c r="A487" s="218"/>
      <c r="B487" s="221"/>
      <c r="C487" s="222"/>
      <c r="D487" s="218"/>
      <c r="E487" s="218"/>
      <c r="F487" s="220"/>
      <c r="G487" s="218"/>
      <c r="H487" s="218"/>
      <c r="I487" s="218"/>
      <c r="J487" s="218"/>
      <c r="K487" s="220"/>
      <c r="L487" s="220"/>
      <c r="M487" s="220"/>
      <c r="N487" s="220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spans="1:26" ht="15.75">
      <c r="A488" s="218"/>
      <c r="B488" s="221"/>
      <c r="C488" s="222"/>
      <c r="D488" s="218"/>
      <c r="E488" s="218"/>
      <c r="F488" s="220"/>
      <c r="G488" s="218"/>
      <c r="H488" s="218"/>
      <c r="I488" s="218"/>
      <c r="J488" s="218"/>
      <c r="K488" s="220"/>
      <c r="L488" s="220"/>
      <c r="M488" s="220"/>
      <c r="N488" s="220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spans="1:26" ht="15.75">
      <c r="A489" s="218"/>
      <c r="B489" s="221"/>
      <c r="C489" s="222"/>
      <c r="D489" s="218"/>
      <c r="E489" s="218"/>
      <c r="F489" s="220"/>
      <c r="G489" s="218"/>
      <c r="H489" s="218"/>
      <c r="I489" s="218"/>
      <c r="J489" s="218"/>
      <c r="K489" s="220"/>
      <c r="L489" s="220"/>
      <c r="M489" s="220"/>
      <c r="N489" s="220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spans="1:26" ht="15.75">
      <c r="A490" s="218"/>
      <c r="B490" s="221"/>
      <c r="C490" s="222"/>
      <c r="D490" s="218"/>
      <c r="E490" s="218"/>
      <c r="F490" s="220"/>
      <c r="G490" s="218"/>
      <c r="H490" s="218"/>
      <c r="I490" s="218"/>
      <c r="J490" s="218"/>
      <c r="K490" s="220"/>
      <c r="L490" s="220"/>
      <c r="M490" s="220"/>
      <c r="N490" s="220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spans="1:26" ht="15.75">
      <c r="A491" s="218"/>
      <c r="B491" s="221"/>
      <c r="C491" s="222"/>
      <c r="D491" s="218"/>
      <c r="E491" s="218"/>
      <c r="F491" s="220"/>
      <c r="G491" s="218"/>
      <c r="H491" s="218"/>
      <c r="I491" s="218"/>
      <c r="J491" s="218"/>
      <c r="K491" s="220"/>
      <c r="L491" s="220"/>
      <c r="M491" s="220"/>
      <c r="N491" s="220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spans="1:26" ht="15.75">
      <c r="A492" s="218"/>
      <c r="B492" s="221"/>
      <c r="C492" s="222"/>
      <c r="D492" s="218"/>
      <c r="E492" s="218"/>
      <c r="F492" s="220"/>
      <c r="G492" s="218"/>
      <c r="H492" s="218"/>
      <c r="I492" s="218"/>
      <c r="J492" s="218"/>
      <c r="K492" s="220"/>
      <c r="L492" s="220"/>
      <c r="M492" s="220"/>
      <c r="N492" s="220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spans="1:26" ht="15.75">
      <c r="A493" s="218"/>
      <c r="B493" s="221"/>
      <c r="C493" s="222"/>
      <c r="D493" s="218"/>
      <c r="E493" s="218"/>
      <c r="F493" s="220"/>
      <c r="G493" s="218"/>
      <c r="H493" s="218"/>
      <c r="I493" s="218"/>
      <c r="J493" s="218"/>
      <c r="K493" s="220"/>
      <c r="L493" s="220"/>
      <c r="M493" s="220"/>
      <c r="N493" s="220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spans="1:26" ht="15.75">
      <c r="A494" s="218"/>
      <c r="B494" s="221"/>
      <c r="C494" s="222"/>
      <c r="D494" s="218"/>
      <c r="E494" s="218"/>
      <c r="F494" s="220"/>
      <c r="G494" s="218"/>
      <c r="H494" s="218"/>
      <c r="I494" s="218"/>
      <c r="J494" s="218"/>
      <c r="K494" s="220"/>
      <c r="L494" s="220"/>
      <c r="M494" s="220"/>
      <c r="N494" s="220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spans="1:26" ht="15.75">
      <c r="A495" s="218"/>
      <c r="B495" s="221"/>
      <c r="C495" s="222"/>
      <c r="D495" s="218"/>
      <c r="E495" s="218"/>
      <c r="F495" s="220"/>
      <c r="G495" s="218"/>
      <c r="H495" s="218"/>
      <c r="I495" s="218"/>
      <c r="J495" s="218"/>
      <c r="K495" s="220"/>
      <c r="L495" s="220"/>
      <c r="M495" s="220"/>
      <c r="N495" s="220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spans="1:26" ht="15.75">
      <c r="A496" s="218"/>
      <c r="B496" s="221"/>
      <c r="C496" s="222"/>
      <c r="D496" s="218"/>
      <c r="E496" s="218"/>
      <c r="F496" s="220"/>
      <c r="G496" s="218"/>
      <c r="H496" s="218"/>
      <c r="I496" s="218"/>
      <c r="J496" s="218"/>
      <c r="K496" s="220"/>
      <c r="L496" s="220"/>
      <c r="M496" s="220"/>
      <c r="N496" s="220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spans="1:26" ht="15.75">
      <c r="A497" s="218"/>
      <c r="B497" s="221"/>
      <c r="C497" s="222"/>
      <c r="D497" s="218"/>
      <c r="E497" s="218"/>
      <c r="F497" s="220"/>
      <c r="G497" s="218"/>
      <c r="H497" s="218"/>
      <c r="I497" s="218"/>
      <c r="J497" s="218"/>
      <c r="K497" s="220"/>
      <c r="L497" s="220"/>
      <c r="M497" s="220"/>
      <c r="N497" s="220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spans="1:26" ht="15.75">
      <c r="A498" s="218"/>
      <c r="B498" s="221"/>
      <c r="C498" s="222"/>
      <c r="D498" s="218"/>
      <c r="E498" s="218"/>
      <c r="F498" s="220"/>
      <c r="G498" s="218"/>
      <c r="H498" s="218"/>
      <c r="I498" s="218"/>
      <c r="J498" s="218"/>
      <c r="K498" s="220"/>
      <c r="L498" s="220"/>
      <c r="M498" s="220"/>
      <c r="N498" s="220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spans="1:26" ht="15.75">
      <c r="A499" s="218"/>
      <c r="B499" s="221"/>
      <c r="C499" s="222"/>
      <c r="D499" s="218"/>
      <c r="E499" s="218"/>
      <c r="F499" s="220"/>
      <c r="G499" s="218"/>
      <c r="H499" s="218"/>
      <c r="I499" s="218"/>
      <c r="J499" s="218"/>
      <c r="K499" s="220"/>
      <c r="L499" s="220"/>
      <c r="M499" s="220"/>
      <c r="N499" s="220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spans="1:26" ht="15.75">
      <c r="A500" s="218"/>
      <c r="B500" s="221"/>
      <c r="C500" s="222"/>
      <c r="D500" s="218"/>
      <c r="E500" s="218"/>
      <c r="F500" s="220"/>
      <c r="G500" s="218"/>
      <c r="H500" s="218"/>
      <c r="I500" s="218"/>
      <c r="J500" s="218"/>
      <c r="K500" s="220"/>
      <c r="L500" s="220"/>
      <c r="M500" s="220"/>
      <c r="N500" s="220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spans="1:26" ht="15.75">
      <c r="A501" s="218"/>
      <c r="B501" s="221"/>
      <c r="C501" s="222"/>
      <c r="D501" s="218"/>
      <c r="E501" s="218"/>
      <c r="F501" s="220"/>
      <c r="G501" s="218"/>
      <c r="H501" s="218"/>
      <c r="I501" s="218"/>
      <c r="J501" s="218"/>
      <c r="K501" s="220"/>
      <c r="L501" s="220"/>
      <c r="M501" s="220"/>
      <c r="N501" s="220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spans="1:26" ht="15.75">
      <c r="A502" s="218"/>
      <c r="B502" s="221"/>
      <c r="C502" s="222"/>
      <c r="D502" s="218"/>
      <c r="E502" s="218"/>
      <c r="F502" s="220"/>
      <c r="G502" s="218"/>
      <c r="H502" s="218"/>
      <c r="I502" s="218"/>
      <c r="J502" s="218"/>
      <c r="K502" s="220"/>
      <c r="L502" s="220"/>
      <c r="M502" s="220"/>
      <c r="N502" s="220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spans="1:26" ht="15.75">
      <c r="A503" s="218"/>
      <c r="B503" s="221"/>
      <c r="C503" s="222"/>
      <c r="D503" s="218"/>
      <c r="E503" s="218"/>
      <c r="F503" s="220"/>
      <c r="G503" s="218"/>
      <c r="H503" s="218"/>
      <c r="I503" s="218"/>
      <c r="J503" s="218"/>
      <c r="K503" s="220"/>
      <c r="L503" s="220"/>
      <c r="M503" s="220"/>
      <c r="N503" s="220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spans="1:26" ht="15.75">
      <c r="A504" s="218"/>
      <c r="B504" s="221"/>
      <c r="C504" s="222"/>
      <c r="D504" s="218"/>
      <c r="E504" s="218"/>
      <c r="F504" s="220"/>
      <c r="G504" s="218"/>
      <c r="H504" s="218"/>
      <c r="I504" s="218"/>
      <c r="J504" s="218"/>
      <c r="K504" s="220"/>
      <c r="L504" s="220"/>
      <c r="M504" s="220"/>
      <c r="N504" s="220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spans="1:26" ht="15.75">
      <c r="A505" s="218"/>
      <c r="B505" s="221"/>
      <c r="C505" s="222"/>
      <c r="D505" s="218"/>
      <c r="E505" s="218"/>
      <c r="F505" s="220"/>
      <c r="G505" s="218"/>
      <c r="H505" s="218"/>
      <c r="I505" s="218"/>
      <c r="J505" s="218"/>
      <c r="K505" s="220"/>
      <c r="L505" s="220"/>
      <c r="M505" s="220"/>
      <c r="N505" s="220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spans="1:26" ht="15.75">
      <c r="A506" s="218"/>
      <c r="B506" s="221"/>
      <c r="C506" s="222"/>
      <c r="D506" s="218"/>
      <c r="E506" s="218"/>
      <c r="F506" s="220"/>
      <c r="G506" s="218"/>
      <c r="H506" s="218"/>
      <c r="I506" s="218"/>
      <c r="J506" s="218"/>
      <c r="K506" s="220"/>
      <c r="L506" s="220"/>
      <c r="M506" s="220"/>
      <c r="N506" s="220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spans="1:26" ht="15.75">
      <c r="A507" s="218"/>
      <c r="B507" s="221"/>
      <c r="C507" s="222"/>
      <c r="D507" s="218"/>
      <c r="E507" s="218"/>
      <c r="F507" s="220"/>
      <c r="G507" s="218"/>
      <c r="H507" s="218"/>
      <c r="I507" s="218"/>
      <c r="J507" s="218"/>
      <c r="K507" s="220"/>
      <c r="L507" s="220"/>
      <c r="M507" s="220"/>
      <c r="N507" s="220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spans="1:26" ht="15.75">
      <c r="A508" s="218"/>
      <c r="B508" s="221"/>
      <c r="C508" s="222"/>
      <c r="D508" s="218"/>
      <c r="E508" s="218"/>
      <c r="F508" s="220"/>
      <c r="G508" s="218"/>
      <c r="H508" s="218"/>
      <c r="I508" s="218"/>
      <c r="J508" s="218"/>
      <c r="K508" s="220"/>
      <c r="L508" s="220"/>
      <c r="M508" s="220"/>
      <c r="N508" s="220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spans="1:26" ht="15.75">
      <c r="A509" s="218"/>
      <c r="B509" s="221"/>
      <c r="C509" s="222"/>
      <c r="D509" s="218"/>
      <c r="E509" s="218"/>
      <c r="F509" s="220"/>
      <c r="G509" s="218"/>
      <c r="H509" s="218"/>
      <c r="I509" s="218"/>
      <c r="J509" s="218"/>
      <c r="K509" s="220"/>
      <c r="L509" s="220"/>
      <c r="M509" s="220"/>
      <c r="N509" s="220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spans="1:26" ht="15.75">
      <c r="A510" s="218"/>
      <c r="B510" s="221"/>
      <c r="C510" s="222"/>
      <c r="D510" s="218"/>
      <c r="E510" s="218"/>
      <c r="F510" s="220"/>
      <c r="G510" s="218"/>
      <c r="H510" s="218"/>
      <c r="I510" s="218"/>
      <c r="J510" s="218"/>
      <c r="K510" s="220"/>
      <c r="L510" s="220"/>
      <c r="M510" s="220"/>
      <c r="N510" s="220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spans="1:26" ht="15.75">
      <c r="A511" s="218"/>
      <c r="B511" s="221"/>
      <c r="C511" s="222"/>
      <c r="D511" s="218"/>
      <c r="E511" s="218"/>
      <c r="F511" s="220"/>
      <c r="G511" s="218"/>
      <c r="H511" s="218"/>
      <c r="I511" s="218"/>
      <c r="J511" s="218"/>
      <c r="K511" s="220"/>
      <c r="L511" s="220"/>
      <c r="M511" s="220"/>
      <c r="N511" s="220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spans="1:26" ht="15.75">
      <c r="A512" s="218"/>
      <c r="B512" s="221"/>
      <c r="C512" s="222"/>
      <c r="D512" s="218"/>
      <c r="E512" s="218"/>
      <c r="F512" s="220"/>
      <c r="G512" s="218"/>
      <c r="H512" s="218"/>
      <c r="I512" s="218"/>
      <c r="J512" s="218"/>
      <c r="K512" s="220"/>
      <c r="L512" s="220"/>
      <c r="M512" s="220"/>
      <c r="N512" s="220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spans="1:26" ht="15.75">
      <c r="A513" s="218"/>
      <c r="B513" s="221"/>
      <c r="C513" s="222"/>
      <c r="D513" s="218"/>
      <c r="E513" s="218"/>
      <c r="F513" s="220"/>
      <c r="G513" s="218"/>
      <c r="H513" s="218"/>
      <c r="I513" s="218"/>
      <c r="J513" s="218"/>
      <c r="K513" s="220"/>
      <c r="L513" s="220"/>
      <c r="M513" s="220"/>
      <c r="N513" s="220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spans="1:26" ht="15.75">
      <c r="A514" s="218"/>
      <c r="B514" s="221"/>
      <c r="C514" s="222"/>
      <c r="D514" s="218"/>
      <c r="E514" s="218"/>
      <c r="F514" s="220"/>
      <c r="G514" s="218"/>
      <c r="H514" s="218"/>
      <c r="I514" s="218"/>
      <c r="J514" s="218"/>
      <c r="K514" s="220"/>
      <c r="L514" s="220"/>
      <c r="M514" s="220"/>
      <c r="N514" s="220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spans="1:26" ht="15.75">
      <c r="A515" s="218"/>
      <c r="B515" s="221"/>
      <c r="C515" s="222"/>
      <c r="D515" s="218"/>
      <c r="E515" s="218"/>
      <c r="F515" s="220"/>
      <c r="G515" s="218"/>
      <c r="H515" s="218"/>
      <c r="I515" s="218"/>
      <c r="J515" s="218"/>
      <c r="K515" s="220"/>
      <c r="L515" s="220"/>
      <c r="M515" s="220"/>
      <c r="N515" s="220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spans="1:26" ht="15.75">
      <c r="A516" s="218"/>
      <c r="B516" s="221"/>
      <c r="C516" s="222"/>
      <c r="D516" s="218"/>
      <c r="E516" s="218"/>
      <c r="F516" s="220"/>
      <c r="G516" s="218"/>
      <c r="H516" s="218"/>
      <c r="I516" s="218"/>
      <c r="J516" s="218"/>
      <c r="K516" s="220"/>
      <c r="L516" s="220"/>
      <c r="M516" s="220"/>
      <c r="N516" s="220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spans="1:26" ht="15.75">
      <c r="A517" s="218"/>
      <c r="B517" s="221"/>
      <c r="C517" s="222"/>
      <c r="D517" s="218"/>
      <c r="E517" s="218"/>
      <c r="F517" s="220"/>
      <c r="G517" s="218"/>
      <c r="H517" s="218"/>
      <c r="I517" s="218"/>
      <c r="J517" s="218"/>
      <c r="K517" s="220"/>
      <c r="L517" s="220"/>
      <c r="M517" s="220"/>
      <c r="N517" s="220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spans="1:26" ht="15.75">
      <c r="A518" s="218"/>
      <c r="B518" s="221"/>
      <c r="C518" s="222"/>
      <c r="D518" s="218"/>
      <c r="E518" s="218"/>
      <c r="F518" s="220"/>
      <c r="G518" s="218"/>
      <c r="H518" s="218"/>
      <c r="I518" s="218"/>
      <c r="J518" s="218"/>
      <c r="K518" s="220"/>
      <c r="L518" s="220"/>
      <c r="M518" s="220"/>
      <c r="N518" s="220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spans="1:26" ht="15.75">
      <c r="A519" s="218"/>
      <c r="B519" s="221"/>
      <c r="C519" s="222"/>
      <c r="D519" s="218"/>
      <c r="E519" s="218"/>
      <c r="F519" s="220"/>
      <c r="G519" s="218"/>
      <c r="H519" s="218"/>
      <c r="I519" s="218"/>
      <c r="J519" s="218"/>
      <c r="K519" s="220"/>
      <c r="L519" s="220"/>
      <c r="M519" s="220"/>
      <c r="N519" s="220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spans="1:26" ht="15.75">
      <c r="A520" s="218"/>
      <c r="B520" s="221"/>
      <c r="C520" s="222"/>
      <c r="D520" s="218"/>
      <c r="E520" s="218"/>
      <c r="F520" s="220"/>
      <c r="G520" s="218"/>
      <c r="H520" s="218"/>
      <c r="I520" s="218"/>
      <c r="J520" s="218"/>
      <c r="K520" s="220"/>
      <c r="L520" s="220"/>
      <c r="M520" s="220"/>
      <c r="N520" s="220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spans="1:26" ht="15.75">
      <c r="A521" s="218"/>
      <c r="B521" s="221"/>
      <c r="C521" s="222"/>
      <c r="D521" s="218"/>
      <c r="E521" s="218"/>
      <c r="F521" s="220"/>
      <c r="G521" s="218"/>
      <c r="H521" s="218"/>
      <c r="I521" s="218"/>
      <c r="J521" s="218"/>
      <c r="K521" s="220"/>
      <c r="L521" s="220"/>
      <c r="M521" s="220"/>
      <c r="N521" s="220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spans="1:26" ht="15.75">
      <c r="A522" s="218"/>
      <c r="B522" s="221"/>
      <c r="C522" s="222"/>
      <c r="D522" s="218"/>
      <c r="E522" s="218"/>
      <c r="F522" s="220"/>
      <c r="G522" s="218"/>
      <c r="H522" s="218"/>
      <c r="I522" s="218"/>
      <c r="J522" s="218"/>
      <c r="K522" s="220"/>
      <c r="L522" s="220"/>
      <c r="M522" s="220"/>
      <c r="N522" s="220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spans="1:26" ht="15.75">
      <c r="A523" s="218"/>
      <c r="B523" s="221"/>
      <c r="C523" s="222"/>
      <c r="D523" s="218"/>
      <c r="E523" s="218"/>
      <c r="F523" s="220"/>
      <c r="G523" s="218"/>
      <c r="H523" s="218"/>
      <c r="I523" s="218"/>
      <c r="J523" s="218"/>
      <c r="K523" s="220"/>
      <c r="L523" s="220"/>
      <c r="M523" s="220"/>
      <c r="N523" s="220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spans="1:26" ht="15.75">
      <c r="A524" s="218"/>
      <c r="B524" s="221"/>
      <c r="C524" s="222"/>
      <c r="D524" s="218"/>
      <c r="E524" s="218"/>
      <c r="F524" s="220"/>
      <c r="G524" s="218"/>
      <c r="H524" s="218"/>
      <c r="I524" s="218"/>
      <c r="J524" s="218"/>
      <c r="K524" s="220"/>
      <c r="L524" s="220"/>
      <c r="M524" s="220"/>
      <c r="N524" s="220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spans="1:26" ht="15.75">
      <c r="A525" s="218"/>
      <c r="B525" s="221"/>
      <c r="C525" s="222"/>
      <c r="D525" s="218"/>
      <c r="E525" s="218"/>
      <c r="F525" s="220"/>
      <c r="G525" s="218"/>
      <c r="H525" s="218"/>
      <c r="I525" s="218"/>
      <c r="J525" s="218"/>
      <c r="K525" s="220"/>
      <c r="L525" s="220"/>
      <c r="M525" s="220"/>
      <c r="N525" s="220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spans="1:26" ht="15.75">
      <c r="A526" s="218"/>
      <c r="B526" s="221"/>
      <c r="C526" s="222"/>
      <c r="D526" s="218"/>
      <c r="E526" s="218"/>
      <c r="F526" s="220"/>
      <c r="G526" s="218"/>
      <c r="H526" s="218"/>
      <c r="I526" s="218"/>
      <c r="J526" s="218"/>
      <c r="K526" s="220"/>
      <c r="L526" s="220"/>
      <c r="M526" s="220"/>
      <c r="N526" s="220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spans="1:26" ht="15.75">
      <c r="A527" s="218"/>
      <c r="B527" s="221"/>
      <c r="C527" s="222"/>
      <c r="D527" s="218"/>
      <c r="E527" s="218"/>
      <c r="F527" s="220"/>
      <c r="G527" s="218"/>
      <c r="H527" s="218"/>
      <c r="I527" s="218"/>
      <c r="J527" s="218"/>
      <c r="K527" s="220"/>
      <c r="L527" s="220"/>
      <c r="M527" s="220"/>
      <c r="N527" s="220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spans="1:26" ht="15.75">
      <c r="A528" s="218"/>
      <c r="B528" s="221"/>
      <c r="C528" s="222"/>
      <c r="D528" s="218"/>
      <c r="E528" s="218"/>
      <c r="F528" s="220"/>
      <c r="G528" s="218"/>
      <c r="H528" s="218"/>
      <c r="I528" s="218"/>
      <c r="J528" s="218"/>
      <c r="K528" s="220"/>
      <c r="L528" s="220"/>
      <c r="M528" s="220"/>
      <c r="N528" s="220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spans="1:26" ht="15.75">
      <c r="A529" s="218"/>
      <c r="B529" s="221"/>
      <c r="C529" s="222"/>
      <c r="D529" s="218"/>
      <c r="E529" s="218"/>
      <c r="F529" s="220"/>
      <c r="G529" s="218"/>
      <c r="H529" s="218"/>
      <c r="I529" s="218"/>
      <c r="J529" s="218"/>
      <c r="K529" s="220"/>
      <c r="L529" s="220"/>
      <c r="M529" s="220"/>
      <c r="N529" s="220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spans="1:26" ht="15.75">
      <c r="A530" s="218"/>
      <c r="B530" s="221"/>
      <c r="C530" s="222"/>
      <c r="D530" s="218"/>
      <c r="E530" s="218"/>
      <c r="F530" s="220"/>
      <c r="G530" s="218"/>
      <c r="H530" s="218"/>
      <c r="I530" s="218"/>
      <c r="J530" s="218"/>
      <c r="K530" s="220"/>
      <c r="L530" s="220"/>
      <c r="M530" s="220"/>
      <c r="N530" s="220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spans="1:26" ht="15.75">
      <c r="A531" s="218"/>
      <c r="B531" s="221"/>
      <c r="C531" s="222"/>
      <c r="D531" s="218"/>
      <c r="E531" s="218"/>
      <c r="F531" s="220"/>
      <c r="G531" s="218"/>
      <c r="H531" s="218"/>
      <c r="I531" s="218"/>
      <c r="J531" s="218"/>
      <c r="K531" s="220"/>
      <c r="L531" s="220"/>
      <c r="M531" s="220"/>
      <c r="N531" s="220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spans="1:26" ht="15.75">
      <c r="A532" s="218"/>
      <c r="B532" s="221"/>
      <c r="C532" s="222"/>
      <c r="D532" s="218"/>
      <c r="E532" s="218"/>
      <c r="F532" s="220"/>
      <c r="G532" s="218"/>
      <c r="H532" s="218"/>
      <c r="I532" s="218"/>
      <c r="J532" s="218"/>
      <c r="K532" s="220"/>
      <c r="L532" s="220"/>
      <c r="M532" s="220"/>
      <c r="N532" s="220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spans="1:26" ht="15.75">
      <c r="A533" s="218"/>
      <c r="B533" s="221"/>
      <c r="C533" s="222"/>
      <c r="D533" s="218"/>
      <c r="E533" s="218"/>
      <c r="F533" s="220"/>
      <c r="G533" s="218"/>
      <c r="H533" s="218"/>
      <c r="I533" s="218"/>
      <c r="J533" s="218"/>
      <c r="K533" s="220"/>
      <c r="L533" s="220"/>
      <c r="M533" s="220"/>
      <c r="N533" s="220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spans="1:26" ht="15.75">
      <c r="A534" s="218"/>
      <c r="B534" s="221"/>
      <c r="C534" s="222"/>
      <c r="D534" s="218"/>
      <c r="E534" s="218"/>
      <c r="F534" s="220"/>
      <c r="G534" s="218"/>
      <c r="H534" s="218"/>
      <c r="I534" s="218"/>
      <c r="J534" s="218"/>
      <c r="K534" s="220"/>
      <c r="L534" s="220"/>
      <c r="M534" s="220"/>
      <c r="N534" s="220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spans="1:26" ht="15.75">
      <c r="A535" s="218"/>
      <c r="B535" s="221"/>
      <c r="C535" s="222"/>
      <c r="D535" s="218"/>
      <c r="E535" s="218"/>
      <c r="F535" s="220"/>
      <c r="G535" s="218"/>
      <c r="H535" s="218"/>
      <c r="I535" s="218"/>
      <c r="J535" s="218"/>
      <c r="K535" s="220"/>
      <c r="L535" s="220"/>
      <c r="M535" s="220"/>
      <c r="N535" s="220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spans="1:26" ht="15.75">
      <c r="A536" s="218"/>
      <c r="B536" s="221"/>
      <c r="C536" s="222"/>
      <c r="D536" s="218"/>
      <c r="E536" s="218"/>
      <c r="F536" s="220"/>
      <c r="G536" s="218"/>
      <c r="H536" s="218"/>
      <c r="I536" s="218"/>
      <c r="J536" s="218"/>
      <c r="K536" s="220"/>
      <c r="L536" s="220"/>
      <c r="M536" s="220"/>
      <c r="N536" s="220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spans="1:26" ht="15.75">
      <c r="A537" s="218"/>
      <c r="B537" s="221"/>
      <c r="C537" s="222"/>
      <c r="D537" s="218"/>
      <c r="E537" s="218"/>
      <c r="F537" s="220"/>
      <c r="G537" s="218"/>
      <c r="H537" s="218"/>
      <c r="I537" s="218"/>
      <c r="J537" s="218"/>
      <c r="K537" s="220"/>
      <c r="L537" s="220"/>
      <c r="M537" s="220"/>
      <c r="N537" s="220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spans="1:26" ht="15.75">
      <c r="A538" s="218"/>
      <c r="B538" s="221"/>
      <c r="C538" s="222"/>
      <c r="D538" s="218"/>
      <c r="E538" s="218"/>
      <c r="F538" s="220"/>
      <c r="G538" s="218"/>
      <c r="H538" s="218"/>
      <c r="I538" s="218"/>
      <c r="J538" s="218"/>
      <c r="K538" s="220"/>
      <c r="L538" s="220"/>
      <c r="M538" s="220"/>
      <c r="N538" s="220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spans="1:26" ht="15.75">
      <c r="A539" s="218"/>
      <c r="B539" s="221"/>
      <c r="C539" s="222"/>
      <c r="D539" s="218"/>
      <c r="E539" s="218"/>
      <c r="F539" s="220"/>
      <c r="G539" s="218"/>
      <c r="H539" s="218"/>
      <c r="I539" s="218"/>
      <c r="J539" s="218"/>
      <c r="K539" s="220"/>
      <c r="L539" s="220"/>
      <c r="M539" s="220"/>
      <c r="N539" s="220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spans="1:26" ht="15.75">
      <c r="A540" s="218"/>
      <c r="B540" s="221"/>
      <c r="C540" s="222"/>
      <c r="D540" s="218"/>
      <c r="E540" s="218"/>
      <c r="F540" s="220"/>
      <c r="G540" s="218"/>
      <c r="H540" s="218"/>
      <c r="I540" s="218"/>
      <c r="J540" s="218"/>
      <c r="K540" s="220"/>
      <c r="L540" s="220"/>
      <c r="M540" s="220"/>
      <c r="N540" s="220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spans="1:26" ht="15.75">
      <c r="A541" s="218"/>
      <c r="B541" s="221"/>
      <c r="C541" s="222"/>
      <c r="D541" s="218"/>
      <c r="E541" s="218"/>
      <c r="F541" s="220"/>
      <c r="G541" s="218"/>
      <c r="H541" s="218"/>
      <c r="I541" s="218"/>
      <c r="J541" s="218"/>
      <c r="K541" s="220"/>
      <c r="L541" s="220"/>
      <c r="M541" s="220"/>
      <c r="N541" s="220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spans="1:26" ht="15.75">
      <c r="A542" s="218"/>
      <c r="B542" s="221"/>
      <c r="C542" s="222"/>
      <c r="D542" s="218"/>
      <c r="E542" s="218"/>
      <c r="F542" s="220"/>
      <c r="G542" s="218"/>
      <c r="H542" s="218"/>
      <c r="I542" s="218"/>
      <c r="J542" s="218"/>
      <c r="K542" s="220"/>
      <c r="L542" s="220"/>
      <c r="M542" s="220"/>
      <c r="N542" s="220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spans="1:26" ht="15.75">
      <c r="A543" s="218"/>
      <c r="B543" s="221"/>
      <c r="C543" s="222"/>
      <c r="D543" s="218"/>
      <c r="E543" s="218"/>
      <c r="F543" s="220"/>
      <c r="G543" s="218"/>
      <c r="H543" s="218"/>
      <c r="I543" s="218"/>
      <c r="J543" s="218"/>
      <c r="K543" s="220"/>
      <c r="L543" s="220"/>
      <c r="M543" s="220"/>
      <c r="N543" s="220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spans="1:26" ht="15.75">
      <c r="A544" s="218"/>
      <c r="B544" s="221"/>
      <c r="C544" s="222"/>
      <c r="D544" s="218"/>
      <c r="E544" s="218"/>
      <c r="F544" s="220"/>
      <c r="G544" s="218"/>
      <c r="H544" s="218"/>
      <c r="I544" s="218"/>
      <c r="J544" s="218"/>
      <c r="K544" s="220"/>
      <c r="L544" s="220"/>
      <c r="M544" s="220"/>
      <c r="N544" s="220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spans="1:26" ht="15.75">
      <c r="A545" s="218"/>
      <c r="B545" s="221"/>
      <c r="C545" s="222"/>
      <c r="D545" s="218"/>
      <c r="E545" s="218"/>
      <c r="F545" s="220"/>
      <c r="G545" s="218"/>
      <c r="H545" s="218"/>
      <c r="I545" s="218"/>
      <c r="J545" s="218"/>
      <c r="K545" s="220"/>
      <c r="L545" s="220"/>
      <c r="M545" s="220"/>
      <c r="N545" s="220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spans="1:26" ht="15.75">
      <c r="A546" s="218"/>
      <c r="B546" s="221"/>
      <c r="C546" s="222"/>
      <c r="D546" s="218"/>
      <c r="E546" s="218"/>
      <c r="F546" s="220"/>
      <c r="G546" s="218"/>
      <c r="H546" s="218"/>
      <c r="I546" s="218"/>
      <c r="J546" s="218"/>
      <c r="K546" s="220"/>
      <c r="L546" s="220"/>
      <c r="M546" s="220"/>
      <c r="N546" s="220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spans="1:26" ht="15.75">
      <c r="A547" s="218"/>
      <c r="B547" s="221"/>
      <c r="C547" s="222"/>
      <c r="D547" s="218"/>
      <c r="E547" s="218"/>
      <c r="F547" s="220"/>
      <c r="G547" s="218"/>
      <c r="H547" s="218"/>
      <c r="I547" s="218"/>
      <c r="J547" s="218"/>
      <c r="K547" s="220"/>
      <c r="L547" s="220"/>
      <c r="M547" s="220"/>
      <c r="N547" s="220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spans="1:26" ht="15.75">
      <c r="A548" s="218"/>
      <c r="B548" s="221"/>
      <c r="C548" s="222"/>
      <c r="D548" s="218"/>
      <c r="E548" s="218"/>
      <c r="F548" s="220"/>
      <c r="G548" s="218"/>
      <c r="H548" s="218"/>
      <c r="I548" s="218"/>
      <c r="J548" s="218"/>
      <c r="K548" s="220"/>
      <c r="L548" s="220"/>
      <c r="M548" s="220"/>
      <c r="N548" s="220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spans="1:26" ht="15.75">
      <c r="A549" s="218"/>
      <c r="B549" s="221"/>
      <c r="C549" s="222"/>
      <c r="D549" s="218"/>
      <c r="E549" s="218"/>
      <c r="F549" s="220"/>
      <c r="G549" s="218"/>
      <c r="H549" s="218"/>
      <c r="I549" s="218"/>
      <c r="J549" s="218"/>
      <c r="K549" s="220"/>
      <c r="L549" s="220"/>
      <c r="M549" s="220"/>
      <c r="N549" s="220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spans="1:26" ht="15.75">
      <c r="A550" s="218"/>
      <c r="B550" s="221"/>
      <c r="C550" s="222"/>
      <c r="D550" s="218"/>
      <c r="E550" s="218"/>
      <c r="F550" s="220"/>
      <c r="G550" s="218"/>
      <c r="H550" s="218"/>
      <c r="I550" s="218"/>
      <c r="J550" s="218"/>
      <c r="K550" s="220"/>
      <c r="L550" s="220"/>
      <c r="M550" s="220"/>
      <c r="N550" s="220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spans="1:26" ht="15.75">
      <c r="A551" s="218"/>
      <c r="B551" s="221"/>
      <c r="C551" s="222"/>
      <c r="D551" s="218"/>
      <c r="E551" s="218"/>
      <c r="F551" s="220"/>
      <c r="G551" s="218"/>
      <c r="H551" s="218"/>
      <c r="I551" s="218"/>
      <c r="J551" s="218"/>
      <c r="K551" s="220"/>
      <c r="L551" s="220"/>
      <c r="M551" s="220"/>
      <c r="N551" s="220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spans="1:26" ht="15.75">
      <c r="A552" s="218"/>
      <c r="B552" s="221"/>
      <c r="C552" s="222"/>
      <c r="D552" s="218"/>
      <c r="E552" s="218"/>
      <c r="F552" s="220"/>
      <c r="G552" s="218"/>
      <c r="H552" s="218"/>
      <c r="I552" s="218"/>
      <c r="J552" s="218"/>
      <c r="K552" s="220"/>
      <c r="L552" s="220"/>
      <c r="M552" s="220"/>
      <c r="N552" s="220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spans="1:26" ht="15.75">
      <c r="A553" s="218"/>
      <c r="B553" s="221"/>
      <c r="C553" s="222"/>
      <c r="D553" s="218"/>
      <c r="E553" s="218"/>
      <c r="F553" s="220"/>
      <c r="G553" s="218"/>
      <c r="H553" s="218"/>
      <c r="I553" s="218"/>
      <c r="J553" s="218"/>
      <c r="K553" s="220"/>
      <c r="L553" s="220"/>
      <c r="M553" s="220"/>
      <c r="N553" s="220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spans="1:26" ht="15.75">
      <c r="A554" s="218"/>
      <c r="B554" s="221"/>
      <c r="C554" s="222"/>
      <c r="D554" s="218"/>
      <c r="E554" s="218"/>
      <c r="F554" s="220"/>
      <c r="G554" s="218"/>
      <c r="H554" s="218"/>
      <c r="I554" s="218"/>
      <c r="J554" s="218"/>
      <c r="K554" s="220"/>
      <c r="L554" s="220"/>
      <c r="M554" s="220"/>
      <c r="N554" s="220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spans="1:26" ht="15.75">
      <c r="A555" s="218"/>
      <c r="B555" s="221"/>
      <c r="C555" s="222"/>
      <c r="D555" s="218"/>
      <c r="E555" s="218"/>
      <c r="F555" s="220"/>
      <c r="G555" s="218"/>
      <c r="H555" s="218"/>
      <c r="I555" s="218"/>
      <c r="J555" s="218"/>
      <c r="K555" s="220"/>
      <c r="L555" s="220"/>
      <c r="M555" s="220"/>
      <c r="N555" s="220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spans="1:26" ht="15.75">
      <c r="A556" s="218"/>
      <c r="B556" s="221"/>
      <c r="C556" s="222"/>
      <c r="D556" s="218"/>
      <c r="E556" s="218"/>
      <c r="F556" s="220"/>
      <c r="G556" s="218"/>
      <c r="H556" s="218"/>
      <c r="I556" s="218"/>
      <c r="J556" s="218"/>
      <c r="K556" s="220"/>
      <c r="L556" s="220"/>
      <c r="M556" s="220"/>
      <c r="N556" s="220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spans="1:26" ht="15.75">
      <c r="A557" s="218"/>
      <c r="B557" s="221"/>
      <c r="C557" s="222"/>
      <c r="D557" s="218"/>
      <c r="E557" s="218"/>
      <c r="F557" s="220"/>
      <c r="G557" s="218"/>
      <c r="H557" s="218"/>
      <c r="I557" s="218"/>
      <c r="J557" s="218"/>
      <c r="K557" s="220"/>
      <c r="L557" s="220"/>
      <c r="M557" s="220"/>
      <c r="N557" s="220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spans="1:26" ht="15.75">
      <c r="A558" s="218"/>
      <c r="B558" s="221"/>
      <c r="C558" s="222"/>
      <c r="D558" s="218"/>
      <c r="E558" s="218"/>
      <c r="F558" s="220"/>
      <c r="G558" s="218"/>
      <c r="H558" s="218"/>
      <c r="I558" s="218"/>
      <c r="J558" s="218"/>
      <c r="K558" s="220"/>
      <c r="L558" s="220"/>
      <c r="M558" s="220"/>
      <c r="N558" s="220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spans="1:26" ht="15.75">
      <c r="A559" s="218"/>
      <c r="B559" s="221"/>
      <c r="C559" s="222"/>
      <c r="D559" s="218"/>
      <c r="E559" s="218"/>
      <c r="F559" s="220"/>
      <c r="G559" s="218"/>
      <c r="H559" s="218"/>
      <c r="I559" s="218"/>
      <c r="J559" s="218"/>
      <c r="K559" s="220"/>
      <c r="L559" s="220"/>
      <c r="M559" s="220"/>
      <c r="N559" s="220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spans="1:26" ht="15.75">
      <c r="A560" s="218"/>
      <c r="B560" s="221"/>
      <c r="C560" s="222"/>
      <c r="D560" s="218"/>
      <c r="E560" s="218"/>
      <c r="F560" s="220"/>
      <c r="G560" s="218"/>
      <c r="H560" s="218"/>
      <c r="I560" s="218"/>
      <c r="J560" s="218"/>
      <c r="K560" s="220"/>
      <c r="L560" s="220"/>
      <c r="M560" s="220"/>
      <c r="N560" s="220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spans="1:26" ht="15.75">
      <c r="A561" s="218"/>
      <c r="B561" s="221"/>
      <c r="C561" s="222"/>
      <c r="D561" s="218"/>
      <c r="E561" s="218"/>
      <c r="F561" s="220"/>
      <c r="G561" s="218"/>
      <c r="H561" s="218"/>
      <c r="I561" s="218"/>
      <c r="J561" s="218"/>
      <c r="K561" s="220"/>
      <c r="L561" s="220"/>
      <c r="M561" s="220"/>
      <c r="N561" s="220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spans="1:26" ht="15.75">
      <c r="A562" s="218"/>
      <c r="B562" s="221"/>
      <c r="C562" s="222"/>
      <c r="D562" s="218"/>
      <c r="E562" s="218"/>
      <c r="F562" s="220"/>
      <c r="G562" s="218"/>
      <c r="H562" s="218"/>
      <c r="I562" s="218"/>
      <c r="J562" s="218"/>
      <c r="K562" s="220"/>
      <c r="L562" s="220"/>
      <c r="M562" s="220"/>
      <c r="N562" s="220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spans="1:26" ht="15.75">
      <c r="A563" s="218"/>
      <c r="B563" s="221"/>
      <c r="C563" s="222"/>
      <c r="D563" s="218"/>
      <c r="E563" s="218"/>
      <c r="F563" s="220"/>
      <c r="G563" s="218"/>
      <c r="H563" s="218"/>
      <c r="I563" s="218"/>
      <c r="J563" s="218"/>
      <c r="K563" s="220"/>
      <c r="L563" s="220"/>
      <c r="M563" s="220"/>
      <c r="N563" s="220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spans="1:26" ht="15.75">
      <c r="A564" s="218"/>
      <c r="B564" s="221"/>
      <c r="C564" s="222"/>
      <c r="D564" s="218"/>
      <c r="E564" s="218"/>
      <c r="F564" s="220"/>
      <c r="G564" s="218"/>
      <c r="H564" s="218"/>
      <c r="I564" s="218"/>
      <c r="J564" s="218"/>
      <c r="K564" s="220"/>
      <c r="L564" s="220"/>
      <c r="M564" s="220"/>
      <c r="N564" s="220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spans="1:26" ht="15.75">
      <c r="A565" s="218"/>
      <c r="B565" s="221"/>
      <c r="C565" s="222"/>
      <c r="D565" s="218"/>
      <c r="E565" s="218"/>
      <c r="F565" s="220"/>
      <c r="G565" s="218"/>
      <c r="H565" s="218"/>
      <c r="I565" s="218"/>
      <c r="J565" s="218"/>
      <c r="K565" s="220"/>
      <c r="L565" s="220"/>
      <c r="M565" s="220"/>
      <c r="N565" s="220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spans="1:26" ht="15.75">
      <c r="A566" s="218"/>
      <c r="B566" s="221"/>
      <c r="C566" s="222"/>
      <c r="D566" s="218"/>
      <c r="E566" s="218"/>
      <c r="F566" s="220"/>
      <c r="G566" s="218"/>
      <c r="H566" s="218"/>
      <c r="I566" s="218"/>
      <c r="J566" s="218"/>
      <c r="K566" s="220"/>
      <c r="L566" s="220"/>
      <c r="M566" s="220"/>
      <c r="N566" s="220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spans="1:26" ht="15.75">
      <c r="A567" s="218"/>
      <c r="B567" s="221"/>
      <c r="C567" s="222"/>
      <c r="D567" s="218"/>
      <c r="E567" s="218"/>
      <c r="F567" s="220"/>
      <c r="G567" s="218"/>
      <c r="H567" s="218"/>
      <c r="I567" s="218"/>
      <c r="J567" s="218"/>
      <c r="K567" s="220"/>
      <c r="L567" s="220"/>
      <c r="M567" s="220"/>
      <c r="N567" s="220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spans="1:26" ht="15.75">
      <c r="A568" s="218"/>
      <c r="B568" s="221"/>
      <c r="C568" s="222"/>
      <c r="D568" s="218"/>
      <c r="E568" s="218"/>
      <c r="F568" s="220"/>
      <c r="G568" s="218"/>
      <c r="H568" s="218"/>
      <c r="I568" s="218"/>
      <c r="J568" s="218"/>
      <c r="K568" s="220"/>
      <c r="L568" s="220"/>
      <c r="M568" s="220"/>
      <c r="N568" s="220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spans="1:26" ht="15.75">
      <c r="A569" s="218"/>
      <c r="B569" s="221"/>
      <c r="C569" s="222"/>
      <c r="D569" s="218"/>
      <c r="E569" s="218"/>
      <c r="F569" s="220"/>
      <c r="G569" s="218"/>
      <c r="H569" s="218"/>
      <c r="I569" s="218"/>
      <c r="J569" s="218"/>
      <c r="K569" s="220"/>
      <c r="L569" s="220"/>
      <c r="M569" s="220"/>
      <c r="N569" s="220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spans="1:26" ht="15.75">
      <c r="A570" s="218"/>
      <c r="B570" s="221"/>
      <c r="C570" s="222"/>
      <c r="D570" s="218"/>
      <c r="E570" s="218"/>
      <c r="F570" s="220"/>
      <c r="G570" s="218"/>
      <c r="H570" s="218"/>
      <c r="I570" s="218"/>
      <c r="J570" s="218"/>
      <c r="K570" s="220"/>
      <c r="L570" s="220"/>
      <c r="M570" s="220"/>
      <c r="N570" s="220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spans="1:26" ht="15.75">
      <c r="A571" s="218"/>
      <c r="B571" s="221"/>
      <c r="C571" s="222"/>
      <c r="D571" s="218"/>
      <c r="E571" s="218"/>
      <c r="F571" s="220"/>
      <c r="G571" s="218"/>
      <c r="H571" s="218"/>
      <c r="I571" s="218"/>
      <c r="J571" s="218"/>
      <c r="K571" s="220"/>
      <c r="L571" s="220"/>
      <c r="M571" s="220"/>
      <c r="N571" s="220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spans="1:26" ht="15.75">
      <c r="A572" s="218"/>
      <c r="B572" s="221"/>
      <c r="C572" s="222"/>
      <c r="D572" s="218"/>
      <c r="E572" s="218"/>
      <c r="F572" s="220"/>
      <c r="G572" s="218"/>
      <c r="H572" s="218"/>
      <c r="I572" s="218"/>
      <c r="J572" s="218"/>
      <c r="K572" s="220"/>
      <c r="L572" s="220"/>
      <c r="M572" s="220"/>
      <c r="N572" s="220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spans="1:26" ht="15.75">
      <c r="A573" s="218"/>
      <c r="B573" s="221"/>
      <c r="C573" s="222"/>
      <c r="D573" s="218"/>
      <c r="E573" s="218"/>
      <c r="F573" s="220"/>
      <c r="G573" s="218"/>
      <c r="H573" s="218"/>
      <c r="I573" s="218"/>
      <c r="J573" s="218"/>
      <c r="K573" s="220"/>
      <c r="L573" s="220"/>
      <c r="M573" s="220"/>
      <c r="N573" s="220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spans="1:26" ht="15.75">
      <c r="A574" s="218"/>
      <c r="B574" s="221"/>
      <c r="C574" s="222"/>
      <c r="D574" s="218"/>
      <c r="E574" s="218"/>
      <c r="F574" s="220"/>
      <c r="G574" s="218"/>
      <c r="H574" s="218"/>
      <c r="I574" s="218"/>
      <c r="J574" s="218"/>
      <c r="K574" s="220"/>
      <c r="L574" s="220"/>
      <c r="M574" s="220"/>
      <c r="N574" s="220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spans="1:26" ht="15.75">
      <c r="A575" s="218"/>
      <c r="B575" s="221"/>
      <c r="C575" s="222"/>
      <c r="D575" s="218"/>
      <c r="E575" s="218"/>
      <c r="F575" s="220"/>
      <c r="G575" s="218"/>
      <c r="H575" s="218"/>
      <c r="I575" s="218"/>
      <c r="J575" s="218"/>
      <c r="K575" s="220"/>
      <c r="L575" s="220"/>
      <c r="M575" s="220"/>
      <c r="N575" s="220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spans="1:26" ht="15.75">
      <c r="A576" s="218"/>
      <c r="B576" s="221"/>
      <c r="C576" s="222"/>
      <c r="D576" s="218"/>
      <c r="E576" s="218"/>
      <c r="F576" s="220"/>
      <c r="G576" s="218"/>
      <c r="H576" s="218"/>
      <c r="I576" s="218"/>
      <c r="J576" s="218"/>
      <c r="K576" s="220"/>
      <c r="L576" s="220"/>
      <c r="M576" s="220"/>
      <c r="N576" s="220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spans="1:26" ht="15.75">
      <c r="A577" s="218"/>
      <c r="B577" s="221"/>
      <c r="C577" s="222"/>
      <c r="D577" s="218"/>
      <c r="E577" s="218"/>
      <c r="F577" s="220"/>
      <c r="G577" s="218"/>
      <c r="H577" s="218"/>
      <c r="I577" s="218"/>
      <c r="J577" s="218"/>
      <c r="K577" s="220"/>
      <c r="L577" s="220"/>
      <c r="M577" s="220"/>
      <c r="N577" s="220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spans="1:26" ht="15.75">
      <c r="A578" s="218"/>
      <c r="B578" s="221"/>
      <c r="C578" s="222"/>
      <c r="D578" s="218"/>
      <c r="E578" s="218"/>
      <c r="F578" s="220"/>
      <c r="G578" s="218"/>
      <c r="H578" s="218"/>
      <c r="I578" s="218"/>
      <c r="J578" s="218"/>
      <c r="K578" s="220"/>
      <c r="L578" s="220"/>
      <c r="M578" s="220"/>
      <c r="N578" s="220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spans="1:26" ht="15.75">
      <c r="A579" s="218"/>
      <c r="B579" s="221"/>
      <c r="C579" s="222"/>
      <c r="D579" s="218"/>
      <c r="E579" s="218"/>
      <c r="F579" s="220"/>
      <c r="G579" s="218"/>
      <c r="H579" s="218"/>
      <c r="I579" s="218"/>
      <c r="J579" s="218"/>
      <c r="K579" s="220"/>
      <c r="L579" s="220"/>
      <c r="M579" s="220"/>
      <c r="N579" s="220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spans="1:26" ht="15.75">
      <c r="A580" s="218"/>
      <c r="B580" s="221"/>
      <c r="C580" s="222"/>
      <c r="D580" s="218"/>
      <c r="E580" s="218"/>
      <c r="F580" s="220"/>
      <c r="G580" s="218"/>
      <c r="H580" s="218"/>
      <c r="I580" s="218"/>
      <c r="J580" s="218"/>
      <c r="K580" s="220"/>
      <c r="L580" s="220"/>
      <c r="M580" s="220"/>
      <c r="N580" s="220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spans="1:26" ht="15.75">
      <c r="A581" s="218"/>
      <c r="B581" s="221"/>
      <c r="C581" s="222"/>
      <c r="D581" s="218"/>
      <c r="E581" s="218"/>
      <c r="F581" s="220"/>
      <c r="G581" s="218"/>
      <c r="H581" s="218"/>
      <c r="I581" s="218"/>
      <c r="J581" s="218"/>
      <c r="K581" s="220"/>
      <c r="L581" s="220"/>
      <c r="M581" s="220"/>
      <c r="N581" s="220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spans="1:26" ht="15.75">
      <c r="A582" s="218"/>
      <c r="B582" s="221"/>
      <c r="C582" s="222"/>
      <c r="D582" s="218"/>
      <c r="E582" s="218"/>
      <c r="F582" s="220"/>
      <c r="G582" s="218"/>
      <c r="H582" s="218"/>
      <c r="I582" s="218"/>
      <c r="J582" s="218"/>
      <c r="K582" s="220"/>
      <c r="L582" s="220"/>
      <c r="M582" s="220"/>
      <c r="N582" s="220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spans="1:26" ht="15.75">
      <c r="A583" s="218"/>
      <c r="B583" s="221"/>
      <c r="C583" s="222"/>
      <c r="D583" s="218"/>
      <c r="E583" s="218"/>
      <c r="F583" s="220"/>
      <c r="G583" s="218"/>
      <c r="H583" s="218"/>
      <c r="I583" s="218"/>
      <c r="J583" s="218"/>
      <c r="K583" s="220"/>
      <c r="L583" s="220"/>
      <c r="M583" s="220"/>
      <c r="N583" s="220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spans="1:26" ht="15.75">
      <c r="A584" s="218"/>
      <c r="B584" s="221"/>
      <c r="C584" s="222"/>
      <c r="D584" s="218"/>
      <c r="E584" s="218"/>
      <c r="F584" s="220"/>
      <c r="G584" s="218"/>
      <c r="H584" s="218"/>
      <c r="I584" s="218"/>
      <c r="J584" s="218"/>
      <c r="K584" s="220"/>
      <c r="L584" s="220"/>
      <c r="M584" s="220"/>
      <c r="N584" s="220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spans="1:26" ht="15.75">
      <c r="A585" s="218"/>
      <c r="B585" s="221"/>
      <c r="C585" s="222"/>
      <c r="D585" s="218"/>
      <c r="E585" s="218"/>
      <c r="F585" s="220"/>
      <c r="G585" s="218"/>
      <c r="H585" s="218"/>
      <c r="I585" s="218"/>
      <c r="J585" s="218"/>
      <c r="K585" s="220"/>
      <c r="L585" s="220"/>
      <c r="M585" s="220"/>
      <c r="N585" s="220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spans="1:26" ht="15.75">
      <c r="A586" s="218"/>
      <c r="B586" s="221"/>
      <c r="C586" s="222"/>
      <c r="D586" s="218"/>
      <c r="E586" s="218"/>
      <c r="F586" s="220"/>
      <c r="G586" s="218"/>
      <c r="H586" s="218"/>
      <c r="I586" s="218"/>
      <c r="J586" s="218"/>
      <c r="K586" s="220"/>
      <c r="L586" s="220"/>
      <c r="M586" s="220"/>
      <c r="N586" s="220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spans="1:26" ht="15.75">
      <c r="A587" s="218"/>
      <c r="B587" s="221"/>
      <c r="C587" s="222"/>
      <c r="D587" s="218"/>
      <c r="E587" s="218"/>
      <c r="F587" s="220"/>
      <c r="G587" s="218"/>
      <c r="H587" s="218"/>
      <c r="I587" s="218"/>
      <c r="J587" s="218"/>
      <c r="K587" s="220"/>
      <c r="L587" s="220"/>
      <c r="M587" s="220"/>
      <c r="N587" s="220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spans="1:26" ht="15.75">
      <c r="A588" s="218"/>
      <c r="B588" s="221"/>
      <c r="C588" s="222"/>
      <c r="D588" s="218"/>
      <c r="E588" s="218"/>
      <c r="F588" s="220"/>
      <c r="G588" s="218"/>
      <c r="H588" s="218"/>
      <c r="I588" s="218"/>
      <c r="J588" s="218"/>
      <c r="K588" s="220"/>
      <c r="L588" s="220"/>
      <c r="M588" s="220"/>
      <c r="N588" s="220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spans="1:26" ht="15.75">
      <c r="A589" s="218"/>
      <c r="B589" s="221"/>
      <c r="C589" s="222"/>
      <c r="D589" s="218"/>
      <c r="E589" s="218"/>
      <c r="F589" s="220"/>
      <c r="G589" s="218"/>
      <c r="H589" s="218"/>
      <c r="I589" s="218"/>
      <c r="J589" s="218"/>
      <c r="K589" s="220"/>
      <c r="L589" s="220"/>
      <c r="M589" s="220"/>
      <c r="N589" s="220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spans="1:26" ht="15.75">
      <c r="A590" s="218"/>
      <c r="B590" s="221"/>
      <c r="C590" s="222"/>
      <c r="D590" s="218"/>
      <c r="E590" s="218"/>
      <c r="F590" s="220"/>
      <c r="G590" s="218"/>
      <c r="H590" s="218"/>
      <c r="I590" s="218"/>
      <c r="J590" s="218"/>
      <c r="K590" s="220"/>
      <c r="L590" s="220"/>
      <c r="M590" s="220"/>
      <c r="N590" s="220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spans="1:26" ht="15.75">
      <c r="A591" s="218"/>
      <c r="B591" s="221"/>
      <c r="C591" s="222"/>
      <c r="D591" s="218"/>
      <c r="E591" s="218"/>
      <c r="F591" s="220"/>
      <c r="G591" s="218"/>
      <c r="H591" s="218"/>
      <c r="I591" s="218"/>
      <c r="J591" s="218"/>
      <c r="K591" s="220"/>
      <c r="L591" s="220"/>
      <c r="M591" s="220"/>
      <c r="N591" s="220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spans="1:26" ht="15.75">
      <c r="A592" s="218"/>
      <c r="B592" s="221"/>
      <c r="C592" s="222"/>
      <c r="D592" s="218"/>
      <c r="E592" s="218"/>
      <c r="F592" s="220"/>
      <c r="G592" s="218"/>
      <c r="H592" s="218"/>
      <c r="I592" s="218"/>
      <c r="J592" s="218"/>
      <c r="K592" s="220"/>
      <c r="L592" s="220"/>
      <c r="M592" s="220"/>
      <c r="N592" s="220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spans="1:26" ht="15.75">
      <c r="A593" s="218"/>
      <c r="B593" s="221"/>
      <c r="C593" s="222"/>
      <c r="D593" s="218"/>
      <c r="E593" s="218"/>
      <c r="F593" s="220"/>
      <c r="G593" s="218"/>
      <c r="H593" s="218"/>
      <c r="I593" s="218"/>
      <c r="J593" s="218"/>
      <c r="K593" s="220"/>
      <c r="L593" s="220"/>
      <c r="M593" s="220"/>
      <c r="N593" s="220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spans="1:26" ht="15.75">
      <c r="A594" s="218"/>
      <c r="B594" s="221"/>
      <c r="C594" s="222"/>
      <c r="D594" s="218"/>
      <c r="E594" s="218"/>
      <c r="F594" s="220"/>
      <c r="G594" s="218"/>
      <c r="H594" s="218"/>
      <c r="I594" s="218"/>
      <c r="J594" s="218"/>
      <c r="K594" s="220"/>
      <c r="L594" s="220"/>
      <c r="M594" s="220"/>
      <c r="N594" s="220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spans="1:26" ht="15.75">
      <c r="A595" s="218"/>
      <c r="B595" s="221"/>
      <c r="C595" s="222"/>
      <c r="D595" s="218"/>
      <c r="E595" s="218"/>
      <c r="F595" s="220"/>
      <c r="G595" s="218"/>
      <c r="H595" s="218"/>
      <c r="I595" s="218"/>
      <c r="J595" s="218"/>
      <c r="K595" s="220"/>
      <c r="L595" s="220"/>
      <c r="M595" s="220"/>
      <c r="N595" s="220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spans="1:26" ht="15.75">
      <c r="A596" s="218"/>
      <c r="B596" s="221"/>
      <c r="C596" s="222"/>
      <c r="D596" s="218"/>
      <c r="E596" s="218"/>
      <c r="F596" s="220"/>
      <c r="G596" s="218"/>
      <c r="H596" s="218"/>
      <c r="I596" s="218"/>
      <c r="J596" s="218"/>
      <c r="K596" s="220"/>
      <c r="L596" s="220"/>
      <c r="M596" s="220"/>
      <c r="N596" s="220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spans="1:26" ht="15.75">
      <c r="A597" s="218"/>
      <c r="B597" s="221"/>
      <c r="C597" s="222"/>
      <c r="D597" s="218"/>
      <c r="E597" s="218"/>
      <c r="F597" s="220"/>
      <c r="G597" s="218"/>
      <c r="H597" s="218"/>
      <c r="I597" s="218"/>
      <c r="J597" s="218"/>
      <c r="K597" s="220"/>
      <c r="L597" s="220"/>
      <c r="M597" s="220"/>
      <c r="N597" s="220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spans="1:26" ht="15.75">
      <c r="A598" s="218"/>
      <c r="B598" s="221"/>
      <c r="C598" s="222"/>
      <c r="D598" s="218"/>
      <c r="E598" s="218"/>
      <c r="F598" s="220"/>
      <c r="G598" s="218"/>
      <c r="H598" s="218"/>
      <c r="I598" s="218"/>
      <c r="J598" s="218"/>
      <c r="K598" s="220"/>
      <c r="L598" s="220"/>
      <c r="M598" s="220"/>
      <c r="N598" s="220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spans="1:26" ht="15.75">
      <c r="A599" s="218"/>
      <c r="B599" s="221"/>
      <c r="C599" s="222"/>
      <c r="D599" s="218"/>
      <c r="E599" s="218"/>
      <c r="F599" s="220"/>
      <c r="G599" s="218"/>
      <c r="H599" s="218"/>
      <c r="I599" s="218"/>
      <c r="J599" s="218"/>
      <c r="K599" s="220"/>
      <c r="L599" s="220"/>
      <c r="M599" s="220"/>
      <c r="N599" s="220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spans="1:26" ht="15.75">
      <c r="A600" s="218"/>
      <c r="B600" s="221"/>
      <c r="C600" s="222"/>
      <c r="D600" s="218"/>
      <c r="E600" s="218"/>
      <c r="F600" s="220"/>
      <c r="G600" s="218"/>
      <c r="H600" s="218"/>
      <c r="I600" s="218"/>
      <c r="J600" s="218"/>
      <c r="K600" s="220"/>
      <c r="L600" s="220"/>
      <c r="M600" s="220"/>
      <c r="N600" s="220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spans="1:26" ht="15.75">
      <c r="A601" s="218"/>
      <c r="B601" s="221"/>
      <c r="C601" s="222"/>
      <c r="D601" s="218"/>
      <c r="E601" s="218"/>
      <c r="F601" s="220"/>
      <c r="G601" s="218"/>
      <c r="H601" s="218"/>
      <c r="I601" s="218"/>
      <c r="J601" s="218"/>
      <c r="K601" s="220"/>
      <c r="L601" s="220"/>
      <c r="M601" s="220"/>
      <c r="N601" s="220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spans="1:26" ht="15.75">
      <c r="A602" s="218"/>
      <c r="B602" s="221"/>
      <c r="C602" s="222"/>
      <c r="D602" s="218"/>
      <c r="E602" s="218"/>
      <c r="F602" s="220"/>
      <c r="G602" s="218"/>
      <c r="H602" s="218"/>
      <c r="I602" s="218"/>
      <c r="J602" s="218"/>
      <c r="K602" s="220"/>
      <c r="L602" s="220"/>
      <c r="M602" s="220"/>
      <c r="N602" s="220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spans="1:26" ht="15.75">
      <c r="A603" s="218"/>
      <c r="B603" s="221"/>
      <c r="C603" s="222"/>
      <c r="D603" s="218"/>
      <c r="E603" s="218"/>
      <c r="F603" s="220"/>
      <c r="G603" s="218"/>
      <c r="H603" s="218"/>
      <c r="I603" s="218"/>
      <c r="J603" s="218"/>
      <c r="K603" s="220"/>
      <c r="L603" s="220"/>
      <c r="M603" s="220"/>
      <c r="N603" s="220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spans="1:26" ht="15.75">
      <c r="A604" s="218"/>
      <c r="B604" s="221"/>
      <c r="C604" s="222"/>
      <c r="D604" s="218"/>
      <c r="E604" s="218"/>
      <c r="F604" s="220"/>
      <c r="G604" s="218"/>
      <c r="H604" s="218"/>
      <c r="I604" s="218"/>
      <c r="J604" s="218"/>
      <c r="K604" s="220"/>
      <c r="L604" s="220"/>
      <c r="M604" s="220"/>
      <c r="N604" s="220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spans="1:26" ht="15.75">
      <c r="A605" s="218"/>
      <c r="B605" s="221"/>
      <c r="C605" s="222"/>
      <c r="D605" s="218"/>
      <c r="E605" s="218"/>
      <c r="F605" s="220"/>
      <c r="G605" s="218"/>
      <c r="H605" s="218"/>
      <c r="I605" s="218"/>
      <c r="J605" s="218"/>
      <c r="K605" s="220"/>
      <c r="L605" s="220"/>
      <c r="M605" s="220"/>
      <c r="N605" s="220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spans="1:26" ht="15.75">
      <c r="A606" s="218"/>
      <c r="B606" s="221"/>
      <c r="C606" s="222"/>
      <c r="D606" s="218"/>
      <c r="E606" s="218"/>
      <c r="F606" s="220"/>
      <c r="G606" s="218"/>
      <c r="H606" s="218"/>
      <c r="I606" s="218"/>
      <c r="J606" s="218"/>
      <c r="K606" s="220"/>
      <c r="L606" s="220"/>
      <c r="M606" s="220"/>
      <c r="N606" s="220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spans="1:26" ht="15.75">
      <c r="A607" s="218"/>
      <c r="B607" s="221"/>
      <c r="C607" s="222"/>
      <c r="D607" s="218"/>
      <c r="E607" s="218"/>
      <c r="F607" s="220"/>
      <c r="G607" s="218"/>
      <c r="H607" s="218"/>
      <c r="I607" s="218"/>
      <c r="J607" s="218"/>
      <c r="K607" s="220"/>
      <c r="L607" s="220"/>
      <c r="M607" s="220"/>
      <c r="N607" s="220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spans="1:26" ht="15.75">
      <c r="A608" s="218"/>
      <c r="B608" s="221"/>
      <c r="C608" s="222"/>
      <c r="D608" s="218"/>
      <c r="E608" s="218"/>
      <c r="F608" s="220"/>
      <c r="G608" s="218"/>
      <c r="H608" s="218"/>
      <c r="I608" s="218"/>
      <c r="J608" s="218"/>
      <c r="K608" s="220"/>
      <c r="L608" s="220"/>
      <c r="M608" s="220"/>
      <c r="N608" s="220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spans="1:26" ht="15.75">
      <c r="A609" s="218"/>
      <c r="B609" s="221"/>
      <c r="C609" s="222"/>
      <c r="D609" s="218"/>
      <c r="E609" s="218"/>
      <c r="F609" s="220"/>
      <c r="G609" s="218"/>
      <c r="H609" s="218"/>
      <c r="I609" s="218"/>
      <c r="J609" s="218"/>
      <c r="K609" s="220"/>
      <c r="L609" s="220"/>
      <c r="M609" s="220"/>
      <c r="N609" s="220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spans="1:26" ht="15.75">
      <c r="A610" s="218"/>
      <c r="B610" s="221"/>
      <c r="C610" s="222"/>
      <c r="D610" s="218"/>
      <c r="E610" s="218"/>
      <c r="F610" s="220"/>
      <c r="G610" s="218"/>
      <c r="H610" s="218"/>
      <c r="I610" s="218"/>
      <c r="J610" s="218"/>
      <c r="K610" s="220"/>
      <c r="L610" s="220"/>
      <c r="M610" s="220"/>
      <c r="N610" s="220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spans="1:26" ht="15.75">
      <c r="A611" s="218"/>
      <c r="B611" s="221"/>
      <c r="C611" s="222"/>
      <c r="D611" s="218"/>
      <c r="E611" s="218"/>
      <c r="F611" s="220"/>
      <c r="G611" s="218"/>
      <c r="H611" s="218"/>
      <c r="I611" s="218"/>
      <c r="J611" s="218"/>
      <c r="K611" s="220"/>
      <c r="L611" s="220"/>
      <c r="M611" s="220"/>
      <c r="N611" s="220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spans="1:26" ht="15.75">
      <c r="A612" s="218"/>
      <c r="B612" s="221"/>
      <c r="C612" s="222"/>
      <c r="D612" s="218"/>
      <c r="E612" s="218"/>
      <c r="F612" s="220"/>
      <c r="G612" s="218"/>
      <c r="H612" s="218"/>
      <c r="I612" s="218"/>
      <c r="J612" s="218"/>
      <c r="K612" s="220"/>
      <c r="L612" s="220"/>
      <c r="M612" s="220"/>
      <c r="N612" s="220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spans="1:26" ht="15.75">
      <c r="A613" s="218"/>
      <c r="B613" s="221"/>
      <c r="C613" s="222"/>
      <c r="D613" s="218"/>
      <c r="E613" s="218"/>
      <c r="F613" s="220"/>
      <c r="G613" s="218"/>
      <c r="H613" s="218"/>
      <c r="I613" s="218"/>
      <c r="J613" s="218"/>
      <c r="K613" s="220"/>
      <c r="L613" s="220"/>
      <c r="M613" s="220"/>
      <c r="N613" s="220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spans="1:26" ht="15.75">
      <c r="A614" s="218"/>
      <c r="B614" s="221"/>
      <c r="C614" s="222"/>
      <c r="D614" s="218"/>
      <c r="E614" s="218"/>
      <c r="F614" s="220"/>
      <c r="G614" s="218"/>
      <c r="H614" s="218"/>
      <c r="I614" s="218"/>
      <c r="J614" s="218"/>
      <c r="K614" s="220"/>
      <c r="L614" s="220"/>
      <c r="M614" s="220"/>
      <c r="N614" s="220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spans="1:26" ht="15.75">
      <c r="A615" s="218"/>
      <c r="B615" s="221"/>
      <c r="C615" s="222"/>
      <c r="D615" s="218"/>
      <c r="E615" s="218"/>
      <c r="F615" s="220"/>
      <c r="G615" s="218"/>
      <c r="H615" s="218"/>
      <c r="I615" s="218"/>
      <c r="J615" s="218"/>
      <c r="K615" s="220"/>
      <c r="L615" s="220"/>
      <c r="M615" s="220"/>
      <c r="N615" s="220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spans="1:26" ht="15.75">
      <c r="A616" s="218"/>
      <c r="B616" s="221"/>
      <c r="C616" s="222"/>
      <c r="D616" s="218"/>
      <c r="E616" s="218"/>
      <c r="F616" s="220"/>
      <c r="G616" s="218"/>
      <c r="H616" s="218"/>
      <c r="I616" s="218"/>
      <c r="J616" s="218"/>
      <c r="K616" s="220"/>
      <c r="L616" s="220"/>
      <c r="M616" s="220"/>
      <c r="N616" s="220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spans="1:26" ht="15.75">
      <c r="A617" s="218"/>
      <c r="B617" s="221"/>
      <c r="C617" s="222"/>
      <c r="D617" s="218"/>
      <c r="E617" s="218"/>
      <c r="F617" s="220"/>
      <c r="G617" s="218"/>
      <c r="H617" s="218"/>
      <c r="I617" s="218"/>
      <c r="J617" s="218"/>
      <c r="K617" s="220"/>
      <c r="L617" s="220"/>
      <c r="M617" s="220"/>
      <c r="N617" s="220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spans="1:26" ht="15.75">
      <c r="A618" s="218"/>
      <c r="B618" s="221"/>
      <c r="C618" s="222"/>
      <c r="D618" s="218"/>
      <c r="E618" s="218"/>
      <c r="F618" s="220"/>
      <c r="G618" s="218"/>
      <c r="H618" s="218"/>
      <c r="I618" s="218"/>
      <c r="J618" s="218"/>
      <c r="K618" s="220"/>
      <c r="L618" s="220"/>
      <c r="M618" s="220"/>
      <c r="N618" s="220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spans="1:26" ht="15.75">
      <c r="A619" s="218"/>
      <c r="B619" s="221"/>
      <c r="C619" s="222"/>
      <c r="D619" s="218"/>
      <c r="E619" s="218"/>
      <c r="F619" s="220"/>
      <c r="G619" s="218"/>
      <c r="H619" s="218"/>
      <c r="I619" s="218"/>
      <c r="J619" s="218"/>
      <c r="K619" s="220"/>
      <c r="L619" s="220"/>
      <c r="M619" s="220"/>
      <c r="N619" s="220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spans="1:26" ht="15.75">
      <c r="A620" s="218"/>
      <c r="B620" s="221"/>
      <c r="C620" s="222"/>
      <c r="D620" s="218"/>
      <c r="E620" s="218"/>
      <c r="F620" s="220"/>
      <c r="G620" s="218"/>
      <c r="H620" s="218"/>
      <c r="I620" s="218"/>
      <c r="J620" s="218"/>
      <c r="K620" s="220"/>
      <c r="L620" s="220"/>
      <c r="M620" s="220"/>
      <c r="N620" s="220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spans="1:26" ht="15.75">
      <c r="A621" s="218"/>
      <c r="B621" s="221"/>
      <c r="C621" s="222"/>
      <c r="D621" s="218"/>
      <c r="E621" s="218"/>
      <c r="F621" s="220"/>
      <c r="G621" s="218"/>
      <c r="H621" s="218"/>
      <c r="I621" s="218"/>
      <c r="J621" s="218"/>
      <c r="K621" s="220"/>
      <c r="L621" s="220"/>
      <c r="M621" s="220"/>
      <c r="N621" s="220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spans="1:26" ht="15.75">
      <c r="A622" s="218"/>
      <c r="B622" s="221"/>
      <c r="C622" s="222"/>
      <c r="D622" s="218"/>
      <c r="E622" s="218"/>
      <c r="F622" s="220"/>
      <c r="G622" s="218"/>
      <c r="H622" s="218"/>
      <c r="I622" s="218"/>
      <c r="J622" s="218"/>
      <c r="K622" s="220"/>
      <c r="L622" s="220"/>
      <c r="M622" s="220"/>
      <c r="N622" s="220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spans="1:26" ht="15.75">
      <c r="A623" s="218"/>
      <c r="B623" s="221"/>
      <c r="C623" s="222"/>
      <c r="D623" s="218"/>
      <c r="E623" s="218"/>
      <c r="F623" s="220"/>
      <c r="G623" s="218"/>
      <c r="H623" s="218"/>
      <c r="I623" s="218"/>
      <c r="J623" s="218"/>
      <c r="K623" s="220"/>
      <c r="L623" s="220"/>
      <c r="M623" s="220"/>
      <c r="N623" s="220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spans="1:26" ht="15.75">
      <c r="A624" s="218"/>
      <c r="B624" s="221"/>
      <c r="C624" s="222"/>
      <c r="D624" s="218"/>
      <c r="E624" s="218"/>
      <c r="F624" s="220"/>
      <c r="G624" s="218"/>
      <c r="H624" s="218"/>
      <c r="I624" s="218"/>
      <c r="J624" s="218"/>
      <c r="K624" s="220"/>
      <c r="L624" s="220"/>
      <c r="M624" s="220"/>
      <c r="N624" s="220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spans="1:26" ht="15.75">
      <c r="A625" s="218"/>
      <c r="B625" s="221"/>
      <c r="C625" s="222"/>
      <c r="D625" s="218"/>
      <c r="E625" s="218"/>
      <c r="F625" s="220"/>
      <c r="G625" s="218"/>
      <c r="H625" s="218"/>
      <c r="I625" s="218"/>
      <c r="J625" s="218"/>
      <c r="K625" s="220"/>
      <c r="L625" s="220"/>
      <c r="M625" s="220"/>
      <c r="N625" s="220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spans="1:26" ht="15.75">
      <c r="A626" s="218"/>
      <c r="B626" s="221"/>
      <c r="C626" s="222"/>
      <c r="D626" s="218"/>
      <c r="E626" s="218"/>
      <c r="F626" s="220"/>
      <c r="G626" s="218"/>
      <c r="H626" s="218"/>
      <c r="I626" s="218"/>
      <c r="J626" s="218"/>
      <c r="K626" s="220"/>
      <c r="L626" s="220"/>
      <c r="M626" s="220"/>
      <c r="N626" s="220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spans="1:26" ht="15.75">
      <c r="A627" s="218"/>
      <c r="B627" s="221"/>
      <c r="C627" s="222"/>
      <c r="D627" s="218"/>
      <c r="E627" s="218"/>
      <c r="F627" s="220"/>
      <c r="G627" s="218"/>
      <c r="H627" s="218"/>
      <c r="I627" s="218"/>
      <c r="J627" s="218"/>
      <c r="K627" s="220"/>
      <c r="L627" s="220"/>
      <c r="M627" s="220"/>
      <c r="N627" s="220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spans="1:26" ht="15.75">
      <c r="A628" s="218"/>
      <c r="B628" s="221"/>
      <c r="C628" s="222"/>
      <c r="D628" s="218"/>
      <c r="E628" s="218"/>
      <c r="F628" s="220"/>
      <c r="G628" s="218"/>
      <c r="H628" s="218"/>
      <c r="I628" s="218"/>
      <c r="J628" s="218"/>
      <c r="K628" s="220"/>
      <c r="L628" s="220"/>
      <c r="M628" s="220"/>
      <c r="N628" s="220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spans="1:26" ht="15.75">
      <c r="A629" s="218"/>
      <c r="B629" s="221"/>
      <c r="C629" s="222"/>
      <c r="D629" s="218"/>
      <c r="E629" s="218"/>
      <c r="F629" s="220"/>
      <c r="G629" s="218"/>
      <c r="H629" s="218"/>
      <c r="I629" s="218"/>
      <c r="J629" s="218"/>
      <c r="K629" s="220"/>
      <c r="L629" s="220"/>
      <c r="M629" s="220"/>
      <c r="N629" s="220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spans="1:26" ht="15.75">
      <c r="A630" s="218"/>
      <c r="B630" s="221"/>
      <c r="C630" s="222"/>
      <c r="D630" s="218"/>
      <c r="E630" s="218"/>
      <c r="F630" s="220"/>
      <c r="G630" s="218"/>
      <c r="H630" s="218"/>
      <c r="I630" s="218"/>
      <c r="J630" s="218"/>
      <c r="K630" s="220"/>
      <c r="L630" s="220"/>
      <c r="M630" s="220"/>
      <c r="N630" s="220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spans="1:26" ht="15.75">
      <c r="A631" s="218"/>
      <c r="B631" s="221"/>
      <c r="C631" s="222"/>
      <c r="D631" s="218"/>
      <c r="E631" s="218"/>
      <c r="F631" s="220"/>
      <c r="G631" s="218"/>
      <c r="H631" s="218"/>
      <c r="I631" s="218"/>
      <c r="J631" s="218"/>
      <c r="K631" s="220"/>
      <c r="L631" s="220"/>
      <c r="M631" s="220"/>
      <c r="N631" s="220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spans="1:26" ht="15.75">
      <c r="A632" s="218"/>
      <c r="B632" s="221"/>
      <c r="C632" s="222"/>
      <c r="D632" s="218"/>
      <c r="E632" s="218"/>
      <c r="F632" s="220"/>
      <c r="G632" s="218"/>
      <c r="H632" s="218"/>
      <c r="I632" s="218"/>
      <c r="J632" s="218"/>
      <c r="K632" s="220"/>
      <c r="L632" s="220"/>
      <c r="M632" s="220"/>
      <c r="N632" s="220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spans="1:26" ht="15.75">
      <c r="A633" s="218"/>
      <c r="B633" s="221"/>
      <c r="C633" s="222"/>
      <c r="D633" s="218"/>
      <c r="E633" s="218"/>
      <c r="F633" s="220"/>
      <c r="G633" s="218"/>
      <c r="H633" s="218"/>
      <c r="I633" s="218"/>
      <c r="J633" s="218"/>
      <c r="K633" s="220"/>
      <c r="L633" s="220"/>
      <c r="M633" s="220"/>
      <c r="N633" s="220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spans="1:26" ht="15.75">
      <c r="A634" s="218"/>
      <c r="B634" s="221"/>
      <c r="C634" s="222"/>
      <c r="D634" s="218"/>
      <c r="E634" s="218"/>
      <c r="F634" s="220"/>
      <c r="G634" s="218"/>
      <c r="H634" s="218"/>
      <c r="I634" s="218"/>
      <c r="J634" s="218"/>
      <c r="K634" s="220"/>
      <c r="L634" s="220"/>
      <c r="M634" s="220"/>
      <c r="N634" s="220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spans="1:26" ht="15.75">
      <c r="A635" s="218"/>
      <c r="B635" s="221"/>
      <c r="C635" s="222"/>
      <c r="D635" s="218"/>
      <c r="E635" s="218"/>
      <c r="F635" s="220"/>
      <c r="G635" s="218"/>
      <c r="H635" s="218"/>
      <c r="I635" s="218"/>
      <c r="J635" s="218"/>
      <c r="K635" s="220"/>
      <c r="L635" s="220"/>
      <c r="M635" s="220"/>
      <c r="N635" s="220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spans="1:26" ht="15.75">
      <c r="A636" s="218"/>
      <c r="B636" s="221"/>
      <c r="C636" s="222"/>
      <c r="D636" s="218"/>
      <c r="E636" s="218"/>
      <c r="F636" s="220"/>
      <c r="G636" s="218"/>
      <c r="H636" s="218"/>
      <c r="I636" s="218"/>
      <c r="J636" s="218"/>
      <c r="K636" s="220"/>
      <c r="L636" s="220"/>
      <c r="M636" s="220"/>
      <c r="N636" s="220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spans="1:26" ht="15.75">
      <c r="A637" s="218"/>
      <c r="B637" s="221"/>
      <c r="C637" s="222"/>
      <c r="D637" s="218"/>
      <c r="E637" s="218"/>
      <c r="F637" s="220"/>
      <c r="G637" s="218"/>
      <c r="H637" s="218"/>
      <c r="I637" s="218"/>
      <c r="J637" s="218"/>
      <c r="K637" s="220"/>
      <c r="L637" s="220"/>
      <c r="M637" s="220"/>
      <c r="N637" s="220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spans="1:26" ht="15.75">
      <c r="A638" s="218"/>
      <c r="B638" s="221"/>
      <c r="C638" s="222"/>
      <c r="D638" s="218"/>
      <c r="E638" s="218"/>
      <c r="F638" s="220"/>
      <c r="G638" s="218"/>
      <c r="H638" s="218"/>
      <c r="I638" s="218"/>
      <c r="J638" s="218"/>
      <c r="K638" s="220"/>
      <c r="L638" s="220"/>
      <c r="M638" s="220"/>
      <c r="N638" s="220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spans="1:26" ht="15.75">
      <c r="A639" s="218"/>
      <c r="B639" s="221"/>
      <c r="C639" s="222"/>
      <c r="D639" s="218"/>
      <c r="E639" s="218"/>
      <c r="F639" s="220"/>
      <c r="G639" s="218"/>
      <c r="H639" s="218"/>
      <c r="I639" s="218"/>
      <c r="J639" s="218"/>
      <c r="K639" s="220"/>
      <c r="L639" s="220"/>
      <c r="M639" s="220"/>
      <c r="N639" s="220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spans="1:26" ht="15.75">
      <c r="A640" s="218"/>
      <c r="B640" s="221"/>
      <c r="C640" s="222"/>
      <c r="D640" s="218"/>
      <c r="E640" s="218"/>
      <c r="F640" s="220"/>
      <c r="G640" s="218"/>
      <c r="H640" s="218"/>
      <c r="I640" s="218"/>
      <c r="J640" s="218"/>
      <c r="K640" s="220"/>
      <c r="L640" s="220"/>
      <c r="M640" s="220"/>
      <c r="N640" s="220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spans="1:26" ht="15.75">
      <c r="A641" s="218"/>
      <c r="B641" s="221"/>
      <c r="C641" s="222"/>
      <c r="D641" s="218"/>
      <c r="E641" s="218"/>
      <c r="F641" s="220"/>
      <c r="G641" s="218"/>
      <c r="H641" s="218"/>
      <c r="I641" s="218"/>
      <c r="J641" s="218"/>
      <c r="K641" s="220"/>
      <c r="L641" s="220"/>
      <c r="M641" s="220"/>
      <c r="N641" s="220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spans="1:26" ht="15.75">
      <c r="A642" s="218"/>
      <c r="B642" s="221"/>
      <c r="C642" s="222"/>
      <c r="D642" s="218"/>
      <c r="E642" s="218"/>
      <c r="F642" s="220"/>
      <c r="G642" s="218"/>
      <c r="H642" s="218"/>
      <c r="I642" s="218"/>
      <c r="J642" s="218"/>
      <c r="K642" s="220"/>
      <c r="L642" s="220"/>
      <c r="M642" s="220"/>
      <c r="N642" s="220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spans="1:26" ht="15.75">
      <c r="A643" s="218"/>
      <c r="B643" s="221"/>
      <c r="C643" s="222"/>
      <c r="D643" s="218"/>
      <c r="E643" s="218"/>
      <c r="F643" s="220"/>
      <c r="G643" s="218"/>
      <c r="H643" s="218"/>
      <c r="I643" s="218"/>
      <c r="J643" s="218"/>
      <c r="K643" s="220"/>
      <c r="L643" s="220"/>
      <c r="M643" s="220"/>
      <c r="N643" s="220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spans="1:26" ht="15.75">
      <c r="A644" s="218"/>
      <c r="B644" s="221"/>
      <c r="C644" s="222"/>
      <c r="D644" s="218"/>
      <c r="E644" s="218"/>
      <c r="F644" s="220"/>
      <c r="G644" s="218"/>
      <c r="H644" s="218"/>
      <c r="I644" s="218"/>
      <c r="J644" s="218"/>
      <c r="K644" s="220"/>
      <c r="L644" s="220"/>
      <c r="M644" s="220"/>
      <c r="N644" s="220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spans="1:26" ht="15.75">
      <c r="A645" s="218"/>
      <c r="B645" s="221"/>
      <c r="C645" s="222"/>
      <c r="D645" s="218"/>
      <c r="E645" s="218"/>
      <c r="F645" s="220"/>
      <c r="G645" s="218"/>
      <c r="H645" s="218"/>
      <c r="I645" s="218"/>
      <c r="J645" s="218"/>
      <c r="K645" s="220"/>
      <c r="L645" s="220"/>
      <c r="M645" s="220"/>
      <c r="N645" s="220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spans="1:26" ht="15.75">
      <c r="A646" s="218"/>
      <c r="B646" s="221"/>
      <c r="C646" s="222"/>
      <c r="D646" s="218"/>
      <c r="E646" s="218"/>
      <c r="F646" s="220"/>
      <c r="G646" s="218"/>
      <c r="H646" s="218"/>
      <c r="I646" s="218"/>
      <c r="J646" s="218"/>
      <c r="K646" s="220"/>
      <c r="L646" s="220"/>
      <c r="M646" s="220"/>
      <c r="N646" s="220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spans="1:26" ht="15.75">
      <c r="A647" s="218"/>
      <c r="B647" s="221"/>
      <c r="C647" s="222"/>
      <c r="D647" s="218"/>
      <c r="E647" s="218"/>
      <c r="F647" s="220"/>
      <c r="G647" s="218"/>
      <c r="H647" s="218"/>
      <c r="I647" s="218"/>
      <c r="J647" s="218"/>
      <c r="K647" s="220"/>
      <c r="L647" s="220"/>
      <c r="M647" s="220"/>
      <c r="N647" s="220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spans="1:26" ht="15.75">
      <c r="A648" s="218"/>
      <c r="B648" s="221"/>
      <c r="C648" s="222"/>
      <c r="D648" s="218"/>
      <c r="E648" s="218"/>
      <c r="F648" s="220"/>
      <c r="G648" s="218"/>
      <c r="H648" s="218"/>
      <c r="I648" s="218"/>
      <c r="J648" s="218"/>
      <c r="K648" s="220"/>
      <c r="L648" s="220"/>
      <c r="M648" s="220"/>
      <c r="N648" s="220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spans="1:26" ht="15.75">
      <c r="A649" s="218"/>
      <c r="B649" s="221"/>
      <c r="C649" s="222"/>
      <c r="D649" s="218"/>
      <c r="E649" s="218"/>
      <c r="F649" s="220"/>
      <c r="G649" s="218"/>
      <c r="H649" s="218"/>
      <c r="I649" s="218"/>
      <c r="J649" s="218"/>
      <c r="K649" s="220"/>
      <c r="L649" s="220"/>
      <c r="M649" s="220"/>
      <c r="N649" s="220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spans="1:26" ht="15.75">
      <c r="A650" s="218"/>
      <c r="B650" s="221"/>
      <c r="C650" s="222"/>
      <c r="D650" s="218"/>
      <c r="E650" s="218"/>
      <c r="F650" s="220"/>
      <c r="G650" s="218"/>
      <c r="H650" s="218"/>
      <c r="I650" s="218"/>
      <c r="J650" s="218"/>
      <c r="K650" s="220"/>
      <c r="L650" s="220"/>
      <c r="M650" s="220"/>
      <c r="N650" s="220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spans="1:26" ht="15.75">
      <c r="A651" s="218"/>
      <c r="B651" s="221"/>
      <c r="C651" s="222"/>
      <c r="D651" s="218"/>
      <c r="E651" s="218"/>
      <c r="F651" s="220"/>
      <c r="G651" s="218"/>
      <c r="H651" s="218"/>
      <c r="I651" s="218"/>
      <c r="J651" s="218"/>
      <c r="K651" s="220"/>
      <c r="L651" s="220"/>
      <c r="M651" s="220"/>
      <c r="N651" s="220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spans="1:26" ht="15.75">
      <c r="A652" s="218"/>
      <c r="B652" s="221"/>
      <c r="C652" s="222"/>
      <c r="D652" s="218"/>
      <c r="E652" s="218"/>
      <c r="F652" s="220"/>
      <c r="G652" s="218"/>
      <c r="H652" s="218"/>
      <c r="I652" s="218"/>
      <c r="J652" s="218"/>
      <c r="K652" s="220"/>
      <c r="L652" s="220"/>
      <c r="M652" s="220"/>
      <c r="N652" s="220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spans="1:26" ht="15.75">
      <c r="A653" s="218"/>
      <c r="B653" s="221"/>
      <c r="C653" s="222"/>
      <c r="D653" s="218"/>
      <c r="E653" s="218"/>
      <c r="F653" s="220"/>
      <c r="G653" s="218"/>
      <c r="H653" s="218"/>
      <c r="I653" s="218"/>
      <c r="J653" s="218"/>
      <c r="K653" s="220"/>
      <c r="L653" s="220"/>
      <c r="M653" s="220"/>
      <c r="N653" s="220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spans="1:26" ht="15.75">
      <c r="A654" s="218"/>
      <c r="B654" s="221"/>
      <c r="C654" s="222"/>
      <c r="D654" s="218"/>
      <c r="E654" s="218"/>
      <c r="F654" s="220"/>
      <c r="G654" s="218"/>
      <c r="H654" s="218"/>
      <c r="I654" s="218"/>
      <c r="J654" s="218"/>
      <c r="K654" s="220"/>
      <c r="L654" s="220"/>
      <c r="M654" s="220"/>
      <c r="N654" s="220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spans="1:26" ht="15.75">
      <c r="A655" s="218"/>
      <c r="B655" s="221"/>
      <c r="C655" s="222"/>
      <c r="D655" s="218"/>
      <c r="E655" s="218"/>
      <c r="F655" s="220"/>
      <c r="G655" s="218"/>
      <c r="H655" s="218"/>
      <c r="I655" s="218"/>
      <c r="J655" s="218"/>
      <c r="K655" s="220"/>
      <c r="L655" s="220"/>
      <c r="M655" s="220"/>
      <c r="N655" s="220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spans="1:26" ht="15.75">
      <c r="A656" s="218"/>
      <c r="B656" s="221"/>
      <c r="C656" s="222"/>
      <c r="D656" s="218"/>
      <c r="E656" s="218"/>
      <c r="F656" s="220"/>
      <c r="G656" s="218"/>
      <c r="H656" s="218"/>
      <c r="I656" s="218"/>
      <c r="J656" s="218"/>
      <c r="K656" s="220"/>
      <c r="L656" s="220"/>
      <c r="M656" s="220"/>
      <c r="N656" s="220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spans="1:26" ht="15.75">
      <c r="A657" s="218"/>
      <c r="B657" s="221"/>
      <c r="C657" s="222"/>
      <c r="D657" s="218"/>
      <c r="E657" s="218"/>
      <c r="F657" s="220"/>
      <c r="G657" s="218"/>
      <c r="H657" s="218"/>
      <c r="I657" s="218"/>
      <c r="J657" s="218"/>
      <c r="K657" s="220"/>
      <c r="L657" s="220"/>
      <c r="M657" s="220"/>
      <c r="N657" s="220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spans="1:26" ht="15.75">
      <c r="A658" s="218"/>
      <c r="B658" s="221"/>
      <c r="C658" s="222"/>
      <c r="D658" s="218"/>
      <c r="E658" s="218"/>
      <c r="F658" s="220"/>
      <c r="G658" s="218"/>
      <c r="H658" s="218"/>
      <c r="I658" s="218"/>
      <c r="J658" s="218"/>
      <c r="K658" s="220"/>
      <c r="L658" s="220"/>
      <c r="M658" s="220"/>
      <c r="N658" s="220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spans="1:26" ht="15.75">
      <c r="A659" s="218"/>
      <c r="B659" s="221"/>
      <c r="C659" s="222"/>
      <c r="D659" s="218"/>
      <c r="E659" s="218"/>
      <c r="F659" s="220"/>
      <c r="G659" s="218"/>
      <c r="H659" s="218"/>
      <c r="I659" s="218"/>
      <c r="J659" s="218"/>
      <c r="K659" s="220"/>
      <c r="L659" s="220"/>
      <c r="M659" s="220"/>
      <c r="N659" s="220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spans="1:26" ht="15.75">
      <c r="A660" s="218"/>
      <c r="B660" s="221"/>
      <c r="C660" s="222"/>
      <c r="D660" s="218"/>
      <c r="E660" s="218"/>
      <c r="F660" s="220"/>
      <c r="G660" s="218"/>
      <c r="H660" s="218"/>
      <c r="I660" s="218"/>
      <c r="J660" s="218"/>
      <c r="K660" s="220"/>
      <c r="L660" s="220"/>
      <c r="M660" s="220"/>
      <c r="N660" s="220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spans="1:26" ht="15.75">
      <c r="A661" s="218"/>
      <c r="B661" s="221"/>
      <c r="C661" s="222"/>
      <c r="D661" s="218"/>
      <c r="E661" s="218"/>
      <c r="F661" s="220"/>
      <c r="G661" s="218"/>
      <c r="H661" s="218"/>
      <c r="I661" s="218"/>
      <c r="J661" s="218"/>
      <c r="K661" s="220"/>
      <c r="L661" s="220"/>
      <c r="M661" s="220"/>
      <c r="N661" s="220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spans="1:26" ht="15.75">
      <c r="A662" s="218"/>
      <c r="B662" s="221"/>
      <c r="C662" s="222"/>
      <c r="D662" s="218"/>
      <c r="E662" s="218"/>
      <c r="F662" s="220"/>
      <c r="G662" s="218"/>
      <c r="H662" s="218"/>
      <c r="I662" s="218"/>
      <c r="J662" s="218"/>
      <c r="K662" s="220"/>
      <c r="L662" s="220"/>
      <c r="M662" s="220"/>
      <c r="N662" s="220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spans="1:26" ht="15.75">
      <c r="A663" s="218"/>
      <c r="B663" s="221"/>
      <c r="C663" s="222"/>
      <c r="D663" s="218"/>
      <c r="E663" s="218"/>
      <c r="F663" s="220"/>
      <c r="G663" s="218"/>
      <c r="H663" s="218"/>
      <c r="I663" s="218"/>
      <c r="J663" s="218"/>
      <c r="K663" s="220"/>
      <c r="L663" s="220"/>
      <c r="M663" s="220"/>
      <c r="N663" s="220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spans="1:26" ht="15.75">
      <c r="A664" s="218"/>
      <c r="B664" s="221"/>
      <c r="C664" s="222"/>
      <c r="D664" s="218"/>
      <c r="E664" s="218"/>
      <c r="F664" s="220"/>
      <c r="G664" s="218"/>
      <c r="H664" s="218"/>
      <c r="I664" s="218"/>
      <c r="J664" s="218"/>
      <c r="K664" s="220"/>
      <c r="L664" s="220"/>
      <c r="M664" s="220"/>
      <c r="N664" s="220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spans="1:26" ht="15.75">
      <c r="A665" s="218"/>
      <c r="B665" s="221"/>
      <c r="C665" s="222"/>
      <c r="D665" s="218"/>
      <c r="E665" s="218"/>
      <c r="F665" s="220"/>
      <c r="G665" s="218"/>
      <c r="H665" s="218"/>
      <c r="I665" s="218"/>
      <c r="J665" s="218"/>
      <c r="K665" s="220"/>
      <c r="L665" s="220"/>
      <c r="M665" s="220"/>
      <c r="N665" s="220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spans="1:26" ht="15.75">
      <c r="A666" s="218"/>
      <c r="B666" s="221"/>
      <c r="C666" s="222"/>
      <c r="D666" s="218"/>
      <c r="E666" s="218"/>
      <c r="F666" s="220"/>
      <c r="G666" s="218"/>
      <c r="H666" s="218"/>
      <c r="I666" s="218"/>
      <c r="J666" s="218"/>
      <c r="K666" s="220"/>
      <c r="L666" s="220"/>
      <c r="M666" s="220"/>
      <c r="N666" s="220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spans="1:26" ht="15.75">
      <c r="A667" s="218"/>
      <c r="B667" s="221"/>
      <c r="C667" s="222"/>
      <c r="D667" s="218"/>
      <c r="E667" s="218"/>
      <c r="F667" s="220"/>
      <c r="G667" s="218"/>
      <c r="H667" s="218"/>
      <c r="I667" s="218"/>
      <c r="J667" s="218"/>
      <c r="K667" s="220"/>
      <c r="L667" s="220"/>
      <c r="M667" s="220"/>
      <c r="N667" s="220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spans="1:26" ht="15.75">
      <c r="A668" s="218"/>
      <c r="B668" s="221"/>
      <c r="C668" s="222"/>
      <c r="D668" s="218"/>
      <c r="E668" s="218"/>
      <c r="F668" s="220"/>
      <c r="G668" s="218"/>
      <c r="H668" s="218"/>
      <c r="I668" s="218"/>
      <c r="J668" s="218"/>
      <c r="K668" s="220"/>
      <c r="L668" s="220"/>
      <c r="M668" s="220"/>
      <c r="N668" s="220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spans="1:26" ht="15.75">
      <c r="A669" s="218"/>
      <c r="B669" s="221"/>
      <c r="C669" s="222"/>
      <c r="D669" s="218"/>
      <c r="E669" s="218"/>
      <c r="F669" s="220"/>
      <c r="G669" s="218"/>
      <c r="H669" s="218"/>
      <c r="I669" s="218"/>
      <c r="J669" s="218"/>
      <c r="K669" s="220"/>
      <c r="L669" s="220"/>
      <c r="M669" s="220"/>
      <c r="N669" s="220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spans="1:26" ht="15.75">
      <c r="A670" s="218"/>
      <c r="B670" s="221"/>
      <c r="C670" s="222"/>
      <c r="D670" s="218"/>
      <c r="E670" s="218"/>
      <c r="F670" s="220"/>
      <c r="G670" s="218"/>
      <c r="H670" s="218"/>
      <c r="I670" s="218"/>
      <c r="J670" s="218"/>
      <c r="K670" s="220"/>
      <c r="L670" s="220"/>
      <c r="M670" s="220"/>
      <c r="N670" s="220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spans="1:26" ht="15.75">
      <c r="A671" s="218"/>
      <c r="B671" s="221"/>
      <c r="C671" s="222"/>
      <c r="D671" s="218"/>
      <c r="E671" s="218"/>
      <c r="F671" s="220"/>
      <c r="G671" s="218"/>
      <c r="H671" s="218"/>
      <c r="I671" s="218"/>
      <c r="J671" s="218"/>
      <c r="K671" s="220"/>
      <c r="L671" s="220"/>
      <c r="M671" s="220"/>
      <c r="N671" s="220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spans="1:26" ht="15.75">
      <c r="A672" s="218"/>
      <c r="B672" s="221"/>
      <c r="C672" s="222"/>
      <c r="D672" s="218"/>
      <c r="E672" s="218"/>
      <c r="F672" s="220"/>
      <c r="G672" s="218"/>
      <c r="H672" s="218"/>
      <c r="I672" s="218"/>
      <c r="J672" s="218"/>
      <c r="K672" s="220"/>
      <c r="L672" s="220"/>
      <c r="M672" s="220"/>
      <c r="N672" s="220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spans="1:26" ht="15.75">
      <c r="A673" s="218"/>
      <c r="B673" s="221"/>
      <c r="C673" s="222"/>
      <c r="D673" s="218"/>
      <c r="E673" s="218"/>
      <c r="F673" s="220"/>
      <c r="G673" s="218"/>
      <c r="H673" s="218"/>
      <c r="I673" s="218"/>
      <c r="J673" s="218"/>
      <c r="K673" s="220"/>
      <c r="L673" s="220"/>
      <c r="M673" s="220"/>
      <c r="N673" s="220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spans="1:26" ht="15.75">
      <c r="A674" s="218"/>
      <c r="B674" s="221"/>
      <c r="C674" s="222"/>
      <c r="D674" s="218"/>
      <c r="E674" s="218"/>
      <c r="F674" s="220"/>
      <c r="G674" s="218"/>
      <c r="H674" s="218"/>
      <c r="I674" s="218"/>
      <c r="J674" s="218"/>
      <c r="K674" s="220"/>
      <c r="L674" s="220"/>
      <c r="M674" s="220"/>
      <c r="N674" s="220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spans="1:26" ht="15.75">
      <c r="A675" s="218"/>
      <c r="B675" s="221"/>
      <c r="C675" s="222"/>
      <c r="D675" s="218"/>
      <c r="E675" s="218"/>
      <c r="F675" s="220"/>
      <c r="G675" s="218"/>
      <c r="H675" s="218"/>
      <c r="I675" s="218"/>
      <c r="J675" s="218"/>
      <c r="K675" s="220"/>
      <c r="L675" s="220"/>
      <c r="M675" s="220"/>
      <c r="N675" s="220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spans="1:26" ht="15.75">
      <c r="A676" s="218"/>
      <c r="B676" s="221"/>
      <c r="C676" s="222"/>
      <c r="D676" s="218"/>
      <c r="E676" s="218"/>
      <c r="F676" s="220"/>
      <c r="G676" s="218"/>
      <c r="H676" s="218"/>
      <c r="I676" s="218"/>
      <c r="J676" s="218"/>
      <c r="K676" s="220"/>
      <c r="L676" s="220"/>
      <c r="M676" s="220"/>
      <c r="N676" s="220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spans="1:26" ht="15.75">
      <c r="A677" s="218"/>
      <c r="B677" s="221"/>
      <c r="C677" s="222"/>
      <c r="D677" s="218"/>
      <c r="E677" s="218"/>
      <c r="F677" s="220"/>
      <c r="G677" s="218"/>
      <c r="H677" s="218"/>
      <c r="I677" s="218"/>
      <c r="J677" s="218"/>
      <c r="K677" s="220"/>
      <c r="L677" s="220"/>
      <c r="M677" s="220"/>
      <c r="N677" s="220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spans="1:26" ht="15.75">
      <c r="A678" s="218"/>
      <c r="B678" s="221"/>
      <c r="C678" s="222"/>
      <c r="D678" s="218"/>
      <c r="E678" s="218"/>
      <c r="F678" s="220"/>
      <c r="G678" s="218"/>
      <c r="H678" s="218"/>
      <c r="I678" s="218"/>
      <c r="J678" s="218"/>
      <c r="K678" s="220"/>
      <c r="L678" s="220"/>
      <c r="M678" s="220"/>
      <c r="N678" s="220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spans="1:26" ht="15.75">
      <c r="A679" s="218"/>
      <c r="B679" s="221"/>
      <c r="C679" s="222"/>
      <c r="D679" s="218"/>
      <c r="E679" s="218"/>
      <c r="F679" s="220"/>
      <c r="G679" s="218"/>
      <c r="H679" s="218"/>
      <c r="I679" s="218"/>
      <c r="J679" s="218"/>
      <c r="K679" s="220"/>
      <c r="L679" s="220"/>
      <c r="M679" s="220"/>
      <c r="N679" s="220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spans="1:26" ht="15.75">
      <c r="A680" s="218"/>
      <c r="B680" s="221"/>
      <c r="C680" s="222"/>
      <c r="D680" s="218"/>
      <c r="E680" s="218"/>
      <c r="F680" s="220"/>
      <c r="G680" s="218"/>
      <c r="H680" s="218"/>
      <c r="I680" s="218"/>
      <c r="J680" s="218"/>
      <c r="K680" s="220"/>
      <c r="L680" s="220"/>
      <c r="M680" s="220"/>
      <c r="N680" s="220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spans="1:26" ht="15.75">
      <c r="A681" s="218"/>
      <c r="B681" s="221"/>
      <c r="C681" s="222"/>
      <c r="D681" s="218"/>
      <c r="E681" s="218"/>
      <c r="F681" s="220"/>
      <c r="G681" s="218"/>
      <c r="H681" s="218"/>
      <c r="I681" s="218"/>
      <c r="J681" s="218"/>
      <c r="K681" s="220"/>
      <c r="L681" s="220"/>
      <c r="M681" s="220"/>
      <c r="N681" s="220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spans="1:26" ht="15.75">
      <c r="A682" s="218"/>
      <c r="B682" s="221"/>
      <c r="C682" s="222"/>
      <c r="D682" s="218"/>
      <c r="E682" s="218"/>
      <c r="F682" s="220"/>
      <c r="G682" s="218"/>
      <c r="H682" s="218"/>
      <c r="I682" s="218"/>
      <c r="J682" s="218"/>
      <c r="K682" s="220"/>
      <c r="L682" s="220"/>
      <c r="M682" s="220"/>
      <c r="N682" s="220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spans="1:26" ht="15.75">
      <c r="A683" s="218"/>
      <c r="B683" s="221"/>
      <c r="C683" s="222"/>
      <c r="D683" s="218"/>
      <c r="E683" s="218"/>
      <c r="F683" s="220"/>
      <c r="G683" s="218"/>
      <c r="H683" s="218"/>
      <c r="I683" s="218"/>
      <c r="J683" s="218"/>
      <c r="K683" s="220"/>
      <c r="L683" s="220"/>
      <c r="M683" s="220"/>
      <c r="N683" s="220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spans="1:26" ht="15.75">
      <c r="A684" s="218"/>
      <c r="B684" s="221"/>
      <c r="C684" s="222"/>
      <c r="D684" s="218"/>
      <c r="E684" s="218"/>
      <c r="F684" s="220"/>
      <c r="G684" s="218"/>
      <c r="H684" s="218"/>
      <c r="I684" s="218"/>
      <c r="J684" s="218"/>
      <c r="K684" s="220"/>
      <c r="L684" s="220"/>
      <c r="M684" s="220"/>
      <c r="N684" s="220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spans="1:26" ht="15.75">
      <c r="A685" s="218"/>
      <c r="B685" s="221"/>
      <c r="C685" s="222"/>
      <c r="D685" s="218"/>
      <c r="E685" s="218"/>
      <c r="F685" s="220"/>
      <c r="G685" s="218"/>
      <c r="H685" s="218"/>
      <c r="I685" s="218"/>
      <c r="J685" s="218"/>
      <c r="K685" s="220"/>
      <c r="L685" s="220"/>
      <c r="M685" s="220"/>
      <c r="N685" s="220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spans="1:26" ht="15.75">
      <c r="A686" s="218"/>
      <c r="B686" s="221"/>
      <c r="C686" s="222"/>
      <c r="D686" s="218"/>
      <c r="E686" s="218"/>
      <c r="F686" s="220"/>
      <c r="G686" s="218"/>
      <c r="H686" s="218"/>
      <c r="I686" s="218"/>
      <c r="J686" s="218"/>
      <c r="K686" s="220"/>
      <c r="L686" s="220"/>
      <c r="M686" s="220"/>
      <c r="N686" s="220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spans="1:26" ht="15.75">
      <c r="A687" s="218"/>
      <c r="B687" s="221"/>
      <c r="C687" s="222"/>
      <c r="D687" s="218"/>
      <c r="E687" s="218"/>
      <c r="F687" s="220"/>
      <c r="G687" s="218"/>
      <c r="H687" s="218"/>
      <c r="I687" s="218"/>
      <c r="J687" s="218"/>
      <c r="K687" s="220"/>
      <c r="L687" s="220"/>
      <c r="M687" s="220"/>
      <c r="N687" s="220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spans="1:26" ht="15.75">
      <c r="A688" s="218"/>
      <c r="B688" s="221"/>
      <c r="C688" s="222"/>
      <c r="D688" s="218"/>
      <c r="E688" s="218"/>
      <c r="F688" s="220"/>
      <c r="G688" s="218"/>
      <c r="H688" s="218"/>
      <c r="I688" s="218"/>
      <c r="J688" s="218"/>
      <c r="K688" s="220"/>
      <c r="L688" s="220"/>
      <c r="M688" s="220"/>
      <c r="N688" s="220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spans="1:26" ht="15.75">
      <c r="A689" s="218"/>
      <c r="B689" s="221"/>
      <c r="C689" s="222"/>
      <c r="D689" s="218"/>
      <c r="E689" s="218"/>
      <c r="F689" s="220"/>
      <c r="G689" s="218"/>
      <c r="H689" s="218"/>
      <c r="I689" s="218"/>
      <c r="J689" s="218"/>
      <c r="K689" s="220"/>
      <c r="L689" s="220"/>
      <c r="M689" s="220"/>
      <c r="N689" s="220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spans="1:26" ht="15.75">
      <c r="A690" s="218"/>
      <c r="B690" s="221"/>
      <c r="C690" s="222"/>
      <c r="D690" s="218"/>
      <c r="E690" s="218"/>
      <c r="F690" s="220"/>
      <c r="G690" s="218"/>
      <c r="H690" s="218"/>
      <c r="I690" s="218"/>
      <c r="J690" s="218"/>
      <c r="K690" s="220"/>
      <c r="L690" s="220"/>
      <c r="M690" s="220"/>
      <c r="N690" s="220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spans="1:26" ht="15.75">
      <c r="A691" s="218"/>
      <c r="B691" s="221"/>
      <c r="C691" s="222"/>
      <c r="D691" s="218"/>
      <c r="E691" s="218"/>
      <c r="F691" s="220"/>
      <c r="G691" s="218"/>
      <c r="H691" s="218"/>
      <c r="I691" s="218"/>
      <c r="J691" s="218"/>
      <c r="K691" s="220"/>
      <c r="L691" s="220"/>
      <c r="M691" s="220"/>
      <c r="N691" s="220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spans="1:26" ht="15.75">
      <c r="A692" s="218"/>
      <c r="B692" s="221"/>
      <c r="C692" s="222"/>
      <c r="D692" s="218"/>
      <c r="E692" s="218"/>
      <c r="F692" s="220"/>
      <c r="G692" s="218"/>
      <c r="H692" s="218"/>
      <c r="I692" s="218"/>
      <c r="J692" s="218"/>
      <c r="K692" s="220"/>
      <c r="L692" s="220"/>
      <c r="M692" s="220"/>
      <c r="N692" s="220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spans="1:26" ht="15.75">
      <c r="A693" s="218"/>
      <c r="B693" s="221"/>
      <c r="C693" s="222"/>
      <c r="D693" s="218"/>
      <c r="E693" s="218"/>
      <c r="F693" s="220"/>
      <c r="G693" s="218"/>
      <c r="H693" s="218"/>
      <c r="I693" s="218"/>
      <c r="J693" s="218"/>
      <c r="K693" s="220"/>
      <c r="L693" s="220"/>
      <c r="M693" s="220"/>
      <c r="N693" s="220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spans="1:26" ht="15.75">
      <c r="A694" s="218"/>
      <c r="B694" s="221"/>
      <c r="C694" s="222"/>
      <c r="D694" s="218"/>
      <c r="E694" s="218"/>
      <c r="F694" s="220"/>
      <c r="G694" s="218"/>
      <c r="H694" s="218"/>
      <c r="I694" s="218"/>
      <c r="J694" s="218"/>
      <c r="K694" s="220"/>
      <c r="L694" s="220"/>
      <c r="M694" s="220"/>
      <c r="N694" s="220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spans="1:26" ht="15.75">
      <c r="A695" s="218"/>
      <c r="B695" s="221"/>
      <c r="C695" s="222"/>
      <c r="D695" s="218"/>
      <c r="E695" s="218"/>
      <c r="F695" s="220"/>
      <c r="G695" s="218"/>
      <c r="H695" s="218"/>
      <c r="I695" s="218"/>
      <c r="J695" s="218"/>
      <c r="K695" s="220"/>
      <c r="L695" s="220"/>
      <c r="M695" s="220"/>
      <c r="N695" s="220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spans="1:26" ht="15.75">
      <c r="A696" s="218"/>
      <c r="B696" s="221"/>
      <c r="C696" s="222"/>
      <c r="D696" s="218"/>
      <c r="E696" s="218"/>
      <c r="F696" s="220"/>
      <c r="G696" s="218"/>
      <c r="H696" s="218"/>
      <c r="I696" s="218"/>
      <c r="J696" s="218"/>
      <c r="K696" s="220"/>
      <c r="L696" s="220"/>
      <c r="M696" s="220"/>
      <c r="N696" s="220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spans="1:26" ht="15.75">
      <c r="A697" s="218"/>
      <c r="B697" s="221"/>
      <c r="C697" s="222"/>
      <c r="D697" s="218"/>
      <c r="E697" s="218"/>
      <c r="F697" s="220"/>
      <c r="G697" s="218"/>
      <c r="H697" s="218"/>
      <c r="I697" s="218"/>
      <c r="J697" s="218"/>
      <c r="K697" s="220"/>
      <c r="L697" s="220"/>
      <c r="M697" s="220"/>
      <c r="N697" s="220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spans="1:26" ht="15.75">
      <c r="A698" s="218"/>
      <c r="B698" s="221"/>
      <c r="C698" s="222"/>
      <c r="D698" s="218"/>
      <c r="E698" s="218"/>
      <c r="F698" s="220"/>
      <c r="G698" s="218"/>
      <c r="H698" s="218"/>
      <c r="I698" s="218"/>
      <c r="J698" s="218"/>
      <c r="K698" s="220"/>
      <c r="L698" s="220"/>
      <c r="M698" s="220"/>
      <c r="N698" s="220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spans="1:26" ht="15.75">
      <c r="A699" s="218"/>
      <c r="B699" s="221"/>
      <c r="C699" s="222"/>
      <c r="D699" s="218"/>
      <c r="E699" s="218"/>
      <c r="F699" s="220"/>
      <c r="G699" s="218"/>
      <c r="H699" s="218"/>
      <c r="I699" s="218"/>
      <c r="J699" s="218"/>
      <c r="K699" s="220"/>
      <c r="L699" s="220"/>
      <c r="M699" s="220"/>
      <c r="N699" s="220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spans="1:26" ht="15.75">
      <c r="A700" s="218"/>
      <c r="B700" s="221"/>
      <c r="C700" s="222"/>
      <c r="D700" s="218"/>
      <c r="E700" s="218"/>
      <c r="F700" s="220"/>
      <c r="G700" s="218"/>
      <c r="H700" s="218"/>
      <c r="I700" s="218"/>
      <c r="J700" s="218"/>
      <c r="K700" s="220"/>
      <c r="L700" s="220"/>
      <c r="M700" s="220"/>
      <c r="N700" s="220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spans="1:26" ht="15.75">
      <c r="A701" s="218"/>
      <c r="B701" s="221"/>
      <c r="C701" s="222"/>
      <c r="D701" s="218"/>
      <c r="E701" s="218"/>
      <c r="F701" s="220"/>
      <c r="G701" s="218"/>
      <c r="H701" s="218"/>
      <c r="I701" s="218"/>
      <c r="J701" s="218"/>
      <c r="K701" s="220"/>
      <c r="L701" s="220"/>
      <c r="M701" s="220"/>
      <c r="N701" s="220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spans="1:26" ht="15.75">
      <c r="A702" s="218"/>
      <c r="B702" s="221"/>
      <c r="C702" s="222"/>
      <c r="D702" s="218"/>
      <c r="E702" s="218"/>
      <c r="F702" s="220"/>
      <c r="G702" s="218"/>
      <c r="H702" s="218"/>
      <c r="I702" s="218"/>
      <c r="J702" s="218"/>
      <c r="K702" s="220"/>
      <c r="L702" s="220"/>
      <c r="M702" s="220"/>
      <c r="N702" s="220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spans="1:26" ht="15.75">
      <c r="A703" s="218"/>
      <c r="B703" s="221"/>
      <c r="C703" s="222"/>
      <c r="D703" s="218"/>
      <c r="E703" s="218"/>
      <c r="F703" s="220"/>
      <c r="G703" s="218"/>
      <c r="H703" s="218"/>
      <c r="I703" s="218"/>
      <c r="J703" s="218"/>
      <c r="K703" s="220"/>
      <c r="L703" s="220"/>
      <c r="M703" s="220"/>
      <c r="N703" s="220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spans="1:26" ht="15.75">
      <c r="A704" s="218"/>
      <c r="B704" s="221"/>
      <c r="C704" s="222"/>
      <c r="D704" s="218"/>
      <c r="E704" s="218"/>
      <c r="F704" s="220"/>
      <c r="G704" s="218"/>
      <c r="H704" s="218"/>
      <c r="I704" s="218"/>
      <c r="J704" s="218"/>
      <c r="K704" s="220"/>
      <c r="L704" s="220"/>
      <c r="M704" s="220"/>
      <c r="N704" s="220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spans="1:26" ht="15.75">
      <c r="A705" s="218"/>
      <c r="B705" s="221"/>
      <c r="C705" s="222"/>
      <c r="D705" s="218"/>
      <c r="E705" s="218"/>
      <c r="F705" s="220"/>
      <c r="G705" s="218"/>
      <c r="H705" s="218"/>
      <c r="I705" s="218"/>
      <c r="J705" s="218"/>
      <c r="K705" s="220"/>
      <c r="L705" s="220"/>
      <c r="M705" s="220"/>
      <c r="N705" s="220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spans="1:26" ht="15.75">
      <c r="A706" s="218"/>
      <c r="B706" s="221"/>
      <c r="C706" s="222"/>
      <c r="D706" s="218"/>
      <c r="E706" s="218"/>
      <c r="F706" s="220"/>
      <c r="G706" s="218"/>
      <c r="H706" s="218"/>
      <c r="I706" s="218"/>
      <c r="J706" s="218"/>
      <c r="K706" s="220"/>
      <c r="L706" s="220"/>
      <c r="M706" s="220"/>
      <c r="N706" s="220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spans="1:26" ht="15.75">
      <c r="A707" s="218"/>
      <c r="B707" s="221"/>
      <c r="C707" s="222"/>
      <c r="D707" s="218"/>
      <c r="E707" s="218"/>
      <c r="F707" s="220"/>
      <c r="G707" s="218"/>
      <c r="H707" s="218"/>
      <c r="I707" s="218"/>
      <c r="J707" s="218"/>
      <c r="K707" s="220"/>
      <c r="L707" s="220"/>
      <c r="M707" s="220"/>
      <c r="N707" s="220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spans="1:26" ht="15.75">
      <c r="A708" s="218"/>
      <c r="B708" s="221"/>
      <c r="C708" s="222"/>
      <c r="D708" s="218"/>
      <c r="E708" s="218"/>
      <c r="F708" s="220"/>
      <c r="G708" s="218"/>
      <c r="H708" s="218"/>
      <c r="I708" s="218"/>
      <c r="J708" s="218"/>
      <c r="K708" s="220"/>
      <c r="L708" s="220"/>
      <c r="M708" s="220"/>
      <c r="N708" s="220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spans="1:26" ht="15.75">
      <c r="A709" s="218"/>
      <c r="B709" s="221"/>
      <c r="C709" s="222"/>
      <c r="D709" s="218"/>
      <c r="E709" s="218"/>
      <c r="F709" s="220"/>
      <c r="G709" s="218"/>
      <c r="H709" s="218"/>
      <c r="I709" s="218"/>
      <c r="J709" s="218"/>
      <c r="K709" s="220"/>
      <c r="L709" s="220"/>
      <c r="M709" s="220"/>
      <c r="N709" s="220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spans="1:26" ht="15.75">
      <c r="A710" s="218"/>
      <c r="B710" s="221"/>
      <c r="C710" s="222"/>
      <c r="D710" s="218"/>
      <c r="E710" s="218"/>
      <c r="F710" s="220"/>
      <c r="G710" s="218"/>
      <c r="H710" s="218"/>
      <c r="I710" s="218"/>
      <c r="J710" s="218"/>
      <c r="K710" s="220"/>
      <c r="L710" s="220"/>
      <c r="M710" s="220"/>
      <c r="N710" s="220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spans="1:26" ht="15.75">
      <c r="A711" s="218"/>
      <c r="B711" s="221"/>
      <c r="C711" s="222"/>
      <c r="D711" s="218"/>
      <c r="E711" s="218"/>
      <c r="F711" s="220"/>
      <c r="G711" s="218"/>
      <c r="H711" s="218"/>
      <c r="I711" s="218"/>
      <c r="J711" s="218"/>
      <c r="K711" s="220"/>
      <c r="L711" s="220"/>
      <c r="M711" s="220"/>
      <c r="N711" s="220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spans="1:26" ht="15.75">
      <c r="A712" s="218"/>
      <c r="B712" s="221"/>
      <c r="C712" s="222"/>
      <c r="D712" s="218"/>
      <c r="E712" s="218"/>
      <c r="F712" s="220"/>
      <c r="G712" s="218"/>
      <c r="H712" s="218"/>
      <c r="I712" s="218"/>
      <c r="J712" s="218"/>
      <c r="K712" s="220"/>
      <c r="L712" s="220"/>
      <c r="M712" s="220"/>
      <c r="N712" s="220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spans="1:26" ht="15.75">
      <c r="A713" s="218"/>
      <c r="B713" s="221"/>
      <c r="C713" s="222"/>
      <c r="D713" s="218"/>
      <c r="E713" s="218"/>
      <c r="F713" s="220"/>
      <c r="G713" s="218"/>
      <c r="H713" s="218"/>
      <c r="I713" s="218"/>
      <c r="J713" s="218"/>
      <c r="K713" s="220"/>
      <c r="L713" s="220"/>
      <c r="M713" s="220"/>
      <c r="N713" s="220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spans="1:26" ht="15.75">
      <c r="A714" s="218"/>
      <c r="B714" s="221"/>
      <c r="C714" s="222"/>
      <c r="D714" s="218"/>
      <c r="E714" s="218"/>
      <c r="F714" s="220"/>
      <c r="G714" s="218"/>
      <c r="H714" s="218"/>
      <c r="I714" s="218"/>
      <c r="J714" s="218"/>
      <c r="K714" s="220"/>
      <c r="L714" s="220"/>
      <c r="M714" s="220"/>
      <c r="N714" s="220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spans="1:26" ht="15.75">
      <c r="A715" s="218"/>
      <c r="B715" s="221"/>
      <c r="C715" s="222"/>
      <c r="D715" s="218"/>
      <c r="E715" s="218"/>
      <c r="F715" s="220"/>
      <c r="G715" s="218"/>
      <c r="H715" s="218"/>
      <c r="I715" s="218"/>
      <c r="J715" s="218"/>
      <c r="K715" s="220"/>
      <c r="L715" s="220"/>
      <c r="M715" s="220"/>
      <c r="N715" s="220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spans="1:26" ht="15.75">
      <c r="A716" s="218"/>
      <c r="B716" s="221"/>
      <c r="C716" s="222"/>
      <c r="D716" s="218"/>
      <c r="E716" s="218"/>
      <c r="F716" s="220"/>
      <c r="G716" s="218"/>
      <c r="H716" s="218"/>
      <c r="I716" s="218"/>
      <c r="J716" s="218"/>
      <c r="K716" s="220"/>
      <c r="L716" s="220"/>
      <c r="M716" s="220"/>
      <c r="N716" s="220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spans="1:26" ht="15.75">
      <c r="A717" s="218"/>
      <c r="B717" s="221"/>
      <c r="C717" s="222"/>
      <c r="D717" s="218"/>
      <c r="E717" s="218"/>
      <c r="F717" s="220"/>
      <c r="G717" s="218"/>
      <c r="H717" s="218"/>
      <c r="I717" s="218"/>
      <c r="J717" s="218"/>
      <c r="K717" s="220"/>
      <c r="L717" s="220"/>
      <c r="M717" s="220"/>
      <c r="N717" s="220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spans="1:26" ht="15.75">
      <c r="A718" s="218"/>
      <c r="B718" s="221"/>
      <c r="C718" s="222"/>
      <c r="D718" s="218"/>
      <c r="E718" s="218"/>
      <c r="F718" s="220"/>
      <c r="G718" s="218"/>
      <c r="H718" s="218"/>
      <c r="I718" s="218"/>
      <c r="J718" s="218"/>
      <c r="K718" s="220"/>
      <c r="L718" s="220"/>
      <c r="M718" s="220"/>
      <c r="N718" s="220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spans="1:26" ht="15.75">
      <c r="A719" s="218"/>
      <c r="B719" s="221"/>
      <c r="C719" s="222"/>
      <c r="D719" s="218"/>
      <c r="E719" s="218"/>
      <c r="F719" s="220"/>
      <c r="G719" s="218"/>
      <c r="H719" s="218"/>
      <c r="I719" s="218"/>
      <c r="J719" s="218"/>
      <c r="K719" s="220"/>
      <c r="L719" s="220"/>
      <c r="M719" s="220"/>
      <c r="N719" s="220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spans="1:26" ht="15.75">
      <c r="A720" s="218"/>
      <c r="B720" s="221"/>
      <c r="C720" s="222"/>
      <c r="D720" s="218"/>
      <c r="E720" s="218"/>
      <c r="F720" s="220"/>
      <c r="G720" s="218"/>
      <c r="H720" s="218"/>
      <c r="I720" s="218"/>
      <c r="J720" s="218"/>
      <c r="K720" s="220"/>
      <c r="L720" s="220"/>
      <c r="M720" s="220"/>
      <c r="N720" s="220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spans="1:26" ht="15.75">
      <c r="A721" s="218"/>
      <c r="B721" s="221"/>
      <c r="C721" s="222"/>
      <c r="D721" s="218"/>
      <c r="E721" s="218"/>
      <c r="F721" s="220"/>
      <c r="G721" s="218"/>
      <c r="H721" s="218"/>
      <c r="I721" s="218"/>
      <c r="J721" s="218"/>
      <c r="K721" s="220"/>
      <c r="L721" s="220"/>
      <c r="M721" s="220"/>
      <c r="N721" s="220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spans="1:26" ht="15.75">
      <c r="A722" s="218"/>
      <c r="B722" s="221"/>
      <c r="C722" s="222"/>
      <c r="D722" s="218"/>
      <c r="E722" s="218"/>
      <c r="F722" s="220"/>
      <c r="G722" s="218"/>
      <c r="H722" s="218"/>
      <c r="I722" s="218"/>
      <c r="J722" s="218"/>
      <c r="K722" s="220"/>
      <c r="L722" s="220"/>
      <c r="M722" s="220"/>
      <c r="N722" s="220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spans="1:26" ht="15.75">
      <c r="A723" s="218"/>
      <c r="B723" s="221"/>
      <c r="C723" s="222"/>
      <c r="D723" s="218"/>
      <c r="E723" s="218"/>
      <c r="F723" s="220"/>
      <c r="G723" s="218"/>
      <c r="H723" s="218"/>
      <c r="I723" s="218"/>
      <c r="J723" s="218"/>
      <c r="K723" s="220"/>
      <c r="L723" s="220"/>
      <c r="M723" s="220"/>
      <c r="N723" s="220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spans="1:26" ht="15.75">
      <c r="A724" s="218"/>
      <c r="B724" s="221"/>
      <c r="C724" s="222"/>
      <c r="D724" s="218"/>
      <c r="E724" s="218"/>
      <c r="F724" s="220"/>
      <c r="G724" s="218"/>
      <c r="H724" s="218"/>
      <c r="I724" s="218"/>
      <c r="J724" s="218"/>
      <c r="K724" s="220"/>
      <c r="L724" s="220"/>
      <c r="M724" s="220"/>
      <c r="N724" s="220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spans="1:26" ht="15.75">
      <c r="A725" s="218"/>
      <c r="B725" s="221"/>
      <c r="C725" s="222"/>
      <c r="D725" s="218"/>
      <c r="E725" s="218"/>
      <c r="F725" s="220"/>
      <c r="G725" s="218"/>
      <c r="H725" s="218"/>
      <c r="I725" s="218"/>
      <c r="J725" s="218"/>
      <c r="K725" s="220"/>
      <c r="L725" s="220"/>
      <c r="M725" s="220"/>
      <c r="N725" s="220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spans="1:26" ht="15.75">
      <c r="A726" s="218"/>
      <c r="B726" s="221"/>
      <c r="C726" s="222"/>
      <c r="D726" s="218"/>
      <c r="E726" s="218"/>
      <c r="F726" s="220"/>
      <c r="G726" s="218"/>
      <c r="H726" s="218"/>
      <c r="I726" s="218"/>
      <c r="J726" s="218"/>
      <c r="K726" s="220"/>
      <c r="L726" s="220"/>
      <c r="M726" s="220"/>
      <c r="N726" s="220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spans="1:26" ht="15.75">
      <c r="A727" s="218"/>
      <c r="B727" s="221"/>
      <c r="C727" s="222"/>
      <c r="D727" s="218"/>
      <c r="E727" s="218"/>
      <c r="F727" s="220"/>
      <c r="G727" s="218"/>
      <c r="H727" s="218"/>
      <c r="I727" s="218"/>
      <c r="J727" s="218"/>
      <c r="K727" s="220"/>
      <c r="L727" s="220"/>
      <c r="M727" s="220"/>
      <c r="N727" s="220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spans="1:26" ht="15.75">
      <c r="A728" s="218"/>
      <c r="B728" s="221"/>
      <c r="C728" s="222"/>
      <c r="D728" s="218"/>
      <c r="E728" s="218"/>
      <c r="F728" s="220"/>
      <c r="G728" s="218"/>
      <c r="H728" s="218"/>
      <c r="I728" s="218"/>
      <c r="J728" s="218"/>
      <c r="K728" s="220"/>
      <c r="L728" s="220"/>
      <c r="M728" s="220"/>
      <c r="N728" s="220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spans="1:26" ht="15.75">
      <c r="A729" s="218"/>
      <c r="B729" s="221"/>
      <c r="C729" s="222"/>
      <c r="D729" s="218"/>
      <c r="E729" s="218"/>
      <c r="F729" s="220"/>
      <c r="G729" s="218"/>
      <c r="H729" s="218"/>
      <c r="I729" s="218"/>
      <c r="J729" s="218"/>
      <c r="K729" s="220"/>
      <c r="L729" s="220"/>
      <c r="M729" s="220"/>
      <c r="N729" s="220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spans="1:26" ht="15.75">
      <c r="A730" s="218"/>
      <c r="B730" s="221"/>
      <c r="C730" s="222"/>
      <c r="D730" s="218"/>
      <c r="E730" s="218"/>
      <c r="F730" s="220"/>
      <c r="G730" s="218"/>
      <c r="H730" s="218"/>
      <c r="I730" s="218"/>
      <c r="J730" s="218"/>
      <c r="K730" s="220"/>
      <c r="L730" s="220"/>
      <c r="M730" s="220"/>
      <c r="N730" s="220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spans="1:26" ht="15.75">
      <c r="A731" s="218"/>
      <c r="B731" s="221"/>
      <c r="C731" s="222"/>
      <c r="D731" s="218"/>
      <c r="E731" s="218"/>
      <c r="F731" s="220"/>
      <c r="G731" s="218"/>
      <c r="H731" s="218"/>
      <c r="I731" s="218"/>
      <c r="J731" s="218"/>
      <c r="K731" s="220"/>
      <c r="L731" s="220"/>
      <c r="M731" s="220"/>
      <c r="N731" s="220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spans="1:26" ht="15.75">
      <c r="A732" s="218"/>
      <c r="B732" s="221"/>
      <c r="C732" s="222"/>
      <c r="D732" s="218"/>
      <c r="E732" s="218"/>
      <c r="F732" s="220"/>
      <c r="G732" s="218"/>
      <c r="H732" s="218"/>
      <c r="I732" s="218"/>
      <c r="J732" s="218"/>
      <c r="K732" s="220"/>
      <c r="L732" s="220"/>
      <c r="M732" s="220"/>
      <c r="N732" s="220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spans="1:26" ht="15.75">
      <c r="A733" s="218"/>
      <c r="B733" s="221"/>
      <c r="C733" s="222"/>
      <c r="D733" s="218"/>
      <c r="E733" s="218"/>
      <c r="F733" s="220"/>
      <c r="G733" s="218"/>
      <c r="H733" s="218"/>
      <c r="I733" s="218"/>
      <c r="J733" s="218"/>
      <c r="K733" s="220"/>
      <c r="L733" s="220"/>
      <c r="M733" s="220"/>
      <c r="N733" s="220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spans="1:26" ht="15.75">
      <c r="A734" s="218"/>
      <c r="B734" s="221"/>
      <c r="C734" s="222"/>
      <c r="D734" s="218"/>
      <c r="E734" s="218"/>
      <c r="F734" s="220"/>
      <c r="G734" s="218"/>
      <c r="H734" s="218"/>
      <c r="I734" s="218"/>
      <c r="J734" s="218"/>
      <c r="K734" s="220"/>
      <c r="L734" s="220"/>
      <c r="M734" s="220"/>
      <c r="N734" s="220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spans="1:26" ht="15.75">
      <c r="A735" s="218"/>
      <c r="B735" s="221"/>
      <c r="C735" s="222"/>
      <c r="D735" s="218"/>
      <c r="E735" s="218"/>
      <c r="F735" s="220"/>
      <c r="G735" s="218"/>
      <c r="H735" s="218"/>
      <c r="I735" s="218"/>
      <c r="J735" s="218"/>
      <c r="K735" s="220"/>
      <c r="L735" s="220"/>
      <c r="M735" s="220"/>
      <c r="N735" s="220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spans="1:26" ht="15.75">
      <c r="A736" s="218"/>
      <c r="B736" s="221"/>
      <c r="C736" s="222"/>
      <c r="D736" s="218"/>
      <c r="E736" s="218"/>
      <c r="F736" s="220"/>
      <c r="G736" s="218"/>
      <c r="H736" s="218"/>
      <c r="I736" s="218"/>
      <c r="J736" s="218"/>
      <c r="K736" s="220"/>
      <c r="L736" s="220"/>
      <c r="M736" s="220"/>
      <c r="N736" s="220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spans="1:26" ht="15.75">
      <c r="A737" s="218"/>
      <c r="B737" s="221"/>
      <c r="C737" s="222"/>
      <c r="D737" s="218"/>
      <c r="E737" s="218"/>
      <c r="F737" s="220"/>
      <c r="G737" s="218"/>
      <c r="H737" s="218"/>
      <c r="I737" s="218"/>
      <c r="J737" s="218"/>
      <c r="K737" s="220"/>
      <c r="L737" s="220"/>
      <c r="M737" s="220"/>
      <c r="N737" s="220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spans="1:26" ht="15.75">
      <c r="A738" s="218"/>
      <c r="B738" s="221"/>
      <c r="C738" s="222"/>
      <c r="D738" s="218"/>
      <c r="E738" s="218"/>
      <c r="F738" s="220"/>
      <c r="G738" s="218"/>
      <c r="H738" s="218"/>
      <c r="I738" s="218"/>
      <c r="J738" s="218"/>
      <c r="K738" s="220"/>
      <c r="L738" s="220"/>
      <c r="M738" s="220"/>
      <c r="N738" s="220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spans="1:26" ht="15.75">
      <c r="A739" s="218"/>
      <c r="B739" s="221"/>
      <c r="C739" s="222"/>
      <c r="D739" s="218"/>
      <c r="E739" s="218"/>
      <c r="F739" s="220"/>
      <c r="G739" s="218"/>
      <c r="H739" s="218"/>
      <c r="I739" s="218"/>
      <c r="J739" s="218"/>
      <c r="K739" s="220"/>
      <c r="L739" s="220"/>
      <c r="M739" s="220"/>
      <c r="N739" s="220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spans="1:26" ht="15.75">
      <c r="A740" s="218"/>
      <c r="B740" s="221"/>
      <c r="C740" s="222"/>
      <c r="D740" s="218"/>
      <c r="E740" s="218"/>
      <c r="F740" s="220"/>
      <c r="G740" s="218"/>
      <c r="H740" s="218"/>
      <c r="I740" s="218"/>
      <c r="J740" s="218"/>
      <c r="K740" s="220"/>
      <c r="L740" s="220"/>
      <c r="M740" s="220"/>
      <c r="N740" s="220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spans="1:26" ht="15.75">
      <c r="A741" s="218"/>
      <c r="B741" s="221"/>
      <c r="C741" s="222"/>
      <c r="D741" s="218"/>
      <c r="E741" s="218"/>
      <c r="F741" s="220"/>
      <c r="G741" s="218"/>
      <c r="H741" s="218"/>
      <c r="I741" s="218"/>
      <c r="J741" s="218"/>
      <c r="K741" s="220"/>
      <c r="L741" s="220"/>
      <c r="M741" s="220"/>
      <c r="N741" s="220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spans="1:26" ht="15.75">
      <c r="A742" s="218"/>
      <c r="B742" s="221"/>
      <c r="C742" s="222"/>
      <c r="D742" s="218"/>
      <c r="E742" s="218"/>
      <c r="F742" s="220"/>
      <c r="G742" s="218"/>
      <c r="H742" s="218"/>
      <c r="I742" s="218"/>
      <c r="J742" s="218"/>
      <c r="K742" s="220"/>
      <c r="L742" s="220"/>
      <c r="M742" s="220"/>
      <c r="N742" s="220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spans="1:26" ht="15.75">
      <c r="A743" s="218"/>
      <c r="B743" s="221"/>
      <c r="C743" s="222"/>
      <c r="D743" s="218"/>
      <c r="E743" s="218"/>
      <c r="F743" s="220"/>
      <c r="G743" s="218"/>
      <c r="H743" s="218"/>
      <c r="I743" s="218"/>
      <c r="J743" s="218"/>
      <c r="K743" s="220"/>
      <c r="L743" s="220"/>
      <c r="M743" s="220"/>
      <c r="N743" s="220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spans="1:26" ht="15.75">
      <c r="A744" s="218"/>
      <c r="B744" s="221"/>
      <c r="C744" s="222"/>
      <c r="D744" s="218"/>
      <c r="E744" s="218"/>
      <c r="F744" s="220"/>
      <c r="G744" s="218"/>
      <c r="H744" s="218"/>
      <c r="I744" s="218"/>
      <c r="J744" s="218"/>
      <c r="K744" s="220"/>
      <c r="L744" s="220"/>
      <c r="M744" s="220"/>
      <c r="N744" s="220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spans="1:26" ht="15.75">
      <c r="A745" s="218"/>
      <c r="B745" s="221"/>
      <c r="C745" s="222"/>
      <c r="D745" s="218"/>
      <c r="E745" s="218"/>
      <c r="F745" s="220"/>
      <c r="G745" s="218"/>
      <c r="H745" s="218"/>
      <c r="I745" s="218"/>
      <c r="J745" s="218"/>
      <c r="K745" s="220"/>
      <c r="L745" s="220"/>
      <c r="M745" s="220"/>
      <c r="N745" s="220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spans="1:26" ht="15.75">
      <c r="A746" s="218"/>
      <c r="B746" s="221"/>
      <c r="C746" s="222"/>
      <c r="D746" s="218"/>
      <c r="E746" s="218"/>
      <c r="F746" s="220"/>
      <c r="G746" s="218"/>
      <c r="H746" s="218"/>
      <c r="I746" s="218"/>
      <c r="J746" s="218"/>
      <c r="K746" s="220"/>
      <c r="L746" s="220"/>
      <c r="M746" s="220"/>
      <c r="N746" s="220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spans="1:26" ht="15.75">
      <c r="A747" s="218"/>
      <c r="B747" s="221"/>
      <c r="C747" s="222"/>
      <c r="D747" s="218"/>
      <c r="E747" s="218"/>
      <c r="F747" s="220"/>
      <c r="G747" s="218"/>
      <c r="H747" s="218"/>
      <c r="I747" s="218"/>
      <c r="J747" s="218"/>
      <c r="K747" s="220"/>
      <c r="L747" s="220"/>
      <c r="M747" s="220"/>
      <c r="N747" s="220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spans="1:26" ht="15.75">
      <c r="A748" s="218"/>
      <c r="B748" s="221"/>
      <c r="C748" s="222"/>
      <c r="D748" s="218"/>
      <c r="E748" s="218"/>
      <c r="F748" s="220"/>
      <c r="G748" s="218"/>
      <c r="H748" s="218"/>
      <c r="I748" s="218"/>
      <c r="J748" s="218"/>
      <c r="K748" s="220"/>
      <c r="L748" s="220"/>
      <c r="M748" s="220"/>
      <c r="N748" s="220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spans="1:26" ht="15.75">
      <c r="A749" s="218"/>
      <c r="B749" s="221"/>
      <c r="C749" s="222"/>
      <c r="D749" s="218"/>
      <c r="E749" s="218"/>
      <c r="F749" s="220"/>
      <c r="G749" s="218"/>
      <c r="H749" s="218"/>
      <c r="I749" s="218"/>
      <c r="J749" s="218"/>
      <c r="K749" s="220"/>
      <c r="L749" s="220"/>
      <c r="M749" s="220"/>
      <c r="N749" s="220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spans="1:26" ht="15.75">
      <c r="A750" s="218"/>
      <c r="B750" s="221"/>
      <c r="C750" s="222"/>
      <c r="D750" s="218"/>
      <c r="E750" s="218"/>
      <c r="F750" s="220"/>
      <c r="G750" s="218"/>
      <c r="H750" s="218"/>
      <c r="I750" s="218"/>
      <c r="J750" s="218"/>
      <c r="K750" s="220"/>
      <c r="L750" s="220"/>
      <c r="M750" s="220"/>
      <c r="N750" s="220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spans="1:26" ht="15.75">
      <c r="A751" s="218"/>
      <c r="B751" s="221"/>
      <c r="C751" s="222"/>
      <c r="D751" s="218"/>
      <c r="E751" s="218"/>
      <c r="F751" s="220"/>
      <c r="G751" s="218"/>
      <c r="H751" s="218"/>
      <c r="I751" s="218"/>
      <c r="J751" s="218"/>
      <c r="K751" s="220"/>
      <c r="L751" s="220"/>
      <c r="M751" s="220"/>
      <c r="N751" s="220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spans="1:26" ht="15.75">
      <c r="A752" s="218"/>
      <c r="B752" s="221"/>
      <c r="C752" s="222"/>
      <c r="D752" s="218"/>
      <c r="E752" s="218"/>
      <c r="F752" s="220"/>
      <c r="G752" s="218"/>
      <c r="H752" s="218"/>
      <c r="I752" s="218"/>
      <c r="J752" s="218"/>
      <c r="K752" s="220"/>
      <c r="L752" s="220"/>
      <c r="M752" s="220"/>
      <c r="N752" s="220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spans="1:26" ht="15.75">
      <c r="A753" s="218"/>
      <c r="B753" s="221"/>
      <c r="C753" s="222"/>
      <c r="D753" s="218"/>
      <c r="E753" s="218"/>
      <c r="F753" s="220"/>
      <c r="G753" s="218"/>
      <c r="H753" s="218"/>
      <c r="I753" s="218"/>
      <c r="J753" s="218"/>
      <c r="K753" s="220"/>
      <c r="L753" s="220"/>
      <c r="M753" s="220"/>
      <c r="N753" s="220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spans="1:26" ht="15.75">
      <c r="A754" s="218"/>
      <c r="B754" s="221"/>
      <c r="C754" s="222"/>
      <c r="D754" s="218"/>
      <c r="E754" s="218"/>
      <c r="F754" s="220"/>
      <c r="G754" s="218"/>
      <c r="H754" s="218"/>
      <c r="I754" s="218"/>
      <c r="J754" s="218"/>
      <c r="K754" s="220"/>
      <c r="L754" s="220"/>
      <c r="M754" s="220"/>
      <c r="N754" s="220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spans="1:26" ht="15.75">
      <c r="A755" s="218"/>
      <c r="B755" s="221"/>
      <c r="C755" s="222"/>
      <c r="D755" s="218"/>
      <c r="E755" s="218"/>
      <c r="F755" s="220"/>
      <c r="G755" s="218"/>
      <c r="H755" s="218"/>
      <c r="I755" s="218"/>
      <c r="J755" s="218"/>
      <c r="K755" s="220"/>
      <c r="L755" s="220"/>
      <c r="M755" s="220"/>
      <c r="N755" s="220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spans="1:26" ht="15.75">
      <c r="A756" s="218"/>
      <c r="B756" s="221"/>
      <c r="C756" s="222"/>
      <c r="D756" s="218"/>
      <c r="E756" s="218"/>
      <c r="F756" s="220"/>
      <c r="G756" s="218"/>
      <c r="H756" s="218"/>
      <c r="I756" s="218"/>
      <c r="J756" s="218"/>
      <c r="K756" s="220"/>
      <c r="L756" s="220"/>
      <c r="M756" s="220"/>
      <c r="N756" s="220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spans="1:26" ht="15.75">
      <c r="A757" s="218"/>
      <c r="B757" s="221"/>
      <c r="C757" s="222"/>
      <c r="D757" s="218"/>
      <c r="E757" s="218"/>
      <c r="F757" s="220"/>
      <c r="G757" s="218"/>
      <c r="H757" s="218"/>
      <c r="I757" s="218"/>
      <c r="J757" s="218"/>
      <c r="K757" s="220"/>
      <c r="L757" s="220"/>
      <c r="M757" s="220"/>
      <c r="N757" s="220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spans="1:26" ht="15.75">
      <c r="A758" s="218"/>
      <c r="B758" s="221"/>
      <c r="C758" s="222"/>
      <c r="D758" s="218"/>
      <c r="E758" s="218"/>
      <c r="F758" s="220"/>
      <c r="G758" s="218"/>
      <c r="H758" s="218"/>
      <c r="I758" s="218"/>
      <c r="J758" s="218"/>
      <c r="K758" s="220"/>
      <c r="L758" s="220"/>
      <c r="M758" s="220"/>
      <c r="N758" s="220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spans="1:26" ht="15.75">
      <c r="A759" s="218"/>
      <c r="B759" s="221"/>
      <c r="C759" s="222"/>
      <c r="D759" s="218"/>
      <c r="E759" s="218"/>
      <c r="F759" s="220"/>
      <c r="G759" s="218"/>
      <c r="H759" s="218"/>
      <c r="I759" s="218"/>
      <c r="J759" s="218"/>
      <c r="K759" s="220"/>
      <c r="L759" s="220"/>
      <c r="M759" s="220"/>
      <c r="N759" s="220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spans="1:26" ht="15.75">
      <c r="A760" s="218"/>
      <c r="B760" s="221"/>
      <c r="C760" s="222"/>
      <c r="D760" s="218"/>
      <c r="E760" s="218"/>
      <c r="F760" s="220"/>
      <c r="G760" s="218"/>
      <c r="H760" s="218"/>
      <c r="I760" s="218"/>
      <c r="J760" s="218"/>
      <c r="K760" s="220"/>
      <c r="L760" s="220"/>
      <c r="M760" s="220"/>
      <c r="N760" s="220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spans="1:26" ht="15.75">
      <c r="A761" s="218"/>
      <c r="B761" s="221"/>
      <c r="C761" s="222"/>
      <c r="D761" s="218"/>
      <c r="E761" s="218"/>
      <c r="F761" s="220"/>
      <c r="G761" s="218"/>
      <c r="H761" s="218"/>
      <c r="I761" s="218"/>
      <c r="J761" s="218"/>
      <c r="K761" s="220"/>
      <c r="L761" s="220"/>
      <c r="M761" s="220"/>
      <c r="N761" s="220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spans="1:26" ht="15.75">
      <c r="A762" s="218"/>
      <c r="B762" s="221"/>
      <c r="C762" s="222"/>
      <c r="D762" s="218"/>
      <c r="E762" s="218"/>
      <c r="F762" s="220"/>
      <c r="G762" s="218"/>
      <c r="H762" s="218"/>
      <c r="I762" s="218"/>
      <c r="J762" s="218"/>
      <c r="K762" s="220"/>
      <c r="L762" s="220"/>
      <c r="M762" s="220"/>
      <c r="N762" s="220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spans="1:26" ht="15.75">
      <c r="A763" s="218"/>
      <c r="B763" s="221"/>
      <c r="C763" s="222"/>
      <c r="D763" s="218"/>
      <c r="E763" s="218"/>
      <c r="F763" s="220"/>
      <c r="G763" s="218"/>
      <c r="H763" s="218"/>
      <c r="I763" s="218"/>
      <c r="J763" s="218"/>
      <c r="K763" s="220"/>
      <c r="L763" s="220"/>
      <c r="M763" s="220"/>
      <c r="N763" s="220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spans="1:26" ht="15.75">
      <c r="A764" s="218"/>
      <c r="B764" s="221"/>
      <c r="C764" s="222"/>
      <c r="D764" s="218"/>
      <c r="E764" s="218"/>
      <c r="F764" s="220"/>
      <c r="G764" s="218"/>
      <c r="H764" s="218"/>
      <c r="I764" s="218"/>
      <c r="J764" s="218"/>
      <c r="K764" s="220"/>
      <c r="L764" s="220"/>
      <c r="M764" s="220"/>
      <c r="N764" s="220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spans="1:26" ht="15.75">
      <c r="A765" s="218"/>
      <c r="B765" s="221"/>
      <c r="C765" s="222"/>
      <c r="D765" s="218"/>
      <c r="E765" s="218"/>
      <c r="F765" s="220"/>
      <c r="G765" s="218"/>
      <c r="H765" s="218"/>
      <c r="I765" s="218"/>
      <c r="J765" s="218"/>
      <c r="K765" s="220"/>
      <c r="L765" s="220"/>
      <c r="M765" s="220"/>
      <c r="N765" s="220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spans="1:26" ht="15.75">
      <c r="A766" s="218"/>
      <c r="B766" s="221"/>
      <c r="C766" s="222"/>
      <c r="D766" s="218"/>
      <c r="E766" s="218"/>
      <c r="F766" s="220"/>
      <c r="G766" s="218"/>
      <c r="H766" s="218"/>
      <c r="I766" s="218"/>
      <c r="J766" s="218"/>
      <c r="K766" s="220"/>
      <c r="L766" s="220"/>
      <c r="M766" s="220"/>
      <c r="N766" s="220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spans="1:26" ht="15.75">
      <c r="A767" s="218"/>
      <c r="B767" s="221"/>
      <c r="C767" s="222"/>
      <c r="D767" s="218"/>
      <c r="E767" s="218"/>
      <c r="F767" s="220"/>
      <c r="G767" s="218"/>
      <c r="H767" s="218"/>
      <c r="I767" s="218"/>
      <c r="J767" s="218"/>
      <c r="K767" s="220"/>
      <c r="L767" s="220"/>
      <c r="M767" s="220"/>
      <c r="N767" s="220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spans="1:26" ht="15.75">
      <c r="A768" s="218"/>
      <c r="B768" s="221"/>
      <c r="C768" s="222"/>
      <c r="D768" s="218"/>
      <c r="E768" s="218"/>
      <c r="F768" s="220"/>
      <c r="G768" s="218"/>
      <c r="H768" s="218"/>
      <c r="I768" s="218"/>
      <c r="J768" s="218"/>
      <c r="K768" s="220"/>
      <c r="L768" s="220"/>
      <c r="M768" s="220"/>
      <c r="N768" s="220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spans="1:26" ht="15.75">
      <c r="A769" s="218"/>
      <c r="B769" s="221"/>
      <c r="C769" s="222"/>
      <c r="D769" s="218"/>
      <c r="E769" s="218"/>
      <c r="F769" s="220"/>
      <c r="G769" s="218"/>
      <c r="H769" s="218"/>
      <c r="I769" s="218"/>
      <c r="J769" s="218"/>
      <c r="K769" s="220"/>
      <c r="L769" s="220"/>
      <c r="M769" s="220"/>
      <c r="N769" s="220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spans="1:26" ht="15.75">
      <c r="A770" s="218"/>
      <c r="B770" s="221"/>
      <c r="C770" s="222"/>
      <c r="D770" s="218"/>
      <c r="E770" s="218"/>
      <c r="F770" s="220"/>
      <c r="G770" s="218"/>
      <c r="H770" s="218"/>
      <c r="I770" s="218"/>
      <c r="J770" s="218"/>
      <c r="K770" s="220"/>
      <c r="L770" s="220"/>
      <c r="M770" s="220"/>
      <c r="N770" s="220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spans="1:26" ht="15.75">
      <c r="A771" s="218"/>
      <c r="B771" s="221"/>
      <c r="C771" s="222"/>
      <c r="D771" s="218"/>
      <c r="E771" s="218"/>
      <c r="F771" s="220"/>
      <c r="G771" s="218"/>
      <c r="H771" s="218"/>
      <c r="I771" s="218"/>
      <c r="J771" s="218"/>
      <c r="K771" s="220"/>
      <c r="L771" s="220"/>
      <c r="M771" s="220"/>
      <c r="N771" s="220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spans="1:26" ht="15.75">
      <c r="A772" s="218"/>
      <c r="B772" s="221"/>
      <c r="C772" s="222"/>
      <c r="D772" s="218"/>
      <c r="E772" s="218"/>
      <c r="F772" s="220"/>
      <c r="G772" s="218"/>
      <c r="H772" s="218"/>
      <c r="I772" s="218"/>
      <c r="J772" s="218"/>
      <c r="K772" s="220"/>
      <c r="L772" s="220"/>
      <c r="M772" s="220"/>
      <c r="N772" s="220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spans="1:26" ht="15.75">
      <c r="A773" s="218"/>
      <c r="B773" s="221"/>
      <c r="C773" s="222"/>
      <c r="D773" s="218"/>
      <c r="E773" s="218"/>
      <c r="F773" s="220"/>
      <c r="G773" s="218"/>
      <c r="H773" s="218"/>
      <c r="I773" s="218"/>
      <c r="J773" s="218"/>
      <c r="K773" s="220"/>
      <c r="L773" s="220"/>
      <c r="M773" s="220"/>
      <c r="N773" s="220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spans="1:26" ht="15.75">
      <c r="A774" s="218"/>
      <c r="B774" s="221"/>
      <c r="C774" s="222"/>
      <c r="D774" s="218"/>
      <c r="E774" s="218"/>
      <c r="F774" s="220"/>
      <c r="G774" s="218"/>
      <c r="H774" s="218"/>
      <c r="I774" s="218"/>
      <c r="J774" s="218"/>
      <c r="K774" s="220"/>
      <c r="L774" s="220"/>
      <c r="M774" s="220"/>
      <c r="N774" s="220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spans="1:26" ht="15.75">
      <c r="A775" s="218"/>
      <c r="B775" s="221"/>
      <c r="C775" s="222"/>
      <c r="D775" s="218"/>
      <c r="E775" s="218"/>
      <c r="F775" s="220"/>
      <c r="G775" s="218"/>
      <c r="H775" s="218"/>
      <c r="I775" s="218"/>
      <c r="J775" s="218"/>
      <c r="K775" s="220"/>
      <c r="L775" s="220"/>
      <c r="M775" s="220"/>
      <c r="N775" s="220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spans="1:26" ht="15.75">
      <c r="A776" s="218"/>
      <c r="B776" s="221"/>
      <c r="C776" s="222"/>
      <c r="D776" s="218"/>
      <c r="E776" s="218"/>
      <c r="F776" s="220"/>
      <c r="G776" s="218"/>
      <c r="H776" s="218"/>
      <c r="I776" s="218"/>
      <c r="J776" s="218"/>
      <c r="K776" s="220"/>
      <c r="L776" s="220"/>
      <c r="M776" s="220"/>
      <c r="N776" s="220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spans="1:26" ht="15.75">
      <c r="A777" s="218"/>
      <c r="B777" s="221"/>
      <c r="C777" s="222"/>
      <c r="D777" s="218"/>
      <c r="E777" s="218"/>
      <c r="F777" s="220"/>
      <c r="G777" s="218"/>
      <c r="H777" s="218"/>
      <c r="I777" s="218"/>
      <c r="J777" s="218"/>
      <c r="K777" s="220"/>
      <c r="L777" s="220"/>
      <c r="M777" s="220"/>
      <c r="N777" s="220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spans="1:26" ht="15.75">
      <c r="A778" s="218"/>
      <c r="B778" s="221"/>
      <c r="C778" s="222"/>
      <c r="D778" s="218"/>
      <c r="E778" s="218"/>
      <c r="F778" s="220"/>
      <c r="G778" s="218"/>
      <c r="H778" s="218"/>
      <c r="I778" s="218"/>
      <c r="J778" s="218"/>
      <c r="K778" s="220"/>
      <c r="L778" s="220"/>
      <c r="M778" s="220"/>
      <c r="N778" s="220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spans="1:26" ht="15.75">
      <c r="A779" s="218"/>
      <c r="B779" s="221"/>
      <c r="C779" s="222"/>
      <c r="D779" s="218"/>
      <c r="E779" s="218"/>
      <c r="F779" s="220"/>
      <c r="G779" s="218"/>
      <c r="H779" s="218"/>
      <c r="I779" s="218"/>
      <c r="J779" s="218"/>
      <c r="K779" s="220"/>
      <c r="L779" s="220"/>
      <c r="M779" s="220"/>
      <c r="N779" s="220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spans="1:26" ht="15.75">
      <c r="A780" s="218"/>
      <c r="B780" s="221"/>
      <c r="C780" s="222"/>
      <c r="D780" s="218"/>
      <c r="E780" s="218"/>
      <c r="F780" s="220"/>
      <c r="G780" s="218"/>
      <c r="H780" s="218"/>
      <c r="I780" s="218"/>
      <c r="J780" s="218"/>
      <c r="K780" s="220"/>
      <c r="L780" s="220"/>
      <c r="M780" s="220"/>
      <c r="N780" s="220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spans="1:26" ht="15.75">
      <c r="A781" s="218"/>
      <c r="B781" s="221"/>
      <c r="C781" s="222"/>
      <c r="D781" s="218"/>
      <c r="E781" s="218"/>
      <c r="F781" s="220"/>
      <c r="G781" s="218"/>
      <c r="H781" s="218"/>
      <c r="I781" s="218"/>
      <c r="J781" s="218"/>
      <c r="K781" s="220"/>
      <c r="L781" s="220"/>
      <c r="M781" s="220"/>
      <c r="N781" s="220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spans="1:26" ht="15.75">
      <c r="A782" s="218"/>
      <c r="B782" s="221"/>
      <c r="C782" s="222"/>
      <c r="D782" s="218"/>
      <c r="E782" s="218"/>
      <c r="F782" s="220"/>
      <c r="G782" s="218"/>
      <c r="H782" s="218"/>
      <c r="I782" s="218"/>
      <c r="J782" s="218"/>
      <c r="K782" s="220"/>
      <c r="L782" s="220"/>
      <c r="M782" s="220"/>
      <c r="N782" s="220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spans="1:26" ht="15.75">
      <c r="A783" s="218"/>
      <c r="B783" s="221"/>
      <c r="C783" s="222"/>
      <c r="D783" s="218"/>
      <c r="E783" s="218"/>
      <c r="F783" s="220"/>
      <c r="G783" s="218"/>
      <c r="H783" s="218"/>
      <c r="I783" s="218"/>
      <c r="J783" s="218"/>
      <c r="K783" s="220"/>
      <c r="L783" s="220"/>
      <c r="M783" s="220"/>
      <c r="N783" s="220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spans="1:26" ht="15.75">
      <c r="A784" s="218"/>
      <c r="B784" s="221"/>
      <c r="C784" s="222"/>
      <c r="D784" s="218"/>
      <c r="E784" s="218"/>
      <c r="F784" s="220"/>
      <c r="G784" s="218"/>
      <c r="H784" s="218"/>
      <c r="I784" s="218"/>
      <c r="J784" s="218"/>
      <c r="K784" s="220"/>
      <c r="L784" s="220"/>
      <c r="M784" s="220"/>
      <c r="N784" s="220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spans="1:26" ht="15.75">
      <c r="A785" s="218"/>
      <c r="B785" s="221"/>
      <c r="C785" s="222"/>
      <c r="D785" s="218"/>
      <c r="E785" s="218"/>
      <c r="F785" s="220"/>
      <c r="G785" s="218"/>
      <c r="H785" s="218"/>
      <c r="I785" s="218"/>
      <c r="J785" s="218"/>
      <c r="K785" s="220"/>
      <c r="L785" s="220"/>
      <c r="M785" s="220"/>
      <c r="N785" s="220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spans="1:26" ht="15.75">
      <c r="A786" s="218"/>
      <c r="B786" s="221"/>
      <c r="C786" s="222"/>
      <c r="D786" s="218"/>
      <c r="E786" s="218"/>
      <c r="F786" s="220"/>
      <c r="G786" s="218"/>
      <c r="H786" s="218"/>
      <c r="I786" s="218"/>
      <c r="J786" s="218"/>
      <c r="K786" s="220"/>
      <c r="L786" s="220"/>
      <c r="M786" s="220"/>
      <c r="N786" s="220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spans="1:26" ht="15.75">
      <c r="A787" s="218"/>
      <c r="B787" s="221"/>
      <c r="C787" s="222"/>
      <c r="D787" s="218"/>
      <c r="E787" s="218"/>
      <c r="F787" s="220"/>
      <c r="G787" s="218"/>
      <c r="H787" s="218"/>
      <c r="I787" s="218"/>
      <c r="J787" s="218"/>
      <c r="K787" s="220"/>
      <c r="L787" s="220"/>
      <c r="M787" s="220"/>
      <c r="N787" s="220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spans="1:26" ht="15.75">
      <c r="A788" s="218"/>
      <c r="B788" s="221"/>
      <c r="C788" s="222"/>
      <c r="D788" s="218"/>
      <c r="E788" s="218"/>
      <c r="F788" s="220"/>
      <c r="G788" s="218"/>
      <c r="H788" s="218"/>
      <c r="I788" s="218"/>
      <c r="J788" s="218"/>
      <c r="K788" s="220"/>
      <c r="L788" s="220"/>
      <c r="M788" s="220"/>
      <c r="N788" s="220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spans="1:26" ht="15.75">
      <c r="A789" s="218"/>
      <c r="B789" s="221"/>
      <c r="C789" s="222"/>
      <c r="D789" s="218"/>
      <c r="E789" s="218"/>
      <c r="F789" s="220"/>
      <c r="G789" s="218"/>
      <c r="H789" s="218"/>
      <c r="I789" s="218"/>
      <c r="J789" s="218"/>
      <c r="K789" s="220"/>
      <c r="L789" s="220"/>
      <c r="M789" s="220"/>
      <c r="N789" s="220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spans="1:26" ht="15.75">
      <c r="A790" s="218"/>
      <c r="B790" s="221"/>
      <c r="C790" s="222"/>
      <c r="D790" s="218"/>
      <c r="E790" s="218"/>
      <c r="F790" s="220"/>
      <c r="G790" s="218"/>
      <c r="H790" s="218"/>
      <c r="I790" s="218"/>
      <c r="J790" s="218"/>
      <c r="K790" s="220"/>
      <c r="L790" s="220"/>
      <c r="M790" s="220"/>
      <c r="N790" s="220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spans="1:26" ht="15.75">
      <c r="A791" s="218"/>
      <c r="B791" s="221"/>
      <c r="C791" s="222"/>
      <c r="D791" s="218"/>
      <c r="E791" s="218"/>
      <c r="F791" s="220"/>
      <c r="G791" s="218"/>
      <c r="H791" s="218"/>
      <c r="I791" s="218"/>
      <c r="J791" s="218"/>
      <c r="K791" s="220"/>
      <c r="L791" s="220"/>
      <c r="M791" s="220"/>
      <c r="N791" s="220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spans="1:26" ht="15.75">
      <c r="A792" s="218"/>
      <c r="B792" s="221"/>
      <c r="C792" s="222"/>
      <c r="D792" s="218"/>
      <c r="E792" s="218"/>
      <c r="F792" s="220"/>
      <c r="G792" s="218"/>
      <c r="H792" s="218"/>
      <c r="I792" s="218"/>
      <c r="J792" s="218"/>
      <c r="K792" s="220"/>
      <c r="L792" s="220"/>
      <c r="M792" s="220"/>
      <c r="N792" s="220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spans="1:26" ht="15.75">
      <c r="A793" s="218"/>
      <c r="B793" s="221"/>
      <c r="C793" s="222"/>
      <c r="D793" s="218"/>
      <c r="E793" s="218"/>
      <c r="F793" s="220"/>
      <c r="G793" s="218"/>
      <c r="H793" s="218"/>
      <c r="I793" s="218"/>
      <c r="J793" s="218"/>
      <c r="K793" s="220"/>
      <c r="L793" s="220"/>
      <c r="M793" s="220"/>
      <c r="N793" s="220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spans="1:26" ht="15.75">
      <c r="A794" s="218"/>
      <c r="B794" s="221"/>
      <c r="C794" s="222"/>
      <c r="D794" s="218"/>
      <c r="E794" s="218"/>
      <c r="F794" s="220"/>
      <c r="G794" s="218"/>
      <c r="H794" s="218"/>
      <c r="I794" s="218"/>
      <c r="J794" s="218"/>
      <c r="K794" s="220"/>
      <c r="L794" s="220"/>
      <c r="M794" s="220"/>
      <c r="N794" s="220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spans="1:26" ht="15.75">
      <c r="A795" s="218"/>
      <c r="B795" s="221"/>
      <c r="C795" s="222"/>
      <c r="D795" s="218"/>
      <c r="E795" s="218"/>
      <c r="F795" s="220"/>
      <c r="G795" s="218"/>
      <c r="H795" s="218"/>
      <c r="I795" s="218"/>
      <c r="J795" s="218"/>
      <c r="K795" s="220"/>
      <c r="L795" s="220"/>
      <c r="M795" s="220"/>
      <c r="N795" s="220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spans="1:26" ht="15.75">
      <c r="A796" s="218"/>
      <c r="B796" s="221"/>
      <c r="C796" s="222"/>
      <c r="D796" s="218"/>
      <c r="E796" s="218"/>
      <c r="F796" s="220"/>
      <c r="G796" s="218"/>
      <c r="H796" s="218"/>
      <c r="I796" s="218"/>
      <c r="J796" s="218"/>
      <c r="K796" s="220"/>
      <c r="L796" s="220"/>
      <c r="M796" s="220"/>
      <c r="N796" s="220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spans="1:26" ht="15.75">
      <c r="A797" s="218"/>
      <c r="B797" s="221"/>
      <c r="C797" s="222"/>
      <c r="D797" s="218"/>
      <c r="E797" s="218"/>
      <c r="F797" s="220"/>
      <c r="G797" s="218"/>
      <c r="H797" s="218"/>
      <c r="I797" s="218"/>
      <c r="J797" s="218"/>
      <c r="K797" s="220"/>
      <c r="L797" s="220"/>
      <c r="M797" s="220"/>
      <c r="N797" s="220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spans="1:26" ht="15.75">
      <c r="A798" s="218"/>
      <c r="B798" s="221"/>
      <c r="C798" s="222"/>
      <c r="D798" s="218"/>
      <c r="E798" s="218"/>
      <c r="F798" s="220"/>
      <c r="G798" s="218"/>
      <c r="H798" s="218"/>
      <c r="I798" s="218"/>
      <c r="J798" s="218"/>
      <c r="K798" s="220"/>
      <c r="L798" s="220"/>
      <c r="M798" s="220"/>
      <c r="N798" s="220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spans="1:26" ht="15.75">
      <c r="A799" s="218"/>
      <c r="B799" s="221"/>
      <c r="C799" s="222"/>
      <c r="D799" s="218"/>
      <c r="E799" s="218"/>
      <c r="F799" s="220"/>
      <c r="G799" s="218"/>
      <c r="H799" s="218"/>
      <c r="I799" s="218"/>
      <c r="J799" s="218"/>
      <c r="K799" s="220"/>
      <c r="L799" s="220"/>
      <c r="M799" s="220"/>
      <c r="N799" s="220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spans="1:26" ht="15.75">
      <c r="A800" s="218"/>
      <c r="B800" s="221"/>
      <c r="C800" s="222"/>
      <c r="D800" s="218"/>
      <c r="E800" s="218"/>
      <c r="F800" s="220"/>
      <c r="G800" s="218"/>
      <c r="H800" s="218"/>
      <c r="I800" s="218"/>
      <c r="J800" s="218"/>
      <c r="K800" s="220"/>
      <c r="L800" s="220"/>
      <c r="M800" s="220"/>
      <c r="N800" s="220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spans="1:26" ht="15.75">
      <c r="A801" s="218"/>
      <c r="B801" s="221"/>
      <c r="C801" s="222"/>
      <c r="D801" s="218"/>
      <c r="E801" s="218"/>
      <c r="F801" s="220"/>
      <c r="G801" s="218"/>
      <c r="H801" s="218"/>
      <c r="I801" s="218"/>
      <c r="J801" s="218"/>
      <c r="K801" s="220"/>
      <c r="L801" s="220"/>
      <c r="M801" s="220"/>
      <c r="N801" s="220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spans="1:26" ht="15.75">
      <c r="A802" s="218"/>
      <c r="B802" s="221"/>
      <c r="C802" s="222"/>
      <c r="D802" s="218"/>
      <c r="E802" s="218"/>
      <c r="F802" s="220"/>
      <c r="G802" s="218"/>
      <c r="H802" s="218"/>
      <c r="I802" s="218"/>
      <c r="J802" s="218"/>
      <c r="K802" s="220"/>
      <c r="L802" s="220"/>
      <c r="M802" s="220"/>
      <c r="N802" s="220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spans="1:26" ht="15.75">
      <c r="A803" s="218"/>
      <c r="B803" s="221"/>
      <c r="C803" s="222"/>
      <c r="D803" s="218"/>
      <c r="E803" s="218"/>
      <c r="F803" s="220"/>
      <c r="G803" s="218"/>
      <c r="H803" s="218"/>
      <c r="I803" s="218"/>
      <c r="J803" s="218"/>
      <c r="K803" s="220"/>
      <c r="L803" s="220"/>
      <c r="M803" s="220"/>
      <c r="N803" s="220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spans="1:26" ht="15.75">
      <c r="A804" s="218"/>
      <c r="B804" s="221"/>
      <c r="C804" s="222"/>
      <c r="D804" s="218"/>
      <c r="E804" s="218"/>
      <c r="F804" s="220"/>
      <c r="G804" s="218"/>
      <c r="H804" s="218"/>
      <c r="I804" s="218"/>
      <c r="J804" s="218"/>
      <c r="K804" s="220"/>
      <c r="L804" s="220"/>
      <c r="M804" s="220"/>
      <c r="N804" s="220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spans="1:26" ht="15.75">
      <c r="A805" s="218"/>
      <c r="B805" s="221"/>
      <c r="C805" s="222"/>
      <c r="D805" s="218"/>
      <c r="E805" s="218"/>
      <c r="F805" s="220"/>
      <c r="G805" s="218"/>
      <c r="H805" s="218"/>
      <c r="I805" s="218"/>
      <c r="J805" s="218"/>
      <c r="K805" s="220"/>
      <c r="L805" s="220"/>
      <c r="M805" s="220"/>
      <c r="N805" s="220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spans="1:26" ht="15.75">
      <c r="A806" s="218"/>
      <c r="B806" s="221"/>
      <c r="C806" s="222"/>
      <c r="D806" s="218"/>
      <c r="E806" s="218"/>
      <c r="F806" s="220"/>
      <c r="G806" s="218"/>
      <c r="H806" s="218"/>
      <c r="I806" s="218"/>
      <c r="J806" s="218"/>
      <c r="K806" s="220"/>
      <c r="L806" s="220"/>
      <c r="M806" s="220"/>
      <c r="N806" s="220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spans="1:26" ht="15.75">
      <c r="A807" s="218"/>
      <c r="B807" s="221"/>
      <c r="C807" s="222"/>
      <c r="D807" s="218"/>
      <c r="E807" s="218"/>
      <c r="F807" s="220"/>
      <c r="G807" s="218"/>
      <c r="H807" s="218"/>
      <c r="I807" s="218"/>
      <c r="J807" s="218"/>
      <c r="K807" s="220"/>
      <c r="L807" s="220"/>
      <c r="M807" s="220"/>
      <c r="N807" s="220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spans="1:26" ht="15.75">
      <c r="A808" s="218"/>
      <c r="B808" s="221"/>
      <c r="C808" s="222"/>
      <c r="D808" s="218"/>
      <c r="E808" s="218"/>
      <c r="F808" s="220"/>
      <c r="G808" s="218"/>
      <c r="H808" s="218"/>
      <c r="I808" s="218"/>
      <c r="J808" s="218"/>
      <c r="K808" s="220"/>
      <c r="L808" s="220"/>
      <c r="M808" s="220"/>
      <c r="N808" s="220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spans="1:26" ht="15.75">
      <c r="A809" s="218"/>
      <c r="B809" s="221"/>
      <c r="C809" s="222"/>
      <c r="D809" s="218"/>
      <c r="E809" s="218"/>
      <c r="F809" s="220"/>
      <c r="G809" s="218"/>
      <c r="H809" s="218"/>
      <c r="I809" s="218"/>
      <c r="J809" s="218"/>
      <c r="K809" s="220"/>
      <c r="L809" s="220"/>
      <c r="M809" s="220"/>
      <c r="N809" s="220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spans="1:26" ht="15.75">
      <c r="A810" s="218"/>
      <c r="B810" s="221"/>
      <c r="C810" s="222"/>
      <c r="D810" s="218"/>
      <c r="E810" s="218"/>
      <c r="F810" s="220"/>
      <c r="G810" s="218"/>
      <c r="H810" s="218"/>
      <c r="I810" s="218"/>
      <c r="J810" s="218"/>
      <c r="K810" s="220"/>
      <c r="L810" s="220"/>
      <c r="M810" s="220"/>
      <c r="N810" s="220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spans="1:26" ht="15.75">
      <c r="A811" s="218"/>
      <c r="B811" s="221"/>
      <c r="C811" s="222"/>
      <c r="D811" s="218"/>
      <c r="E811" s="218"/>
      <c r="F811" s="220"/>
      <c r="G811" s="218"/>
      <c r="H811" s="218"/>
      <c r="I811" s="218"/>
      <c r="J811" s="218"/>
      <c r="K811" s="220"/>
      <c r="L811" s="220"/>
      <c r="M811" s="220"/>
      <c r="N811" s="220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spans="1:26" ht="15.75">
      <c r="A812" s="218"/>
      <c r="B812" s="221"/>
      <c r="C812" s="222"/>
      <c r="D812" s="218"/>
      <c r="E812" s="218"/>
      <c r="F812" s="220"/>
      <c r="G812" s="218"/>
      <c r="H812" s="218"/>
      <c r="I812" s="218"/>
      <c r="J812" s="218"/>
      <c r="K812" s="220"/>
      <c r="L812" s="220"/>
      <c r="M812" s="220"/>
      <c r="N812" s="220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spans="1:26" ht="15.75">
      <c r="A813" s="218"/>
      <c r="B813" s="221"/>
      <c r="C813" s="222"/>
      <c r="D813" s="218"/>
      <c r="E813" s="218"/>
      <c r="F813" s="220"/>
      <c r="G813" s="218"/>
      <c r="H813" s="218"/>
      <c r="I813" s="218"/>
      <c r="J813" s="218"/>
      <c r="K813" s="220"/>
      <c r="L813" s="220"/>
      <c r="M813" s="220"/>
      <c r="N813" s="220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spans="1:26" ht="15.75">
      <c r="A814" s="218"/>
      <c r="B814" s="221"/>
      <c r="C814" s="222"/>
      <c r="D814" s="218"/>
      <c r="E814" s="218"/>
      <c r="F814" s="220"/>
      <c r="G814" s="218"/>
      <c r="H814" s="218"/>
      <c r="I814" s="218"/>
      <c r="J814" s="218"/>
      <c r="K814" s="220"/>
      <c r="L814" s="220"/>
      <c r="M814" s="220"/>
      <c r="N814" s="220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spans="1:26" ht="15.75">
      <c r="A815" s="218"/>
      <c r="B815" s="221"/>
      <c r="C815" s="222"/>
      <c r="D815" s="218"/>
      <c r="E815" s="218"/>
      <c r="F815" s="220"/>
      <c r="G815" s="218"/>
      <c r="H815" s="218"/>
      <c r="I815" s="218"/>
      <c r="J815" s="218"/>
      <c r="K815" s="220"/>
      <c r="L815" s="220"/>
      <c r="M815" s="220"/>
      <c r="N815" s="220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spans="1:26" ht="15.75">
      <c r="A816" s="218"/>
      <c r="B816" s="221"/>
      <c r="C816" s="222"/>
      <c r="D816" s="218"/>
      <c r="E816" s="218"/>
      <c r="F816" s="220"/>
      <c r="G816" s="218"/>
      <c r="H816" s="218"/>
      <c r="I816" s="218"/>
      <c r="J816" s="218"/>
      <c r="K816" s="220"/>
      <c r="L816" s="220"/>
      <c r="M816" s="220"/>
      <c r="N816" s="220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spans="1:26" ht="15.75">
      <c r="A817" s="218"/>
      <c r="B817" s="221"/>
      <c r="C817" s="222"/>
      <c r="D817" s="218"/>
      <c r="E817" s="218"/>
      <c r="F817" s="220"/>
      <c r="G817" s="218"/>
      <c r="H817" s="218"/>
      <c r="I817" s="218"/>
      <c r="J817" s="218"/>
      <c r="K817" s="220"/>
      <c r="L817" s="220"/>
      <c r="M817" s="220"/>
      <c r="N817" s="220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spans="1:26" ht="15.75">
      <c r="A818" s="218"/>
      <c r="B818" s="221"/>
      <c r="C818" s="222"/>
      <c r="D818" s="218"/>
      <c r="E818" s="218"/>
      <c r="F818" s="220"/>
      <c r="G818" s="218"/>
      <c r="H818" s="218"/>
      <c r="I818" s="218"/>
      <c r="J818" s="218"/>
      <c r="K818" s="220"/>
      <c r="L818" s="220"/>
      <c r="M818" s="220"/>
      <c r="N818" s="220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spans="1:26" ht="15.75">
      <c r="A819" s="218"/>
      <c r="B819" s="221"/>
      <c r="C819" s="222"/>
      <c r="D819" s="218"/>
      <c r="E819" s="218"/>
      <c r="F819" s="220"/>
      <c r="G819" s="218"/>
      <c r="H819" s="218"/>
      <c r="I819" s="218"/>
      <c r="J819" s="218"/>
      <c r="K819" s="220"/>
      <c r="L819" s="220"/>
      <c r="M819" s="220"/>
      <c r="N819" s="220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spans="1:26" ht="15.75">
      <c r="A820" s="218"/>
      <c r="B820" s="221"/>
      <c r="C820" s="222"/>
      <c r="D820" s="218"/>
      <c r="E820" s="218"/>
      <c r="F820" s="220"/>
      <c r="G820" s="218"/>
      <c r="H820" s="218"/>
      <c r="I820" s="218"/>
      <c r="J820" s="218"/>
      <c r="K820" s="220"/>
      <c r="L820" s="220"/>
      <c r="M820" s="220"/>
      <c r="N820" s="220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spans="1:26" ht="15.75">
      <c r="A821" s="218"/>
      <c r="B821" s="221"/>
      <c r="C821" s="222"/>
      <c r="D821" s="218"/>
      <c r="E821" s="218"/>
      <c r="F821" s="220"/>
      <c r="G821" s="218"/>
      <c r="H821" s="218"/>
      <c r="I821" s="218"/>
      <c r="J821" s="218"/>
      <c r="K821" s="220"/>
      <c r="L821" s="220"/>
      <c r="M821" s="220"/>
      <c r="N821" s="220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spans="1:26" ht="15.75">
      <c r="A822" s="218"/>
      <c r="B822" s="221"/>
      <c r="C822" s="222"/>
      <c r="D822" s="218"/>
      <c r="E822" s="218"/>
      <c r="F822" s="220"/>
      <c r="G822" s="218"/>
      <c r="H822" s="218"/>
      <c r="I822" s="218"/>
      <c r="J822" s="218"/>
      <c r="K822" s="220"/>
      <c r="L822" s="220"/>
      <c r="M822" s="220"/>
      <c r="N822" s="220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spans="1:26" ht="15.75">
      <c r="A823" s="218"/>
      <c r="B823" s="221"/>
      <c r="C823" s="222"/>
      <c r="D823" s="218"/>
      <c r="E823" s="218"/>
      <c r="F823" s="220"/>
      <c r="G823" s="218"/>
      <c r="H823" s="218"/>
      <c r="I823" s="218"/>
      <c r="J823" s="218"/>
      <c r="K823" s="220"/>
      <c r="L823" s="220"/>
      <c r="M823" s="220"/>
      <c r="N823" s="220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spans="1:26" ht="15.75">
      <c r="A824" s="218"/>
      <c r="B824" s="221"/>
      <c r="C824" s="222"/>
      <c r="D824" s="218"/>
      <c r="E824" s="218"/>
      <c r="F824" s="220"/>
      <c r="G824" s="218"/>
      <c r="H824" s="218"/>
      <c r="I824" s="218"/>
      <c r="J824" s="218"/>
      <c r="K824" s="220"/>
      <c r="L824" s="220"/>
      <c r="M824" s="220"/>
      <c r="N824" s="220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spans="1:26" ht="15.75">
      <c r="A825" s="218"/>
      <c r="B825" s="221"/>
      <c r="C825" s="222"/>
      <c r="D825" s="218"/>
      <c r="E825" s="218"/>
      <c r="F825" s="220"/>
      <c r="G825" s="218"/>
      <c r="H825" s="218"/>
      <c r="I825" s="218"/>
      <c r="J825" s="218"/>
      <c r="K825" s="220"/>
      <c r="L825" s="220"/>
      <c r="M825" s="220"/>
      <c r="N825" s="220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spans="1:26" ht="15.75">
      <c r="A826" s="218"/>
      <c r="B826" s="221"/>
      <c r="C826" s="222"/>
      <c r="D826" s="218"/>
      <c r="E826" s="218"/>
      <c r="F826" s="220"/>
      <c r="G826" s="218"/>
      <c r="H826" s="218"/>
      <c r="I826" s="218"/>
      <c r="J826" s="218"/>
      <c r="K826" s="220"/>
      <c r="L826" s="220"/>
      <c r="M826" s="220"/>
      <c r="N826" s="220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spans="1:26" ht="15.75">
      <c r="A827" s="218"/>
      <c r="B827" s="221"/>
      <c r="C827" s="222"/>
      <c r="D827" s="218"/>
      <c r="E827" s="218"/>
      <c r="F827" s="220"/>
      <c r="G827" s="218"/>
      <c r="H827" s="218"/>
      <c r="I827" s="218"/>
      <c r="J827" s="218"/>
      <c r="K827" s="220"/>
      <c r="L827" s="220"/>
      <c r="M827" s="220"/>
      <c r="N827" s="220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spans="1:26" ht="15.75">
      <c r="A828" s="218"/>
      <c r="B828" s="221"/>
      <c r="C828" s="222"/>
      <c r="D828" s="218"/>
      <c r="E828" s="218"/>
      <c r="F828" s="220"/>
      <c r="G828" s="218"/>
      <c r="H828" s="218"/>
      <c r="I828" s="218"/>
      <c r="J828" s="218"/>
      <c r="K828" s="220"/>
      <c r="L828" s="220"/>
      <c r="M828" s="220"/>
      <c r="N828" s="220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spans="1:26" ht="15.75">
      <c r="A829" s="218"/>
      <c r="B829" s="221"/>
      <c r="C829" s="222"/>
      <c r="D829" s="218"/>
      <c r="E829" s="218"/>
      <c r="F829" s="220"/>
      <c r="G829" s="218"/>
      <c r="H829" s="218"/>
      <c r="I829" s="218"/>
      <c r="J829" s="218"/>
      <c r="K829" s="220"/>
      <c r="L829" s="220"/>
      <c r="M829" s="220"/>
      <c r="N829" s="220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spans="1:26" ht="15.75">
      <c r="A830" s="218"/>
      <c r="B830" s="221"/>
      <c r="C830" s="222"/>
      <c r="D830" s="218"/>
      <c r="E830" s="218"/>
      <c r="F830" s="220"/>
      <c r="G830" s="218"/>
      <c r="H830" s="218"/>
      <c r="I830" s="218"/>
      <c r="J830" s="218"/>
      <c r="K830" s="220"/>
      <c r="L830" s="220"/>
      <c r="M830" s="220"/>
      <c r="N830" s="220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spans="1:26" ht="15.75">
      <c r="A831" s="218"/>
      <c r="B831" s="221"/>
      <c r="C831" s="222"/>
      <c r="D831" s="218"/>
      <c r="E831" s="218"/>
      <c r="F831" s="220"/>
      <c r="G831" s="218"/>
      <c r="H831" s="218"/>
      <c r="I831" s="218"/>
      <c r="J831" s="218"/>
      <c r="K831" s="220"/>
      <c r="L831" s="220"/>
      <c r="M831" s="220"/>
      <c r="N831" s="220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spans="1:26" ht="15.75">
      <c r="A832" s="218"/>
      <c r="B832" s="221"/>
      <c r="C832" s="222"/>
      <c r="D832" s="218"/>
      <c r="E832" s="218"/>
      <c r="F832" s="220"/>
      <c r="G832" s="218"/>
      <c r="H832" s="218"/>
      <c r="I832" s="218"/>
      <c r="J832" s="218"/>
      <c r="K832" s="220"/>
      <c r="L832" s="220"/>
      <c r="M832" s="220"/>
      <c r="N832" s="220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spans="1:26" ht="15.75">
      <c r="A833" s="218"/>
      <c r="B833" s="221"/>
      <c r="C833" s="222"/>
      <c r="D833" s="218"/>
      <c r="E833" s="218"/>
      <c r="F833" s="220"/>
      <c r="G833" s="218"/>
      <c r="H833" s="218"/>
      <c r="I833" s="218"/>
      <c r="J833" s="218"/>
      <c r="K833" s="220"/>
      <c r="L833" s="220"/>
      <c r="M833" s="220"/>
      <c r="N833" s="220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spans="1:26" ht="15.75">
      <c r="A834" s="218"/>
      <c r="B834" s="221"/>
      <c r="C834" s="222"/>
      <c r="D834" s="218"/>
      <c r="E834" s="218"/>
      <c r="F834" s="220"/>
      <c r="G834" s="218"/>
      <c r="H834" s="218"/>
      <c r="I834" s="218"/>
      <c r="J834" s="218"/>
      <c r="K834" s="220"/>
      <c r="L834" s="220"/>
      <c r="M834" s="220"/>
      <c r="N834" s="220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spans="1:26" ht="15.75">
      <c r="A835" s="218"/>
      <c r="B835" s="221"/>
      <c r="C835" s="222"/>
      <c r="D835" s="218"/>
      <c r="E835" s="218"/>
      <c r="F835" s="220"/>
      <c r="G835" s="218"/>
      <c r="H835" s="218"/>
      <c r="I835" s="218"/>
      <c r="J835" s="218"/>
      <c r="K835" s="220"/>
      <c r="L835" s="220"/>
      <c r="M835" s="220"/>
      <c r="N835" s="220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spans="1:26" ht="15.75">
      <c r="A836" s="218"/>
      <c r="B836" s="221"/>
      <c r="C836" s="222"/>
      <c r="D836" s="218"/>
      <c r="E836" s="218"/>
      <c r="F836" s="220"/>
      <c r="G836" s="218"/>
      <c r="H836" s="218"/>
      <c r="I836" s="218"/>
      <c r="J836" s="218"/>
      <c r="K836" s="220"/>
      <c r="L836" s="220"/>
      <c r="M836" s="220"/>
      <c r="N836" s="220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spans="1:26" ht="15.75">
      <c r="A837" s="218"/>
      <c r="B837" s="221"/>
      <c r="C837" s="222"/>
      <c r="D837" s="218"/>
      <c r="E837" s="218"/>
      <c r="F837" s="220"/>
      <c r="G837" s="218"/>
      <c r="H837" s="218"/>
      <c r="I837" s="218"/>
      <c r="J837" s="218"/>
      <c r="K837" s="220"/>
      <c r="L837" s="220"/>
      <c r="M837" s="220"/>
      <c r="N837" s="220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spans="1:26" ht="15.75">
      <c r="A838" s="218"/>
      <c r="B838" s="221"/>
      <c r="C838" s="222"/>
      <c r="D838" s="218"/>
      <c r="E838" s="218"/>
      <c r="F838" s="220"/>
      <c r="G838" s="218"/>
      <c r="H838" s="218"/>
      <c r="I838" s="218"/>
      <c r="J838" s="218"/>
      <c r="K838" s="220"/>
      <c r="L838" s="220"/>
      <c r="M838" s="220"/>
      <c r="N838" s="220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spans="1:26" ht="15.75">
      <c r="A839" s="218"/>
      <c r="B839" s="221"/>
      <c r="C839" s="222"/>
      <c r="D839" s="218"/>
      <c r="E839" s="218"/>
      <c r="F839" s="220"/>
      <c r="G839" s="218"/>
      <c r="H839" s="218"/>
      <c r="I839" s="218"/>
      <c r="J839" s="218"/>
      <c r="K839" s="220"/>
      <c r="L839" s="220"/>
      <c r="M839" s="220"/>
      <c r="N839" s="220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spans="1:26" ht="15.75">
      <c r="A840" s="218"/>
      <c r="B840" s="221"/>
      <c r="C840" s="222"/>
      <c r="D840" s="218"/>
      <c r="E840" s="218"/>
      <c r="F840" s="220"/>
      <c r="G840" s="218"/>
      <c r="H840" s="218"/>
      <c r="I840" s="218"/>
      <c r="J840" s="218"/>
      <c r="K840" s="220"/>
      <c r="L840" s="220"/>
      <c r="M840" s="220"/>
      <c r="N840" s="220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spans="1:26" ht="15.75">
      <c r="A841" s="218"/>
      <c r="B841" s="221"/>
      <c r="C841" s="222"/>
      <c r="D841" s="218"/>
      <c r="E841" s="218"/>
      <c r="F841" s="220"/>
      <c r="G841" s="218"/>
      <c r="H841" s="218"/>
      <c r="I841" s="218"/>
      <c r="J841" s="218"/>
      <c r="K841" s="220"/>
      <c r="L841" s="220"/>
      <c r="M841" s="220"/>
      <c r="N841" s="220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spans="1:26" ht="15.75">
      <c r="A842" s="218"/>
      <c r="B842" s="221"/>
      <c r="C842" s="222"/>
      <c r="D842" s="218"/>
      <c r="E842" s="218"/>
      <c r="F842" s="220"/>
      <c r="G842" s="218"/>
      <c r="H842" s="218"/>
      <c r="I842" s="218"/>
      <c r="J842" s="218"/>
      <c r="K842" s="220"/>
      <c r="L842" s="220"/>
      <c r="M842" s="220"/>
      <c r="N842" s="220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spans="1:26" ht="15.75">
      <c r="A843" s="218"/>
      <c r="B843" s="221"/>
      <c r="C843" s="222"/>
      <c r="D843" s="218"/>
      <c r="E843" s="218"/>
      <c r="F843" s="220"/>
      <c r="G843" s="218"/>
      <c r="H843" s="218"/>
      <c r="I843" s="218"/>
      <c r="J843" s="218"/>
      <c r="K843" s="220"/>
      <c r="L843" s="220"/>
      <c r="M843" s="220"/>
      <c r="N843" s="220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spans="1:26" ht="15.75">
      <c r="A844" s="218"/>
      <c r="B844" s="221"/>
      <c r="C844" s="222"/>
      <c r="D844" s="218"/>
      <c r="E844" s="218"/>
      <c r="F844" s="220"/>
      <c r="G844" s="218"/>
      <c r="H844" s="218"/>
      <c r="I844" s="218"/>
      <c r="J844" s="218"/>
      <c r="K844" s="220"/>
      <c r="L844" s="220"/>
      <c r="M844" s="220"/>
      <c r="N844" s="220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spans="1:26" ht="15.75">
      <c r="A845" s="218"/>
      <c r="B845" s="221"/>
      <c r="C845" s="222"/>
      <c r="D845" s="218"/>
      <c r="E845" s="218"/>
      <c r="F845" s="220"/>
      <c r="G845" s="218"/>
      <c r="H845" s="218"/>
      <c r="I845" s="218"/>
      <c r="J845" s="218"/>
      <c r="K845" s="220"/>
      <c r="L845" s="220"/>
      <c r="M845" s="220"/>
      <c r="N845" s="220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spans="1:26" ht="15.75">
      <c r="A846" s="218"/>
      <c r="B846" s="221"/>
      <c r="C846" s="222"/>
      <c r="D846" s="218"/>
      <c r="E846" s="218"/>
      <c r="F846" s="220"/>
      <c r="G846" s="218"/>
      <c r="H846" s="218"/>
      <c r="I846" s="218"/>
      <c r="J846" s="218"/>
      <c r="K846" s="220"/>
      <c r="L846" s="220"/>
      <c r="M846" s="220"/>
      <c r="N846" s="220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spans="1:26" ht="15.75">
      <c r="A847" s="218"/>
      <c r="B847" s="221"/>
      <c r="C847" s="222"/>
      <c r="D847" s="218"/>
      <c r="E847" s="218"/>
      <c r="F847" s="220"/>
      <c r="G847" s="218"/>
      <c r="H847" s="218"/>
      <c r="I847" s="218"/>
      <c r="J847" s="218"/>
      <c r="K847" s="220"/>
      <c r="L847" s="220"/>
      <c r="M847" s="220"/>
      <c r="N847" s="220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spans="1:26" ht="15.75">
      <c r="A848" s="218"/>
      <c r="B848" s="221"/>
      <c r="C848" s="222"/>
      <c r="D848" s="218"/>
      <c r="E848" s="218"/>
      <c r="F848" s="220"/>
      <c r="G848" s="218"/>
      <c r="H848" s="218"/>
      <c r="I848" s="218"/>
      <c r="J848" s="218"/>
      <c r="K848" s="220"/>
      <c r="L848" s="220"/>
      <c r="M848" s="220"/>
      <c r="N848" s="220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spans="1:26" ht="15.75">
      <c r="A849" s="218"/>
      <c r="B849" s="221"/>
      <c r="C849" s="222"/>
      <c r="D849" s="218"/>
      <c r="E849" s="218"/>
      <c r="F849" s="220"/>
      <c r="G849" s="218"/>
      <c r="H849" s="218"/>
      <c r="I849" s="218"/>
      <c r="J849" s="218"/>
      <c r="K849" s="220"/>
      <c r="L849" s="220"/>
      <c r="M849" s="220"/>
      <c r="N849" s="220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spans="1:26" ht="15.75">
      <c r="A850" s="218"/>
      <c r="B850" s="221"/>
      <c r="C850" s="222"/>
      <c r="D850" s="218"/>
      <c r="E850" s="218"/>
      <c r="F850" s="220"/>
      <c r="G850" s="218"/>
      <c r="H850" s="218"/>
      <c r="I850" s="218"/>
      <c r="J850" s="218"/>
      <c r="K850" s="220"/>
      <c r="L850" s="220"/>
      <c r="M850" s="220"/>
      <c r="N850" s="220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spans="1:26" ht="15.75">
      <c r="A851" s="218"/>
      <c r="B851" s="221"/>
      <c r="C851" s="222"/>
      <c r="D851" s="218"/>
      <c r="E851" s="218"/>
      <c r="F851" s="220"/>
      <c r="G851" s="218"/>
      <c r="H851" s="218"/>
      <c r="I851" s="218"/>
      <c r="J851" s="218"/>
      <c r="K851" s="220"/>
      <c r="L851" s="220"/>
      <c r="M851" s="220"/>
      <c r="N851" s="220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spans="1:26" ht="15.75">
      <c r="A852" s="218"/>
      <c r="B852" s="221"/>
      <c r="C852" s="222"/>
      <c r="D852" s="218"/>
      <c r="E852" s="218"/>
      <c r="F852" s="220"/>
      <c r="G852" s="218"/>
      <c r="H852" s="218"/>
      <c r="I852" s="218"/>
      <c r="J852" s="218"/>
      <c r="K852" s="220"/>
      <c r="L852" s="220"/>
      <c r="M852" s="220"/>
      <c r="N852" s="220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spans="1:26" ht="15.75">
      <c r="A853" s="218"/>
      <c r="B853" s="221"/>
      <c r="C853" s="222"/>
      <c r="D853" s="218"/>
      <c r="E853" s="218"/>
      <c r="F853" s="220"/>
      <c r="G853" s="218"/>
      <c r="H853" s="218"/>
      <c r="I853" s="218"/>
      <c r="J853" s="218"/>
      <c r="K853" s="220"/>
      <c r="L853" s="220"/>
      <c r="M853" s="220"/>
      <c r="N853" s="220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spans="1:26" ht="15.75">
      <c r="A854" s="218"/>
      <c r="B854" s="221"/>
      <c r="C854" s="222"/>
      <c r="D854" s="218"/>
      <c r="E854" s="218"/>
      <c r="F854" s="220"/>
      <c r="G854" s="218"/>
      <c r="H854" s="218"/>
      <c r="I854" s="218"/>
      <c r="J854" s="218"/>
      <c r="K854" s="220"/>
      <c r="L854" s="220"/>
      <c r="M854" s="220"/>
      <c r="N854" s="220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spans="1:26" ht="15.75">
      <c r="A855" s="218"/>
      <c r="B855" s="221"/>
      <c r="C855" s="222"/>
      <c r="D855" s="218"/>
      <c r="E855" s="218"/>
      <c r="F855" s="220"/>
      <c r="G855" s="218"/>
      <c r="H855" s="218"/>
      <c r="I855" s="218"/>
      <c r="J855" s="218"/>
      <c r="K855" s="220"/>
      <c r="L855" s="220"/>
      <c r="M855" s="220"/>
      <c r="N855" s="220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spans="1:26" ht="15.75">
      <c r="A856" s="218"/>
      <c r="B856" s="221"/>
      <c r="C856" s="222"/>
      <c r="D856" s="218"/>
      <c r="E856" s="218"/>
      <c r="F856" s="220"/>
      <c r="G856" s="218"/>
      <c r="H856" s="218"/>
      <c r="I856" s="218"/>
      <c r="J856" s="218"/>
      <c r="K856" s="220"/>
      <c r="L856" s="220"/>
      <c r="M856" s="220"/>
      <c r="N856" s="220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spans="1:26" ht="15.75">
      <c r="A857" s="218"/>
      <c r="B857" s="221"/>
      <c r="C857" s="222"/>
      <c r="D857" s="218"/>
      <c r="E857" s="218"/>
      <c r="F857" s="220"/>
      <c r="G857" s="218"/>
      <c r="H857" s="218"/>
      <c r="I857" s="218"/>
      <c r="J857" s="218"/>
      <c r="K857" s="220"/>
      <c r="L857" s="220"/>
      <c r="M857" s="220"/>
      <c r="N857" s="220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spans="1:26" ht="15.75">
      <c r="A858" s="218"/>
      <c r="B858" s="221"/>
      <c r="C858" s="222"/>
      <c r="D858" s="218"/>
      <c r="E858" s="218"/>
      <c r="F858" s="220"/>
      <c r="G858" s="218"/>
      <c r="H858" s="218"/>
      <c r="I858" s="218"/>
      <c r="J858" s="218"/>
      <c r="K858" s="220"/>
      <c r="L858" s="220"/>
      <c r="M858" s="220"/>
      <c r="N858" s="220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spans="1:26" ht="15.75">
      <c r="A859" s="218"/>
      <c r="B859" s="221"/>
      <c r="C859" s="222"/>
      <c r="D859" s="218"/>
      <c r="E859" s="218"/>
      <c r="F859" s="220"/>
      <c r="G859" s="218"/>
      <c r="H859" s="218"/>
      <c r="I859" s="218"/>
      <c r="J859" s="218"/>
      <c r="K859" s="220"/>
      <c r="L859" s="220"/>
      <c r="M859" s="220"/>
      <c r="N859" s="220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spans="1:26" ht="15.75">
      <c r="A860" s="218"/>
      <c r="B860" s="221"/>
      <c r="C860" s="222"/>
      <c r="D860" s="218"/>
      <c r="E860" s="218"/>
      <c r="F860" s="220"/>
      <c r="G860" s="218"/>
      <c r="H860" s="218"/>
      <c r="I860" s="218"/>
      <c r="J860" s="218"/>
      <c r="K860" s="220"/>
      <c r="L860" s="220"/>
      <c r="M860" s="220"/>
      <c r="N860" s="220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spans="1:26" ht="15.75">
      <c r="A861" s="218"/>
      <c r="B861" s="221"/>
      <c r="C861" s="222"/>
      <c r="D861" s="218"/>
      <c r="E861" s="218"/>
      <c r="F861" s="220"/>
      <c r="G861" s="218"/>
      <c r="H861" s="218"/>
      <c r="I861" s="218"/>
      <c r="J861" s="218"/>
      <c r="K861" s="220"/>
      <c r="L861" s="220"/>
      <c r="M861" s="220"/>
      <c r="N861" s="220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spans="1:26" ht="15.75">
      <c r="A862" s="218"/>
      <c r="B862" s="221"/>
      <c r="C862" s="222"/>
      <c r="D862" s="218"/>
      <c r="E862" s="218"/>
      <c r="F862" s="220"/>
      <c r="G862" s="218"/>
      <c r="H862" s="218"/>
      <c r="I862" s="218"/>
      <c r="J862" s="218"/>
      <c r="K862" s="220"/>
      <c r="L862" s="220"/>
      <c r="M862" s="220"/>
      <c r="N862" s="220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spans="1:26" ht="15.75">
      <c r="A863" s="218"/>
      <c r="B863" s="221"/>
      <c r="C863" s="222"/>
      <c r="D863" s="218"/>
      <c r="E863" s="218"/>
      <c r="F863" s="220"/>
      <c r="G863" s="218"/>
      <c r="H863" s="218"/>
      <c r="I863" s="218"/>
      <c r="J863" s="218"/>
      <c r="K863" s="220"/>
      <c r="L863" s="220"/>
      <c r="M863" s="220"/>
      <c r="N863" s="220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spans="1:26" ht="15.75">
      <c r="A864" s="218"/>
      <c r="B864" s="221"/>
      <c r="C864" s="222"/>
      <c r="D864" s="218"/>
      <c r="E864" s="218"/>
      <c r="F864" s="220"/>
      <c r="G864" s="218"/>
      <c r="H864" s="218"/>
      <c r="I864" s="218"/>
      <c r="J864" s="218"/>
      <c r="K864" s="220"/>
      <c r="L864" s="220"/>
      <c r="M864" s="220"/>
      <c r="N864" s="220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spans="1:26" ht="15.75">
      <c r="A865" s="218"/>
      <c r="B865" s="221"/>
      <c r="C865" s="222"/>
      <c r="D865" s="218"/>
      <c r="E865" s="218"/>
      <c r="F865" s="220"/>
      <c r="G865" s="218"/>
      <c r="H865" s="218"/>
      <c r="I865" s="218"/>
      <c r="J865" s="218"/>
      <c r="K865" s="220"/>
      <c r="L865" s="220"/>
      <c r="M865" s="220"/>
      <c r="N865" s="220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spans="1:26" ht="15.75">
      <c r="A866" s="218"/>
      <c r="B866" s="221"/>
      <c r="C866" s="222"/>
      <c r="D866" s="218"/>
      <c r="E866" s="218"/>
      <c r="F866" s="220"/>
      <c r="G866" s="218"/>
      <c r="H866" s="218"/>
      <c r="I866" s="218"/>
      <c r="J866" s="218"/>
      <c r="K866" s="220"/>
      <c r="L866" s="220"/>
      <c r="M866" s="220"/>
      <c r="N866" s="220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spans="1:26" ht="15.75">
      <c r="A867" s="218"/>
      <c r="B867" s="221"/>
      <c r="C867" s="222"/>
      <c r="D867" s="218"/>
      <c r="E867" s="218"/>
      <c r="F867" s="220"/>
      <c r="G867" s="218"/>
      <c r="H867" s="218"/>
      <c r="I867" s="218"/>
      <c r="J867" s="218"/>
      <c r="K867" s="220"/>
      <c r="L867" s="220"/>
      <c r="M867" s="220"/>
      <c r="N867" s="220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spans="1:26" ht="15.75">
      <c r="A868" s="218"/>
      <c r="B868" s="221"/>
      <c r="C868" s="222"/>
      <c r="D868" s="218"/>
      <c r="E868" s="218"/>
      <c r="F868" s="220"/>
      <c r="G868" s="218"/>
      <c r="H868" s="218"/>
      <c r="I868" s="218"/>
      <c r="J868" s="218"/>
      <c r="K868" s="220"/>
      <c r="L868" s="220"/>
      <c r="M868" s="220"/>
      <c r="N868" s="220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spans="1:26" ht="15.75">
      <c r="A869" s="218"/>
      <c r="B869" s="221"/>
      <c r="C869" s="222"/>
      <c r="D869" s="218"/>
      <c r="E869" s="218"/>
      <c r="F869" s="220"/>
      <c r="G869" s="218"/>
      <c r="H869" s="218"/>
      <c r="I869" s="218"/>
      <c r="J869" s="218"/>
      <c r="K869" s="220"/>
      <c r="L869" s="220"/>
      <c r="M869" s="220"/>
      <c r="N869" s="220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spans="1:26" ht="15.75">
      <c r="A870" s="218"/>
      <c r="B870" s="221"/>
      <c r="C870" s="222"/>
      <c r="D870" s="218"/>
      <c r="E870" s="218"/>
      <c r="F870" s="220"/>
      <c r="G870" s="218"/>
      <c r="H870" s="218"/>
      <c r="I870" s="218"/>
      <c r="J870" s="218"/>
      <c r="K870" s="220"/>
      <c r="L870" s="220"/>
      <c r="M870" s="220"/>
      <c r="N870" s="220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spans="1:26" ht="15.75">
      <c r="A871" s="218"/>
      <c r="B871" s="221"/>
      <c r="C871" s="222"/>
      <c r="D871" s="218"/>
      <c r="E871" s="218"/>
      <c r="F871" s="220"/>
      <c r="G871" s="218"/>
      <c r="H871" s="218"/>
      <c r="I871" s="218"/>
      <c r="J871" s="218"/>
      <c r="K871" s="220"/>
      <c r="L871" s="220"/>
      <c r="M871" s="220"/>
      <c r="N871" s="220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spans="1:26" ht="15.75">
      <c r="A872" s="218"/>
      <c r="B872" s="221"/>
      <c r="C872" s="222"/>
      <c r="D872" s="218"/>
      <c r="E872" s="218"/>
      <c r="F872" s="220"/>
      <c r="G872" s="218"/>
      <c r="H872" s="218"/>
      <c r="I872" s="218"/>
      <c r="J872" s="218"/>
      <c r="K872" s="220"/>
      <c r="L872" s="220"/>
      <c r="M872" s="220"/>
      <c r="N872" s="220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spans="1:26" ht="15.75">
      <c r="A873" s="218"/>
      <c r="B873" s="221"/>
      <c r="C873" s="222"/>
      <c r="D873" s="218"/>
      <c r="E873" s="218"/>
      <c r="F873" s="220"/>
      <c r="G873" s="218"/>
      <c r="H873" s="218"/>
      <c r="I873" s="218"/>
      <c r="J873" s="218"/>
      <c r="K873" s="220"/>
      <c r="L873" s="220"/>
      <c r="M873" s="220"/>
      <c r="N873" s="220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spans="1:26" ht="15.75">
      <c r="A874" s="218"/>
      <c r="B874" s="221"/>
      <c r="C874" s="222"/>
      <c r="D874" s="218"/>
      <c r="E874" s="218"/>
      <c r="F874" s="220"/>
      <c r="G874" s="218"/>
      <c r="H874" s="218"/>
      <c r="I874" s="218"/>
      <c r="J874" s="218"/>
      <c r="K874" s="220"/>
      <c r="L874" s="220"/>
      <c r="M874" s="220"/>
      <c r="N874" s="220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spans="1:26" ht="15.75">
      <c r="A875" s="218"/>
      <c r="B875" s="221"/>
      <c r="C875" s="222"/>
      <c r="D875" s="218"/>
      <c r="E875" s="218"/>
      <c r="F875" s="220"/>
      <c r="G875" s="218"/>
      <c r="H875" s="218"/>
      <c r="I875" s="218"/>
      <c r="J875" s="218"/>
      <c r="K875" s="220"/>
      <c r="L875" s="220"/>
      <c r="M875" s="220"/>
      <c r="N875" s="220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spans="1:26" ht="15.75">
      <c r="A876" s="218"/>
      <c r="B876" s="221"/>
      <c r="C876" s="222"/>
      <c r="D876" s="218"/>
      <c r="E876" s="218"/>
      <c r="F876" s="220"/>
      <c r="G876" s="218"/>
      <c r="H876" s="218"/>
      <c r="I876" s="218"/>
      <c r="J876" s="218"/>
      <c r="K876" s="220"/>
      <c r="L876" s="220"/>
      <c r="M876" s="220"/>
      <c r="N876" s="220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spans="1:26" ht="15.75">
      <c r="A877" s="218"/>
      <c r="B877" s="221"/>
      <c r="C877" s="222"/>
      <c r="D877" s="218"/>
      <c r="E877" s="218"/>
      <c r="F877" s="220"/>
      <c r="G877" s="218"/>
      <c r="H877" s="218"/>
      <c r="I877" s="218"/>
      <c r="J877" s="218"/>
      <c r="K877" s="220"/>
      <c r="L877" s="220"/>
      <c r="M877" s="220"/>
      <c r="N877" s="220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spans="1:26" ht="15.75">
      <c r="A878" s="218"/>
      <c r="B878" s="221"/>
      <c r="C878" s="222"/>
      <c r="D878" s="218"/>
      <c r="E878" s="218"/>
      <c r="F878" s="220"/>
      <c r="G878" s="218"/>
      <c r="H878" s="218"/>
      <c r="I878" s="218"/>
      <c r="J878" s="218"/>
      <c r="K878" s="220"/>
      <c r="L878" s="220"/>
      <c r="M878" s="220"/>
      <c r="N878" s="220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spans="1:26" ht="15.75">
      <c r="A879" s="218"/>
      <c r="B879" s="221"/>
      <c r="C879" s="222"/>
      <c r="D879" s="218"/>
      <c r="E879" s="218"/>
      <c r="F879" s="220"/>
      <c r="G879" s="218"/>
      <c r="H879" s="218"/>
      <c r="I879" s="218"/>
      <c r="J879" s="218"/>
      <c r="K879" s="220"/>
      <c r="L879" s="220"/>
      <c r="M879" s="220"/>
      <c r="N879" s="220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spans="1:26" ht="15.75">
      <c r="A880" s="218"/>
      <c r="B880" s="221"/>
      <c r="C880" s="222"/>
      <c r="D880" s="218"/>
      <c r="E880" s="218"/>
      <c r="F880" s="220"/>
      <c r="G880" s="218"/>
      <c r="H880" s="218"/>
      <c r="I880" s="218"/>
      <c r="J880" s="218"/>
      <c r="K880" s="220"/>
      <c r="L880" s="220"/>
      <c r="M880" s="220"/>
      <c r="N880" s="220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spans="1:26" ht="15.75">
      <c r="A881" s="218"/>
      <c r="B881" s="221"/>
      <c r="C881" s="222"/>
      <c r="D881" s="218"/>
      <c r="E881" s="218"/>
      <c r="F881" s="220"/>
      <c r="G881" s="218"/>
      <c r="H881" s="218"/>
      <c r="I881" s="218"/>
      <c r="J881" s="218"/>
      <c r="K881" s="220"/>
      <c r="L881" s="220"/>
      <c r="M881" s="220"/>
      <c r="N881" s="220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spans="1:26" ht="15.75">
      <c r="A882" s="218"/>
      <c r="B882" s="221"/>
      <c r="C882" s="222"/>
      <c r="D882" s="218"/>
      <c r="E882" s="218"/>
      <c r="F882" s="220"/>
      <c r="G882" s="218"/>
      <c r="H882" s="218"/>
      <c r="I882" s="218"/>
      <c r="J882" s="218"/>
      <c r="K882" s="220"/>
      <c r="L882" s="220"/>
      <c r="M882" s="220"/>
      <c r="N882" s="220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spans="1:26" ht="15.75">
      <c r="A883" s="218"/>
      <c r="B883" s="221"/>
      <c r="C883" s="222"/>
      <c r="D883" s="218"/>
      <c r="E883" s="218"/>
      <c r="F883" s="220"/>
      <c r="G883" s="218"/>
      <c r="H883" s="218"/>
      <c r="I883" s="218"/>
      <c r="J883" s="218"/>
      <c r="K883" s="220"/>
      <c r="L883" s="220"/>
      <c r="M883" s="220"/>
      <c r="N883" s="220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spans="1:26" ht="15.75">
      <c r="A884" s="218"/>
      <c r="B884" s="221"/>
      <c r="C884" s="222"/>
      <c r="D884" s="218"/>
      <c r="E884" s="218"/>
      <c r="F884" s="220"/>
      <c r="G884" s="218"/>
      <c r="H884" s="218"/>
      <c r="I884" s="218"/>
      <c r="J884" s="218"/>
      <c r="K884" s="220"/>
      <c r="L884" s="220"/>
      <c r="M884" s="220"/>
      <c r="N884" s="220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spans="1:26" ht="15.75">
      <c r="A885" s="218"/>
      <c r="B885" s="221"/>
      <c r="C885" s="222"/>
      <c r="D885" s="218"/>
      <c r="E885" s="218"/>
      <c r="F885" s="220"/>
      <c r="G885" s="218"/>
      <c r="H885" s="218"/>
      <c r="I885" s="218"/>
      <c r="J885" s="218"/>
      <c r="K885" s="220"/>
      <c r="L885" s="220"/>
      <c r="M885" s="220"/>
      <c r="N885" s="220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spans="1:26" ht="15.75">
      <c r="A886" s="218"/>
      <c r="B886" s="221"/>
      <c r="C886" s="222"/>
      <c r="D886" s="218"/>
      <c r="E886" s="218"/>
      <c r="F886" s="220"/>
      <c r="G886" s="218"/>
      <c r="H886" s="218"/>
      <c r="I886" s="218"/>
      <c r="J886" s="218"/>
      <c r="K886" s="220"/>
      <c r="L886" s="220"/>
      <c r="M886" s="220"/>
      <c r="N886" s="220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spans="1:26" ht="15.75">
      <c r="A887" s="218"/>
      <c r="B887" s="221"/>
      <c r="C887" s="222"/>
      <c r="D887" s="218"/>
      <c r="E887" s="218"/>
      <c r="F887" s="220"/>
      <c r="G887" s="218"/>
      <c r="H887" s="218"/>
      <c r="I887" s="218"/>
      <c r="J887" s="218"/>
      <c r="K887" s="220"/>
      <c r="L887" s="220"/>
      <c r="M887" s="220"/>
      <c r="N887" s="220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spans="1:26" ht="15.75">
      <c r="A888" s="218"/>
      <c r="B888" s="221"/>
      <c r="C888" s="222"/>
      <c r="D888" s="218"/>
      <c r="E888" s="218"/>
      <c r="F888" s="220"/>
      <c r="G888" s="218"/>
      <c r="H888" s="218"/>
      <c r="I888" s="218"/>
      <c r="J888" s="218"/>
      <c r="K888" s="220"/>
      <c r="L888" s="220"/>
      <c r="M888" s="220"/>
      <c r="N888" s="220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spans="1:26" ht="15.75">
      <c r="A889" s="218"/>
      <c r="B889" s="221"/>
      <c r="C889" s="222"/>
      <c r="D889" s="218"/>
      <c r="E889" s="218"/>
      <c r="F889" s="220"/>
      <c r="G889" s="218"/>
      <c r="H889" s="218"/>
      <c r="I889" s="218"/>
      <c r="J889" s="218"/>
      <c r="K889" s="220"/>
      <c r="L889" s="220"/>
      <c r="M889" s="220"/>
      <c r="N889" s="220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spans="1:26" ht="15.75">
      <c r="A890" s="218"/>
      <c r="B890" s="221"/>
      <c r="C890" s="222"/>
      <c r="D890" s="218"/>
      <c r="E890" s="218"/>
      <c r="F890" s="220"/>
      <c r="G890" s="218"/>
      <c r="H890" s="218"/>
      <c r="I890" s="218"/>
      <c r="J890" s="218"/>
      <c r="K890" s="220"/>
      <c r="L890" s="220"/>
      <c r="M890" s="220"/>
      <c r="N890" s="220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spans="1:26" ht="15.75">
      <c r="A891" s="218"/>
      <c r="B891" s="221"/>
      <c r="C891" s="222"/>
      <c r="D891" s="218"/>
      <c r="E891" s="218"/>
      <c r="F891" s="220"/>
      <c r="G891" s="218"/>
      <c r="H891" s="218"/>
      <c r="I891" s="218"/>
      <c r="J891" s="218"/>
      <c r="K891" s="220"/>
      <c r="L891" s="220"/>
      <c r="M891" s="220"/>
      <c r="N891" s="220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spans="1:26" ht="15.75">
      <c r="A892" s="218"/>
      <c r="B892" s="221"/>
      <c r="C892" s="222"/>
      <c r="D892" s="218"/>
      <c r="E892" s="218"/>
      <c r="F892" s="220"/>
      <c r="G892" s="218"/>
      <c r="H892" s="218"/>
      <c r="I892" s="218"/>
      <c r="J892" s="218"/>
      <c r="K892" s="220"/>
      <c r="L892" s="220"/>
      <c r="M892" s="220"/>
      <c r="N892" s="220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spans="1:26" ht="15.75">
      <c r="A893" s="218"/>
      <c r="B893" s="221"/>
      <c r="C893" s="222"/>
      <c r="D893" s="218"/>
      <c r="E893" s="218"/>
      <c r="F893" s="220"/>
      <c r="G893" s="218"/>
      <c r="H893" s="218"/>
      <c r="I893" s="218"/>
      <c r="J893" s="218"/>
      <c r="K893" s="220"/>
      <c r="L893" s="220"/>
      <c r="M893" s="220"/>
      <c r="N893" s="220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spans="1:26" ht="15.75">
      <c r="A894" s="218"/>
      <c r="B894" s="221"/>
      <c r="C894" s="222"/>
      <c r="D894" s="218"/>
      <c r="E894" s="218"/>
      <c r="F894" s="220"/>
      <c r="G894" s="218"/>
      <c r="H894" s="218"/>
      <c r="I894" s="218"/>
      <c r="J894" s="218"/>
      <c r="K894" s="220"/>
      <c r="L894" s="220"/>
      <c r="M894" s="220"/>
      <c r="N894" s="220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spans="1:26" ht="15.75">
      <c r="A895" s="218"/>
      <c r="B895" s="221"/>
      <c r="C895" s="222"/>
      <c r="D895" s="218"/>
      <c r="E895" s="218"/>
      <c r="F895" s="220"/>
      <c r="G895" s="218"/>
      <c r="H895" s="218"/>
      <c r="I895" s="218"/>
      <c r="J895" s="218"/>
      <c r="K895" s="220"/>
      <c r="L895" s="220"/>
      <c r="M895" s="220"/>
      <c r="N895" s="220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spans="1:26" ht="15.75">
      <c r="A896" s="218"/>
      <c r="B896" s="221"/>
      <c r="C896" s="222"/>
      <c r="D896" s="218"/>
      <c r="E896" s="218"/>
      <c r="F896" s="220"/>
      <c r="G896" s="218"/>
      <c r="H896" s="218"/>
      <c r="I896" s="218"/>
      <c r="J896" s="218"/>
      <c r="K896" s="220"/>
      <c r="L896" s="220"/>
      <c r="M896" s="220"/>
      <c r="N896" s="220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spans="1:26" ht="15.75">
      <c r="A897" s="218"/>
      <c r="B897" s="221"/>
      <c r="C897" s="222"/>
      <c r="D897" s="218"/>
      <c r="E897" s="218"/>
      <c r="F897" s="220"/>
      <c r="G897" s="218"/>
      <c r="H897" s="218"/>
      <c r="I897" s="218"/>
      <c r="J897" s="218"/>
      <c r="K897" s="220"/>
      <c r="L897" s="220"/>
      <c r="M897" s="220"/>
      <c r="N897" s="220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spans="1:26" ht="15.75">
      <c r="A898" s="218"/>
      <c r="B898" s="221"/>
      <c r="C898" s="222"/>
      <c r="D898" s="218"/>
      <c r="E898" s="218"/>
      <c r="F898" s="220"/>
      <c r="G898" s="218"/>
      <c r="H898" s="218"/>
      <c r="I898" s="218"/>
      <c r="J898" s="218"/>
      <c r="K898" s="220"/>
      <c r="L898" s="220"/>
      <c r="M898" s="220"/>
      <c r="N898" s="220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spans="1:26" ht="15.75">
      <c r="A899" s="218"/>
      <c r="B899" s="221"/>
      <c r="C899" s="222"/>
      <c r="D899" s="218"/>
      <c r="E899" s="218"/>
      <c r="F899" s="220"/>
      <c r="G899" s="218"/>
      <c r="H899" s="218"/>
      <c r="I899" s="218"/>
      <c r="J899" s="218"/>
      <c r="K899" s="220"/>
      <c r="L899" s="220"/>
      <c r="M899" s="220"/>
      <c r="N899" s="220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spans="1:26" ht="15.75">
      <c r="A900" s="218"/>
      <c r="B900" s="221"/>
      <c r="C900" s="222"/>
      <c r="D900" s="218"/>
      <c r="E900" s="218"/>
      <c r="F900" s="220"/>
      <c r="G900" s="218"/>
      <c r="H900" s="218"/>
      <c r="I900" s="218"/>
      <c r="J900" s="218"/>
      <c r="K900" s="220"/>
      <c r="L900" s="220"/>
      <c r="M900" s="220"/>
      <c r="N900" s="220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spans="1:26" ht="15.75">
      <c r="A901" s="218"/>
      <c r="B901" s="221"/>
      <c r="C901" s="222"/>
      <c r="D901" s="218"/>
      <c r="E901" s="218"/>
      <c r="F901" s="220"/>
      <c r="G901" s="218"/>
      <c r="H901" s="218"/>
      <c r="I901" s="218"/>
      <c r="J901" s="218"/>
      <c r="K901" s="220"/>
      <c r="L901" s="220"/>
      <c r="M901" s="220"/>
      <c r="N901" s="220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spans="1:26" ht="15.75">
      <c r="A902" s="218"/>
      <c r="B902" s="221"/>
      <c r="C902" s="222"/>
      <c r="D902" s="218"/>
      <c r="E902" s="218"/>
      <c r="F902" s="220"/>
      <c r="G902" s="218"/>
      <c r="H902" s="218"/>
      <c r="I902" s="218"/>
      <c r="J902" s="218"/>
      <c r="K902" s="220"/>
      <c r="L902" s="220"/>
      <c r="M902" s="220"/>
      <c r="N902" s="220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spans="1:26" ht="15.75">
      <c r="A903" s="218"/>
      <c r="B903" s="221"/>
      <c r="C903" s="222"/>
      <c r="D903" s="218"/>
      <c r="E903" s="218"/>
      <c r="F903" s="220"/>
      <c r="G903" s="218"/>
      <c r="H903" s="218"/>
      <c r="I903" s="218"/>
      <c r="J903" s="218"/>
      <c r="K903" s="220"/>
      <c r="L903" s="220"/>
      <c r="M903" s="220"/>
      <c r="N903" s="220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spans="1:26" ht="15.75">
      <c r="A904" s="218"/>
      <c r="B904" s="221"/>
      <c r="C904" s="222"/>
      <c r="D904" s="218"/>
      <c r="E904" s="218"/>
      <c r="F904" s="220"/>
      <c r="G904" s="218"/>
      <c r="H904" s="218"/>
      <c r="I904" s="218"/>
      <c r="J904" s="218"/>
      <c r="K904" s="220"/>
      <c r="L904" s="220"/>
      <c r="M904" s="220"/>
      <c r="N904" s="220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spans="1:26" ht="15.75">
      <c r="A905" s="218"/>
      <c r="B905" s="221"/>
      <c r="C905" s="222"/>
      <c r="D905" s="218"/>
      <c r="E905" s="218"/>
      <c r="F905" s="220"/>
      <c r="G905" s="218"/>
      <c r="H905" s="218"/>
      <c r="I905" s="218"/>
      <c r="J905" s="218"/>
      <c r="K905" s="220"/>
      <c r="L905" s="220"/>
      <c r="M905" s="220"/>
      <c r="N905" s="220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spans="1:26" ht="15.75">
      <c r="A906" s="218"/>
      <c r="B906" s="221"/>
      <c r="C906" s="222"/>
      <c r="D906" s="218"/>
      <c r="E906" s="218"/>
      <c r="F906" s="220"/>
      <c r="G906" s="218"/>
      <c r="H906" s="218"/>
      <c r="I906" s="218"/>
      <c r="J906" s="218"/>
      <c r="K906" s="220"/>
      <c r="L906" s="220"/>
      <c r="M906" s="220"/>
      <c r="N906" s="220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spans="1:26" ht="15.75">
      <c r="A907" s="218"/>
      <c r="B907" s="221"/>
      <c r="C907" s="222"/>
      <c r="D907" s="218"/>
      <c r="E907" s="218"/>
      <c r="F907" s="220"/>
      <c r="G907" s="218"/>
      <c r="H907" s="218"/>
      <c r="I907" s="218"/>
      <c r="J907" s="218"/>
      <c r="K907" s="220"/>
      <c r="L907" s="220"/>
      <c r="M907" s="220"/>
      <c r="N907" s="220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spans="1:26" ht="15.75">
      <c r="A908" s="218"/>
      <c r="B908" s="221"/>
      <c r="C908" s="222"/>
      <c r="D908" s="218"/>
      <c r="E908" s="218"/>
      <c r="F908" s="220"/>
      <c r="G908" s="218"/>
      <c r="H908" s="218"/>
      <c r="I908" s="218"/>
      <c r="J908" s="218"/>
      <c r="K908" s="220"/>
      <c r="L908" s="220"/>
      <c r="M908" s="220"/>
      <c r="N908" s="220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spans="1:26" ht="15.75">
      <c r="A909" s="218"/>
      <c r="B909" s="221"/>
      <c r="C909" s="222"/>
      <c r="D909" s="218"/>
      <c r="E909" s="218"/>
      <c r="F909" s="220"/>
      <c r="G909" s="218"/>
      <c r="H909" s="218"/>
      <c r="I909" s="218"/>
      <c r="J909" s="218"/>
      <c r="K909" s="220"/>
      <c r="L909" s="220"/>
      <c r="M909" s="220"/>
      <c r="N909" s="220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spans="1:26" ht="15.75">
      <c r="A910" s="218"/>
      <c r="B910" s="221"/>
      <c r="C910" s="222"/>
      <c r="D910" s="218"/>
      <c r="E910" s="218"/>
      <c r="F910" s="220"/>
      <c r="G910" s="218"/>
      <c r="H910" s="218"/>
      <c r="I910" s="218"/>
      <c r="J910" s="218"/>
      <c r="K910" s="220"/>
      <c r="L910" s="220"/>
      <c r="M910" s="220"/>
      <c r="N910" s="220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spans="1:26" ht="15.75">
      <c r="A911" s="218"/>
      <c r="B911" s="221"/>
      <c r="C911" s="222"/>
      <c r="D911" s="218"/>
      <c r="E911" s="218"/>
      <c r="F911" s="220"/>
      <c r="G911" s="218"/>
      <c r="H911" s="218"/>
      <c r="I911" s="218"/>
      <c r="J911" s="218"/>
      <c r="K911" s="220"/>
      <c r="L911" s="220"/>
      <c r="M911" s="220"/>
      <c r="N911" s="220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spans="1:26" ht="15.75">
      <c r="A912" s="218"/>
      <c r="B912" s="221"/>
      <c r="C912" s="222"/>
      <c r="D912" s="218"/>
      <c r="E912" s="218"/>
      <c r="F912" s="220"/>
      <c r="G912" s="218"/>
      <c r="H912" s="218"/>
      <c r="I912" s="218"/>
      <c r="J912" s="218"/>
      <c r="K912" s="220"/>
      <c r="L912" s="220"/>
      <c r="M912" s="220"/>
      <c r="N912" s="220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spans="1:26" ht="15.75">
      <c r="A913" s="218"/>
      <c r="B913" s="221"/>
      <c r="C913" s="222"/>
      <c r="D913" s="218"/>
      <c r="E913" s="218"/>
      <c r="F913" s="220"/>
      <c r="G913" s="218"/>
      <c r="H913" s="218"/>
      <c r="I913" s="218"/>
      <c r="J913" s="218"/>
      <c r="K913" s="220"/>
      <c r="L913" s="220"/>
      <c r="M913" s="220"/>
      <c r="N913" s="220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spans="1:26" ht="15.75">
      <c r="A914" s="218"/>
      <c r="B914" s="221"/>
      <c r="C914" s="222"/>
      <c r="D914" s="218"/>
      <c r="E914" s="218"/>
      <c r="F914" s="220"/>
      <c r="G914" s="218"/>
      <c r="H914" s="218"/>
      <c r="I914" s="218"/>
      <c r="J914" s="218"/>
      <c r="K914" s="220"/>
      <c r="L914" s="220"/>
      <c r="M914" s="220"/>
      <c r="N914" s="220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spans="1:26" ht="15.75">
      <c r="A915" s="218"/>
      <c r="B915" s="221"/>
      <c r="C915" s="222"/>
      <c r="D915" s="218"/>
      <c r="E915" s="218"/>
      <c r="F915" s="220"/>
      <c r="G915" s="218"/>
      <c r="H915" s="218"/>
      <c r="I915" s="218"/>
      <c r="J915" s="218"/>
      <c r="K915" s="220"/>
      <c r="L915" s="220"/>
      <c r="M915" s="220"/>
      <c r="N915" s="220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spans="1:26" ht="15.75">
      <c r="A916" s="218"/>
      <c r="B916" s="221"/>
      <c r="C916" s="222"/>
      <c r="D916" s="218"/>
      <c r="E916" s="218"/>
      <c r="F916" s="220"/>
      <c r="G916" s="218"/>
      <c r="H916" s="218"/>
      <c r="I916" s="218"/>
      <c r="J916" s="218"/>
      <c r="K916" s="220"/>
      <c r="L916" s="220"/>
      <c r="M916" s="220"/>
      <c r="N916" s="220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spans="1:26" ht="15.75">
      <c r="A917" s="218"/>
      <c r="B917" s="221"/>
      <c r="C917" s="222"/>
      <c r="D917" s="218"/>
      <c r="E917" s="218"/>
      <c r="F917" s="220"/>
      <c r="G917" s="218"/>
      <c r="H917" s="218"/>
      <c r="I917" s="218"/>
      <c r="J917" s="218"/>
      <c r="K917" s="220"/>
      <c r="L917" s="220"/>
      <c r="M917" s="220"/>
      <c r="N917" s="220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spans="1:26" ht="15.75">
      <c r="A918" s="218"/>
      <c r="B918" s="221"/>
      <c r="C918" s="222"/>
      <c r="D918" s="218"/>
      <c r="E918" s="218"/>
      <c r="F918" s="220"/>
      <c r="G918" s="218"/>
      <c r="H918" s="218"/>
      <c r="I918" s="218"/>
      <c r="J918" s="218"/>
      <c r="K918" s="220"/>
      <c r="L918" s="220"/>
      <c r="M918" s="220"/>
      <c r="N918" s="220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spans="1:26" ht="15.75">
      <c r="A919" s="218"/>
      <c r="B919" s="221"/>
      <c r="C919" s="222"/>
      <c r="D919" s="218"/>
      <c r="E919" s="218"/>
      <c r="F919" s="220"/>
      <c r="G919" s="218"/>
      <c r="H919" s="218"/>
      <c r="I919" s="218"/>
      <c r="J919" s="218"/>
      <c r="K919" s="220"/>
      <c r="L919" s="220"/>
      <c r="M919" s="220"/>
      <c r="N919" s="220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spans="1:26" ht="15.75">
      <c r="A920" s="218"/>
      <c r="B920" s="221"/>
      <c r="C920" s="222"/>
      <c r="D920" s="218"/>
      <c r="E920" s="218"/>
      <c r="F920" s="220"/>
      <c r="G920" s="218"/>
      <c r="H920" s="218"/>
      <c r="I920" s="218"/>
      <c r="J920" s="218"/>
      <c r="K920" s="220"/>
      <c r="L920" s="220"/>
      <c r="M920" s="220"/>
      <c r="N920" s="220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spans="1:26" ht="15.75">
      <c r="A921" s="218"/>
      <c r="B921" s="221"/>
      <c r="C921" s="222"/>
      <c r="D921" s="218"/>
      <c r="E921" s="218"/>
      <c r="F921" s="220"/>
      <c r="G921" s="218"/>
      <c r="H921" s="218"/>
      <c r="I921" s="218"/>
      <c r="J921" s="218"/>
      <c r="K921" s="220"/>
      <c r="L921" s="220"/>
      <c r="M921" s="220"/>
      <c r="N921" s="220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spans="1:26" ht="15.75">
      <c r="A922" s="218"/>
      <c r="B922" s="221"/>
      <c r="C922" s="222"/>
      <c r="D922" s="218"/>
      <c r="E922" s="218"/>
      <c r="F922" s="220"/>
      <c r="G922" s="218"/>
      <c r="H922" s="218"/>
      <c r="I922" s="218"/>
      <c r="J922" s="218"/>
      <c r="K922" s="220"/>
      <c r="L922" s="220"/>
      <c r="M922" s="220"/>
      <c r="N922" s="220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spans="1:26" ht="15.75">
      <c r="A923" s="218"/>
      <c r="B923" s="221"/>
      <c r="C923" s="222"/>
      <c r="D923" s="218"/>
      <c r="E923" s="218"/>
      <c r="F923" s="220"/>
      <c r="G923" s="218"/>
      <c r="H923" s="218"/>
      <c r="I923" s="218"/>
      <c r="J923" s="218"/>
      <c r="K923" s="220"/>
      <c r="L923" s="220"/>
      <c r="M923" s="220"/>
      <c r="N923" s="220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spans="1:26" ht="15.75">
      <c r="A924" s="218"/>
      <c r="B924" s="221"/>
      <c r="C924" s="222"/>
      <c r="D924" s="218"/>
      <c r="E924" s="218"/>
      <c r="F924" s="220"/>
      <c r="G924" s="218"/>
      <c r="H924" s="218"/>
      <c r="I924" s="218"/>
      <c r="J924" s="218"/>
      <c r="K924" s="220"/>
      <c r="L924" s="220"/>
      <c r="M924" s="220"/>
      <c r="N924" s="220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spans="1:26" ht="15.75">
      <c r="A925" s="218"/>
      <c r="B925" s="221"/>
      <c r="C925" s="222"/>
      <c r="D925" s="218"/>
      <c r="E925" s="218"/>
      <c r="F925" s="220"/>
      <c r="G925" s="218"/>
      <c r="H925" s="218"/>
      <c r="I925" s="218"/>
      <c r="J925" s="218"/>
      <c r="K925" s="220"/>
      <c r="L925" s="220"/>
      <c r="M925" s="220"/>
      <c r="N925" s="220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spans="1:26" ht="15.75">
      <c r="A926" s="218"/>
      <c r="B926" s="221"/>
      <c r="C926" s="222"/>
      <c r="D926" s="218"/>
      <c r="E926" s="218"/>
      <c r="F926" s="220"/>
      <c r="G926" s="218"/>
      <c r="H926" s="218"/>
      <c r="I926" s="218"/>
      <c r="J926" s="218"/>
      <c r="K926" s="220"/>
      <c r="L926" s="220"/>
      <c r="M926" s="220"/>
      <c r="N926" s="220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spans="1:26" ht="15.75">
      <c r="A927" s="218"/>
      <c r="B927" s="221"/>
      <c r="C927" s="222"/>
      <c r="D927" s="218"/>
      <c r="E927" s="218"/>
      <c r="F927" s="220"/>
      <c r="G927" s="218"/>
      <c r="H927" s="218"/>
      <c r="I927" s="218"/>
      <c r="J927" s="218"/>
      <c r="K927" s="220"/>
      <c r="L927" s="220"/>
      <c r="M927" s="220"/>
      <c r="N927" s="220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spans="1:26" ht="15.75">
      <c r="A928" s="218"/>
      <c r="B928" s="221"/>
      <c r="C928" s="222"/>
      <c r="D928" s="218"/>
      <c r="E928" s="218"/>
      <c r="F928" s="220"/>
      <c r="G928" s="218"/>
      <c r="H928" s="218"/>
      <c r="I928" s="218"/>
      <c r="J928" s="218"/>
      <c r="K928" s="220"/>
      <c r="L928" s="220"/>
      <c r="M928" s="220"/>
      <c r="N928" s="220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spans="1:26" ht="15.75">
      <c r="A929" s="218"/>
      <c r="B929" s="221"/>
      <c r="C929" s="222"/>
      <c r="D929" s="218"/>
      <c r="E929" s="218"/>
      <c r="F929" s="220"/>
      <c r="G929" s="218"/>
      <c r="H929" s="218"/>
      <c r="I929" s="218"/>
      <c r="J929" s="218"/>
      <c r="K929" s="220"/>
      <c r="L929" s="220"/>
      <c r="M929" s="220"/>
      <c r="N929" s="220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spans="1:26" ht="15.75">
      <c r="A930" s="218"/>
      <c r="B930" s="221"/>
      <c r="C930" s="222"/>
      <c r="D930" s="218"/>
      <c r="E930" s="218"/>
      <c r="F930" s="220"/>
      <c r="G930" s="218"/>
      <c r="H930" s="218"/>
      <c r="I930" s="218"/>
      <c r="J930" s="218"/>
      <c r="K930" s="220"/>
      <c r="L930" s="220"/>
      <c r="M930" s="220"/>
      <c r="N930" s="220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spans="1:26" ht="15.75">
      <c r="A931" s="218"/>
      <c r="B931" s="221"/>
      <c r="C931" s="222"/>
      <c r="D931" s="218"/>
      <c r="E931" s="218"/>
      <c r="F931" s="220"/>
      <c r="G931" s="218"/>
      <c r="H931" s="218"/>
      <c r="I931" s="218"/>
      <c r="J931" s="218"/>
      <c r="K931" s="220"/>
      <c r="L931" s="220"/>
      <c r="M931" s="220"/>
      <c r="N931" s="220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spans="1:26" ht="15.75">
      <c r="A932" s="218"/>
      <c r="B932" s="221"/>
      <c r="C932" s="222"/>
      <c r="D932" s="218"/>
      <c r="E932" s="218"/>
      <c r="F932" s="220"/>
      <c r="G932" s="218"/>
      <c r="H932" s="218"/>
      <c r="I932" s="218"/>
      <c r="J932" s="218"/>
      <c r="K932" s="220"/>
      <c r="L932" s="220"/>
      <c r="M932" s="220"/>
      <c r="N932" s="220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spans="1:26" ht="15.75">
      <c r="A933" s="218"/>
      <c r="B933" s="221"/>
      <c r="C933" s="222"/>
      <c r="D933" s="218"/>
      <c r="E933" s="218"/>
      <c r="F933" s="220"/>
      <c r="G933" s="218"/>
      <c r="H933" s="218"/>
      <c r="I933" s="218"/>
      <c r="J933" s="218"/>
      <c r="K933" s="220"/>
      <c r="L933" s="220"/>
      <c r="M933" s="220"/>
      <c r="N933" s="220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spans="1:26" ht="15.75">
      <c r="A934" s="218"/>
      <c r="B934" s="221"/>
      <c r="C934" s="222"/>
      <c r="D934" s="218"/>
      <c r="E934" s="218"/>
      <c r="F934" s="220"/>
      <c r="G934" s="218"/>
      <c r="H934" s="218"/>
      <c r="I934" s="218"/>
      <c r="J934" s="218"/>
      <c r="K934" s="220"/>
      <c r="L934" s="220"/>
      <c r="M934" s="220"/>
      <c r="N934" s="220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spans="1:26" ht="15.75">
      <c r="A935" s="218"/>
      <c r="B935" s="221"/>
      <c r="C935" s="222"/>
      <c r="D935" s="218"/>
      <c r="E935" s="218"/>
      <c r="F935" s="220"/>
      <c r="G935" s="218"/>
      <c r="H935" s="218"/>
      <c r="I935" s="218"/>
      <c r="J935" s="218"/>
      <c r="K935" s="220"/>
      <c r="L935" s="220"/>
      <c r="M935" s="220"/>
      <c r="N935" s="220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spans="1:26" ht="15.75">
      <c r="A936" s="218"/>
      <c r="B936" s="221"/>
      <c r="C936" s="222"/>
      <c r="D936" s="218"/>
      <c r="E936" s="218"/>
      <c r="F936" s="220"/>
      <c r="G936" s="218"/>
      <c r="H936" s="218"/>
      <c r="I936" s="218"/>
      <c r="J936" s="218"/>
      <c r="K936" s="220"/>
      <c r="L936" s="220"/>
      <c r="M936" s="220"/>
      <c r="N936" s="220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spans="1:26" ht="15.75">
      <c r="A937" s="218"/>
      <c r="B937" s="221"/>
      <c r="C937" s="222"/>
      <c r="D937" s="218"/>
      <c r="E937" s="218"/>
      <c r="F937" s="220"/>
      <c r="G937" s="218"/>
      <c r="H937" s="218"/>
      <c r="I937" s="218"/>
      <c r="J937" s="218"/>
      <c r="K937" s="220"/>
      <c r="L937" s="220"/>
      <c r="M937" s="220"/>
      <c r="N937" s="220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spans="1:26" ht="15.75">
      <c r="A938" s="218"/>
      <c r="B938" s="221"/>
      <c r="C938" s="222"/>
      <c r="D938" s="218"/>
      <c r="E938" s="218"/>
      <c r="F938" s="220"/>
      <c r="G938" s="218"/>
      <c r="H938" s="218"/>
      <c r="I938" s="218"/>
      <c r="J938" s="218"/>
      <c r="K938" s="220"/>
      <c r="L938" s="220"/>
      <c r="M938" s="220"/>
      <c r="N938" s="220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spans="1:26" ht="15.75">
      <c r="A939" s="218"/>
      <c r="B939" s="221"/>
      <c r="C939" s="222"/>
      <c r="D939" s="218"/>
      <c r="E939" s="218"/>
      <c r="F939" s="220"/>
      <c r="G939" s="218"/>
      <c r="H939" s="218"/>
      <c r="I939" s="218"/>
      <c r="J939" s="218"/>
      <c r="K939" s="220"/>
      <c r="L939" s="220"/>
      <c r="M939" s="220"/>
      <c r="N939" s="220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spans="1:26" ht="15.75">
      <c r="A940" s="218"/>
      <c r="B940" s="221"/>
      <c r="C940" s="222"/>
      <c r="D940" s="218"/>
      <c r="E940" s="218"/>
      <c r="F940" s="220"/>
      <c r="G940" s="218"/>
      <c r="H940" s="218"/>
      <c r="I940" s="218"/>
      <c r="J940" s="218"/>
      <c r="K940" s="220"/>
      <c r="L940" s="220"/>
      <c r="M940" s="220"/>
      <c r="N940" s="220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spans="1:26" ht="15.75">
      <c r="A941" s="218"/>
      <c r="B941" s="221"/>
      <c r="C941" s="222"/>
      <c r="D941" s="218"/>
      <c r="E941" s="218"/>
      <c r="F941" s="220"/>
      <c r="G941" s="218"/>
      <c r="H941" s="218"/>
      <c r="I941" s="218"/>
      <c r="J941" s="218"/>
      <c r="K941" s="220"/>
      <c r="L941" s="220"/>
      <c r="M941" s="220"/>
      <c r="N941" s="220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spans="1:26" ht="15.75">
      <c r="A942" s="218"/>
      <c r="B942" s="221"/>
      <c r="C942" s="222"/>
      <c r="D942" s="218"/>
      <c r="E942" s="218"/>
      <c r="F942" s="220"/>
      <c r="G942" s="218"/>
      <c r="H942" s="218"/>
      <c r="I942" s="218"/>
      <c r="J942" s="218"/>
      <c r="K942" s="220"/>
      <c r="L942" s="220"/>
      <c r="M942" s="220"/>
      <c r="N942" s="220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spans="1:26" ht="15.75">
      <c r="A943" s="218"/>
      <c r="B943" s="221"/>
      <c r="C943" s="222"/>
      <c r="D943" s="218"/>
      <c r="E943" s="218"/>
      <c r="F943" s="220"/>
      <c r="G943" s="218"/>
      <c r="H943" s="218"/>
      <c r="I943" s="218"/>
      <c r="J943" s="218"/>
      <c r="K943" s="220"/>
      <c r="L943" s="220"/>
      <c r="M943" s="220"/>
      <c r="N943" s="220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spans="1:26" ht="15.75">
      <c r="A944" s="218"/>
      <c r="B944" s="221"/>
      <c r="C944" s="222"/>
      <c r="D944" s="218"/>
      <c r="E944" s="218"/>
      <c r="F944" s="220"/>
      <c r="G944" s="218"/>
      <c r="H944" s="218"/>
      <c r="I944" s="218"/>
      <c r="J944" s="218"/>
      <c r="K944" s="220"/>
      <c r="L944" s="220"/>
      <c r="M944" s="220"/>
      <c r="N944" s="220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spans="1:26" ht="15.75">
      <c r="A945" s="218"/>
      <c r="B945" s="221"/>
      <c r="C945" s="222"/>
      <c r="D945" s="218"/>
      <c r="E945" s="218"/>
      <c r="F945" s="220"/>
      <c r="G945" s="218"/>
      <c r="H945" s="218"/>
      <c r="I945" s="218"/>
      <c r="J945" s="218"/>
      <c r="K945" s="220"/>
      <c r="L945" s="220"/>
      <c r="M945" s="220"/>
      <c r="N945" s="220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spans="1:26" ht="15.75">
      <c r="A946" s="218"/>
      <c r="B946" s="221"/>
      <c r="C946" s="222"/>
      <c r="D946" s="218"/>
      <c r="E946" s="218"/>
      <c r="F946" s="220"/>
      <c r="G946" s="218"/>
      <c r="H946" s="218"/>
      <c r="I946" s="218"/>
      <c r="J946" s="218"/>
      <c r="K946" s="220"/>
      <c r="L946" s="220"/>
      <c r="M946" s="220"/>
      <c r="N946" s="220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spans="1:26" ht="15.75">
      <c r="A947" s="218"/>
      <c r="B947" s="221"/>
      <c r="C947" s="222"/>
      <c r="D947" s="218"/>
      <c r="E947" s="218"/>
      <c r="F947" s="220"/>
      <c r="G947" s="218"/>
      <c r="H947" s="218"/>
      <c r="I947" s="218"/>
      <c r="J947" s="218"/>
      <c r="K947" s="220"/>
      <c r="L947" s="220"/>
      <c r="M947" s="220"/>
      <c r="N947" s="220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spans="1:26" ht="15.75">
      <c r="A948" s="218"/>
      <c r="B948" s="221"/>
      <c r="C948" s="222"/>
      <c r="D948" s="218"/>
      <c r="E948" s="218"/>
      <c r="F948" s="220"/>
      <c r="G948" s="218"/>
      <c r="H948" s="218"/>
      <c r="I948" s="218"/>
      <c r="J948" s="218"/>
      <c r="K948" s="220"/>
      <c r="L948" s="220"/>
      <c r="M948" s="220"/>
      <c r="N948" s="220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spans="1:26" ht="15.75">
      <c r="A949" s="218"/>
      <c r="B949" s="221"/>
      <c r="C949" s="222"/>
      <c r="D949" s="218"/>
      <c r="E949" s="218"/>
      <c r="F949" s="220"/>
      <c r="G949" s="218"/>
      <c r="H949" s="218"/>
      <c r="I949" s="218"/>
      <c r="J949" s="218"/>
      <c r="K949" s="220"/>
      <c r="L949" s="220"/>
      <c r="M949" s="220"/>
      <c r="N949" s="220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spans="1:26" ht="15.75">
      <c r="A950" s="218"/>
      <c r="B950" s="221"/>
      <c r="C950" s="222"/>
      <c r="D950" s="218"/>
      <c r="E950" s="218"/>
      <c r="F950" s="220"/>
      <c r="G950" s="218"/>
      <c r="H950" s="218"/>
      <c r="I950" s="218"/>
      <c r="J950" s="218"/>
      <c r="K950" s="220"/>
      <c r="L950" s="220"/>
      <c r="M950" s="220"/>
      <c r="N950" s="220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spans="1:26" ht="15.75">
      <c r="A951" s="218"/>
      <c r="B951" s="221"/>
      <c r="C951" s="222"/>
      <c r="D951" s="218"/>
      <c r="E951" s="218"/>
      <c r="F951" s="220"/>
      <c r="G951" s="218"/>
      <c r="H951" s="218"/>
      <c r="I951" s="218"/>
      <c r="J951" s="218"/>
      <c r="K951" s="220"/>
      <c r="L951" s="220"/>
      <c r="M951" s="220"/>
      <c r="N951" s="220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spans="1:26" ht="15.75">
      <c r="A952" s="218"/>
      <c r="B952" s="221"/>
      <c r="C952" s="222"/>
      <c r="D952" s="218"/>
      <c r="E952" s="218"/>
      <c r="F952" s="220"/>
      <c r="G952" s="218"/>
      <c r="H952" s="218"/>
      <c r="I952" s="218"/>
      <c r="J952" s="218"/>
      <c r="K952" s="220"/>
      <c r="L952" s="220"/>
      <c r="M952" s="220"/>
      <c r="N952" s="220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spans="1:26" ht="15.75">
      <c r="A953" s="218"/>
      <c r="B953" s="221"/>
      <c r="C953" s="222"/>
      <c r="D953" s="218"/>
      <c r="E953" s="218"/>
      <c r="F953" s="220"/>
      <c r="G953" s="218"/>
      <c r="H953" s="218"/>
      <c r="I953" s="218"/>
      <c r="J953" s="218"/>
      <c r="K953" s="220"/>
      <c r="L953" s="220"/>
      <c r="M953" s="220"/>
      <c r="N953" s="220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spans="1:26" ht="15.75">
      <c r="A954" s="218"/>
      <c r="B954" s="221"/>
      <c r="C954" s="222"/>
      <c r="D954" s="218"/>
      <c r="E954" s="218"/>
      <c r="F954" s="220"/>
      <c r="G954" s="218"/>
      <c r="H954" s="218"/>
      <c r="I954" s="218"/>
      <c r="J954" s="218"/>
      <c r="K954" s="220"/>
      <c r="L954" s="220"/>
      <c r="M954" s="220"/>
      <c r="N954" s="220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spans="1:26" ht="15.75">
      <c r="A955" s="218"/>
      <c r="B955" s="221"/>
      <c r="C955" s="222"/>
      <c r="D955" s="218"/>
      <c r="E955" s="218"/>
      <c r="F955" s="220"/>
      <c r="G955" s="218"/>
      <c r="H955" s="218"/>
      <c r="I955" s="218"/>
      <c r="J955" s="218"/>
      <c r="K955" s="220"/>
      <c r="L955" s="220"/>
      <c r="M955" s="220"/>
      <c r="N955" s="220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spans="1:26" ht="15.75">
      <c r="A956" s="218"/>
      <c r="B956" s="221"/>
      <c r="C956" s="222"/>
      <c r="D956" s="218"/>
      <c r="E956" s="218"/>
      <c r="F956" s="220"/>
      <c r="G956" s="218"/>
      <c r="H956" s="218"/>
      <c r="I956" s="218"/>
      <c r="J956" s="218"/>
      <c r="K956" s="220"/>
      <c r="L956" s="220"/>
      <c r="M956" s="220"/>
      <c r="N956" s="220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spans="1:26" ht="15.75">
      <c r="A957" s="218"/>
      <c r="B957" s="221"/>
      <c r="C957" s="222"/>
      <c r="D957" s="218"/>
      <c r="E957" s="218"/>
      <c r="F957" s="220"/>
      <c r="G957" s="218"/>
      <c r="H957" s="218"/>
      <c r="I957" s="218"/>
      <c r="J957" s="218"/>
      <c r="K957" s="220"/>
      <c r="L957" s="220"/>
      <c r="M957" s="220"/>
      <c r="N957" s="220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spans="1:26" ht="15.75">
      <c r="A958" s="218"/>
      <c r="B958" s="221"/>
      <c r="C958" s="222"/>
      <c r="D958" s="218"/>
      <c r="E958" s="218"/>
      <c r="F958" s="220"/>
      <c r="G958" s="218"/>
      <c r="H958" s="218"/>
      <c r="I958" s="218"/>
      <c r="J958" s="218"/>
      <c r="K958" s="220"/>
      <c r="L958" s="220"/>
      <c r="M958" s="220"/>
      <c r="N958" s="220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spans="1:26" ht="15.75">
      <c r="A959" s="218"/>
      <c r="B959" s="221"/>
      <c r="C959" s="222"/>
      <c r="D959" s="218"/>
      <c r="E959" s="218"/>
      <c r="F959" s="220"/>
      <c r="G959" s="218"/>
      <c r="H959" s="218"/>
      <c r="I959" s="218"/>
      <c r="J959" s="218"/>
      <c r="K959" s="220"/>
      <c r="L959" s="220"/>
      <c r="M959" s="220"/>
      <c r="N959" s="220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spans="1:26" ht="15.75">
      <c r="A960" s="218"/>
      <c r="B960" s="221"/>
      <c r="C960" s="222"/>
      <c r="D960" s="218"/>
      <c r="E960" s="218"/>
      <c r="F960" s="220"/>
      <c r="G960" s="218"/>
      <c r="H960" s="218"/>
      <c r="I960" s="218"/>
      <c r="J960" s="218"/>
      <c r="K960" s="220"/>
      <c r="L960" s="220"/>
      <c r="M960" s="220"/>
      <c r="N960" s="220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spans="1:26" ht="15.75">
      <c r="A961" s="218"/>
      <c r="B961" s="221"/>
      <c r="C961" s="222"/>
      <c r="D961" s="218"/>
      <c r="E961" s="218"/>
      <c r="F961" s="220"/>
      <c r="G961" s="218"/>
      <c r="H961" s="218"/>
      <c r="I961" s="218"/>
      <c r="J961" s="218"/>
      <c r="K961" s="220"/>
      <c r="L961" s="220"/>
      <c r="M961" s="220"/>
      <c r="N961" s="220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spans="1:26" ht="15.75">
      <c r="A962" s="218"/>
      <c r="B962" s="221"/>
      <c r="C962" s="222"/>
      <c r="D962" s="218"/>
      <c r="E962" s="218"/>
      <c r="F962" s="220"/>
      <c r="G962" s="218"/>
      <c r="H962" s="218"/>
      <c r="I962" s="218"/>
      <c r="J962" s="218"/>
      <c r="K962" s="220"/>
      <c r="L962" s="220"/>
      <c r="M962" s="220"/>
      <c r="N962" s="220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spans="1:26" ht="15.75">
      <c r="A963" s="218"/>
      <c r="B963" s="221"/>
      <c r="C963" s="222"/>
      <c r="D963" s="218"/>
      <c r="E963" s="218"/>
      <c r="F963" s="220"/>
      <c r="G963" s="218"/>
      <c r="H963" s="218"/>
      <c r="I963" s="218"/>
      <c r="J963" s="218"/>
      <c r="K963" s="220"/>
      <c r="L963" s="220"/>
      <c r="M963" s="220"/>
      <c r="N963" s="220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spans="1:26" ht="15.75">
      <c r="A964" s="218"/>
      <c r="B964" s="221"/>
      <c r="C964" s="222"/>
      <c r="D964" s="218"/>
      <c r="E964" s="218"/>
      <c r="F964" s="220"/>
      <c r="G964" s="218"/>
      <c r="H964" s="218"/>
      <c r="I964" s="218"/>
      <c r="J964" s="218"/>
      <c r="K964" s="220"/>
      <c r="L964" s="220"/>
      <c r="M964" s="220"/>
      <c r="N964" s="220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spans="1:26" ht="15.75">
      <c r="A965" s="218"/>
      <c r="B965" s="221"/>
      <c r="C965" s="222"/>
      <c r="D965" s="218"/>
      <c r="E965" s="218"/>
      <c r="F965" s="220"/>
      <c r="G965" s="218"/>
      <c r="H965" s="218"/>
      <c r="I965" s="218"/>
      <c r="J965" s="218"/>
      <c r="K965" s="220"/>
      <c r="L965" s="220"/>
      <c r="M965" s="220"/>
      <c r="N965" s="220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spans="1:26" ht="15.75">
      <c r="A966" s="218"/>
      <c r="B966" s="221"/>
      <c r="C966" s="222"/>
      <c r="D966" s="218"/>
      <c r="E966" s="218"/>
      <c r="F966" s="220"/>
      <c r="G966" s="218"/>
      <c r="H966" s="218"/>
      <c r="I966" s="218"/>
      <c r="J966" s="218"/>
      <c r="K966" s="220"/>
      <c r="L966" s="220"/>
      <c r="M966" s="220"/>
      <c r="N966" s="220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spans="1:26" ht="15.75">
      <c r="A967" s="218"/>
      <c r="B967" s="221"/>
      <c r="C967" s="222"/>
      <c r="D967" s="218"/>
      <c r="E967" s="218"/>
      <c r="F967" s="220"/>
      <c r="G967" s="218"/>
      <c r="H967" s="218"/>
      <c r="I967" s="218"/>
      <c r="J967" s="218"/>
      <c r="K967" s="220"/>
      <c r="L967" s="220"/>
      <c r="M967" s="220"/>
      <c r="N967" s="220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spans="1:26" ht="15.75">
      <c r="A968" s="218"/>
      <c r="B968" s="221"/>
      <c r="C968" s="222"/>
      <c r="D968" s="218"/>
      <c r="E968" s="218"/>
      <c r="F968" s="220"/>
      <c r="G968" s="218"/>
      <c r="H968" s="218"/>
      <c r="I968" s="218"/>
      <c r="J968" s="218"/>
      <c r="K968" s="220"/>
      <c r="L968" s="220"/>
      <c r="M968" s="220"/>
      <c r="N968" s="220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spans="1:26" ht="15.75">
      <c r="A969" s="218"/>
      <c r="B969" s="221"/>
      <c r="C969" s="222"/>
      <c r="D969" s="218"/>
      <c r="E969" s="218"/>
      <c r="F969" s="220"/>
      <c r="G969" s="218"/>
      <c r="H969" s="218"/>
      <c r="I969" s="218"/>
      <c r="J969" s="218"/>
      <c r="K969" s="220"/>
      <c r="L969" s="220"/>
      <c r="M969" s="220"/>
      <c r="N969" s="220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spans="1:26" ht="15.75">
      <c r="A970" s="218"/>
      <c r="B970" s="221"/>
      <c r="C970" s="222"/>
      <c r="D970" s="218"/>
      <c r="E970" s="218"/>
      <c r="F970" s="220"/>
      <c r="G970" s="218"/>
      <c r="H970" s="218"/>
      <c r="I970" s="218"/>
      <c r="J970" s="218"/>
      <c r="K970" s="220"/>
      <c r="L970" s="220"/>
      <c r="M970" s="220"/>
      <c r="N970" s="220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spans="1:26" ht="15.75">
      <c r="A971" s="218"/>
      <c r="B971" s="221"/>
      <c r="C971" s="222"/>
      <c r="D971" s="218"/>
      <c r="E971" s="218"/>
      <c r="F971" s="220"/>
      <c r="G971" s="218"/>
      <c r="H971" s="218"/>
      <c r="I971" s="218"/>
      <c r="J971" s="218"/>
      <c r="K971" s="220"/>
      <c r="L971" s="220"/>
      <c r="M971" s="220"/>
      <c r="N971" s="220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spans="1:26" ht="15.75">
      <c r="A972" s="218"/>
      <c r="B972" s="221"/>
      <c r="C972" s="222"/>
      <c r="D972" s="218"/>
      <c r="E972" s="218"/>
      <c r="F972" s="220"/>
      <c r="G972" s="218"/>
      <c r="H972" s="218"/>
      <c r="I972" s="218"/>
      <c r="J972" s="218"/>
      <c r="K972" s="220"/>
      <c r="L972" s="220"/>
      <c r="M972" s="220"/>
      <c r="N972" s="220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spans="1:26" ht="15.75">
      <c r="A973" s="218"/>
      <c r="B973" s="221"/>
      <c r="C973" s="222"/>
      <c r="D973" s="218"/>
      <c r="E973" s="218"/>
      <c r="F973" s="220"/>
      <c r="G973" s="218"/>
      <c r="H973" s="218"/>
      <c r="I973" s="218"/>
      <c r="J973" s="218"/>
      <c r="K973" s="220"/>
      <c r="L973" s="220"/>
      <c r="M973" s="220"/>
      <c r="N973" s="220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spans="1:26" ht="15.75">
      <c r="A974" s="218"/>
      <c r="B974" s="221"/>
      <c r="C974" s="222"/>
      <c r="D974" s="218"/>
      <c r="E974" s="218"/>
      <c r="F974" s="220"/>
      <c r="G974" s="218"/>
      <c r="H974" s="218"/>
      <c r="I974" s="218"/>
      <c r="J974" s="218"/>
      <c r="K974" s="220"/>
      <c r="L974" s="220"/>
      <c r="M974" s="220"/>
      <c r="N974" s="220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spans="1:26" ht="15.75">
      <c r="A975" s="218"/>
      <c r="B975" s="221"/>
      <c r="C975" s="222"/>
      <c r="D975" s="218"/>
      <c r="E975" s="218"/>
      <c r="F975" s="220"/>
      <c r="G975" s="218"/>
      <c r="H975" s="218"/>
      <c r="I975" s="218"/>
      <c r="J975" s="218"/>
      <c r="K975" s="220"/>
      <c r="L975" s="220"/>
      <c r="M975" s="220"/>
      <c r="N975" s="220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spans="1:26" ht="15.75">
      <c r="A976" s="218"/>
      <c r="B976" s="221"/>
      <c r="C976" s="222"/>
      <c r="D976" s="218"/>
      <c r="E976" s="218"/>
      <c r="F976" s="220"/>
      <c r="G976" s="218"/>
      <c r="H976" s="218"/>
      <c r="I976" s="218"/>
      <c r="J976" s="218"/>
      <c r="K976" s="220"/>
      <c r="L976" s="220"/>
      <c r="M976" s="220"/>
      <c r="N976" s="220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spans="1:26" ht="15.75">
      <c r="A977" s="218"/>
      <c r="B977" s="221"/>
      <c r="C977" s="222"/>
      <c r="D977" s="218"/>
      <c r="E977" s="218"/>
      <c r="F977" s="220"/>
      <c r="G977" s="218"/>
      <c r="H977" s="218"/>
      <c r="I977" s="218"/>
      <c r="J977" s="218"/>
      <c r="K977" s="220"/>
      <c r="L977" s="220"/>
      <c r="M977" s="220"/>
      <c r="N977" s="220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spans="1:26" ht="15.75">
      <c r="A978" s="218"/>
      <c r="B978" s="221"/>
      <c r="C978" s="222"/>
      <c r="D978" s="218"/>
      <c r="E978" s="218"/>
      <c r="F978" s="220"/>
      <c r="G978" s="218"/>
      <c r="H978" s="218"/>
      <c r="I978" s="218"/>
      <c r="J978" s="218"/>
      <c r="K978" s="220"/>
      <c r="L978" s="220"/>
      <c r="M978" s="220"/>
      <c r="N978" s="220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spans="1:26" ht="15.75">
      <c r="A979" s="218"/>
      <c r="B979" s="221"/>
      <c r="C979" s="222"/>
      <c r="D979" s="218"/>
      <c r="E979" s="218"/>
      <c r="F979" s="220"/>
      <c r="G979" s="218"/>
      <c r="H979" s="218"/>
      <c r="I979" s="218"/>
      <c r="J979" s="218"/>
      <c r="K979" s="220"/>
      <c r="L979" s="220"/>
      <c r="M979" s="220"/>
      <c r="N979" s="220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spans="1:26" ht="15.75">
      <c r="A980" s="218"/>
      <c r="B980" s="221"/>
      <c r="C980" s="222"/>
      <c r="D980" s="218"/>
      <c r="E980" s="218"/>
      <c r="F980" s="220"/>
      <c r="G980" s="218"/>
      <c r="H980" s="218"/>
      <c r="I980" s="218"/>
      <c r="J980" s="218"/>
      <c r="K980" s="220"/>
      <c r="L980" s="220"/>
      <c r="M980" s="220"/>
      <c r="N980" s="220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spans="1:26" ht="15.75">
      <c r="A981" s="218"/>
      <c r="B981" s="221"/>
      <c r="C981" s="222"/>
      <c r="D981" s="218"/>
      <c r="E981" s="218"/>
      <c r="F981" s="220"/>
      <c r="G981" s="218"/>
      <c r="H981" s="218"/>
      <c r="I981" s="218"/>
      <c r="J981" s="218"/>
      <c r="K981" s="220"/>
      <c r="L981" s="220"/>
      <c r="M981" s="220"/>
      <c r="N981" s="220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spans="1:26" ht="15.75">
      <c r="A982" s="218"/>
      <c r="B982" s="221"/>
      <c r="C982" s="222"/>
      <c r="D982" s="218"/>
      <c r="E982" s="218"/>
      <c r="F982" s="220"/>
      <c r="G982" s="218"/>
      <c r="H982" s="218"/>
      <c r="I982" s="218"/>
      <c r="J982" s="218"/>
      <c r="K982" s="220"/>
      <c r="L982" s="220"/>
      <c r="M982" s="220"/>
      <c r="N982" s="220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spans="1:26" ht="15.75">
      <c r="A983" s="218"/>
      <c r="B983" s="221"/>
      <c r="C983" s="222"/>
      <c r="D983" s="218"/>
      <c r="E983" s="218"/>
      <c r="F983" s="220"/>
      <c r="G983" s="218"/>
      <c r="H983" s="218"/>
      <c r="I983" s="218"/>
      <c r="J983" s="218"/>
      <c r="K983" s="220"/>
      <c r="L983" s="220"/>
      <c r="M983" s="220"/>
      <c r="N983" s="220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spans="1:26" ht="15.75">
      <c r="A984" s="218"/>
      <c r="B984" s="221"/>
      <c r="C984" s="222"/>
      <c r="D984" s="218"/>
      <c r="E984" s="218"/>
      <c r="F984" s="220"/>
      <c r="G984" s="218"/>
      <c r="H984" s="218"/>
      <c r="I984" s="218"/>
      <c r="J984" s="218"/>
      <c r="K984" s="220"/>
      <c r="L984" s="220"/>
      <c r="M984" s="220"/>
      <c r="N984" s="220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spans="1:26" ht="15.75">
      <c r="A985" s="218"/>
      <c r="B985" s="221"/>
      <c r="C985" s="222"/>
      <c r="D985" s="218"/>
      <c r="E985" s="218"/>
      <c r="F985" s="220"/>
      <c r="G985" s="218"/>
      <c r="H985" s="218"/>
      <c r="I985" s="218"/>
      <c r="J985" s="218"/>
      <c r="K985" s="220"/>
      <c r="L985" s="220"/>
      <c r="M985" s="220"/>
      <c r="N985" s="220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spans="1:26" ht="15.75">
      <c r="A986" s="218"/>
      <c r="B986" s="221"/>
      <c r="C986" s="222"/>
      <c r="D986" s="218"/>
      <c r="E986" s="218"/>
      <c r="F986" s="220"/>
      <c r="G986" s="218"/>
      <c r="H986" s="218"/>
      <c r="I986" s="218"/>
      <c r="J986" s="218"/>
      <c r="K986" s="220"/>
      <c r="L986" s="220"/>
      <c r="M986" s="220"/>
      <c r="N986" s="220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spans="1:26" ht="15.75">
      <c r="A987" s="218"/>
      <c r="B987" s="221"/>
      <c r="C987" s="222"/>
      <c r="D987" s="218"/>
      <c r="E987" s="218"/>
      <c r="F987" s="220"/>
      <c r="G987" s="218"/>
      <c r="H987" s="218"/>
      <c r="I987" s="218"/>
      <c r="J987" s="218"/>
      <c r="K987" s="220"/>
      <c r="L987" s="220"/>
      <c r="M987" s="220"/>
      <c r="N987" s="220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spans="1:26" ht="15.75">
      <c r="A988" s="218"/>
      <c r="B988" s="221"/>
      <c r="C988" s="222"/>
      <c r="D988" s="218"/>
      <c r="E988" s="218"/>
      <c r="F988" s="220"/>
      <c r="G988" s="218"/>
      <c r="H988" s="218"/>
      <c r="I988" s="218"/>
      <c r="J988" s="218"/>
      <c r="K988" s="220"/>
      <c r="L988" s="220"/>
      <c r="M988" s="220"/>
      <c r="N988" s="220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spans="1:26" ht="15.75">
      <c r="A989" s="218"/>
      <c r="B989" s="221"/>
      <c r="C989" s="222"/>
      <c r="D989" s="218"/>
      <c r="E989" s="218"/>
      <c r="F989" s="220"/>
      <c r="G989" s="218"/>
      <c r="H989" s="218"/>
      <c r="I989" s="218"/>
      <c r="J989" s="218"/>
      <c r="K989" s="220"/>
      <c r="L989" s="220"/>
      <c r="M989" s="220"/>
      <c r="N989" s="220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spans="1:26" ht="15.75">
      <c r="A990" s="218"/>
      <c r="B990" s="221"/>
      <c r="C990" s="222"/>
      <c r="D990" s="218"/>
      <c r="E990" s="218"/>
      <c r="F990" s="220"/>
      <c r="G990" s="218"/>
      <c r="H990" s="218"/>
      <c r="I990" s="218"/>
      <c r="J990" s="218"/>
      <c r="K990" s="220"/>
      <c r="L990" s="220"/>
      <c r="M990" s="220"/>
      <c r="N990" s="220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spans="1:26" ht="15.75">
      <c r="A991" s="218"/>
      <c r="B991" s="221"/>
      <c r="C991" s="222"/>
      <c r="D991" s="218"/>
      <c r="E991" s="218"/>
      <c r="F991" s="220"/>
      <c r="G991" s="218"/>
      <c r="H991" s="218"/>
      <c r="I991" s="218"/>
      <c r="J991" s="218"/>
      <c r="K991" s="220"/>
      <c r="L991" s="220"/>
      <c r="M991" s="220"/>
      <c r="N991" s="220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spans="1:26" ht="15.75">
      <c r="A992" s="218"/>
      <c r="B992" s="221"/>
      <c r="C992" s="222"/>
      <c r="D992" s="218"/>
      <c r="E992" s="218"/>
      <c r="F992" s="220"/>
      <c r="G992" s="218"/>
      <c r="H992" s="218"/>
      <c r="I992" s="218"/>
      <c r="J992" s="218"/>
      <c r="K992" s="220"/>
      <c r="L992" s="220"/>
      <c r="M992" s="220"/>
      <c r="N992" s="220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spans="1:26" ht="15.75">
      <c r="A993" s="218"/>
      <c r="B993" s="221"/>
      <c r="C993" s="222"/>
      <c r="D993" s="218"/>
      <c r="E993" s="218"/>
      <c r="F993" s="220"/>
      <c r="G993" s="218"/>
      <c r="H993" s="218"/>
      <c r="I993" s="218"/>
      <c r="J993" s="218"/>
      <c r="K993" s="220"/>
      <c r="L993" s="220"/>
      <c r="M993" s="220"/>
      <c r="N993" s="220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spans="1:26" ht="15.75">
      <c r="A994" s="218"/>
      <c r="B994" s="221"/>
      <c r="C994" s="222"/>
      <c r="D994" s="218"/>
      <c r="E994" s="218"/>
      <c r="F994" s="220"/>
      <c r="G994" s="218"/>
      <c r="H994" s="218"/>
      <c r="I994" s="218"/>
      <c r="J994" s="218"/>
      <c r="K994" s="220"/>
      <c r="L994" s="220"/>
      <c r="M994" s="220"/>
      <c r="N994" s="220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spans="1:26" ht="15.75">
      <c r="A995" s="218"/>
      <c r="B995" s="221"/>
      <c r="C995" s="222"/>
      <c r="D995" s="218"/>
      <c r="E995" s="218"/>
      <c r="F995" s="220"/>
      <c r="G995" s="218"/>
      <c r="H995" s="218"/>
      <c r="I995" s="218"/>
      <c r="J995" s="218"/>
      <c r="K995" s="220"/>
      <c r="L995" s="220"/>
      <c r="M995" s="220"/>
      <c r="N995" s="220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spans="1:26" ht="15.75">
      <c r="A996" s="218"/>
      <c r="B996" s="221"/>
      <c r="C996" s="222"/>
      <c r="D996" s="218"/>
      <c r="E996" s="218"/>
      <c r="F996" s="220"/>
      <c r="G996" s="218"/>
      <c r="H996" s="218"/>
      <c r="I996" s="218"/>
      <c r="J996" s="218"/>
      <c r="K996" s="220"/>
      <c r="L996" s="220"/>
      <c r="M996" s="220"/>
      <c r="N996" s="220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spans="1:26" ht="15.75">
      <c r="A997" s="218"/>
      <c r="B997" s="221"/>
      <c r="C997" s="222"/>
      <c r="D997" s="218"/>
      <c r="E997" s="218"/>
      <c r="F997" s="220"/>
      <c r="G997" s="218"/>
      <c r="H997" s="218"/>
      <c r="I997" s="218"/>
      <c r="J997" s="218"/>
      <c r="K997" s="220"/>
      <c r="L997" s="220"/>
      <c r="M997" s="220"/>
      <c r="N997" s="220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spans="1:26" ht="15.75">
      <c r="A998" s="218"/>
      <c r="B998" s="221"/>
      <c r="C998" s="222"/>
      <c r="D998" s="218"/>
      <c r="E998" s="218"/>
      <c r="F998" s="220"/>
      <c r="G998" s="218"/>
      <c r="H998" s="218"/>
      <c r="I998" s="218"/>
      <c r="J998" s="218"/>
      <c r="K998" s="220"/>
      <c r="L998" s="220"/>
      <c r="M998" s="220"/>
      <c r="N998" s="220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spans="1:26" ht="15.75">
      <c r="A999" s="218"/>
      <c r="B999" s="221"/>
      <c r="C999" s="222"/>
      <c r="D999" s="218"/>
      <c r="E999" s="218"/>
      <c r="F999" s="220"/>
      <c r="G999" s="218"/>
      <c r="H999" s="218"/>
      <c r="I999" s="218"/>
      <c r="J999" s="218"/>
      <c r="K999" s="220"/>
      <c r="L999" s="220"/>
      <c r="M999" s="220"/>
      <c r="N999" s="220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spans="1:26" ht="15.75">
      <c r="A1000" s="218"/>
      <c r="B1000" s="221"/>
      <c r="C1000" s="222"/>
      <c r="D1000" s="218"/>
      <c r="E1000" s="218"/>
      <c r="F1000" s="220"/>
      <c r="G1000" s="218"/>
      <c r="H1000" s="218"/>
      <c r="I1000" s="218"/>
      <c r="J1000" s="218"/>
      <c r="K1000" s="220"/>
      <c r="L1000" s="220"/>
      <c r="M1000" s="220"/>
      <c r="N1000" s="220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mergeCells count="1">
    <mergeCell ref="H2:M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U87"/>
  <sheetViews>
    <sheetView workbookViewId="0">
      <selection sqref="A1:U87"/>
    </sheetView>
  </sheetViews>
  <sheetFormatPr defaultRowHeight="15"/>
  <sheetData>
    <row r="2" spans="2:21" ht="15.75">
      <c r="B2" s="96"/>
      <c r="C2" s="96"/>
      <c r="D2" s="96"/>
      <c r="E2" s="96"/>
      <c r="F2" s="96"/>
      <c r="G2" s="97" t="s">
        <v>0</v>
      </c>
      <c r="H2" s="296" t="s">
        <v>398</v>
      </c>
      <c r="I2" s="297"/>
      <c r="J2" s="297"/>
      <c r="K2" s="297"/>
      <c r="L2" s="297"/>
      <c r="M2" s="297"/>
      <c r="N2" s="99"/>
      <c r="O2" s="96"/>
      <c r="P2" s="96"/>
      <c r="Q2" s="96"/>
      <c r="R2" s="96"/>
      <c r="S2" s="96"/>
      <c r="T2" s="96"/>
      <c r="U2" s="96"/>
    </row>
    <row r="4" spans="2:21" ht="18">
      <c r="B4" s="216" t="s">
        <v>2</v>
      </c>
      <c r="C4" s="96"/>
      <c r="D4" s="96"/>
      <c r="E4" s="96"/>
      <c r="F4" s="96"/>
      <c r="G4" s="97"/>
      <c r="H4" s="97"/>
      <c r="I4" s="97"/>
      <c r="J4" s="97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</row>
    <row r="5" spans="2:21" ht="15.75">
      <c r="B5" s="96"/>
      <c r="C5" s="217"/>
      <c r="D5" s="96"/>
      <c r="E5" s="96"/>
      <c r="F5" s="96"/>
      <c r="G5" s="97"/>
      <c r="H5" s="97"/>
      <c r="I5" s="97"/>
      <c r="J5" s="97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</row>
    <row r="6" spans="2:21" ht="18.75" thickBot="1">
      <c r="B6" s="96"/>
      <c r="C6" s="126" t="s">
        <v>3</v>
      </c>
      <c r="D6" s="101" t="s">
        <v>4</v>
      </c>
      <c r="E6" s="102"/>
      <c r="F6" s="101" t="s">
        <v>5</v>
      </c>
      <c r="G6" s="102"/>
      <c r="H6" s="102"/>
      <c r="I6" s="102"/>
      <c r="J6" s="101" t="s">
        <v>6</v>
      </c>
      <c r="K6" s="101"/>
      <c r="L6" s="101" t="s">
        <v>7</v>
      </c>
      <c r="M6" s="101" t="s">
        <v>8</v>
      </c>
      <c r="N6" s="101"/>
      <c r="O6" s="214" t="s">
        <v>9</v>
      </c>
      <c r="P6" s="96"/>
      <c r="Q6" s="96"/>
      <c r="R6" s="96"/>
      <c r="S6" s="96"/>
      <c r="T6" s="96"/>
      <c r="U6" s="96"/>
    </row>
    <row r="7" spans="2:21" ht="16.5" thickBot="1">
      <c r="B7" s="215">
        <v>1</v>
      </c>
      <c r="C7" s="127" t="s">
        <v>10</v>
      </c>
      <c r="D7" s="119" t="s">
        <v>11</v>
      </c>
      <c r="E7" s="24" t="s">
        <v>12</v>
      </c>
      <c r="F7" s="119" t="s">
        <v>13</v>
      </c>
      <c r="G7" s="30" t="s">
        <v>14</v>
      </c>
      <c r="H7" s="122"/>
      <c r="I7" s="25">
        <v>2</v>
      </c>
      <c r="J7" s="119" t="s">
        <v>13</v>
      </c>
      <c r="K7" s="25">
        <v>1</v>
      </c>
      <c r="L7" s="120"/>
      <c r="M7" s="121"/>
      <c r="N7" s="110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>
      <c r="B8" s="215">
        <v>2</v>
      </c>
      <c r="C8" s="127" t="s">
        <v>22</v>
      </c>
      <c r="D8" s="119" t="s">
        <v>11</v>
      </c>
      <c r="E8" s="24" t="s">
        <v>23</v>
      </c>
      <c r="F8" s="119" t="s">
        <v>13</v>
      </c>
      <c r="G8" s="30" t="s">
        <v>24</v>
      </c>
      <c r="H8" s="122"/>
      <c r="I8" s="25">
        <v>1</v>
      </c>
      <c r="J8" s="119" t="s">
        <v>13</v>
      </c>
      <c r="K8" s="25">
        <v>1</v>
      </c>
      <c r="L8" s="120"/>
      <c r="M8" s="121"/>
      <c r="N8" s="110"/>
      <c r="O8" s="16">
        <v>1</v>
      </c>
      <c r="P8" s="22" t="s">
        <v>12</v>
      </c>
      <c r="Q8" s="21" t="s">
        <v>25</v>
      </c>
      <c r="R8" s="21" t="s">
        <v>26</v>
      </c>
      <c r="S8" s="22" t="s">
        <v>35</v>
      </c>
      <c r="T8" s="21" t="s">
        <v>28</v>
      </c>
      <c r="U8" s="22" t="s">
        <v>29</v>
      </c>
    </row>
    <row r="9" spans="2:21" ht="15.75">
      <c r="B9" s="215">
        <v>3</v>
      </c>
      <c r="C9" s="127" t="s">
        <v>30</v>
      </c>
      <c r="D9" s="119" t="s">
        <v>31</v>
      </c>
      <c r="E9" s="24" t="s">
        <v>32</v>
      </c>
      <c r="F9" s="119" t="s">
        <v>13</v>
      </c>
      <c r="G9" s="30" t="s">
        <v>33</v>
      </c>
      <c r="H9" s="122"/>
      <c r="I9" s="25">
        <v>1</v>
      </c>
      <c r="J9" s="119" t="s">
        <v>13</v>
      </c>
      <c r="K9" s="25">
        <v>0</v>
      </c>
      <c r="L9" s="120"/>
      <c r="M9" s="121"/>
      <c r="N9" s="110"/>
      <c r="O9" s="17">
        <v>2</v>
      </c>
      <c r="P9" s="21" t="s">
        <v>24</v>
      </c>
      <c r="Q9" s="21" t="s">
        <v>33</v>
      </c>
      <c r="R9" s="21" t="s">
        <v>41</v>
      </c>
      <c r="S9" s="21" t="s">
        <v>40</v>
      </c>
      <c r="T9" s="21" t="s">
        <v>36</v>
      </c>
      <c r="U9" s="21" t="s">
        <v>43</v>
      </c>
    </row>
    <row r="10" spans="2:21" ht="15.75">
      <c r="B10" s="215">
        <v>4</v>
      </c>
      <c r="C10" s="127" t="s">
        <v>38</v>
      </c>
      <c r="D10" s="119" t="s">
        <v>39</v>
      </c>
      <c r="E10" s="24" t="s">
        <v>35</v>
      </c>
      <c r="F10" s="119" t="s">
        <v>13</v>
      </c>
      <c r="G10" s="30" t="s">
        <v>40</v>
      </c>
      <c r="H10" s="122"/>
      <c r="I10" s="25">
        <v>2</v>
      </c>
      <c r="J10" s="119" t="s">
        <v>13</v>
      </c>
      <c r="K10" s="25">
        <v>1</v>
      </c>
      <c r="L10" s="120"/>
      <c r="M10" s="121"/>
      <c r="N10" s="110"/>
      <c r="O10" s="17">
        <v>3</v>
      </c>
      <c r="P10" s="21" t="s">
        <v>23</v>
      </c>
      <c r="Q10" s="22" t="s">
        <v>32</v>
      </c>
      <c r="R10" s="21" t="s">
        <v>34</v>
      </c>
      <c r="S10" s="21" t="s">
        <v>27</v>
      </c>
      <c r="T10" s="22" t="s">
        <v>42</v>
      </c>
      <c r="U10" s="21" t="s">
        <v>50</v>
      </c>
    </row>
    <row r="11" spans="2:21" ht="15.75">
      <c r="B11" s="215">
        <v>5</v>
      </c>
      <c r="C11" s="127" t="s">
        <v>44</v>
      </c>
      <c r="D11" s="119" t="s">
        <v>45</v>
      </c>
      <c r="E11" s="24" t="s">
        <v>46</v>
      </c>
      <c r="F11" s="119" t="s">
        <v>13</v>
      </c>
      <c r="G11" s="30" t="s">
        <v>34</v>
      </c>
      <c r="H11" s="122"/>
      <c r="I11" s="25">
        <v>1</v>
      </c>
      <c r="J11" s="119" t="s">
        <v>13</v>
      </c>
      <c r="K11" s="25">
        <v>2</v>
      </c>
      <c r="L11" s="120"/>
      <c r="M11" s="121"/>
      <c r="N11" s="110"/>
      <c r="O11" s="17">
        <v>4</v>
      </c>
      <c r="P11" s="21" t="s">
        <v>14</v>
      </c>
      <c r="Q11" s="21" t="s">
        <v>47</v>
      </c>
      <c r="R11" s="22" t="s">
        <v>46</v>
      </c>
      <c r="S11" s="21" t="s">
        <v>48</v>
      </c>
      <c r="T11" s="21" t="s">
        <v>49</v>
      </c>
      <c r="U11" s="21" t="s">
        <v>37</v>
      </c>
    </row>
    <row r="12" spans="2:21" ht="16.5" thickBot="1">
      <c r="B12" s="215">
        <v>6</v>
      </c>
      <c r="C12" s="127" t="s">
        <v>51</v>
      </c>
      <c r="D12" s="119" t="s">
        <v>39</v>
      </c>
      <c r="E12" s="24" t="s">
        <v>48</v>
      </c>
      <c r="F12" s="119" t="s">
        <v>13</v>
      </c>
      <c r="G12" s="30" t="s">
        <v>27</v>
      </c>
      <c r="H12" s="122"/>
      <c r="I12" s="25">
        <v>0</v>
      </c>
      <c r="J12" s="119" t="s">
        <v>13</v>
      </c>
      <c r="K12" s="25">
        <v>1</v>
      </c>
      <c r="L12" s="120"/>
      <c r="M12" s="121"/>
      <c r="N12" s="110"/>
      <c r="O12" s="96"/>
      <c r="P12" s="96"/>
      <c r="Q12" s="96"/>
      <c r="R12" s="96"/>
      <c r="S12" s="96"/>
      <c r="T12" s="96"/>
      <c r="U12" s="96"/>
    </row>
    <row r="13" spans="2:21" ht="16.5" thickBot="1">
      <c r="B13" s="215">
        <v>7</v>
      </c>
      <c r="C13" s="127" t="s">
        <v>52</v>
      </c>
      <c r="D13" s="119" t="s">
        <v>45</v>
      </c>
      <c r="E13" s="24" t="s">
        <v>26</v>
      </c>
      <c r="F13" s="119" t="s">
        <v>13</v>
      </c>
      <c r="G13" s="30" t="s">
        <v>41</v>
      </c>
      <c r="H13" s="122"/>
      <c r="I13" s="25">
        <v>1</v>
      </c>
      <c r="J13" s="119" t="s">
        <v>13</v>
      </c>
      <c r="K13" s="25">
        <v>1</v>
      </c>
      <c r="L13" s="120"/>
      <c r="M13" s="121"/>
      <c r="N13" s="110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>
      <c r="B14" s="215">
        <v>8</v>
      </c>
      <c r="C14" s="127" t="s">
        <v>59</v>
      </c>
      <c r="D14" s="119" t="s">
        <v>31</v>
      </c>
      <c r="E14" s="24" t="s">
        <v>47</v>
      </c>
      <c r="F14" s="119" t="s">
        <v>13</v>
      </c>
      <c r="G14" s="30" t="s">
        <v>25</v>
      </c>
      <c r="H14" s="122"/>
      <c r="I14" s="25">
        <v>1</v>
      </c>
      <c r="J14" s="119" t="s">
        <v>13</v>
      </c>
      <c r="K14" s="25">
        <v>1</v>
      </c>
      <c r="L14" s="120"/>
      <c r="M14" s="121"/>
      <c r="N14" s="110"/>
      <c r="O14" s="16">
        <v>1</v>
      </c>
      <c r="P14" s="21" t="s">
        <v>60</v>
      </c>
      <c r="Q14" s="21" t="s">
        <v>61</v>
      </c>
      <c r="R14" s="22" t="s">
        <v>62</v>
      </c>
      <c r="S14" s="22" t="s">
        <v>63</v>
      </c>
      <c r="T14" s="22" t="s">
        <v>64</v>
      </c>
      <c r="U14" s="21" t="s">
        <v>65</v>
      </c>
    </row>
    <row r="15" spans="2:21" ht="15.75">
      <c r="B15" s="215">
        <v>9</v>
      </c>
      <c r="C15" s="127" t="s">
        <v>66</v>
      </c>
      <c r="D15" s="119" t="s">
        <v>67</v>
      </c>
      <c r="E15" s="24" t="s">
        <v>42</v>
      </c>
      <c r="F15" s="119" t="s">
        <v>13</v>
      </c>
      <c r="G15" s="30" t="s">
        <v>36</v>
      </c>
      <c r="H15" s="122"/>
      <c r="I15" s="25">
        <v>0</v>
      </c>
      <c r="J15" s="119" t="s">
        <v>13</v>
      </c>
      <c r="K15" s="25">
        <v>0</v>
      </c>
      <c r="L15" s="120"/>
      <c r="M15" s="121"/>
      <c r="N15" s="110"/>
      <c r="O15" s="17">
        <v>2</v>
      </c>
      <c r="P15" s="21" t="s">
        <v>68</v>
      </c>
      <c r="Q15" s="21" t="s">
        <v>69</v>
      </c>
      <c r="R15" s="21" t="s">
        <v>77</v>
      </c>
      <c r="S15" s="21" t="s">
        <v>78</v>
      </c>
      <c r="T15" s="21" t="s">
        <v>72</v>
      </c>
      <c r="U15" s="21" t="s">
        <v>73</v>
      </c>
    </row>
    <row r="16" spans="2:21" ht="15.75">
      <c r="B16" s="215">
        <v>10</v>
      </c>
      <c r="C16" s="127" t="s">
        <v>74</v>
      </c>
      <c r="D16" s="119" t="s">
        <v>67</v>
      </c>
      <c r="E16" s="24" t="s">
        <v>28</v>
      </c>
      <c r="F16" s="119" t="s">
        <v>13</v>
      </c>
      <c r="G16" s="30" t="s">
        <v>49</v>
      </c>
      <c r="H16" s="122"/>
      <c r="I16" s="25">
        <v>3</v>
      </c>
      <c r="J16" s="119" t="s">
        <v>13</v>
      </c>
      <c r="K16" s="25">
        <v>0</v>
      </c>
      <c r="L16" s="120"/>
      <c r="M16" s="121"/>
      <c r="N16" s="110"/>
      <c r="O16" s="17">
        <v>3</v>
      </c>
      <c r="P16" s="22" t="s">
        <v>83</v>
      </c>
      <c r="Q16" s="22" t="s">
        <v>84</v>
      </c>
      <c r="R16" s="21" t="s">
        <v>70</v>
      </c>
      <c r="S16" s="21" t="s">
        <v>71</v>
      </c>
      <c r="T16" s="21" t="s">
        <v>87</v>
      </c>
      <c r="U16" s="22" t="s">
        <v>80</v>
      </c>
    </row>
    <row r="17" spans="2:21" ht="15.75">
      <c r="B17" s="215">
        <v>11</v>
      </c>
      <c r="C17" s="127" t="s">
        <v>81</v>
      </c>
      <c r="D17" s="119" t="s">
        <v>82</v>
      </c>
      <c r="E17" s="24" t="s">
        <v>29</v>
      </c>
      <c r="F17" s="119" t="s">
        <v>13</v>
      </c>
      <c r="G17" s="30" t="s">
        <v>43</v>
      </c>
      <c r="H17" s="122"/>
      <c r="I17" s="25">
        <v>1</v>
      </c>
      <c r="J17" s="119" t="s">
        <v>13</v>
      </c>
      <c r="K17" s="25">
        <v>1</v>
      </c>
      <c r="L17" s="120"/>
      <c r="M17" s="121"/>
      <c r="N17" s="110"/>
      <c r="O17" s="17">
        <v>4</v>
      </c>
      <c r="P17" s="21" t="s">
        <v>75</v>
      </c>
      <c r="Q17" s="21" t="s">
        <v>76</v>
      </c>
      <c r="R17" s="21" t="s">
        <v>85</v>
      </c>
      <c r="S17" s="21" t="s">
        <v>86</v>
      </c>
      <c r="T17" s="21" t="s">
        <v>79</v>
      </c>
      <c r="U17" s="21" t="s">
        <v>88</v>
      </c>
    </row>
    <row r="18" spans="2:21" ht="15.75">
      <c r="B18" s="215">
        <v>12</v>
      </c>
      <c r="C18" s="127" t="s">
        <v>89</v>
      </c>
      <c r="D18" s="119" t="s">
        <v>82</v>
      </c>
      <c r="E18" s="24" t="s">
        <v>37</v>
      </c>
      <c r="F18" s="119" t="s">
        <v>13</v>
      </c>
      <c r="G18" s="30" t="s">
        <v>50</v>
      </c>
      <c r="H18" s="122"/>
      <c r="I18" s="25">
        <v>2</v>
      </c>
      <c r="J18" s="119" t="s">
        <v>13</v>
      </c>
      <c r="K18" s="25">
        <v>2</v>
      </c>
      <c r="L18" s="120"/>
      <c r="M18" s="121"/>
      <c r="N18" s="110"/>
      <c r="O18" s="96"/>
      <c r="P18" s="21"/>
      <c r="Q18" s="21"/>
      <c r="R18" s="21"/>
      <c r="S18" s="21"/>
      <c r="T18" s="21"/>
      <c r="U18" s="21"/>
    </row>
    <row r="19" spans="2:21" ht="15.75">
      <c r="B19" s="215">
        <v>13</v>
      </c>
      <c r="C19" s="127" t="s">
        <v>90</v>
      </c>
      <c r="D19" s="119" t="s">
        <v>91</v>
      </c>
      <c r="E19" s="24" t="s">
        <v>84</v>
      </c>
      <c r="F19" s="119" t="s">
        <v>13</v>
      </c>
      <c r="G19" s="30" t="s">
        <v>69</v>
      </c>
      <c r="H19" s="122"/>
      <c r="I19" s="25">
        <v>0</v>
      </c>
      <c r="J19" s="119" t="s">
        <v>13</v>
      </c>
      <c r="K19" s="25">
        <v>1</v>
      </c>
      <c r="L19" s="120"/>
      <c r="M19" s="121"/>
      <c r="N19" s="110"/>
      <c r="O19" s="96"/>
      <c r="P19" s="96"/>
      <c r="Q19" s="96"/>
      <c r="R19" s="96"/>
      <c r="S19" s="96"/>
      <c r="T19" s="96"/>
      <c r="U19" s="96"/>
    </row>
    <row r="20" spans="2:21" ht="16.5" thickBot="1">
      <c r="B20" s="215">
        <v>14</v>
      </c>
      <c r="C20" s="127" t="s">
        <v>92</v>
      </c>
      <c r="D20" s="119" t="s">
        <v>91</v>
      </c>
      <c r="E20" s="24" t="s">
        <v>61</v>
      </c>
      <c r="F20" s="119" t="s">
        <v>13</v>
      </c>
      <c r="G20" s="30" t="s">
        <v>76</v>
      </c>
      <c r="H20" s="122"/>
      <c r="I20" s="25">
        <v>3</v>
      </c>
      <c r="J20" s="119" t="s">
        <v>13</v>
      </c>
      <c r="K20" s="25">
        <v>1</v>
      </c>
      <c r="L20" s="120"/>
      <c r="M20" s="121"/>
      <c r="N20" s="110"/>
      <c r="O20" s="213" t="s">
        <v>93</v>
      </c>
      <c r="P20" s="96"/>
      <c r="Q20" s="96"/>
      <c r="R20" s="96"/>
      <c r="S20" s="96"/>
      <c r="T20" s="96"/>
      <c r="U20" s="96"/>
    </row>
    <row r="21" spans="2:21" ht="16.5" thickBot="1">
      <c r="B21" s="215">
        <v>15</v>
      </c>
      <c r="C21" s="127" t="s">
        <v>94</v>
      </c>
      <c r="D21" s="119" t="s">
        <v>95</v>
      </c>
      <c r="E21" s="24" t="s">
        <v>83</v>
      </c>
      <c r="F21" s="119" t="s">
        <v>13</v>
      </c>
      <c r="G21" s="30" t="s">
        <v>75</v>
      </c>
      <c r="H21" s="122"/>
      <c r="I21" s="25">
        <v>1</v>
      </c>
      <c r="J21" s="119" t="s">
        <v>13</v>
      </c>
      <c r="K21" s="25">
        <v>0</v>
      </c>
      <c r="L21" s="120"/>
      <c r="M21" s="121"/>
      <c r="N21" s="110"/>
      <c r="O21" s="96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>
      <c r="B22" s="215">
        <v>16</v>
      </c>
      <c r="C22" s="127" t="s">
        <v>96</v>
      </c>
      <c r="D22" s="119" t="s">
        <v>95</v>
      </c>
      <c r="E22" s="24" t="s">
        <v>60</v>
      </c>
      <c r="F22" s="119" t="s">
        <v>13</v>
      </c>
      <c r="G22" s="30" t="s">
        <v>68</v>
      </c>
      <c r="H22" s="122"/>
      <c r="I22" s="25">
        <v>1</v>
      </c>
      <c r="J22" s="119" t="s">
        <v>13</v>
      </c>
      <c r="K22" s="25">
        <v>1</v>
      </c>
      <c r="L22" s="120"/>
      <c r="M22" s="121"/>
      <c r="N22" s="110"/>
      <c r="O22" s="96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>
      <c r="B23" s="215">
        <v>17</v>
      </c>
      <c r="C23" s="127" t="s">
        <v>97</v>
      </c>
      <c r="D23" s="119" t="s">
        <v>98</v>
      </c>
      <c r="E23" s="24" t="s">
        <v>62</v>
      </c>
      <c r="F23" s="119" t="s">
        <v>13</v>
      </c>
      <c r="G23" s="30" t="s">
        <v>77</v>
      </c>
      <c r="H23" s="122"/>
      <c r="I23" s="25">
        <v>2</v>
      </c>
      <c r="J23" s="119" t="s">
        <v>13</v>
      </c>
      <c r="K23" s="25">
        <v>0</v>
      </c>
      <c r="L23" s="120"/>
      <c r="M23" s="121"/>
      <c r="N23" s="110"/>
      <c r="O23" s="96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>
      <c r="B24" s="215">
        <v>18</v>
      </c>
      <c r="C24" s="127" t="s">
        <v>99</v>
      </c>
      <c r="D24" s="119" t="s">
        <v>98</v>
      </c>
      <c r="E24" s="24" t="s">
        <v>85</v>
      </c>
      <c r="F24" s="119" t="s">
        <v>13</v>
      </c>
      <c r="G24" s="30" t="s">
        <v>70</v>
      </c>
      <c r="H24" s="122"/>
      <c r="I24" s="25">
        <v>0</v>
      </c>
      <c r="J24" s="119" t="s">
        <v>13</v>
      </c>
      <c r="K24" s="25">
        <v>1</v>
      </c>
      <c r="L24" s="120"/>
      <c r="M24" s="121"/>
      <c r="N24" s="110"/>
      <c r="O24" s="96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>
      <c r="B25" s="215">
        <v>19</v>
      </c>
      <c r="C25" s="127" t="s">
        <v>100</v>
      </c>
      <c r="D25" s="119" t="s">
        <v>101</v>
      </c>
      <c r="E25" s="24" t="s">
        <v>63</v>
      </c>
      <c r="F25" s="119" t="s">
        <v>13</v>
      </c>
      <c r="G25" s="30" t="s">
        <v>78</v>
      </c>
      <c r="H25" s="122"/>
      <c r="I25" s="25">
        <v>1</v>
      </c>
      <c r="J25" s="119" t="s">
        <v>13</v>
      </c>
      <c r="K25" s="25">
        <v>0</v>
      </c>
      <c r="L25" s="120"/>
      <c r="M25" s="121"/>
      <c r="N25" s="110"/>
      <c r="O25" s="96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thickBot="1">
      <c r="B26" s="215">
        <v>20</v>
      </c>
      <c r="C26" s="127" t="s">
        <v>102</v>
      </c>
      <c r="D26" s="119" t="s">
        <v>101</v>
      </c>
      <c r="E26" s="24" t="s">
        <v>71</v>
      </c>
      <c r="F26" s="119" t="s">
        <v>13</v>
      </c>
      <c r="G26" s="30" t="s">
        <v>86</v>
      </c>
      <c r="H26" s="122"/>
      <c r="I26" s="25">
        <v>1</v>
      </c>
      <c r="J26" s="119" t="s">
        <v>13</v>
      </c>
      <c r="K26" s="25">
        <v>0</v>
      </c>
      <c r="L26" s="120"/>
      <c r="M26" s="121"/>
      <c r="N26" s="110"/>
      <c r="O26" s="96"/>
      <c r="P26" s="96"/>
      <c r="Q26" s="96"/>
      <c r="R26" s="96"/>
      <c r="S26" s="96"/>
      <c r="T26" s="96"/>
      <c r="U26" s="96"/>
    </row>
    <row r="27" spans="2:21" ht="16.5" thickBot="1">
      <c r="B27" s="215">
        <v>21</v>
      </c>
      <c r="C27" s="127" t="s">
        <v>103</v>
      </c>
      <c r="D27" s="119" t="s">
        <v>104</v>
      </c>
      <c r="E27" s="24" t="s">
        <v>80</v>
      </c>
      <c r="F27" s="119" t="s">
        <v>13</v>
      </c>
      <c r="G27" s="30" t="s">
        <v>88</v>
      </c>
      <c r="H27" s="122"/>
      <c r="I27" s="25">
        <v>1</v>
      </c>
      <c r="J27" s="119" t="s">
        <v>13</v>
      </c>
      <c r="K27" s="25">
        <v>1</v>
      </c>
      <c r="L27" s="120"/>
      <c r="M27" s="121"/>
      <c r="N27" s="110"/>
      <c r="O27" s="96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>
      <c r="B28" s="215">
        <v>22</v>
      </c>
      <c r="C28" s="127" t="s">
        <v>105</v>
      </c>
      <c r="D28" s="119" t="s">
        <v>104</v>
      </c>
      <c r="E28" s="24" t="s">
        <v>65</v>
      </c>
      <c r="F28" s="119" t="s">
        <v>13</v>
      </c>
      <c r="G28" s="30" t="s">
        <v>73</v>
      </c>
      <c r="H28" s="122"/>
      <c r="I28" s="25">
        <v>1</v>
      </c>
      <c r="J28" s="119" t="s">
        <v>13</v>
      </c>
      <c r="K28" s="25">
        <v>0</v>
      </c>
      <c r="L28" s="120"/>
      <c r="M28" s="121"/>
      <c r="N28" s="110"/>
      <c r="O28" s="96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>
      <c r="B29" s="215">
        <v>23</v>
      </c>
      <c r="C29" s="127" t="s">
        <v>106</v>
      </c>
      <c r="D29" s="119" t="s">
        <v>107</v>
      </c>
      <c r="E29" s="24" t="s">
        <v>64</v>
      </c>
      <c r="F29" s="119" t="s">
        <v>13</v>
      </c>
      <c r="G29" s="30" t="s">
        <v>87</v>
      </c>
      <c r="H29" s="122"/>
      <c r="I29" s="25">
        <v>2</v>
      </c>
      <c r="J29" s="119" t="s">
        <v>13</v>
      </c>
      <c r="K29" s="25">
        <v>1</v>
      </c>
      <c r="L29" s="120"/>
      <c r="M29" s="121"/>
      <c r="N29" s="110"/>
      <c r="O29" s="96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>
      <c r="B30" s="215">
        <v>24</v>
      </c>
      <c r="C30" s="127" t="s">
        <v>108</v>
      </c>
      <c r="D30" s="119" t="s">
        <v>107</v>
      </c>
      <c r="E30" s="24" t="s">
        <v>79</v>
      </c>
      <c r="F30" s="119" t="s">
        <v>13</v>
      </c>
      <c r="G30" s="30" t="s">
        <v>72</v>
      </c>
      <c r="H30" s="122"/>
      <c r="I30" s="25">
        <v>0</v>
      </c>
      <c r="J30" s="119" t="s">
        <v>13</v>
      </c>
      <c r="K30" s="25">
        <v>1</v>
      </c>
      <c r="L30" s="120"/>
      <c r="M30" s="121"/>
      <c r="N30" s="110"/>
      <c r="O30" s="96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>
      <c r="B31" s="215">
        <v>25</v>
      </c>
      <c r="C31" s="127" t="s">
        <v>109</v>
      </c>
      <c r="D31" s="119" t="s">
        <v>11</v>
      </c>
      <c r="E31" s="24" t="s">
        <v>24</v>
      </c>
      <c r="F31" s="119" t="s">
        <v>13</v>
      </c>
      <c r="G31" s="30" t="s">
        <v>14</v>
      </c>
      <c r="H31" s="122"/>
      <c r="I31" s="25">
        <v>1</v>
      </c>
      <c r="J31" s="119" t="s">
        <v>13</v>
      </c>
      <c r="K31" s="25">
        <v>1</v>
      </c>
      <c r="L31" s="120"/>
      <c r="M31" s="121"/>
      <c r="N31" s="110"/>
      <c r="O31" s="96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>
      <c r="B32" s="215">
        <v>26</v>
      </c>
      <c r="C32" s="127" t="s">
        <v>110</v>
      </c>
      <c r="D32" s="119" t="s">
        <v>31</v>
      </c>
      <c r="E32" s="24" t="s">
        <v>25</v>
      </c>
      <c r="F32" s="119" t="s">
        <v>13</v>
      </c>
      <c r="G32" s="30" t="s">
        <v>33</v>
      </c>
      <c r="H32" s="122"/>
      <c r="I32" s="25">
        <v>1</v>
      </c>
      <c r="J32" s="119" t="s">
        <v>13</v>
      </c>
      <c r="K32" s="25">
        <v>1</v>
      </c>
      <c r="L32" s="120"/>
      <c r="M32" s="121"/>
      <c r="N32" s="110"/>
      <c r="O32" s="96"/>
      <c r="P32" s="96"/>
      <c r="Q32" s="96"/>
      <c r="R32" s="96"/>
      <c r="S32" s="96"/>
      <c r="T32" s="96"/>
      <c r="U32" s="96"/>
    </row>
    <row r="33" spans="2:14" ht="15.75">
      <c r="B33" s="215">
        <v>27</v>
      </c>
      <c r="C33" s="127" t="s">
        <v>111</v>
      </c>
      <c r="D33" s="119" t="s">
        <v>31</v>
      </c>
      <c r="E33" s="24" t="s">
        <v>32</v>
      </c>
      <c r="F33" s="119" t="s">
        <v>13</v>
      </c>
      <c r="G33" s="30" t="s">
        <v>47</v>
      </c>
      <c r="H33" s="122"/>
      <c r="I33" s="25">
        <v>2</v>
      </c>
      <c r="J33" s="119" t="s">
        <v>13</v>
      </c>
      <c r="K33" s="25">
        <v>0</v>
      </c>
      <c r="L33" s="120"/>
      <c r="M33" s="121"/>
      <c r="N33" s="110"/>
    </row>
    <row r="34" spans="2:14" ht="15.75">
      <c r="B34" s="215">
        <v>28</v>
      </c>
      <c r="C34" s="127" t="s">
        <v>112</v>
      </c>
      <c r="D34" s="119" t="s">
        <v>11</v>
      </c>
      <c r="E34" s="24" t="s">
        <v>12</v>
      </c>
      <c r="F34" s="119" t="s">
        <v>13</v>
      </c>
      <c r="G34" s="30" t="s">
        <v>23</v>
      </c>
      <c r="H34" s="122"/>
      <c r="I34" s="25">
        <v>1</v>
      </c>
      <c r="J34" s="119" t="s">
        <v>13</v>
      </c>
      <c r="K34" s="25">
        <v>1</v>
      </c>
      <c r="L34" s="120"/>
      <c r="M34" s="121"/>
      <c r="N34" s="110"/>
    </row>
    <row r="35" spans="2:14" ht="15.75">
      <c r="B35" s="215">
        <v>29</v>
      </c>
      <c r="C35" s="127" t="s">
        <v>113</v>
      </c>
      <c r="D35" s="119" t="s">
        <v>45</v>
      </c>
      <c r="E35" s="24" t="s">
        <v>26</v>
      </c>
      <c r="F35" s="119" t="s">
        <v>13</v>
      </c>
      <c r="G35" s="30" t="s">
        <v>46</v>
      </c>
      <c r="H35" s="122"/>
      <c r="I35" s="25">
        <v>3</v>
      </c>
      <c r="J35" s="119" t="s">
        <v>13</v>
      </c>
      <c r="K35" s="25">
        <v>0</v>
      </c>
      <c r="L35" s="120"/>
      <c r="M35" s="121"/>
      <c r="N35" s="110"/>
    </row>
    <row r="36" spans="2:14" ht="15.75">
      <c r="B36" s="215">
        <v>30</v>
      </c>
      <c r="C36" s="127" t="s">
        <v>114</v>
      </c>
      <c r="D36" s="119" t="s">
        <v>45</v>
      </c>
      <c r="E36" s="24" t="s">
        <v>34</v>
      </c>
      <c r="F36" s="119" t="s">
        <v>13</v>
      </c>
      <c r="G36" s="30" t="s">
        <v>41</v>
      </c>
      <c r="H36" s="122"/>
      <c r="I36" s="25">
        <v>0</v>
      </c>
      <c r="J36" s="119" t="s">
        <v>13</v>
      </c>
      <c r="K36" s="25">
        <v>0</v>
      </c>
      <c r="L36" s="120"/>
      <c r="M36" s="121"/>
      <c r="N36" s="110"/>
    </row>
    <row r="37" spans="2:14" ht="15.75">
      <c r="B37" s="215">
        <v>31</v>
      </c>
      <c r="C37" s="127" t="s">
        <v>115</v>
      </c>
      <c r="D37" s="119" t="s">
        <v>39</v>
      </c>
      <c r="E37" s="24" t="s">
        <v>27</v>
      </c>
      <c r="F37" s="119" t="s">
        <v>13</v>
      </c>
      <c r="G37" s="30" t="s">
        <v>40</v>
      </c>
      <c r="H37" s="122"/>
      <c r="I37" s="25">
        <v>1</v>
      </c>
      <c r="J37" s="119" t="s">
        <v>13</v>
      </c>
      <c r="K37" s="25">
        <v>1</v>
      </c>
      <c r="L37" s="120"/>
      <c r="M37" s="121"/>
      <c r="N37" s="110"/>
    </row>
    <row r="38" spans="2:14" ht="15.75">
      <c r="B38" s="215">
        <v>32</v>
      </c>
      <c r="C38" s="127" t="s">
        <v>116</v>
      </c>
      <c r="D38" s="119" t="s">
        <v>39</v>
      </c>
      <c r="E38" s="24" t="s">
        <v>35</v>
      </c>
      <c r="F38" s="119" t="s">
        <v>13</v>
      </c>
      <c r="G38" s="30" t="s">
        <v>48</v>
      </c>
      <c r="H38" s="122"/>
      <c r="I38" s="25">
        <v>1</v>
      </c>
      <c r="J38" s="119" t="s">
        <v>13</v>
      </c>
      <c r="K38" s="25">
        <v>0</v>
      </c>
      <c r="L38" s="120"/>
      <c r="M38" s="121"/>
      <c r="N38" s="110"/>
    </row>
    <row r="39" spans="2:14" ht="15.75">
      <c r="B39" s="215">
        <v>33</v>
      </c>
      <c r="C39" s="127" t="s">
        <v>117</v>
      </c>
      <c r="D39" s="119" t="s">
        <v>67</v>
      </c>
      <c r="E39" s="24" t="s">
        <v>28</v>
      </c>
      <c r="F39" s="119" t="s">
        <v>13</v>
      </c>
      <c r="G39" s="30" t="s">
        <v>42</v>
      </c>
      <c r="H39" s="122"/>
      <c r="I39" s="25">
        <v>1</v>
      </c>
      <c r="J39" s="119" t="s">
        <v>13</v>
      </c>
      <c r="K39" s="25">
        <v>1</v>
      </c>
      <c r="L39" s="120"/>
      <c r="M39" s="121"/>
      <c r="N39" s="110"/>
    </row>
    <row r="40" spans="2:14" ht="15.75">
      <c r="B40" s="215">
        <v>34</v>
      </c>
      <c r="C40" s="127" t="s">
        <v>118</v>
      </c>
      <c r="D40" s="119" t="s">
        <v>67</v>
      </c>
      <c r="E40" s="24" t="s">
        <v>36</v>
      </c>
      <c r="F40" s="119" t="s">
        <v>13</v>
      </c>
      <c r="G40" s="30" t="s">
        <v>49</v>
      </c>
      <c r="H40" s="122"/>
      <c r="I40" s="25">
        <v>2</v>
      </c>
      <c r="J40" s="119" t="s">
        <v>13</v>
      </c>
      <c r="K40" s="25">
        <v>1</v>
      </c>
      <c r="L40" s="120"/>
      <c r="M40" s="121"/>
      <c r="N40" s="110"/>
    </row>
    <row r="41" spans="2:14" ht="15.75">
      <c r="B41" s="215">
        <v>35</v>
      </c>
      <c r="C41" s="127" t="s">
        <v>119</v>
      </c>
      <c r="D41" s="119" t="s">
        <v>82</v>
      </c>
      <c r="E41" s="24" t="s">
        <v>29</v>
      </c>
      <c r="F41" s="119" t="s">
        <v>13</v>
      </c>
      <c r="G41" s="30" t="s">
        <v>37</v>
      </c>
      <c r="H41" s="122"/>
      <c r="I41" s="25">
        <v>2</v>
      </c>
      <c r="J41" s="119" t="s">
        <v>13</v>
      </c>
      <c r="K41" s="25">
        <v>2</v>
      </c>
      <c r="L41" s="120"/>
      <c r="M41" s="121"/>
      <c r="N41" s="110"/>
    </row>
    <row r="42" spans="2:14" ht="15.75">
      <c r="B42" s="215">
        <v>36</v>
      </c>
      <c r="C42" s="127" t="s">
        <v>120</v>
      </c>
      <c r="D42" s="119" t="s">
        <v>82</v>
      </c>
      <c r="E42" s="24" t="s">
        <v>50</v>
      </c>
      <c r="F42" s="119" t="s">
        <v>13</v>
      </c>
      <c r="G42" s="30" t="s">
        <v>43</v>
      </c>
      <c r="H42" s="122"/>
      <c r="I42" s="25">
        <v>1</v>
      </c>
      <c r="J42" s="119" t="s">
        <v>13</v>
      </c>
      <c r="K42" s="25">
        <v>1</v>
      </c>
      <c r="L42" s="120"/>
      <c r="M42" s="121"/>
      <c r="N42" s="110"/>
    </row>
    <row r="43" spans="2:14" ht="15.75">
      <c r="B43" s="215">
        <v>37</v>
      </c>
      <c r="C43" s="127" t="s">
        <v>121</v>
      </c>
      <c r="D43" s="119" t="s">
        <v>91</v>
      </c>
      <c r="E43" s="24" t="s">
        <v>69</v>
      </c>
      <c r="F43" s="119" t="s">
        <v>13</v>
      </c>
      <c r="G43" s="30" t="s">
        <v>76</v>
      </c>
      <c r="H43" s="122"/>
      <c r="I43" s="25">
        <v>2</v>
      </c>
      <c r="J43" s="119" t="s">
        <v>13</v>
      </c>
      <c r="K43" s="25">
        <v>1</v>
      </c>
      <c r="L43" s="120"/>
      <c r="M43" s="121"/>
      <c r="N43" s="96"/>
    </row>
    <row r="44" spans="2:14" ht="15.75">
      <c r="B44" s="215">
        <v>38</v>
      </c>
      <c r="C44" s="127" t="s">
        <v>122</v>
      </c>
      <c r="D44" s="119" t="s">
        <v>91</v>
      </c>
      <c r="E44" s="24" t="s">
        <v>61</v>
      </c>
      <c r="F44" s="119" t="s">
        <v>13</v>
      </c>
      <c r="G44" s="30" t="s">
        <v>84</v>
      </c>
      <c r="H44" s="122"/>
      <c r="I44" s="25">
        <v>2</v>
      </c>
      <c r="J44" s="119" t="s">
        <v>13</v>
      </c>
      <c r="K44" s="25">
        <v>0</v>
      </c>
      <c r="L44" s="120"/>
      <c r="M44" s="121"/>
      <c r="N44" s="96"/>
    </row>
    <row r="45" spans="2:14" ht="15.75">
      <c r="B45" s="215">
        <v>39</v>
      </c>
      <c r="C45" s="127" t="s">
        <v>123</v>
      </c>
      <c r="D45" s="119" t="s">
        <v>95</v>
      </c>
      <c r="E45" s="24" t="s">
        <v>60</v>
      </c>
      <c r="F45" s="119" t="s">
        <v>13</v>
      </c>
      <c r="G45" s="30" t="s">
        <v>83</v>
      </c>
      <c r="H45" s="122"/>
      <c r="I45" s="25">
        <v>1</v>
      </c>
      <c r="J45" s="119" t="s">
        <v>13</v>
      </c>
      <c r="K45" s="25">
        <v>1</v>
      </c>
      <c r="L45" s="120"/>
      <c r="M45" s="121"/>
      <c r="N45" s="96"/>
    </row>
    <row r="46" spans="2:14" ht="15.75">
      <c r="B46" s="215">
        <v>40</v>
      </c>
      <c r="C46" s="127" t="s">
        <v>124</v>
      </c>
      <c r="D46" s="119" t="s">
        <v>95</v>
      </c>
      <c r="E46" s="24" t="s">
        <v>75</v>
      </c>
      <c r="F46" s="119" t="s">
        <v>13</v>
      </c>
      <c r="G46" s="30" t="s">
        <v>68</v>
      </c>
      <c r="H46" s="122"/>
      <c r="I46" s="25">
        <v>0</v>
      </c>
      <c r="J46" s="119" t="s">
        <v>13</v>
      </c>
      <c r="K46" s="25">
        <v>2</v>
      </c>
      <c r="L46" s="120"/>
      <c r="M46" s="121"/>
      <c r="N46" s="96"/>
    </row>
    <row r="47" spans="2:14" ht="15.75">
      <c r="B47" s="215">
        <v>41</v>
      </c>
      <c r="C47" s="127" t="s">
        <v>125</v>
      </c>
      <c r="D47" s="119" t="s">
        <v>98</v>
      </c>
      <c r="E47" s="24" t="s">
        <v>70</v>
      </c>
      <c r="F47" s="119" t="s">
        <v>13</v>
      </c>
      <c r="G47" s="30" t="s">
        <v>77</v>
      </c>
      <c r="H47" s="122"/>
      <c r="I47" s="25">
        <v>1</v>
      </c>
      <c r="J47" s="119" t="s">
        <v>13</v>
      </c>
      <c r="K47" s="25">
        <v>1</v>
      </c>
      <c r="L47" s="120"/>
      <c r="M47" s="121"/>
      <c r="N47" s="96"/>
    </row>
    <row r="48" spans="2:14" ht="15.75">
      <c r="B48" s="215">
        <v>42</v>
      </c>
      <c r="C48" s="127" t="s">
        <v>126</v>
      </c>
      <c r="D48" s="119" t="s">
        <v>98</v>
      </c>
      <c r="E48" s="24" t="s">
        <v>62</v>
      </c>
      <c r="F48" s="119" t="s">
        <v>13</v>
      </c>
      <c r="G48" s="30" t="s">
        <v>85</v>
      </c>
      <c r="H48" s="122"/>
      <c r="I48" s="25">
        <v>2</v>
      </c>
      <c r="J48" s="119" t="s">
        <v>13</v>
      </c>
      <c r="K48" s="25">
        <v>0</v>
      </c>
      <c r="L48" s="120"/>
      <c r="M48" s="121"/>
      <c r="N48" s="96"/>
    </row>
    <row r="49" spans="2:13" ht="15.75">
      <c r="B49" s="215">
        <v>43</v>
      </c>
      <c r="C49" s="127" t="s">
        <v>127</v>
      </c>
      <c r="D49" s="119" t="s">
        <v>101</v>
      </c>
      <c r="E49" s="24" t="s">
        <v>63</v>
      </c>
      <c r="F49" s="119" t="s">
        <v>13</v>
      </c>
      <c r="G49" s="30" t="s">
        <v>71</v>
      </c>
      <c r="H49" s="122"/>
      <c r="I49" s="25">
        <v>2</v>
      </c>
      <c r="J49" s="119" t="s">
        <v>13</v>
      </c>
      <c r="K49" s="25">
        <v>1</v>
      </c>
      <c r="L49" s="120"/>
      <c r="M49" s="121"/>
    </row>
    <row r="50" spans="2:13" ht="15.75">
      <c r="B50" s="215">
        <v>44</v>
      </c>
      <c r="C50" s="127" t="s">
        <v>128</v>
      </c>
      <c r="D50" s="119" t="s">
        <v>101</v>
      </c>
      <c r="E50" s="24" t="s">
        <v>86</v>
      </c>
      <c r="F50" s="119" t="s">
        <v>13</v>
      </c>
      <c r="G50" s="30" t="s">
        <v>78</v>
      </c>
      <c r="H50" s="122"/>
      <c r="I50" s="25">
        <v>1</v>
      </c>
      <c r="J50" s="119" t="s">
        <v>13</v>
      </c>
      <c r="K50" s="25">
        <v>1</v>
      </c>
      <c r="L50" s="120"/>
      <c r="M50" s="121"/>
    </row>
    <row r="51" spans="2:13" ht="15.75">
      <c r="B51" s="215">
        <v>45</v>
      </c>
      <c r="C51" s="127" t="s">
        <v>129</v>
      </c>
      <c r="D51" s="119" t="s">
        <v>104</v>
      </c>
      <c r="E51" s="24" t="s">
        <v>65</v>
      </c>
      <c r="F51" s="119" t="s">
        <v>13</v>
      </c>
      <c r="G51" s="30" t="s">
        <v>80</v>
      </c>
      <c r="H51" s="122"/>
      <c r="I51" s="25">
        <v>2</v>
      </c>
      <c r="J51" s="119" t="s">
        <v>13</v>
      </c>
      <c r="K51" s="25">
        <v>0</v>
      </c>
      <c r="L51" s="120"/>
      <c r="M51" s="121"/>
    </row>
    <row r="52" spans="2:13" ht="15.75">
      <c r="B52" s="215">
        <v>46</v>
      </c>
      <c r="C52" s="127" t="s">
        <v>130</v>
      </c>
      <c r="D52" s="119" t="s">
        <v>104</v>
      </c>
      <c r="E52" s="24" t="s">
        <v>88</v>
      </c>
      <c r="F52" s="119" t="s">
        <v>13</v>
      </c>
      <c r="G52" s="30" t="s">
        <v>73</v>
      </c>
      <c r="H52" s="122"/>
      <c r="I52" s="25">
        <v>0</v>
      </c>
      <c r="J52" s="119" t="s">
        <v>13</v>
      </c>
      <c r="K52" s="25">
        <v>1</v>
      </c>
      <c r="L52" s="120"/>
      <c r="M52" s="121"/>
    </row>
    <row r="53" spans="2:13" ht="15.75">
      <c r="B53" s="215">
        <v>47</v>
      </c>
      <c r="C53" s="127" t="s">
        <v>131</v>
      </c>
      <c r="D53" s="119" t="s">
        <v>107</v>
      </c>
      <c r="E53" s="24" t="s">
        <v>64</v>
      </c>
      <c r="F53" s="119" t="s">
        <v>13</v>
      </c>
      <c r="G53" s="30" t="s">
        <v>79</v>
      </c>
      <c r="H53" s="122"/>
      <c r="I53" s="25">
        <v>2</v>
      </c>
      <c r="J53" s="119" t="s">
        <v>13</v>
      </c>
      <c r="K53" s="25">
        <v>0</v>
      </c>
      <c r="L53" s="120"/>
      <c r="M53" s="121"/>
    </row>
    <row r="54" spans="2:13" ht="15.75">
      <c r="B54" s="215">
        <v>48</v>
      </c>
      <c r="C54" s="127" t="s">
        <v>132</v>
      </c>
      <c r="D54" s="119" t="s">
        <v>107</v>
      </c>
      <c r="E54" s="24" t="s">
        <v>72</v>
      </c>
      <c r="F54" s="119" t="s">
        <v>13</v>
      </c>
      <c r="G54" s="30" t="s">
        <v>87</v>
      </c>
      <c r="H54" s="122"/>
      <c r="I54" s="25">
        <v>2</v>
      </c>
      <c r="J54" s="119" t="s">
        <v>13</v>
      </c>
      <c r="K54" s="25">
        <v>1</v>
      </c>
      <c r="L54" s="120"/>
      <c r="M54" s="121"/>
    </row>
    <row r="55" spans="2:13" ht="15.75">
      <c r="B55" s="215">
        <v>49</v>
      </c>
      <c r="C55" s="127" t="s">
        <v>133</v>
      </c>
      <c r="D55" s="119" t="s">
        <v>45</v>
      </c>
      <c r="E55" s="24" t="s">
        <v>34</v>
      </c>
      <c r="F55" s="119" t="s">
        <v>13</v>
      </c>
      <c r="G55" s="30" t="s">
        <v>26</v>
      </c>
      <c r="H55" s="122"/>
      <c r="I55" s="25">
        <v>0</v>
      </c>
      <c r="J55" s="119" t="s">
        <v>13</v>
      </c>
      <c r="K55" s="25">
        <v>1</v>
      </c>
      <c r="L55" s="120"/>
      <c r="M55" s="121"/>
    </row>
    <row r="56" spans="2:13" ht="15.75">
      <c r="B56" s="215">
        <v>50</v>
      </c>
      <c r="C56" s="127" t="s">
        <v>133</v>
      </c>
      <c r="D56" s="119" t="s">
        <v>45</v>
      </c>
      <c r="E56" s="24" t="s">
        <v>41</v>
      </c>
      <c r="F56" s="119" t="s">
        <v>13</v>
      </c>
      <c r="G56" s="30" t="s">
        <v>46</v>
      </c>
      <c r="H56" s="122"/>
      <c r="I56" s="25">
        <v>2</v>
      </c>
      <c r="J56" s="119" t="s">
        <v>13</v>
      </c>
      <c r="K56" s="25">
        <v>0</v>
      </c>
      <c r="L56" s="120"/>
      <c r="M56" s="121"/>
    </row>
    <row r="57" spans="2:13" ht="15.75">
      <c r="B57" s="215">
        <v>51</v>
      </c>
      <c r="C57" s="127" t="s">
        <v>134</v>
      </c>
      <c r="D57" s="119" t="s">
        <v>31</v>
      </c>
      <c r="E57" s="24" t="s">
        <v>25</v>
      </c>
      <c r="F57" s="119" t="s">
        <v>13</v>
      </c>
      <c r="G57" s="30" t="s">
        <v>32</v>
      </c>
      <c r="H57" s="122"/>
      <c r="I57" s="25">
        <v>1</v>
      </c>
      <c r="J57" s="119" t="s">
        <v>13</v>
      </c>
      <c r="K57" s="25">
        <v>1</v>
      </c>
      <c r="L57" s="120"/>
      <c r="M57" s="121"/>
    </row>
    <row r="58" spans="2:13" ht="15.75">
      <c r="B58" s="215">
        <v>52</v>
      </c>
      <c r="C58" s="127" t="s">
        <v>134</v>
      </c>
      <c r="D58" s="119" t="s">
        <v>31</v>
      </c>
      <c r="E58" s="24" t="s">
        <v>33</v>
      </c>
      <c r="F58" s="119" t="s">
        <v>13</v>
      </c>
      <c r="G58" s="30" t="s">
        <v>47</v>
      </c>
      <c r="H58" s="122"/>
      <c r="I58" s="25">
        <v>1</v>
      </c>
      <c r="J58" s="119" t="s">
        <v>13</v>
      </c>
      <c r="K58" s="25">
        <v>1</v>
      </c>
      <c r="L58" s="120"/>
      <c r="M58" s="121"/>
    </row>
    <row r="59" spans="2:13" ht="15.75">
      <c r="B59" s="215">
        <v>53</v>
      </c>
      <c r="C59" s="127" t="s">
        <v>135</v>
      </c>
      <c r="D59" s="119" t="s">
        <v>11</v>
      </c>
      <c r="E59" s="24" t="s">
        <v>24</v>
      </c>
      <c r="F59" s="119" t="s">
        <v>13</v>
      </c>
      <c r="G59" s="30" t="s">
        <v>12</v>
      </c>
      <c r="H59" s="122"/>
      <c r="I59" s="25">
        <v>1</v>
      </c>
      <c r="J59" s="119" t="s">
        <v>13</v>
      </c>
      <c r="K59" s="25">
        <v>2</v>
      </c>
      <c r="L59" s="120"/>
      <c r="M59" s="121"/>
    </row>
    <row r="60" spans="2:13" ht="15.75">
      <c r="B60" s="215">
        <v>54</v>
      </c>
      <c r="C60" s="127" t="s">
        <v>135</v>
      </c>
      <c r="D60" s="119" t="s">
        <v>11</v>
      </c>
      <c r="E60" s="24" t="s">
        <v>14</v>
      </c>
      <c r="F60" s="119" t="s">
        <v>13</v>
      </c>
      <c r="G60" s="30" t="s">
        <v>23</v>
      </c>
      <c r="H60" s="122"/>
      <c r="I60" s="25">
        <v>0</v>
      </c>
      <c r="J60" s="119" t="s">
        <v>13</v>
      </c>
      <c r="K60" s="25">
        <v>1</v>
      </c>
      <c r="L60" s="120"/>
      <c r="M60" s="121"/>
    </row>
    <row r="61" spans="2:13" ht="15.75">
      <c r="B61" s="215">
        <v>55</v>
      </c>
      <c r="C61" s="127" t="s">
        <v>136</v>
      </c>
      <c r="D61" s="119" t="s">
        <v>67</v>
      </c>
      <c r="E61" s="24" t="s">
        <v>49</v>
      </c>
      <c r="F61" s="119" t="s">
        <v>13</v>
      </c>
      <c r="G61" s="30" t="s">
        <v>42</v>
      </c>
      <c r="H61" s="122"/>
      <c r="I61" s="25">
        <v>1</v>
      </c>
      <c r="J61" s="119" t="s">
        <v>13</v>
      </c>
      <c r="K61" s="25">
        <v>2</v>
      </c>
      <c r="L61" s="120"/>
      <c r="M61" s="121"/>
    </row>
    <row r="62" spans="2:13" ht="15.75">
      <c r="B62" s="215">
        <v>56</v>
      </c>
      <c r="C62" s="127" t="s">
        <v>136</v>
      </c>
      <c r="D62" s="119" t="s">
        <v>67</v>
      </c>
      <c r="E62" s="24" t="s">
        <v>36</v>
      </c>
      <c r="F62" s="119" t="s">
        <v>13</v>
      </c>
      <c r="G62" s="30" t="s">
        <v>28</v>
      </c>
      <c r="H62" s="122"/>
      <c r="I62" s="25">
        <v>1</v>
      </c>
      <c r="J62" s="119" t="s">
        <v>13</v>
      </c>
      <c r="K62" s="25">
        <v>2</v>
      </c>
      <c r="L62" s="120"/>
      <c r="M62" s="121"/>
    </row>
    <row r="63" spans="2:13" ht="15.75">
      <c r="B63" s="215">
        <v>57</v>
      </c>
      <c r="C63" s="127" t="s">
        <v>137</v>
      </c>
      <c r="D63" s="119" t="s">
        <v>82</v>
      </c>
      <c r="E63" s="24" t="s">
        <v>43</v>
      </c>
      <c r="F63" s="119" t="s">
        <v>13</v>
      </c>
      <c r="G63" s="30" t="s">
        <v>37</v>
      </c>
      <c r="H63" s="122"/>
      <c r="I63" s="25">
        <v>1</v>
      </c>
      <c r="J63" s="119" t="s">
        <v>13</v>
      </c>
      <c r="K63" s="25">
        <v>1</v>
      </c>
      <c r="L63" s="120"/>
      <c r="M63" s="121"/>
    </row>
    <row r="64" spans="2:13" ht="15.75">
      <c r="B64" s="215">
        <v>58</v>
      </c>
      <c r="C64" s="127" t="s">
        <v>137</v>
      </c>
      <c r="D64" s="119" t="s">
        <v>82</v>
      </c>
      <c r="E64" s="24" t="s">
        <v>50</v>
      </c>
      <c r="F64" s="119" t="s">
        <v>13</v>
      </c>
      <c r="G64" s="30" t="s">
        <v>29</v>
      </c>
      <c r="H64" s="122"/>
      <c r="I64" s="25">
        <v>1</v>
      </c>
      <c r="J64" s="119" t="s">
        <v>13</v>
      </c>
      <c r="K64" s="25">
        <v>2</v>
      </c>
      <c r="L64" s="120"/>
      <c r="M64" s="121"/>
    </row>
    <row r="65" spans="2:14" ht="15.75">
      <c r="B65" s="215">
        <v>59</v>
      </c>
      <c r="C65" s="127" t="s">
        <v>138</v>
      </c>
      <c r="D65" s="119" t="s">
        <v>39</v>
      </c>
      <c r="E65" s="24" t="s">
        <v>27</v>
      </c>
      <c r="F65" s="119" t="s">
        <v>13</v>
      </c>
      <c r="G65" s="30" t="s">
        <v>35</v>
      </c>
      <c r="H65" s="122"/>
      <c r="I65" s="25">
        <v>2</v>
      </c>
      <c r="J65" s="119" t="s">
        <v>13</v>
      </c>
      <c r="K65" s="25">
        <v>2</v>
      </c>
      <c r="L65" s="120"/>
      <c r="M65" s="121"/>
      <c r="N65" s="96"/>
    </row>
    <row r="66" spans="2:14" ht="15.75">
      <c r="B66" s="215">
        <v>60</v>
      </c>
      <c r="C66" s="127" t="s">
        <v>138</v>
      </c>
      <c r="D66" s="119" t="s">
        <v>39</v>
      </c>
      <c r="E66" s="24" t="s">
        <v>40</v>
      </c>
      <c r="F66" s="119" t="s">
        <v>13</v>
      </c>
      <c r="G66" s="30" t="s">
        <v>48</v>
      </c>
      <c r="H66" s="122"/>
      <c r="I66" s="25">
        <v>1</v>
      </c>
      <c r="J66" s="119" t="s">
        <v>13</v>
      </c>
      <c r="K66" s="25">
        <v>1</v>
      </c>
      <c r="L66" s="120"/>
      <c r="M66" s="121"/>
      <c r="N66" s="96"/>
    </row>
    <row r="67" spans="2:14" ht="15.75">
      <c r="B67" s="215">
        <v>61</v>
      </c>
      <c r="C67" s="127" t="s">
        <v>139</v>
      </c>
      <c r="D67" s="119" t="s">
        <v>98</v>
      </c>
      <c r="E67" s="24" t="s">
        <v>70</v>
      </c>
      <c r="F67" s="119" t="s">
        <v>13</v>
      </c>
      <c r="G67" s="30" t="s">
        <v>62</v>
      </c>
      <c r="H67" s="122"/>
      <c r="I67" s="25">
        <v>0</v>
      </c>
      <c r="J67" s="119" t="s">
        <v>13</v>
      </c>
      <c r="K67" s="25">
        <v>1</v>
      </c>
      <c r="L67" s="120"/>
      <c r="M67" s="121"/>
      <c r="N67" s="96"/>
    </row>
    <row r="68" spans="2:14" ht="15.75">
      <c r="B68" s="215">
        <v>62</v>
      </c>
      <c r="C68" s="127" t="s">
        <v>139</v>
      </c>
      <c r="D68" s="119" t="s">
        <v>98</v>
      </c>
      <c r="E68" s="24" t="s">
        <v>77</v>
      </c>
      <c r="F68" s="119" t="s">
        <v>13</v>
      </c>
      <c r="G68" s="30" t="s">
        <v>85</v>
      </c>
      <c r="H68" s="122"/>
      <c r="I68" s="25">
        <v>1</v>
      </c>
      <c r="J68" s="119" t="s">
        <v>13</v>
      </c>
      <c r="K68" s="25">
        <v>0</v>
      </c>
      <c r="L68" s="120"/>
      <c r="M68" s="121"/>
      <c r="N68" s="96"/>
    </row>
    <row r="69" spans="2:14" ht="15.75">
      <c r="B69" s="215">
        <v>63</v>
      </c>
      <c r="C69" s="127" t="s">
        <v>140</v>
      </c>
      <c r="D69" s="119" t="s">
        <v>95</v>
      </c>
      <c r="E69" s="24" t="s">
        <v>68</v>
      </c>
      <c r="F69" s="119" t="s">
        <v>13</v>
      </c>
      <c r="G69" s="30" t="s">
        <v>83</v>
      </c>
      <c r="H69" s="122"/>
      <c r="I69" s="25">
        <v>1</v>
      </c>
      <c r="J69" s="119" t="s">
        <v>13</v>
      </c>
      <c r="K69" s="25">
        <v>1</v>
      </c>
      <c r="L69" s="120"/>
      <c r="M69" s="121"/>
      <c r="N69" s="96"/>
    </row>
    <row r="70" spans="2:14" ht="15.75">
      <c r="B70" s="215">
        <v>64</v>
      </c>
      <c r="C70" s="127" t="s">
        <v>140</v>
      </c>
      <c r="D70" s="119" t="s">
        <v>95</v>
      </c>
      <c r="E70" s="24" t="s">
        <v>75</v>
      </c>
      <c r="F70" s="119" t="s">
        <v>13</v>
      </c>
      <c r="G70" s="30" t="s">
        <v>60</v>
      </c>
      <c r="H70" s="122"/>
      <c r="I70" s="25">
        <v>0</v>
      </c>
      <c r="J70" s="119" t="s">
        <v>13</v>
      </c>
      <c r="K70" s="25">
        <v>1</v>
      </c>
      <c r="L70" s="120"/>
      <c r="M70" s="121"/>
      <c r="N70" s="96"/>
    </row>
    <row r="71" spans="2:14" ht="15.75">
      <c r="B71" s="215">
        <v>65</v>
      </c>
      <c r="C71" s="127" t="s">
        <v>141</v>
      </c>
      <c r="D71" s="119" t="s">
        <v>91</v>
      </c>
      <c r="E71" s="24" t="s">
        <v>76</v>
      </c>
      <c r="F71" s="119" t="s">
        <v>13</v>
      </c>
      <c r="G71" s="30" t="s">
        <v>84</v>
      </c>
      <c r="H71" s="122"/>
      <c r="I71" s="25">
        <v>0</v>
      </c>
      <c r="J71" s="119" t="s">
        <v>13</v>
      </c>
      <c r="K71" s="25">
        <v>1</v>
      </c>
      <c r="L71" s="120"/>
      <c r="M71" s="121"/>
      <c r="N71" s="96"/>
    </row>
    <row r="72" spans="2:14" ht="15.75">
      <c r="B72" s="215">
        <v>66</v>
      </c>
      <c r="C72" s="127" t="s">
        <v>141</v>
      </c>
      <c r="D72" s="119" t="s">
        <v>91</v>
      </c>
      <c r="E72" s="24" t="s">
        <v>69</v>
      </c>
      <c r="F72" s="119" t="s">
        <v>13</v>
      </c>
      <c r="G72" s="30" t="s">
        <v>61</v>
      </c>
      <c r="H72" s="122"/>
      <c r="I72" s="25">
        <v>1</v>
      </c>
      <c r="J72" s="119" t="s">
        <v>13</v>
      </c>
      <c r="K72" s="25">
        <v>2</v>
      </c>
      <c r="L72" s="120"/>
      <c r="M72" s="121"/>
      <c r="N72" s="96"/>
    </row>
    <row r="73" spans="2:14" ht="15.75">
      <c r="B73" s="215">
        <v>67</v>
      </c>
      <c r="C73" s="127" t="s">
        <v>142</v>
      </c>
      <c r="D73" s="119" t="s">
        <v>104</v>
      </c>
      <c r="E73" s="24" t="s">
        <v>88</v>
      </c>
      <c r="F73" s="119" t="s">
        <v>13</v>
      </c>
      <c r="G73" s="30" t="s">
        <v>65</v>
      </c>
      <c r="H73" s="122"/>
      <c r="I73" s="25">
        <v>0</v>
      </c>
      <c r="J73" s="119" t="s">
        <v>13</v>
      </c>
      <c r="K73" s="25">
        <v>2</v>
      </c>
      <c r="L73" s="120"/>
      <c r="M73" s="121"/>
      <c r="N73" s="96"/>
    </row>
    <row r="74" spans="2:14" ht="15.75">
      <c r="B74" s="215">
        <v>68</v>
      </c>
      <c r="C74" s="127" t="s">
        <v>142</v>
      </c>
      <c r="D74" s="119" t="s">
        <v>104</v>
      </c>
      <c r="E74" s="24" t="s">
        <v>73</v>
      </c>
      <c r="F74" s="119" t="s">
        <v>13</v>
      </c>
      <c r="G74" s="30" t="s">
        <v>80</v>
      </c>
      <c r="H74" s="122"/>
      <c r="I74" s="25">
        <v>1</v>
      </c>
      <c r="J74" s="119" t="s">
        <v>13</v>
      </c>
      <c r="K74" s="25">
        <v>2</v>
      </c>
      <c r="L74" s="120"/>
      <c r="M74" s="121"/>
      <c r="N74" s="96"/>
    </row>
    <row r="75" spans="2:14" ht="15.75">
      <c r="B75" s="215">
        <v>69</v>
      </c>
      <c r="C75" s="127" t="s">
        <v>143</v>
      </c>
      <c r="D75" s="119" t="s">
        <v>101</v>
      </c>
      <c r="E75" s="24" t="s">
        <v>78</v>
      </c>
      <c r="F75" s="119" t="s">
        <v>13</v>
      </c>
      <c r="G75" s="30" t="s">
        <v>71</v>
      </c>
      <c r="H75" s="122"/>
      <c r="I75" s="25">
        <v>1</v>
      </c>
      <c r="J75" s="119" t="s">
        <v>13</v>
      </c>
      <c r="K75" s="25">
        <v>1</v>
      </c>
      <c r="L75" s="120"/>
      <c r="M75" s="121"/>
      <c r="N75" s="96"/>
    </row>
    <row r="76" spans="2:14" ht="15.75">
      <c r="B76" s="215">
        <v>70</v>
      </c>
      <c r="C76" s="127" t="s">
        <v>143</v>
      </c>
      <c r="D76" s="119" t="s">
        <v>101</v>
      </c>
      <c r="E76" s="24" t="s">
        <v>86</v>
      </c>
      <c r="F76" s="119" t="s">
        <v>13</v>
      </c>
      <c r="G76" s="30" t="s">
        <v>63</v>
      </c>
      <c r="H76" s="122"/>
      <c r="I76" s="25">
        <v>0</v>
      </c>
      <c r="J76" s="119" t="s">
        <v>13</v>
      </c>
      <c r="K76" s="25">
        <v>2</v>
      </c>
      <c r="L76" s="120"/>
      <c r="M76" s="121"/>
      <c r="N76" s="96"/>
    </row>
    <row r="77" spans="2:14" ht="15.75">
      <c r="B77" s="215">
        <v>71</v>
      </c>
      <c r="C77" s="127" t="s">
        <v>144</v>
      </c>
      <c r="D77" s="119" t="s">
        <v>107</v>
      </c>
      <c r="E77" s="24" t="s">
        <v>72</v>
      </c>
      <c r="F77" s="119" t="s">
        <v>13</v>
      </c>
      <c r="G77" s="30" t="s">
        <v>64</v>
      </c>
      <c r="H77" s="122"/>
      <c r="I77" s="25">
        <v>1</v>
      </c>
      <c r="J77" s="119" t="s">
        <v>13</v>
      </c>
      <c r="K77" s="25">
        <v>2</v>
      </c>
      <c r="L77" s="120"/>
      <c r="M77" s="121"/>
      <c r="N77" s="96"/>
    </row>
    <row r="78" spans="2:14" ht="15.75">
      <c r="B78" s="215">
        <v>72</v>
      </c>
      <c r="C78" s="127" t="s">
        <v>144</v>
      </c>
      <c r="D78" s="119" t="s">
        <v>107</v>
      </c>
      <c r="E78" s="24" t="s">
        <v>87</v>
      </c>
      <c r="F78" s="119" t="s">
        <v>13</v>
      </c>
      <c r="G78" s="30" t="s">
        <v>79</v>
      </c>
      <c r="H78" s="122"/>
      <c r="I78" s="25">
        <v>1</v>
      </c>
      <c r="J78" s="119" t="s">
        <v>13</v>
      </c>
      <c r="K78" s="25">
        <v>1</v>
      </c>
      <c r="L78" s="120"/>
      <c r="M78" s="121"/>
      <c r="N78" s="96"/>
    </row>
    <row r="79" spans="2:14" ht="15.75">
      <c r="B79" s="96"/>
      <c r="C79" s="96"/>
      <c r="D79" s="97" t="s">
        <v>145</v>
      </c>
      <c r="E79" s="105" t="s">
        <v>61</v>
      </c>
      <c r="F79" s="118" t="s">
        <v>13</v>
      </c>
      <c r="G79" s="105" t="s">
        <v>63</v>
      </c>
      <c r="H79" s="96"/>
      <c r="I79" s="96"/>
      <c r="J79" s="96"/>
      <c r="K79" s="96"/>
      <c r="L79" s="109"/>
      <c r="M79" s="109"/>
      <c r="N79" s="110"/>
    </row>
    <row r="80" spans="2:14" ht="15.75">
      <c r="B80" s="96"/>
      <c r="C80" s="128"/>
      <c r="D80" s="97" t="s">
        <v>146</v>
      </c>
      <c r="E80" s="106" t="s">
        <v>62</v>
      </c>
      <c r="F80" s="118" t="s">
        <v>13</v>
      </c>
      <c r="G80" s="106" t="s">
        <v>65</v>
      </c>
      <c r="H80" s="96"/>
      <c r="I80" s="96"/>
      <c r="J80" s="96"/>
      <c r="K80" s="96"/>
      <c r="L80" s="104"/>
      <c r="M80" s="104"/>
      <c r="N80" s="110"/>
    </row>
    <row r="81" spans="1:14" ht="15.75">
      <c r="A81" s="96"/>
      <c r="B81" s="96"/>
      <c r="C81" s="128"/>
      <c r="D81" s="96"/>
      <c r="E81" s="96"/>
      <c r="F81" s="99"/>
      <c r="G81" s="96"/>
      <c r="H81" s="96"/>
      <c r="I81" s="96"/>
      <c r="J81" s="96"/>
      <c r="K81" s="99"/>
      <c r="L81" s="99"/>
      <c r="M81" s="99"/>
      <c r="N81" s="110"/>
    </row>
    <row r="82" spans="1:14" ht="15.75">
      <c r="A82" s="96"/>
      <c r="B82" s="96"/>
      <c r="C82" s="128"/>
      <c r="D82" s="96"/>
      <c r="E82" s="96"/>
      <c r="F82" s="99"/>
      <c r="G82" s="96"/>
      <c r="H82" s="96"/>
      <c r="I82" s="96"/>
      <c r="J82" s="96"/>
      <c r="K82" s="99"/>
      <c r="L82" s="212" t="s">
        <v>147</v>
      </c>
      <c r="M82" s="103"/>
      <c r="N82" s="110"/>
    </row>
    <row r="83" spans="1:14" ht="15.75">
      <c r="A83" s="96"/>
      <c r="B83" s="96"/>
      <c r="C83" s="128"/>
      <c r="D83" s="96"/>
      <c r="E83" s="96"/>
      <c r="F83" s="99"/>
      <c r="G83" s="96"/>
      <c r="H83" s="96"/>
      <c r="I83" s="96"/>
      <c r="J83" s="96"/>
      <c r="K83" s="99"/>
      <c r="L83" s="99"/>
      <c r="M83" s="99"/>
      <c r="N83" s="110"/>
    </row>
    <row r="84" spans="1:14" ht="15.75">
      <c r="A84" s="97"/>
      <c r="B84" s="96"/>
      <c r="C84" s="128"/>
      <c r="D84" s="96"/>
      <c r="E84" s="96"/>
      <c r="F84" s="99"/>
      <c r="G84" s="100"/>
      <c r="H84" s="96"/>
      <c r="I84" s="96"/>
      <c r="J84" s="96"/>
      <c r="K84" s="99"/>
      <c r="L84" s="96"/>
      <c r="M84" s="96"/>
      <c r="N84" s="96"/>
    </row>
    <row r="85" spans="1:14" ht="15.75">
      <c r="A85" s="97"/>
      <c r="B85" s="96"/>
      <c r="C85" s="128"/>
      <c r="D85" s="96"/>
      <c r="E85" s="96"/>
      <c r="F85" s="99"/>
      <c r="G85" s="100"/>
      <c r="H85" s="96"/>
      <c r="I85" s="96"/>
      <c r="J85" s="96"/>
      <c r="K85" s="99"/>
      <c r="L85" s="96"/>
      <c r="M85" s="96"/>
      <c r="N85" s="96"/>
    </row>
    <row r="86" spans="1:14" ht="15.75">
      <c r="A86" s="97"/>
      <c r="B86" s="211"/>
      <c r="C86" s="129"/>
      <c r="D86" s="96"/>
      <c r="E86" s="96"/>
      <c r="F86" s="99"/>
      <c r="G86" s="100"/>
      <c r="H86" s="96"/>
      <c r="I86" s="96"/>
      <c r="J86" s="96"/>
      <c r="K86" s="99"/>
      <c r="L86" s="96"/>
      <c r="M86" s="96"/>
      <c r="N86" s="96"/>
    </row>
    <row r="87" spans="1:14" ht="15.75">
      <c r="A87" s="97"/>
      <c r="B87" s="211"/>
      <c r="C87" s="129"/>
      <c r="D87" s="96"/>
      <c r="E87" s="96"/>
      <c r="F87" s="99"/>
      <c r="G87" s="100"/>
      <c r="H87" s="96"/>
      <c r="I87" s="96"/>
      <c r="J87" s="96"/>
      <c r="K87" s="99"/>
      <c r="L87" s="96"/>
      <c r="M87" s="96"/>
      <c r="N87" s="96"/>
    </row>
  </sheetData>
  <mergeCells count="1">
    <mergeCell ref="H2:M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U87"/>
  <sheetViews>
    <sheetView workbookViewId="0">
      <selection sqref="A1:U87"/>
    </sheetView>
  </sheetViews>
  <sheetFormatPr defaultRowHeight="15"/>
  <sheetData>
    <row r="2" spans="2:21" ht="15.75">
      <c r="B2" s="96"/>
      <c r="C2" s="96"/>
      <c r="D2" s="96"/>
      <c r="E2" s="96"/>
      <c r="F2" s="96"/>
      <c r="G2" s="97" t="s">
        <v>0</v>
      </c>
      <c r="H2" s="296" t="s">
        <v>400</v>
      </c>
      <c r="I2" s="297"/>
      <c r="J2" s="297"/>
      <c r="K2" s="297"/>
      <c r="L2" s="297"/>
      <c r="M2" s="297"/>
      <c r="N2" s="99"/>
      <c r="O2" s="96"/>
      <c r="P2" s="96"/>
      <c r="Q2" s="96"/>
      <c r="R2" s="96"/>
      <c r="S2" s="96"/>
      <c r="T2" s="96"/>
      <c r="U2" s="96"/>
    </row>
    <row r="4" spans="2:21" ht="18">
      <c r="B4" s="216" t="s">
        <v>2</v>
      </c>
      <c r="C4" s="96"/>
      <c r="D4" s="96"/>
      <c r="E4" s="96"/>
      <c r="F4" s="96"/>
      <c r="G4" s="97"/>
      <c r="H4" s="97"/>
      <c r="I4" s="97"/>
      <c r="J4" s="97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</row>
    <row r="5" spans="2:21" ht="15.75">
      <c r="B5" s="96"/>
      <c r="C5" s="217"/>
      <c r="D5" s="96"/>
      <c r="E5" s="96"/>
      <c r="F5" s="96"/>
      <c r="G5" s="97"/>
      <c r="H5" s="97"/>
      <c r="I5" s="97"/>
      <c r="J5" s="97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</row>
    <row r="6" spans="2:21" ht="18.75" thickBot="1">
      <c r="B6" s="96"/>
      <c r="C6" s="126" t="s">
        <v>3</v>
      </c>
      <c r="D6" s="101" t="s">
        <v>4</v>
      </c>
      <c r="E6" s="102"/>
      <c r="F6" s="101" t="s">
        <v>5</v>
      </c>
      <c r="G6" s="102"/>
      <c r="H6" s="102"/>
      <c r="I6" s="102"/>
      <c r="J6" s="101" t="s">
        <v>6</v>
      </c>
      <c r="K6" s="101"/>
      <c r="L6" s="101" t="s">
        <v>7</v>
      </c>
      <c r="M6" s="101" t="s">
        <v>8</v>
      </c>
      <c r="N6" s="101"/>
      <c r="O6" s="214" t="s">
        <v>9</v>
      </c>
      <c r="P6" s="96"/>
      <c r="Q6" s="96"/>
      <c r="R6" s="96"/>
      <c r="S6" s="96"/>
      <c r="T6" s="96"/>
      <c r="U6" s="96"/>
    </row>
    <row r="7" spans="2:21" ht="16.5" thickBot="1">
      <c r="B7" s="215">
        <v>1</v>
      </c>
      <c r="C7" s="127" t="s">
        <v>10</v>
      </c>
      <c r="D7" s="119" t="s">
        <v>11</v>
      </c>
      <c r="E7" s="24" t="s">
        <v>12</v>
      </c>
      <c r="F7" s="119" t="s">
        <v>13</v>
      </c>
      <c r="G7" s="30" t="s">
        <v>14</v>
      </c>
      <c r="H7" s="122"/>
      <c r="I7" s="25">
        <v>2</v>
      </c>
      <c r="J7" s="119" t="s">
        <v>13</v>
      </c>
      <c r="K7" s="25">
        <v>0</v>
      </c>
      <c r="L7" s="120"/>
      <c r="M7" s="121"/>
      <c r="N7" s="110"/>
      <c r="O7" s="28" t="s">
        <v>15</v>
      </c>
      <c r="P7" s="29" t="s">
        <v>16</v>
      </c>
      <c r="Q7" s="29" t="s">
        <v>17</v>
      </c>
      <c r="R7" s="29" t="s">
        <v>18</v>
      </c>
      <c r="S7" s="29" t="s">
        <v>19</v>
      </c>
      <c r="T7" s="29" t="s">
        <v>20</v>
      </c>
      <c r="U7" s="29" t="s">
        <v>21</v>
      </c>
    </row>
    <row r="8" spans="2:21" ht="15.75">
      <c r="B8" s="215">
        <v>2</v>
      </c>
      <c r="C8" s="127" t="s">
        <v>22</v>
      </c>
      <c r="D8" s="119" t="s">
        <v>11</v>
      </c>
      <c r="E8" s="24" t="s">
        <v>23</v>
      </c>
      <c r="F8" s="119" t="s">
        <v>13</v>
      </c>
      <c r="G8" s="30" t="s">
        <v>24</v>
      </c>
      <c r="H8" s="122"/>
      <c r="I8" s="25">
        <v>1</v>
      </c>
      <c r="J8" s="119" t="s">
        <v>13</v>
      </c>
      <c r="K8" s="25">
        <v>1</v>
      </c>
      <c r="L8" s="120"/>
      <c r="M8" s="121"/>
      <c r="N8" s="110"/>
      <c r="O8" s="16">
        <v>1</v>
      </c>
      <c r="P8" s="113" t="s">
        <v>12</v>
      </c>
      <c r="Q8" s="113" t="s">
        <v>25</v>
      </c>
      <c r="R8" s="113" t="s">
        <v>26</v>
      </c>
      <c r="S8" s="113" t="s">
        <v>35</v>
      </c>
      <c r="T8" s="113" t="s">
        <v>28</v>
      </c>
      <c r="U8" s="113" t="s">
        <v>29</v>
      </c>
    </row>
    <row r="9" spans="2:21" ht="15.75">
      <c r="B9" s="215">
        <v>3</v>
      </c>
      <c r="C9" s="127" t="s">
        <v>30</v>
      </c>
      <c r="D9" s="119" t="s">
        <v>31</v>
      </c>
      <c r="E9" s="24" t="s">
        <v>32</v>
      </c>
      <c r="F9" s="119" t="s">
        <v>13</v>
      </c>
      <c r="G9" s="30" t="s">
        <v>33</v>
      </c>
      <c r="H9" s="122"/>
      <c r="I9" s="25">
        <v>2</v>
      </c>
      <c r="J9" s="119" t="s">
        <v>13</v>
      </c>
      <c r="K9" s="25">
        <v>1</v>
      </c>
      <c r="L9" s="120"/>
      <c r="M9" s="121"/>
      <c r="N9" s="110"/>
      <c r="O9" s="17">
        <v>2</v>
      </c>
      <c r="P9" s="114" t="s">
        <v>23</v>
      </c>
      <c r="Q9" s="114" t="s">
        <v>32</v>
      </c>
      <c r="R9" s="114" t="s">
        <v>41</v>
      </c>
      <c r="S9" s="114" t="s">
        <v>27</v>
      </c>
      <c r="T9" s="114" t="s">
        <v>36</v>
      </c>
      <c r="U9" s="114" t="s">
        <v>43</v>
      </c>
    </row>
    <row r="10" spans="2:21" ht="15.75">
      <c r="B10" s="215">
        <v>4</v>
      </c>
      <c r="C10" s="127" t="s">
        <v>38</v>
      </c>
      <c r="D10" s="119" t="s">
        <v>39</v>
      </c>
      <c r="E10" s="24" t="s">
        <v>35</v>
      </c>
      <c r="F10" s="119" t="s">
        <v>13</v>
      </c>
      <c r="G10" s="30" t="s">
        <v>40</v>
      </c>
      <c r="H10" s="122"/>
      <c r="I10" s="25">
        <v>2</v>
      </c>
      <c r="J10" s="119" t="s">
        <v>13</v>
      </c>
      <c r="K10" s="25">
        <v>1</v>
      </c>
      <c r="L10" s="120"/>
      <c r="M10" s="121"/>
      <c r="N10" s="110"/>
      <c r="O10" s="17">
        <v>3</v>
      </c>
      <c r="P10" s="114" t="s">
        <v>169</v>
      </c>
      <c r="Q10" s="114" t="s">
        <v>401</v>
      </c>
      <c r="R10" s="114" t="s">
        <v>34</v>
      </c>
      <c r="S10" s="114" t="s">
        <v>48</v>
      </c>
      <c r="T10" s="114" t="s">
        <v>42</v>
      </c>
      <c r="U10" s="114" t="s">
        <v>37</v>
      </c>
    </row>
    <row r="11" spans="2:21" ht="15.75">
      <c r="B11" s="215">
        <v>5</v>
      </c>
      <c r="C11" s="127" t="s">
        <v>44</v>
      </c>
      <c r="D11" s="119" t="s">
        <v>45</v>
      </c>
      <c r="E11" s="24" t="s">
        <v>46</v>
      </c>
      <c r="F11" s="119" t="s">
        <v>13</v>
      </c>
      <c r="G11" s="30" t="s">
        <v>34</v>
      </c>
      <c r="H11" s="122"/>
      <c r="I11" s="25">
        <v>0</v>
      </c>
      <c r="J11" s="119" t="s">
        <v>13</v>
      </c>
      <c r="K11" s="25">
        <v>1</v>
      </c>
      <c r="L11" s="120"/>
      <c r="M11" s="121"/>
      <c r="N11" s="110"/>
      <c r="O11" s="17">
        <v>4</v>
      </c>
      <c r="P11" s="114" t="s">
        <v>14</v>
      </c>
      <c r="Q11" s="114" t="s">
        <v>47</v>
      </c>
      <c r="R11" s="114" t="s">
        <v>46</v>
      </c>
      <c r="S11" s="114" t="s">
        <v>40</v>
      </c>
      <c r="T11" s="114" t="s">
        <v>159</v>
      </c>
      <c r="U11" s="114" t="s">
        <v>50</v>
      </c>
    </row>
    <row r="12" spans="2:21" ht="16.5" thickBot="1">
      <c r="B12" s="215">
        <v>6</v>
      </c>
      <c r="C12" s="127" t="s">
        <v>51</v>
      </c>
      <c r="D12" s="119" t="s">
        <v>39</v>
      </c>
      <c r="E12" s="24" t="s">
        <v>48</v>
      </c>
      <c r="F12" s="119" t="s">
        <v>13</v>
      </c>
      <c r="G12" s="30" t="s">
        <v>27</v>
      </c>
      <c r="H12" s="122"/>
      <c r="I12" s="25">
        <v>1</v>
      </c>
      <c r="J12" s="119" t="s">
        <v>13</v>
      </c>
      <c r="K12" s="25">
        <v>2</v>
      </c>
      <c r="L12" s="120"/>
      <c r="M12" s="121"/>
      <c r="N12" s="110"/>
      <c r="O12" s="96"/>
      <c r="P12" s="96"/>
      <c r="Q12" s="96"/>
      <c r="R12" s="96"/>
      <c r="S12" s="96"/>
      <c r="T12" s="96"/>
      <c r="U12" s="96"/>
    </row>
    <row r="13" spans="2:21" ht="16.5" thickBot="1">
      <c r="B13" s="215">
        <v>7</v>
      </c>
      <c r="C13" s="127" t="s">
        <v>52</v>
      </c>
      <c r="D13" s="119" t="s">
        <v>45</v>
      </c>
      <c r="E13" s="24" t="s">
        <v>26</v>
      </c>
      <c r="F13" s="119" t="s">
        <v>13</v>
      </c>
      <c r="G13" s="30" t="s">
        <v>41</v>
      </c>
      <c r="H13" s="122"/>
      <c r="I13" s="25">
        <v>2</v>
      </c>
      <c r="J13" s="119" t="s">
        <v>13</v>
      </c>
      <c r="K13" s="25">
        <v>1</v>
      </c>
      <c r="L13" s="120"/>
      <c r="M13" s="121"/>
      <c r="N13" s="110"/>
      <c r="O13" s="28" t="s">
        <v>15</v>
      </c>
      <c r="P13" s="29" t="s">
        <v>53</v>
      </c>
      <c r="Q13" s="29" t="s">
        <v>54</v>
      </c>
      <c r="R13" s="29" t="s">
        <v>55</v>
      </c>
      <c r="S13" s="29" t="s">
        <v>56</v>
      </c>
      <c r="T13" s="29" t="s">
        <v>57</v>
      </c>
      <c r="U13" s="29" t="s">
        <v>58</v>
      </c>
    </row>
    <row r="14" spans="2:21" ht="15.75">
      <c r="B14" s="215">
        <v>8</v>
      </c>
      <c r="C14" s="127" t="s">
        <v>59</v>
      </c>
      <c r="D14" s="119" t="s">
        <v>31</v>
      </c>
      <c r="E14" s="24" t="s">
        <v>47</v>
      </c>
      <c r="F14" s="119" t="s">
        <v>13</v>
      </c>
      <c r="G14" s="30" t="s">
        <v>25</v>
      </c>
      <c r="H14" s="122"/>
      <c r="I14" s="25">
        <v>0</v>
      </c>
      <c r="J14" s="119" t="s">
        <v>13</v>
      </c>
      <c r="K14" s="25">
        <v>2</v>
      </c>
      <c r="L14" s="120"/>
      <c r="M14" s="121"/>
      <c r="N14" s="110"/>
      <c r="O14" s="16">
        <v>1</v>
      </c>
      <c r="P14" s="113" t="s">
        <v>60</v>
      </c>
      <c r="Q14" s="113" t="s">
        <v>61</v>
      </c>
      <c r="R14" s="113" t="s">
        <v>62</v>
      </c>
      <c r="S14" s="113" t="s">
        <v>63</v>
      </c>
      <c r="T14" s="113" t="s">
        <v>64</v>
      </c>
      <c r="U14" s="113" t="s">
        <v>65</v>
      </c>
    </row>
    <row r="15" spans="2:21" ht="15.75">
      <c r="B15" s="215">
        <v>9</v>
      </c>
      <c r="C15" s="127" t="s">
        <v>66</v>
      </c>
      <c r="D15" s="119" t="s">
        <v>67</v>
      </c>
      <c r="E15" s="24" t="s">
        <v>42</v>
      </c>
      <c r="F15" s="119" t="s">
        <v>13</v>
      </c>
      <c r="G15" s="30" t="s">
        <v>36</v>
      </c>
      <c r="H15" s="122"/>
      <c r="I15" s="25">
        <v>0</v>
      </c>
      <c r="J15" s="119" t="s">
        <v>13</v>
      </c>
      <c r="K15" s="25">
        <v>1</v>
      </c>
      <c r="L15" s="120"/>
      <c r="M15" s="121"/>
      <c r="N15" s="110"/>
      <c r="O15" s="17">
        <v>2</v>
      </c>
      <c r="P15" s="114" t="s">
        <v>68</v>
      </c>
      <c r="Q15" s="114" t="s">
        <v>69</v>
      </c>
      <c r="R15" s="114" t="s">
        <v>70</v>
      </c>
      <c r="S15" s="114" t="s">
        <v>71</v>
      </c>
      <c r="T15" s="114" t="s">
        <v>72</v>
      </c>
      <c r="U15" s="114" t="s">
        <v>73</v>
      </c>
    </row>
    <row r="16" spans="2:21" ht="15.75">
      <c r="B16" s="215">
        <v>10</v>
      </c>
      <c r="C16" s="127" t="s">
        <v>74</v>
      </c>
      <c r="D16" s="119" t="s">
        <v>67</v>
      </c>
      <c r="E16" s="24" t="s">
        <v>28</v>
      </c>
      <c r="F16" s="119" t="s">
        <v>13</v>
      </c>
      <c r="G16" s="30" t="s">
        <v>49</v>
      </c>
      <c r="H16" s="122"/>
      <c r="I16" s="25">
        <v>4</v>
      </c>
      <c r="J16" s="119" t="s">
        <v>13</v>
      </c>
      <c r="K16" s="25">
        <v>0</v>
      </c>
      <c r="L16" s="120"/>
      <c r="M16" s="121"/>
      <c r="N16" s="110"/>
      <c r="O16" s="17">
        <v>3</v>
      </c>
      <c r="P16" s="114" t="s">
        <v>402</v>
      </c>
      <c r="Q16" s="114" t="s">
        <v>84</v>
      </c>
      <c r="R16" s="114" t="s">
        <v>77</v>
      </c>
      <c r="S16" s="114" t="s">
        <v>78</v>
      </c>
      <c r="T16" s="114" t="s">
        <v>79</v>
      </c>
      <c r="U16" s="114" t="s">
        <v>80</v>
      </c>
    </row>
    <row r="17" spans="2:21" ht="15.75">
      <c r="B17" s="215">
        <v>11</v>
      </c>
      <c r="C17" s="127" t="s">
        <v>81</v>
      </c>
      <c r="D17" s="119" t="s">
        <v>82</v>
      </c>
      <c r="E17" s="24" t="s">
        <v>29</v>
      </c>
      <c r="F17" s="119" t="s">
        <v>13</v>
      </c>
      <c r="G17" s="30" t="s">
        <v>43</v>
      </c>
      <c r="H17" s="122"/>
      <c r="I17" s="25">
        <v>2</v>
      </c>
      <c r="J17" s="119" t="s">
        <v>13</v>
      </c>
      <c r="K17" s="25">
        <v>0</v>
      </c>
      <c r="L17" s="120"/>
      <c r="M17" s="121"/>
      <c r="N17" s="110"/>
      <c r="O17" s="17">
        <v>4</v>
      </c>
      <c r="P17" s="114" t="s">
        <v>75</v>
      </c>
      <c r="Q17" s="114" t="s">
        <v>76</v>
      </c>
      <c r="R17" s="114" t="s">
        <v>85</v>
      </c>
      <c r="S17" s="114" t="s">
        <v>86</v>
      </c>
      <c r="T17" s="114" t="s">
        <v>87</v>
      </c>
      <c r="U17" s="114" t="s">
        <v>88</v>
      </c>
    </row>
    <row r="18" spans="2:21" ht="15.75">
      <c r="B18" s="215">
        <v>12</v>
      </c>
      <c r="C18" s="127" t="s">
        <v>89</v>
      </c>
      <c r="D18" s="119" t="s">
        <v>82</v>
      </c>
      <c r="E18" s="24" t="s">
        <v>37</v>
      </c>
      <c r="F18" s="119" t="s">
        <v>13</v>
      </c>
      <c r="G18" s="30" t="s">
        <v>50</v>
      </c>
      <c r="H18" s="122"/>
      <c r="I18" s="25">
        <v>2</v>
      </c>
      <c r="J18" s="119" t="s">
        <v>13</v>
      </c>
      <c r="K18" s="25">
        <v>0</v>
      </c>
      <c r="L18" s="120"/>
      <c r="M18" s="121"/>
      <c r="N18" s="110"/>
      <c r="O18" s="96"/>
      <c r="P18" s="21"/>
      <c r="Q18" s="21"/>
      <c r="R18" s="21"/>
      <c r="S18" s="21"/>
      <c r="T18" s="21"/>
      <c r="U18" s="21"/>
    </row>
    <row r="19" spans="2:21" ht="15.75">
      <c r="B19" s="215">
        <v>13</v>
      </c>
      <c r="C19" s="127" t="s">
        <v>90</v>
      </c>
      <c r="D19" s="119" t="s">
        <v>91</v>
      </c>
      <c r="E19" s="24" t="s">
        <v>84</v>
      </c>
      <c r="F19" s="119" t="s">
        <v>13</v>
      </c>
      <c r="G19" s="30" t="s">
        <v>69</v>
      </c>
      <c r="H19" s="122"/>
      <c r="I19" s="25">
        <v>0</v>
      </c>
      <c r="J19" s="119" t="s">
        <v>13</v>
      </c>
      <c r="K19" s="25">
        <v>1</v>
      </c>
      <c r="L19" s="120"/>
      <c r="M19" s="121"/>
      <c r="N19" s="110"/>
      <c r="O19" s="96"/>
      <c r="P19" s="96"/>
      <c r="Q19" s="96"/>
      <c r="R19" s="96"/>
      <c r="S19" s="96"/>
      <c r="T19" s="96"/>
      <c r="U19" s="96"/>
    </row>
    <row r="20" spans="2:21" ht="16.5" thickBot="1">
      <c r="B20" s="215">
        <v>14</v>
      </c>
      <c r="C20" s="127" t="s">
        <v>92</v>
      </c>
      <c r="D20" s="119" t="s">
        <v>91</v>
      </c>
      <c r="E20" s="24" t="s">
        <v>61</v>
      </c>
      <c r="F20" s="119" t="s">
        <v>13</v>
      </c>
      <c r="G20" s="30" t="s">
        <v>76</v>
      </c>
      <c r="H20" s="122"/>
      <c r="I20" s="25">
        <v>3</v>
      </c>
      <c r="J20" s="119" t="s">
        <v>13</v>
      </c>
      <c r="K20" s="25">
        <v>0</v>
      </c>
      <c r="L20" s="120"/>
      <c r="M20" s="121"/>
      <c r="N20" s="110"/>
      <c r="O20" s="213" t="s">
        <v>93</v>
      </c>
      <c r="P20" s="96"/>
      <c r="Q20" s="96"/>
      <c r="R20" s="96"/>
      <c r="S20" s="96"/>
      <c r="T20" s="96"/>
      <c r="U20" s="96"/>
    </row>
    <row r="21" spans="2:21" ht="16.5" thickBot="1">
      <c r="B21" s="215">
        <v>15</v>
      </c>
      <c r="C21" s="127" t="s">
        <v>94</v>
      </c>
      <c r="D21" s="119" t="s">
        <v>95</v>
      </c>
      <c r="E21" s="24" t="s">
        <v>83</v>
      </c>
      <c r="F21" s="119" t="s">
        <v>13</v>
      </c>
      <c r="G21" s="30" t="s">
        <v>75</v>
      </c>
      <c r="H21" s="122"/>
      <c r="I21" s="25">
        <v>1</v>
      </c>
      <c r="J21" s="119" t="s">
        <v>13</v>
      </c>
      <c r="K21" s="25">
        <v>0</v>
      </c>
      <c r="L21" s="120"/>
      <c r="M21" s="121"/>
      <c r="N21" s="110"/>
      <c r="O21" s="96"/>
      <c r="P21" s="28" t="s">
        <v>16</v>
      </c>
      <c r="Q21" s="29" t="s">
        <v>17</v>
      </c>
      <c r="R21" s="29" t="s">
        <v>18</v>
      </c>
      <c r="S21" s="29" t="s">
        <v>19</v>
      </c>
      <c r="T21" s="29" t="s">
        <v>20</v>
      </c>
      <c r="U21" s="29" t="s">
        <v>21</v>
      </c>
    </row>
    <row r="22" spans="2:21" ht="15.75">
      <c r="B22" s="215">
        <v>16</v>
      </c>
      <c r="C22" s="127" t="s">
        <v>96</v>
      </c>
      <c r="D22" s="119" t="s">
        <v>95</v>
      </c>
      <c r="E22" s="24" t="s">
        <v>60</v>
      </c>
      <c r="F22" s="119" t="s">
        <v>13</v>
      </c>
      <c r="G22" s="30" t="s">
        <v>68</v>
      </c>
      <c r="H22" s="122"/>
      <c r="I22" s="25">
        <v>2</v>
      </c>
      <c r="J22" s="119" t="s">
        <v>13</v>
      </c>
      <c r="K22" s="25">
        <v>0</v>
      </c>
      <c r="L22" s="120"/>
      <c r="M22" s="121"/>
      <c r="N22" s="110"/>
      <c r="O22" s="96"/>
      <c r="P22" s="22" t="s">
        <v>12</v>
      </c>
      <c r="Q22" s="22" t="s">
        <v>32</v>
      </c>
      <c r="R22" s="22" t="s">
        <v>46</v>
      </c>
      <c r="S22" s="22" t="s">
        <v>35</v>
      </c>
      <c r="T22" s="22" t="s">
        <v>42</v>
      </c>
      <c r="U22" s="22" t="s">
        <v>29</v>
      </c>
    </row>
    <row r="23" spans="2:21" ht="15.75">
      <c r="B23" s="215">
        <v>17</v>
      </c>
      <c r="C23" s="127" t="s">
        <v>97</v>
      </c>
      <c r="D23" s="119" t="s">
        <v>98</v>
      </c>
      <c r="E23" s="24" t="s">
        <v>62</v>
      </c>
      <c r="F23" s="119" t="s">
        <v>13</v>
      </c>
      <c r="G23" s="30" t="s">
        <v>77</v>
      </c>
      <c r="H23" s="122"/>
      <c r="I23" s="25">
        <v>2</v>
      </c>
      <c r="J23" s="119" t="s">
        <v>13</v>
      </c>
      <c r="K23" s="25">
        <v>0</v>
      </c>
      <c r="L23" s="120"/>
      <c r="M23" s="121"/>
      <c r="N23" s="110"/>
      <c r="O23" s="96"/>
      <c r="P23" s="21" t="s">
        <v>14</v>
      </c>
      <c r="Q23" s="21" t="s">
        <v>33</v>
      </c>
      <c r="R23" s="21" t="s">
        <v>34</v>
      </c>
      <c r="S23" s="21" t="s">
        <v>40</v>
      </c>
      <c r="T23" s="21" t="s">
        <v>36</v>
      </c>
      <c r="U23" s="21" t="s">
        <v>43</v>
      </c>
    </row>
    <row r="24" spans="2:21" ht="15.75">
      <c r="B24" s="215">
        <v>18</v>
      </c>
      <c r="C24" s="127" t="s">
        <v>99</v>
      </c>
      <c r="D24" s="119" t="s">
        <v>98</v>
      </c>
      <c r="E24" s="24" t="s">
        <v>85</v>
      </c>
      <c r="F24" s="119" t="s">
        <v>13</v>
      </c>
      <c r="G24" s="30" t="s">
        <v>70</v>
      </c>
      <c r="H24" s="122"/>
      <c r="I24" s="25">
        <v>0</v>
      </c>
      <c r="J24" s="119" t="s">
        <v>13</v>
      </c>
      <c r="K24" s="25">
        <v>2</v>
      </c>
      <c r="L24" s="120"/>
      <c r="M24" s="121"/>
      <c r="N24" s="110"/>
      <c r="O24" s="96"/>
      <c r="P24" s="21" t="s">
        <v>23</v>
      </c>
      <c r="Q24" s="21" t="s">
        <v>47</v>
      </c>
      <c r="R24" s="21" t="s">
        <v>26</v>
      </c>
      <c r="S24" s="21" t="s">
        <v>48</v>
      </c>
      <c r="T24" s="21" t="s">
        <v>28</v>
      </c>
      <c r="U24" s="21" t="s">
        <v>37</v>
      </c>
    </row>
    <row r="25" spans="2:21" ht="15.75">
      <c r="B25" s="215">
        <v>19</v>
      </c>
      <c r="C25" s="127" t="s">
        <v>100</v>
      </c>
      <c r="D25" s="119" t="s">
        <v>101</v>
      </c>
      <c r="E25" s="24" t="s">
        <v>63</v>
      </c>
      <c r="F25" s="119" t="s">
        <v>13</v>
      </c>
      <c r="G25" s="30" t="s">
        <v>78</v>
      </c>
      <c r="H25" s="122"/>
      <c r="I25" s="25">
        <v>2</v>
      </c>
      <c r="J25" s="119" t="s">
        <v>13</v>
      </c>
      <c r="K25" s="25">
        <v>0</v>
      </c>
      <c r="L25" s="120"/>
      <c r="M25" s="121"/>
      <c r="N25" s="110"/>
      <c r="O25" s="96"/>
      <c r="P25" s="21" t="s">
        <v>24</v>
      </c>
      <c r="Q25" s="21" t="s">
        <v>25</v>
      </c>
      <c r="R25" s="21" t="s">
        <v>41</v>
      </c>
      <c r="S25" s="21" t="s">
        <v>27</v>
      </c>
      <c r="T25" s="21" t="s">
        <v>49</v>
      </c>
      <c r="U25" s="21" t="s">
        <v>50</v>
      </c>
    </row>
    <row r="26" spans="2:21" ht="16.5" thickBot="1">
      <c r="B26" s="215">
        <v>20</v>
      </c>
      <c r="C26" s="127" t="s">
        <v>102</v>
      </c>
      <c r="D26" s="119" t="s">
        <v>101</v>
      </c>
      <c r="E26" s="24" t="s">
        <v>71</v>
      </c>
      <c r="F26" s="119" t="s">
        <v>13</v>
      </c>
      <c r="G26" s="30" t="s">
        <v>86</v>
      </c>
      <c r="H26" s="122"/>
      <c r="I26" s="25">
        <v>2</v>
      </c>
      <c r="J26" s="119" t="s">
        <v>13</v>
      </c>
      <c r="K26" s="25">
        <v>0</v>
      </c>
      <c r="L26" s="120"/>
      <c r="M26" s="121"/>
      <c r="N26" s="110"/>
      <c r="O26" s="96"/>
      <c r="P26" s="96"/>
      <c r="Q26" s="96"/>
      <c r="R26" s="96"/>
      <c r="S26" s="96"/>
      <c r="T26" s="96"/>
      <c r="U26" s="96"/>
    </row>
    <row r="27" spans="2:21" ht="16.5" thickBot="1">
      <c r="B27" s="215">
        <v>21</v>
      </c>
      <c r="C27" s="127" t="s">
        <v>103</v>
      </c>
      <c r="D27" s="119" t="s">
        <v>104</v>
      </c>
      <c r="E27" s="24" t="s">
        <v>80</v>
      </c>
      <c r="F27" s="119" t="s">
        <v>13</v>
      </c>
      <c r="G27" s="30" t="s">
        <v>88</v>
      </c>
      <c r="H27" s="122"/>
      <c r="I27" s="25">
        <v>1</v>
      </c>
      <c r="J27" s="119" t="s">
        <v>13</v>
      </c>
      <c r="K27" s="25">
        <v>0</v>
      </c>
      <c r="L27" s="120"/>
      <c r="M27" s="121"/>
      <c r="N27" s="110"/>
      <c r="O27" s="96"/>
      <c r="P27" s="28" t="s">
        <v>53</v>
      </c>
      <c r="Q27" s="29" t="s">
        <v>54</v>
      </c>
      <c r="R27" s="29" t="s">
        <v>55</v>
      </c>
      <c r="S27" s="29" t="s">
        <v>56</v>
      </c>
      <c r="T27" s="29" t="s">
        <v>57</v>
      </c>
      <c r="U27" s="29" t="s">
        <v>58</v>
      </c>
    </row>
    <row r="28" spans="2:21" ht="15.75">
      <c r="B28" s="215">
        <v>22</v>
      </c>
      <c r="C28" s="127" t="s">
        <v>105</v>
      </c>
      <c r="D28" s="119" t="s">
        <v>104</v>
      </c>
      <c r="E28" s="24" t="s">
        <v>65</v>
      </c>
      <c r="F28" s="119" t="s">
        <v>13</v>
      </c>
      <c r="G28" s="30" t="s">
        <v>73</v>
      </c>
      <c r="H28" s="122"/>
      <c r="I28" s="25">
        <v>2</v>
      </c>
      <c r="J28" s="119" t="s">
        <v>13</v>
      </c>
      <c r="K28" s="25">
        <v>1</v>
      </c>
      <c r="L28" s="120"/>
      <c r="M28" s="121"/>
      <c r="N28" s="110"/>
      <c r="O28" s="96"/>
      <c r="P28" s="22" t="s">
        <v>83</v>
      </c>
      <c r="Q28" s="22" t="s">
        <v>84</v>
      </c>
      <c r="R28" s="22" t="s">
        <v>62</v>
      </c>
      <c r="S28" s="22" t="s">
        <v>63</v>
      </c>
      <c r="T28" s="22" t="s">
        <v>64</v>
      </c>
      <c r="U28" s="22" t="s">
        <v>80</v>
      </c>
    </row>
    <row r="29" spans="2:21" ht="15.75">
      <c r="B29" s="215">
        <v>23</v>
      </c>
      <c r="C29" s="127" t="s">
        <v>106</v>
      </c>
      <c r="D29" s="119" t="s">
        <v>107</v>
      </c>
      <c r="E29" s="24" t="s">
        <v>64</v>
      </c>
      <c r="F29" s="119" t="s">
        <v>13</v>
      </c>
      <c r="G29" s="30" t="s">
        <v>87</v>
      </c>
      <c r="H29" s="122"/>
      <c r="I29" s="25">
        <v>3</v>
      </c>
      <c r="J29" s="119" t="s">
        <v>13</v>
      </c>
      <c r="K29" s="25">
        <v>0</v>
      </c>
      <c r="L29" s="120"/>
      <c r="M29" s="121"/>
      <c r="N29" s="110"/>
      <c r="O29" s="96"/>
      <c r="P29" s="21" t="s">
        <v>75</v>
      </c>
      <c r="Q29" s="21" t="s">
        <v>69</v>
      </c>
      <c r="R29" s="21" t="s">
        <v>77</v>
      </c>
      <c r="S29" s="21" t="s">
        <v>78</v>
      </c>
      <c r="T29" s="21" t="s">
        <v>87</v>
      </c>
      <c r="U29" s="21" t="s">
        <v>88</v>
      </c>
    </row>
    <row r="30" spans="2:21" ht="15.75">
      <c r="B30" s="215">
        <v>24</v>
      </c>
      <c r="C30" s="127" t="s">
        <v>108</v>
      </c>
      <c r="D30" s="119" t="s">
        <v>107</v>
      </c>
      <c r="E30" s="24" t="s">
        <v>79</v>
      </c>
      <c r="F30" s="119" t="s">
        <v>13</v>
      </c>
      <c r="G30" s="30" t="s">
        <v>72</v>
      </c>
      <c r="H30" s="122"/>
      <c r="I30" s="25">
        <v>0</v>
      </c>
      <c r="J30" s="119" t="s">
        <v>13</v>
      </c>
      <c r="K30" s="25">
        <v>2</v>
      </c>
      <c r="L30" s="120"/>
      <c r="M30" s="121"/>
      <c r="N30" s="110"/>
      <c r="O30" s="96"/>
      <c r="P30" s="21" t="s">
        <v>60</v>
      </c>
      <c r="Q30" s="21" t="s">
        <v>61</v>
      </c>
      <c r="R30" s="21" t="s">
        <v>85</v>
      </c>
      <c r="S30" s="21" t="s">
        <v>71</v>
      </c>
      <c r="T30" s="21" t="s">
        <v>79</v>
      </c>
      <c r="U30" s="21" t="s">
        <v>65</v>
      </c>
    </row>
    <row r="31" spans="2:21" ht="15.75">
      <c r="B31" s="215">
        <v>25</v>
      </c>
      <c r="C31" s="127" t="s">
        <v>109</v>
      </c>
      <c r="D31" s="119" t="s">
        <v>11</v>
      </c>
      <c r="E31" s="24" t="s">
        <v>24</v>
      </c>
      <c r="F31" s="119" t="s">
        <v>13</v>
      </c>
      <c r="G31" s="30" t="s">
        <v>14</v>
      </c>
      <c r="H31" s="122"/>
      <c r="I31" s="25">
        <v>1</v>
      </c>
      <c r="J31" s="119" t="s">
        <v>13</v>
      </c>
      <c r="K31" s="25">
        <v>0</v>
      </c>
      <c r="L31" s="120"/>
      <c r="M31" s="121"/>
      <c r="N31" s="110"/>
      <c r="O31" s="96"/>
      <c r="P31" s="21" t="s">
        <v>68</v>
      </c>
      <c r="Q31" s="21" t="s">
        <v>76</v>
      </c>
      <c r="R31" s="21" t="s">
        <v>70</v>
      </c>
      <c r="S31" s="21" t="s">
        <v>86</v>
      </c>
      <c r="T31" s="21" t="s">
        <v>72</v>
      </c>
      <c r="U31" s="21" t="s">
        <v>73</v>
      </c>
    </row>
    <row r="32" spans="2:21" ht="15.75">
      <c r="B32" s="215">
        <v>26</v>
      </c>
      <c r="C32" s="127" t="s">
        <v>110</v>
      </c>
      <c r="D32" s="119" t="s">
        <v>31</v>
      </c>
      <c r="E32" s="24" t="s">
        <v>25</v>
      </c>
      <c r="F32" s="119" t="s">
        <v>13</v>
      </c>
      <c r="G32" s="30" t="s">
        <v>33</v>
      </c>
      <c r="H32" s="122"/>
      <c r="I32" s="25">
        <v>2</v>
      </c>
      <c r="J32" s="119" t="s">
        <v>13</v>
      </c>
      <c r="K32" s="25">
        <v>0</v>
      </c>
      <c r="L32" s="120"/>
      <c r="M32" s="121"/>
      <c r="N32" s="110"/>
      <c r="O32" s="96"/>
      <c r="P32" s="96"/>
      <c r="Q32" s="96"/>
      <c r="R32" s="96"/>
      <c r="S32" s="96"/>
      <c r="T32" s="96"/>
      <c r="U32" s="96"/>
    </row>
    <row r="33" spans="2:14" ht="15.75">
      <c r="B33" s="215">
        <v>27</v>
      </c>
      <c r="C33" s="127" t="s">
        <v>111</v>
      </c>
      <c r="D33" s="119" t="s">
        <v>31</v>
      </c>
      <c r="E33" s="24" t="s">
        <v>32</v>
      </c>
      <c r="F33" s="119" t="s">
        <v>13</v>
      </c>
      <c r="G33" s="30" t="s">
        <v>47</v>
      </c>
      <c r="H33" s="122"/>
      <c r="I33" s="25">
        <v>2</v>
      </c>
      <c r="J33" s="119" t="s">
        <v>13</v>
      </c>
      <c r="K33" s="25">
        <v>0</v>
      </c>
      <c r="L33" s="120"/>
      <c r="M33" s="121"/>
      <c r="N33" s="110"/>
    </row>
    <row r="34" spans="2:14" ht="15.75">
      <c r="B34" s="215">
        <v>28</v>
      </c>
      <c r="C34" s="127" t="s">
        <v>112</v>
      </c>
      <c r="D34" s="119" t="s">
        <v>11</v>
      </c>
      <c r="E34" s="24" t="s">
        <v>12</v>
      </c>
      <c r="F34" s="119" t="s">
        <v>13</v>
      </c>
      <c r="G34" s="30" t="s">
        <v>23</v>
      </c>
      <c r="H34" s="122"/>
      <c r="I34" s="25">
        <v>0</v>
      </c>
      <c r="J34" s="119" t="s">
        <v>13</v>
      </c>
      <c r="K34" s="25">
        <v>1</v>
      </c>
      <c r="L34" s="120"/>
      <c r="M34" s="121"/>
      <c r="N34" s="110"/>
    </row>
    <row r="35" spans="2:14" ht="15.75">
      <c r="B35" s="215">
        <v>29</v>
      </c>
      <c r="C35" s="127" t="s">
        <v>113</v>
      </c>
      <c r="D35" s="119" t="s">
        <v>45</v>
      </c>
      <c r="E35" s="24" t="s">
        <v>26</v>
      </c>
      <c r="F35" s="119" t="s">
        <v>13</v>
      </c>
      <c r="G35" s="30" t="s">
        <v>46</v>
      </c>
      <c r="H35" s="122"/>
      <c r="I35" s="25">
        <v>3</v>
      </c>
      <c r="J35" s="119" t="s">
        <v>13</v>
      </c>
      <c r="K35" s="25">
        <v>0</v>
      </c>
      <c r="L35" s="120"/>
      <c r="M35" s="121"/>
      <c r="N35" s="110"/>
    </row>
    <row r="36" spans="2:14" ht="15.75">
      <c r="B36" s="215">
        <v>30</v>
      </c>
      <c r="C36" s="127" t="s">
        <v>114</v>
      </c>
      <c r="D36" s="119" t="s">
        <v>45</v>
      </c>
      <c r="E36" s="24" t="s">
        <v>34</v>
      </c>
      <c r="F36" s="119" t="s">
        <v>13</v>
      </c>
      <c r="G36" s="30" t="s">
        <v>41</v>
      </c>
      <c r="H36" s="122"/>
      <c r="I36" s="25">
        <v>0</v>
      </c>
      <c r="J36" s="119" t="s">
        <v>13</v>
      </c>
      <c r="K36" s="25">
        <v>2</v>
      </c>
      <c r="L36" s="120"/>
      <c r="M36" s="121"/>
      <c r="N36" s="110"/>
    </row>
    <row r="37" spans="2:14" ht="15.75">
      <c r="B37" s="215">
        <v>31</v>
      </c>
      <c r="C37" s="127" t="s">
        <v>115</v>
      </c>
      <c r="D37" s="119" t="s">
        <v>39</v>
      </c>
      <c r="E37" s="24" t="s">
        <v>27</v>
      </c>
      <c r="F37" s="119" t="s">
        <v>13</v>
      </c>
      <c r="G37" s="30" t="s">
        <v>40</v>
      </c>
      <c r="H37" s="122"/>
      <c r="I37" s="25">
        <v>2</v>
      </c>
      <c r="J37" s="119" t="s">
        <v>13</v>
      </c>
      <c r="K37" s="25">
        <v>0</v>
      </c>
      <c r="L37" s="120"/>
      <c r="M37" s="121"/>
      <c r="N37" s="110"/>
    </row>
    <row r="38" spans="2:14" ht="15.75">
      <c r="B38" s="215">
        <v>32</v>
      </c>
      <c r="C38" s="127" t="s">
        <v>116</v>
      </c>
      <c r="D38" s="119" t="s">
        <v>39</v>
      </c>
      <c r="E38" s="24" t="s">
        <v>35</v>
      </c>
      <c r="F38" s="119" t="s">
        <v>13</v>
      </c>
      <c r="G38" s="30" t="s">
        <v>48</v>
      </c>
      <c r="H38" s="122"/>
      <c r="I38" s="25">
        <v>2</v>
      </c>
      <c r="J38" s="119" t="s">
        <v>13</v>
      </c>
      <c r="K38" s="25">
        <v>1</v>
      </c>
      <c r="L38" s="120"/>
      <c r="M38" s="121"/>
      <c r="N38" s="110"/>
    </row>
    <row r="39" spans="2:14" ht="15.75">
      <c r="B39" s="215">
        <v>33</v>
      </c>
      <c r="C39" s="127" t="s">
        <v>117</v>
      </c>
      <c r="D39" s="119" t="s">
        <v>67</v>
      </c>
      <c r="E39" s="24" t="s">
        <v>28</v>
      </c>
      <c r="F39" s="119" t="s">
        <v>13</v>
      </c>
      <c r="G39" s="30" t="s">
        <v>42</v>
      </c>
      <c r="H39" s="122"/>
      <c r="I39" s="25">
        <v>2</v>
      </c>
      <c r="J39" s="119" t="s">
        <v>13</v>
      </c>
      <c r="K39" s="25">
        <v>0</v>
      </c>
      <c r="L39" s="120"/>
      <c r="M39" s="121"/>
      <c r="N39" s="110"/>
    </row>
    <row r="40" spans="2:14" ht="15.75">
      <c r="B40" s="215">
        <v>34</v>
      </c>
      <c r="C40" s="127" t="s">
        <v>118</v>
      </c>
      <c r="D40" s="119" t="s">
        <v>67</v>
      </c>
      <c r="E40" s="24" t="s">
        <v>36</v>
      </c>
      <c r="F40" s="119" t="s">
        <v>13</v>
      </c>
      <c r="G40" s="30" t="s">
        <v>49</v>
      </c>
      <c r="H40" s="122"/>
      <c r="I40" s="25">
        <v>2</v>
      </c>
      <c r="J40" s="119" t="s">
        <v>13</v>
      </c>
      <c r="K40" s="25">
        <v>0</v>
      </c>
      <c r="L40" s="120"/>
      <c r="M40" s="121"/>
      <c r="N40" s="110"/>
    </row>
    <row r="41" spans="2:14" ht="15.75">
      <c r="B41" s="215">
        <v>35</v>
      </c>
      <c r="C41" s="127" t="s">
        <v>119</v>
      </c>
      <c r="D41" s="119" t="s">
        <v>82</v>
      </c>
      <c r="E41" s="24" t="s">
        <v>29</v>
      </c>
      <c r="F41" s="119" t="s">
        <v>13</v>
      </c>
      <c r="G41" s="30" t="s">
        <v>37</v>
      </c>
      <c r="H41" s="122"/>
      <c r="I41" s="25">
        <v>2</v>
      </c>
      <c r="J41" s="119" t="s">
        <v>13</v>
      </c>
      <c r="K41" s="25">
        <v>0</v>
      </c>
      <c r="L41" s="120"/>
      <c r="M41" s="121"/>
      <c r="N41" s="110"/>
    </row>
    <row r="42" spans="2:14" ht="15.75">
      <c r="B42" s="215">
        <v>36</v>
      </c>
      <c r="C42" s="127" t="s">
        <v>120</v>
      </c>
      <c r="D42" s="119" t="s">
        <v>82</v>
      </c>
      <c r="E42" s="24" t="s">
        <v>50</v>
      </c>
      <c r="F42" s="119" t="s">
        <v>13</v>
      </c>
      <c r="G42" s="30" t="s">
        <v>43</v>
      </c>
      <c r="H42" s="122"/>
      <c r="I42" s="25">
        <v>1</v>
      </c>
      <c r="J42" s="119" t="s">
        <v>13</v>
      </c>
      <c r="K42" s="25">
        <v>2</v>
      </c>
      <c r="L42" s="120"/>
      <c r="M42" s="121"/>
      <c r="N42" s="110"/>
    </row>
    <row r="43" spans="2:14" ht="15.75">
      <c r="B43" s="215">
        <v>37</v>
      </c>
      <c r="C43" s="127" t="s">
        <v>121</v>
      </c>
      <c r="D43" s="119" t="s">
        <v>91</v>
      </c>
      <c r="E43" s="24" t="s">
        <v>69</v>
      </c>
      <c r="F43" s="119" t="s">
        <v>13</v>
      </c>
      <c r="G43" s="30" t="s">
        <v>76</v>
      </c>
      <c r="H43" s="122"/>
      <c r="I43" s="25">
        <v>2</v>
      </c>
      <c r="J43" s="119" t="s">
        <v>13</v>
      </c>
      <c r="K43" s="25">
        <v>0</v>
      </c>
      <c r="L43" s="120"/>
      <c r="M43" s="121"/>
      <c r="N43" s="96"/>
    </row>
    <row r="44" spans="2:14" ht="15.75">
      <c r="B44" s="215">
        <v>38</v>
      </c>
      <c r="C44" s="127" t="s">
        <v>122</v>
      </c>
      <c r="D44" s="119" t="s">
        <v>91</v>
      </c>
      <c r="E44" s="24" t="s">
        <v>61</v>
      </c>
      <c r="F44" s="119" t="s">
        <v>13</v>
      </c>
      <c r="G44" s="30" t="s">
        <v>84</v>
      </c>
      <c r="H44" s="122"/>
      <c r="I44" s="25">
        <v>2</v>
      </c>
      <c r="J44" s="119" t="s">
        <v>13</v>
      </c>
      <c r="K44" s="25">
        <v>0</v>
      </c>
      <c r="L44" s="120"/>
      <c r="M44" s="121"/>
      <c r="N44" s="96"/>
    </row>
    <row r="45" spans="2:14" ht="15.75">
      <c r="B45" s="215">
        <v>39</v>
      </c>
      <c r="C45" s="127" t="s">
        <v>123</v>
      </c>
      <c r="D45" s="119" t="s">
        <v>95</v>
      </c>
      <c r="E45" s="24" t="s">
        <v>60</v>
      </c>
      <c r="F45" s="119" t="s">
        <v>13</v>
      </c>
      <c r="G45" s="30" t="s">
        <v>83</v>
      </c>
      <c r="H45" s="122"/>
      <c r="I45" s="25">
        <v>2</v>
      </c>
      <c r="J45" s="119" t="s">
        <v>13</v>
      </c>
      <c r="K45" s="25">
        <v>0</v>
      </c>
      <c r="L45" s="120"/>
      <c r="M45" s="121"/>
      <c r="N45" s="96"/>
    </row>
    <row r="46" spans="2:14" ht="15.75">
      <c r="B46" s="215">
        <v>40</v>
      </c>
      <c r="C46" s="127" t="s">
        <v>124</v>
      </c>
      <c r="D46" s="119" t="s">
        <v>95</v>
      </c>
      <c r="E46" s="24" t="s">
        <v>75</v>
      </c>
      <c r="F46" s="119" t="s">
        <v>13</v>
      </c>
      <c r="G46" s="30" t="s">
        <v>68</v>
      </c>
      <c r="H46" s="122"/>
      <c r="I46" s="25">
        <v>0</v>
      </c>
      <c r="J46" s="119" t="s">
        <v>13</v>
      </c>
      <c r="K46" s="25">
        <v>2</v>
      </c>
      <c r="L46" s="120"/>
      <c r="M46" s="121"/>
      <c r="N46" s="96"/>
    </row>
    <row r="47" spans="2:14" ht="15.75">
      <c r="B47" s="215">
        <v>41</v>
      </c>
      <c r="C47" s="127" t="s">
        <v>125</v>
      </c>
      <c r="D47" s="119" t="s">
        <v>98</v>
      </c>
      <c r="E47" s="24" t="s">
        <v>70</v>
      </c>
      <c r="F47" s="119" t="s">
        <v>13</v>
      </c>
      <c r="G47" s="30" t="s">
        <v>77</v>
      </c>
      <c r="H47" s="122"/>
      <c r="I47" s="25">
        <v>2</v>
      </c>
      <c r="J47" s="119" t="s">
        <v>13</v>
      </c>
      <c r="K47" s="25">
        <v>1</v>
      </c>
      <c r="L47" s="120"/>
      <c r="M47" s="121"/>
      <c r="N47" s="96"/>
    </row>
    <row r="48" spans="2:14" ht="15.75">
      <c r="B48" s="215">
        <v>42</v>
      </c>
      <c r="C48" s="127" t="s">
        <v>126</v>
      </c>
      <c r="D48" s="119" t="s">
        <v>98</v>
      </c>
      <c r="E48" s="24" t="s">
        <v>62</v>
      </c>
      <c r="F48" s="119" t="s">
        <v>13</v>
      </c>
      <c r="G48" s="30" t="s">
        <v>85</v>
      </c>
      <c r="H48" s="122"/>
      <c r="I48" s="25">
        <v>3</v>
      </c>
      <c r="J48" s="119" t="s">
        <v>13</v>
      </c>
      <c r="K48" s="25">
        <v>0</v>
      </c>
      <c r="L48" s="120"/>
      <c r="M48" s="121"/>
      <c r="N48" s="96"/>
    </row>
    <row r="49" spans="2:13" ht="15.75">
      <c r="B49" s="215">
        <v>43</v>
      </c>
      <c r="C49" s="127" t="s">
        <v>127</v>
      </c>
      <c r="D49" s="119" t="s">
        <v>101</v>
      </c>
      <c r="E49" s="24" t="s">
        <v>63</v>
      </c>
      <c r="F49" s="119" t="s">
        <v>13</v>
      </c>
      <c r="G49" s="30" t="s">
        <v>71</v>
      </c>
      <c r="H49" s="122"/>
      <c r="I49" s="25">
        <v>2</v>
      </c>
      <c r="J49" s="119" t="s">
        <v>13</v>
      </c>
      <c r="K49" s="25">
        <v>0</v>
      </c>
      <c r="L49" s="120"/>
      <c r="M49" s="121"/>
    </row>
    <row r="50" spans="2:13" ht="15.75">
      <c r="B50" s="215">
        <v>44</v>
      </c>
      <c r="C50" s="127" t="s">
        <v>128</v>
      </c>
      <c r="D50" s="119" t="s">
        <v>101</v>
      </c>
      <c r="E50" s="24" t="s">
        <v>86</v>
      </c>
      <c r="F50" s="119" t="s">
        <v>13</v>
      </c>
      <c r="G50" s="30" t="s">
        <v>78</v>
      </c>
      <c r="H50" s="122"/>
      <c r="I50" s="25">
        <v>0</v>
      </c>
      <c r="J50" s="119" t="s">
        <v>13</v>
      </c>
      <c r="K50" s="25">
        <v>1</v>
      </c>
      <c r="L50" s="120"/>
      <c r="M50" s="121"/>
    </row>
    <row r="51" spans="2:13" ht="15.75">
      <c r="B51" s="215">
        <v>45</v>
      </c>
      <c r="C51" s="127" t="s">
        <v>129</v>
      </c>
      <c r="D51" s="119" t="s">
        <v>104</v>
      </c>
      <c r="E51" s="24" t="s">
        <v>65</v>
      </c>
      <c r="F51" s="119" t="s">
        <v>13</v>
      </c>
      <c r="G51" s="30" t="s">
        <v>80</v>
      </c>
      <c r="H51" s="122"/>
      <c r="I51" s="25">
        <v>2</v>
      </c>
      <c r="J51" s="119" t="s">
        <v>13</v>
      </c>
      <c r="K51" s="25">
        <v>0</v>
      </c>
      <c r="L51" s="120"/>
      <c r="M51" s="121"/>
    </row>
    <row r="52" spans="2:13" ht="15.75">
      <c r="B52" s="215">
        <v>46</v>
      </c>
      <c r="C52" s="127" t="s">
        <v>130</v>
      </c>
      <c r="D52" s="119" t="s">
        <v>104</v>
      </c>
      <c r="E52" s="24" t="s">
        <v>88</v>
      </c>
      <c r="F52" s="119" t="s">
        <v>13</v>
      </c>
      <c r="G52" s="30" t="s">
        <v>73</v>
      </c>
      <c r="H52" s="122"/>
      <c r="I52" s="25">
        <v>0</v>
      </c>
      <c r="J52" s="119" t="s">
        <v>13</v>
      </c>
      <c r="K52" s="25">
        <v>2</v>
      </c>
      <c r="L52" s="120"/>
      <c r="M52" s="121"/>
    </row>
    <row r="53" spans="2:13" ht="15.75">
      <c r="B53" s="215">
        <v>47</v>
      </c>
      <c r="C53" s="127" t="s">
        <v>131</v>
      </c>
      <c r="D53" s="119" t="s">
        <v>107</v>
      </c>
      <c r="E53" s="24" t="s">
        <v>64</v>
      </c>
      <c r="F53" s="119" t="s">
        <v>13</v>
      </c>
      <c r="G53" s="30" t="s">
        <v>79</v>
      </c>
      <c r="H53" s="122"/>
      <c r="I53" s="25">
        <v>3</v>
      </c>
      <c r="J53" s="119" t="s">
        <v>13</v>
      </c>
      <c r="K53" s="25">
        <v>0</v>
      </c>
      <c r="L53" s="120"/>
      <c r="M53" s="121"/>
    </row>
    <row r="54" spans="2:13" ht="15.75">
      <c r="B54" s="215">
        <v>48</v>
      </c>
      <c r="C54" s="127" t="s">
        <v>132</v>
      </c>
      <c r="D54" s="119" t="s">
        <v>107</v>
      </c>
      <c r="E54" s="24" t="s">
        <v>72</v>
      </c>
      <c r="F54" s="119" t="s">
        <v>13</v>
      </c>
      <c r="G54" s="30" t="s">
        <v>87</v>
      </c>
      <c r="H54" s="122"/>
      <c r="I54" s="25">
        <v>2</v>
      </c>
      <c r="J54" s="119" t="s">
        <v>13</v>
      </c>
      <c r="K54" s="25">
        <v>0</v>
      </c>
      <c r="L54" s="120"/>
      <c r="M54" s="121"/>
    </row>
    <row r="55" spans="2:13" ht="15.75">
      <c r="B55" s="215">
        <v>49</v>
      </c>
      <c r="C55" s="127" t="s">
        <v>133</v>
      </c>
      <c r="D55" s="119" t="s">
        <v>45</v>
      </c>
      <c r="E55" s="24" t="s">
        <v>34</v>
      </c>
      <c r="F55" s="119" t="s">
        <v>13</v>
      </c>
      <c r="G55" s="30" t="s">
        <v>26</v>
      </c>
      <c r="H55" s="122"/>
      <c r="I55" s="25">
        <v>0</v>
      </c>
      <c r="J55" s="119" t="s">
        <v>13</v>
      </c>
      <c r="K55" s="25">
        <v>2</v>
      </c>
      <c r="L55" s="120"/>
      <c r="M55" s="121"/>
    </row>
    <row r="56" spans="2:13" ht="15.75">
      <c r="B56" s="215">
        <v>50</v>
      </c>
      <c r="C56" s="127" t="s">
        <v>133</v>
      </c>
      <c r="D56" s="119" t="s">
        <v>45</v>
      </c>
      <c r="E56" s="24" t="s">
        <v>41</v>
      </c>
      <c r="F56" s="119" t="s">
        <v>13</v>
      </c>
      <c r="G56" s="30" t="s">
        <v>46</v>
      </c>
      <c r="H56" s="122"/>
      <c r="I56" s="25">
        <v>3</v>
      </c>
      <c r="J56" s="119" t="s">
        <v>13</v>
      </c>
      <c r="K56" s="25">
        <v>0</v>
      </c>
      <c r="L56" s="120"/>
      <c r="M56" s="121"/>
    </row>
    <row r="57" spans="2:13" ht="15.75">
      <c r="B57" s="215">
        <v>51</v>
      </c>
      <c r="C57" s="127" t="s">
        <v>134</v>
      </c>
      <c r="D57" s="119" t="s">
        <v>31</v>
      </c>
      <c r="E57" s="24" t="s">
        <v>25</v>
      </c>
      <c r="F57" s="119" t="s">
        <v>13</v>
      </c>
      <c r="G57" s="30" t="s">
        <v>32</v>
      </c>
      <c r="H57" s="122"/>
      <c r="I57" s="25">
        <v>1</v>
      </c>
      <c r="J57" s="119" t="s">
        <v>13</v>
      </c>
      <c r="K57" s="25">
        <v>1</v>
      </c>
      <c r="L57" s="120"/>
      <c r="M57" s="121"/>
    </row>
    <row r="58" spans="2:13" ht="15.75">
      <c r="B58" s="215">
        <v>52</v>
      </c>
      <c r="C58" s="127" t="s">
        <v>134</v>
      </c>
      <c r="D58" s="119" t="s">
        <v>31</v>
      </c>
      <c r="E58" s="24" t="s">
        <v>33</v>
      </c>
      <c r="F58" s="119" t="s">
        <v>13</v>
      </c>
      <c r="G58" s="30" t="s">
        <v>47</v>
      </c>
      <c r="H58" s="122"/>
      <c r="I58" s="25">
        <v>1</v>
      </c>
      <c r="J58" s="119" t="s">
        <v>13</v>
      </c>
      <c r="K58" s="25">
        <v>0</v>
      </c>
      <c r="L58" s="120"/>
      <c r="M58" s="121"/>
    </row>
    <row r="59" spans="2:13" ht="15.75">
      <c r="B59" s="215">
        <v>53</v>
      </c>
      <c r="C59" s="127" t="s">
        <v>135</v>
      </c>
      <c r="D59" s="119" t="s">
        <v>11</v>
      </c>
      <c r="E59" s="24" t="s">
        <v>24</v>
      </c>
      <c r="F59" s="119" t="s">
        <v>13</v>
      </c>
      <c r="G59" s="30" t="s">
        <v>12</v>
      </c>
      <c r="H59" s="122"/>
      <c r="I59" s="25">
        <v>1</v>
      </c>
      <c r="J59" s="119" t="s">
        <v>13</v>
      </c>
      <c r="K59" s="25">
        <v>2</v>
      </c>
      <c r="L59" s="120"/>
      <c r="M59" s="121"/>
    </row>
    <row r="60" spans="2:13" ht="15.75">
      <c r="B60" s="215">
        <v>54</v>
      </c>
      <c r="C60" s="127" t="s">
        <v>135</v>
      </c>
      <c r="D60" s="119" t="s">
        <v>11</v>
      </c>
      <c r="E60" s="24" t="s">
        <v>14</v>
      </c>
      <c r="F60" s="119" t="s">
        <v>13</v>
      </c>
      <c r="G60" s="30" t="s">
        <v>23</v>
      </c>
      <c r="H60" s="122"/>
      <c r="I60" s="25">
        <v>0</v>
      </c>
      <c r="J60" s="119" t="s">
        <v>13</v>
      </c>
      <c r="K60" s="25">
        <v>1</v>
      </c>
      <c r="L60" s="120"/>
      <c r="M60" s="121"/>
    </row>
    <row r="61" spans="2:13" ht="15.75">
      <c r="B61" s="215">
        <v>55</v>
      </c>
      <c r="C61" s="127" t="s">
        <v>136</v>
      </c>
      <c r="D61" s="119" t="s">
        <v>67</v>
      </c>
      <c r="E61" s="24" t="s">
        <v>49</v>
      </c>
      <c r="F61" s="119" t="s">
        <v>13</v>
      </c>
      <c r="G61" s="30" t="s">
        <v>42</v>
      </c>
      <c r="H61" s="122"/>
      <c r="I61" s="25">
        <v>0</v>
      </c>
      <c r="J61" s="119" t="s">
        <v>13</v>
      </c>
      <c r="K61" s="25">
        <v>1</v>
      </c>
      <c r="L61" s="120"/>
      <c r="M61" s="121"/>
    </row>
    <row r="62" spans="2:13" ht="15.75">
      <c r="B62" s="215">
        <v>56</v>
      </c>
      <c r="C62" s="127" t="s">
        <v>136</v>
      </c>
      <c r="D62" s="119" t="s">
        <v>67</v>
      </c>
      <c r="E62" s="24" t="s">
        <v>36</v>
      </c>
      <c r="F62" s="119" t="s">
        <v>13</v>
      </c>
      <c r="G62" s="30" t="s">
        <v>28</v>
      </c>
      <c r="H62" s="122"/>
      <c r="I62" s="25">
        <v>0</v>
      </c>
      <c r="J62" s="119" t="s">
        <v>13</v>
      </c>
      <c r="K62" s="25">
        <v>2</v>
      </c>
      <c r="L62" s="120"/>
      <c r="M62" s="121"/>
    </row>
    <row r="63" spans="2:13" ht="15.75">
      <c r="B63" s="215">
        <v>57</v>
      </c>
      <c r="C63" s="127" t="s">
        <v>137</v>
      </c>
      <c r="D63" s="119" t="s">
        <v>82</v>
      </c>
      <c r="E63" s="24" t="s">
        <v>43</v>
      </c>
      <c r="F63" s="119" t="s">
        <v>13</v>
      </c>
      <c r="G63" s="30" t="s">
        <v>37</v>
      </c>
      <c r="H63" s="122"/>
      <c r="I63" s="25">
        <v>1</v>
      </c>
      <c r="J63" s="119" t="s">
        <v>13</v>
      </c>
      <c r="K63" s="25">
        <v>1</v>
      </c>
      <c r="L63" s="120"/>
      <c r="M63" s="121"/>
    </row>
    <row r="64" spans="2:13" ht="15.75">
      <c r="B64" s="215">
        <v>58</v>
      </c>
      <c r="C64" s="127" t="s">
        <v>137</v>
      </c>
      <c r="D64" s="119" t="s">
        <v>82</v>
      </c>
      <c r="E64" s="24" t="s">
        <v>50</v>
      </c>
      <c r="F64" s="119" t="s">
        <v>13</v>
      </c>
      <c r="G64" s="30" t="s">
        <v>29</v>
      </c>
      <c r="H64" s="122"/>
      <c r="I64" s="25">
        <v>0</v>
      </c>
      <c r="J64" s="119" t="s">
        <v>13</v>
      </c>
      <c r="K64" s="25">
        <v>2</v>
      </c>
      <c r="L64" s="120"/>
      <c r="M64" s="121"/>
    </row>
    <row r="65" spans="2:14" ht="15.75">
      <c r="B65" s="215">
        <v>59</v>
      </c>
      <c r="C65" s="127" t="s">
        <v>138</v>
      </c>
      <c r="D65" s="119" t="s">
        <v>39</v>
      </c>
      <c r="E65" s="24" t="s">
        <v>27</v>
      </c>
      <c r="F65" s="119" t="s">
        <v>13</v>
      </c>
      <c r="G65" s="30" t="s">
        <v>35</v>
      </c>
      <c r="H65" s="122"/>
      <c r="I65" s="25">
        <v>1</v>
      </c>
      <c r="J65" s="119" t="s">
        <v>13</v>
      </c>
      <c r="K65" s="25">
        <v>1</v>
      </c>
      <c r="L65" s="120"/>
      <c r="M65" s="121"/>
      <c r="N65" s="96"/>
    </row>
    <row r="66" spans="2:14" ht="15.75">
      <c r="B66" s="215">
        <v>60</v>
      </c>
      <c r="C66" s="127" t="s">
        <v>138</v>
      </c>
      <c r="D66" s="119" t="s">
        <v>39</v>
      </c>
      <c r="E66" s="24" t="s">
        <v>40</v>
      </c>
      <c r="F66" s="119" t="s">
        <v>13</v>
      </c>
      <c r="G66" s="30" t="s">
        <v>48</v>
      </c>
      <c r="H66" s="122"/>
      <c r="I66" s="25">
        <v>1</v>
      </c>
      <c r="J66" s="119" t="s">
        <v>13</v>
      </c>
      <c r="K66" s="25">
        <v>1</v>
      </c>
      <c r="L66" s="120"/>
      <c r="M66" s="121"/>
      <c r="N66" s="96"/>
    </row>
    <row r="67" spans="2:14" ht="15.75">
      <c r="B67" s="215">
        <v>61</v>
      </c>
      <c r="C67" s="127" t="s">
        <v>139</v>
      </c>
      <c r="D67" s="119" t="s">
        <v>98</v>
      </c>
      <c r="E67" s="24" t="s">
        <v>70</v>
      </c>
      <c r="F67" s="119" t="s">
        <v>13</v>
      </c>
      <c r="G67" s="30" t="s">
        <v>62</v>
      </c>
      <c r="H67" s="122"/>
      <c r="I67" s="25">
        <v>1</v>
      </c>
      <c r="J67" s="119" t="s">
        <v>13</v>
      </c>
      <c r="K67" s="25">
        <v>2</v>
      </c>
      <c r="L67" s="120"/>
      <c r="M67" s="121"/>
      <c r="N67" s="96"/>
    </row>
    <row r="68" spans="2:14" ht="15.75">
      <c r="B68" s="215">
        <v>62</v>
      </c>
      <c r="C68" s="127" t="s">
        <v>139</v>
      </c>
      <c r="D68" s="119" t="s">
        <v>98</v>
      </c>
      <c r="E68" s="24" t="s">
        <v>77</v>
      </c>
      <c r="F68" s="119" t="s">
        <v>13</v>
      </c>
      <c r="G68" s="30" t="s">
        <v>85</v>
      </c>
      <c r="H68" s="122"/>
      <c r="I68" s="25">
        <v>2</v>
      </c>
      <c r="J68" s="119" t="s">
        <v>13</v>
      </c>
      <c r="K68" s="25">
        <v>1</v>
      </c>
      <c r="L68" s="120"/>
      <c r="M68" s="121"/>
      <c r="N68" s="96"/>
    </row>
    <row r="69" spans="2:14" ht="15.75">
      <c r="B69" s="215">
        <v>63</v>
      </c>
      <c r="C69" s="127" t="s">
        <v>140</v>
      </c>
      <c r="D69" s="119" t="s">
        <v>95</v>
      </c>
      <c r="E69" s="24" t="s">
        <v>68</v>
      </c>
      <c r="F69" s="119" t="s">
        <v>13</v>
      </c>
      <c r="G69" s="30" t="s">
        <v>83</v>
      </c>
      <c r="H69" s="122"/>
      <c r="I69" s="25">
        <v>1</v>
      </c>
      <c r="J69" s="119" t="s">
        <v>13</v>
      </c>
      <c r="K69" s="25">
        <v>1</v>
      </c>
      <c r="L69" s="120"/>
      <c r="M69" s="121"/>
      <c r="N69" s="96"/>
    </row>
    <row r="70" spans="2:14" ht="15.75">
      <c r="B70" s="215">
        <v>64</v>
      </c>
      <c r="C70" s="127" t="s">
        <v>140</v>
      </c>
      <c r="D70" s="119" t="s">
        <v>95</v>
      </c>
      <c r="E70" s="24" t="s">
        <v>75</v>
      </c>
      <c r="F70" s="119" t="s">
        <v>13</v>
      </c>
      <c r="G70" s="30" t="s">
        <v>60</v>
      </c>
      <c r="H70" s="122"/>
      <c r="I70" s="25">
        <v>0</v>
      </c>
      <c r="J70" s="119" t="s">
        <v>13</v>
      </c>
      <c r="K70" s="25">
        <v>3</v>
      </c>
      <c r="L70" s="120"/>
      <c r="M70" s="121"/>
      <c r="N70" s="96"/>
    </row>
    <row r="71" spans="2:14" ht="15.75">
      <c r="B71" s="215">
        <v>65</v>
      </c>
      <c r="C71" s="127" t="s">
        <v>141</v>
      </c>
      <c r="D71" s="119" t="s">
        <v>91</v>
      </c>
      <c r="E71" s="24" t="s">
        <v>76</v>
      </c>
      <c r="F71" s="119" t="s">
        <v>13</v>
      </c>
      <c r="G71" s="30" t="s">
        <v>84</v>
      </c>
      <c r="H71" s="122"/>
      <c r="I71" s="25">
        <v>0</v>
      </c>
      <c r="J71" s="119" t="s">
        <v>13</v>
      </c>
      <c r="K71" s="25">
        <v>1</v>
      </c>
      <c r="L71" s="120"/>
      <c r="M71" s="121"/>
      <c r="N71" s="96"/>
    </row>
    <row r="72" spans="2:14" ht="15.75">
      <c r="B72" s="215">
        <v>66</v>
      </c>
      <c r="C72" s="127" t="s">
        <v>141</v>
      </c>
      <c r="D72" s="119" t="s">
        <v>91</v>
      </c>
      <c r="E72" s="24" t="s">
        <v>69</v>
      </c>
      <c r="F72" s="119" t="s">
        <v>13</v>
      </c>
      <c r="G72" s="30" t="s">
        <v>61</v>
      </c>
      <c r="H72" s="122"/>
      <c r="I72" s="25">
        <v>0</v>
      </c>
      <c r="J72" s="119" t="s">
        <v>13</v>
      </c>
      <c r="K72" s="25">
        <v>1</v>
      </c>
      <c r="L72" s="120"/>
      <c r="M72" s="121"/>
      <c r="N72" s="96"/>
    </row>
    <row r="73" spans="2:14" ht="15.75">
      <c r="B73" s="215">
        <v>67</v>
      </c>
      <c r="C73" s="127" t="s">
        <v>142</v>
      </c>
      <c r="D73" s="119" t="s">
        <v>104</v>
      </c>
      <c r="E73" s="24" t="s">
        <v>88</v>
      </c>
      <c r="F73" s="119" t="s">
        <v>13</v>
      </c>
      <c r="G73" s="30" t="s">
        <v>65</v>
      </c>
      <c r="H73" s="122"/>
      <c r="I73" s="25">
        <v>0</v>
      </c>
      <c r="J73" s="119" t="s">
        <v>13</v>
      </c>
      <c r="K73" s="25">
        <v>3</v>
      </c>
      <c r="L73" s="120"/>
      <c r="M73" s="121"/>
      <c r="N73" s="96"/>
    </row>
    <row r="74" spans="2:14" ht="15.75">
      <c r="B74" s="215">
        <v>68</v>
      </c>
      <c r="C74" s="127" t="s">
        <v>142</v>
      </c>
      <c r="D74" s="119" t="s">
        <v>104</v>
      </c>
      <c r="E74" s="24" t="s">
        <v>73</v>
      </c>
      <c r="F74" s="119" t="s">
        <v>13</v>
      </c>
      <c r="G74" s="30" t="s">
        <v>80</v>
      </c>
      <c r="H74" s="122"/>
      <c r="I74" s="25">
        <v>2</v>
      </c>
      <c r="J74" s="119" t="s">
        <v>13</v>
      </c>
      <c r="K74" s="25">
        <v>1</v>
      </c>
      <c r="L74" s="120"/>
      <c r="M74" s="121"/>
      <c r="N74" s="96"/>
    </row>
    <row r="75" spans="2:14" ht="15.75">
      <c r="B75" s="215">
        <v>69</v>
      </c>
      <c r="C75" s="127" t="s">
        <v>143</v>
      </c>
      <c r="D75" s="119" t="s">
        <v>101</v>
      </c>
      <c r="E75" s="24" t="s">
        <v>78</v>
      </c>
      <c r="F75" s="119" t="s">
        <v>13</v>
      </c>
      <c r="G75" s="30" t="s">
        <v>71</v>
      </c>
      <c r="H75" s="122"/>
      <c r="I75" s="25">
        <v>0</v>
      </c>
      <c r="J75" s="119" t="s">
        <v>13</v>
      </c>
      <c r="K75" s="25">
        <v>1</v>
      </c>
      <c r="L75" s="120"/>
      <c r="M75" s="121"/>
      <c r="N75" s="96"/>
    </row>
    <row r="76" spans="2:14" ht="15.75">
      <c r="B76" s="215">
        <v>70</v>
      </c>
      <c r="C76" s="127" t="s">
        <v>143</v>
      </c>
      <c r="D76" s="119" t="s">
        <v>101</v>
      </c>
      <c r="E76" s="24" t="s">
        <v>86</v>
      </c>
      <c r="F76" s="119" t="s">
        <v>13</v>
      </c>
      <c r="G76" s="30" t="s">
        <v>63</v>
      </c>
      <c r="H76" s="122"/>
      <c r="I76" s="25">
        <v>0</v>
      </c>
      <c r="J76" s="119" t="s">
        <v>13</v>
      </c>
      <c r="K76" s="25">
        <v>3</v>
      </c>
      <c r="L76" s="120"/>
      <c r="M76" s="121"/>
      <c r="N76" s="96"/>
    </row>
    <row r="77" spans="2:14" ht="15.75">
      <c r="B77" s="215">
        <v>71</v>
      </c>
      <c r="C77" s="127" t="s">
        <v>144</v>
      </c>
      <c r="D77" s="119" t="s">
        <v>107</v>
      </c>
      <c r="E77" s="24" t="s">
        <v>72</v>
      </c>
      <c r="F77" s="119" t="s">
        <v>13</v>
      </c>
      <c r="G77" s="30" t="s">
        <v>64</v>
      </c>
      <c r="H77" s="122"/>
      <c r="I77" s="25">
        <v>1</v>
      </c>
      <c r="J77" s="119" t="s">
        <v>13</v>
      </c>
      <c r="K77" s="25">
        <v>2</v>
      </c>
      <c r="L77" s="120"/>
      <c r="M77" s="121"/>
      <c r="N77" s="96"/>
    </row>
    <row r="78" spans="2:14" ht="15.75">
      <c r="B78" s="215">
        <v>72</v>
      </c>
      <c r="C78" s="127" t="s">
        <v>144</v>
      </c>
      <c r="D78" s="119" t="s">
        <v>107</v>
      </c>
      <c r="E78" s="24" t="s">
        <v>87</v>
      </c>
      <c r="F78" s="119" t="s">
        <v>13</v>
      </c>
      <c r="G78" s="30" t="s">
        <v>79</v>
      </c>
      <c r="H78" s="122"/>
      <c r="I78" s="25">
        <v>1</v>
      </c>
      <c r="J78" s="119" t="s">
        <v>13</v>
      </c>
      <c r="K78" s="25">
        <v>1</v>
      </c>
      <c r="L78" s="120"/>
      <c r="M78" s="121"/>
      <c r="N78" s="96"/>
    </row>
    <row r="79" spans="2:14" ht="15.75">
      <c r="B79" s="96"/>
      <c r="C79" s="96"/>
      <c r="D79" s="97" t="s">
        <v>145</v>
      </c>
      <c r="E79" s="105" t="s">
        <v>62</v>
      </c>
      <c r="F79" s="118" t="s">
        <v>13</v>
      </c>
      <c r="G79" s="105" t="s">
        <v>65</v>
      </c>
      <c r="H79" s="96"/>
      <c r="I79" s="96"/>
      <c r="J79" s="96"/>
      <c r="K79" s="96"/>
      <c r="L79" s="109"/>
      <c r="M79" s="109"/>
      <c r="N79" s="110"/>
    </row>
    <row r="80" spans="2:14" ht="15.75">
      <c r="B80" s="96"/>
      <c r="C80" s="128"/>
      <c r="D80" s="97" t="s">
        <v>146</v>
      </c>
      <c r="E80" s="106" t="s">
        <v>61</v>
      </c>
      <c r="F80" s="118" t="s">
        <v>13</v>
      </c>
      <c r="G80" s="106" t="s">
        <v>63</v>
      </c>
      <c r="H80" s="96"/>
      <c r="I80" s="96"/>
      <c r="J80" s="96"/>
      <c r="K80" s="96"/>
      <c r="L80" s="104"/>
      <c r="M80" s="104"/>
      <c r="N80" s="110"/>
    </row>
    <row r="81" spans="1:14" ht="15.75">
      <c r="A81" s="96"/>
      <c r="B81" s="96"/>
      <c r="C81" s="128"/>
      <c r="D81" s="96"/>
      <c r="E81" s="96"/>
      <c r="F81" s="99"/>
      <c r="G81" s="96"/>
      <c r="H81" s="96"/>
      <c r="I81" s="96"/>
      <c r="J81" s="96"/>
      <c r="K81" s="99"/>
      <c r="L81" s="99"/>
      <c r="M81" s="99"/>
      <c r="N81" s="110"/>
    </row>
    <row r="82" spans="1:14" ht="15.75">
      <c r="A82" s="96"/>
      <c r="B82" s="96"/>
      <c r="C82" s="128"/>
      <c r="D82" s="96"/>
      <c r="E82" s="96"/>
      <c r="F82" s="99"/>
      <c r="G82" s="96"/>
      <c r="H82" s="96"/>
      <c r="I82" s="96"/>
      <c r="J82" s="96"/>
      <c r="K82" s="99"/>
      <c r="L82" s="212" t="s">
        <v>147</v>
      </c>
      <c r="M82" s="103"/>
      <c r="N82" s="110"/>
    </row>
    <row r="83" spans="1:14" ht="15.75">
      <c r="A83" s="96"/>
      <c r="B83" s="96"/>
      <c r="C83" s="128"/>
      <c r="D83" s="96"/>
      <c r="E83" s="96"/>
      <c r="F83" s="99"/>
      <c r="G83" s="96"/>
      <c r="H83" s="96"/>
      <c r="I83" s="96"/>
      <c r="J83" s="96"/>
      <c r="K83" s="99"/>
      <c r="L83" s="99"/>
      <c r="M83" s="99"/>
      <c r="N83" s="110"/>
    </row>
    <row r="84" spans="1:14" ht="15.75">
      <c r="A84" s="97"/>
      <c r="B84" s="96"/>
      <c r="C84" s="128"/>
      <c r="D84" s="96"/>
      <c r="E84" s="96"/>
      <c r="F84" s="99"/>
      <c r="G84" s="100"/>
      <c r="H84" s="96"/>
      <c r="I84" s="96"/>
      <c r="J84" s="96"/>
      <c r="K84" s="99"/>
      <c r="L84" s="96"/>
      <c r="M84" s="96"/>
      <c r="N84" s="96"/>
    </row>
    <row r="85" spans="1:14" ht="15.75">
      <c r="A85" s="97"/>
      <c r="B85" s="96"/>
      <c r="C85" s="128"/>
      <c r="D85" s="96"/>
      <c r="E85" s="96"/>
      <c r="F85" s="99"/>
      <c r="G85" s="100"/>
      <c r="H85" s="96"/>
      <c r="I85" s="96"/>
      <c r="J85" s="96"/>
      <c r="K85" s="99"/>
      <c r="L85" s="96"/>
      <c r="M85" s="96"/>
      <c r="N85" s="96"/>
    </row>
    <row r="86" spans="1:14" ht="15.75">
      <c r="A86" s="97"/>
      <c r="B86" s="211"/>
      <c r="C86" s="129"/>
      <c r="D86" s="96"/>
      <c r="E86" s="96"/>
      <c r="F86" s="99"/>
      <c r="G86" s="100"/>
      <c r="H86" s="96"/>
      <c r="I86" s="96"/>
      <c r="J86" s="96"/>
      <c r="K86" s="99"/>
      <c r="L86" s="96"/>
      <c r="M86" s="96"/>
      <c r="N86" s="96"/>
    </row>
    <row r="87" spans="1:14" ht="15.75">
      <c r="A87" s="97"/>
      <c r="B87" s="211"/>
      <c r="C87" s="129"/>
      <c r="D87" s="96"/>
      <c r="E87" s="96"/>
      <c r="F87" s="99"/>
      <c r="G87" s="100"/>
      <c r="H87" s="96"/>
      <c r="I87" s="96"/>
      <c r="J87" s="96"/>
      <c r="K87" s="99"/>
      <c r="L87" s="96"/>
      <c r="M87" s="96"/>
      <c r="N87" s="96"/>
    </row>
  </sheetData>
  <mergeCells count="1">
    <mergeCell ref="H2:M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00"/>
  <sheetViews>
    <sheetView workbookViewId="0">
      <selection activeCell="H3" sqref="H3"/>
    </sheetView>
  </sheetViews>
  <sheetFormatPr defaultRowHeight="15"/>
  <sheetData>
    <row r="1" spans="1:21" ht="15.75">
      <c r="A1" s="253"/>
      <c r="B1" s="256"/>
      <c r="C1" s="257"/>
      <c r="D1" s="253"/>
      <c r="E1" s="253"/>
      <c r="F1" s="255"/>
      <c r="G1" s="253"/>
      <c r="H1" s="253"/>
      <c r="I1" s="253"/>
      <c r="J1" s="253"/>
      <c r="K1" s="255"/>
      <c r="L1" s="255"/>
      <c r="M1" s="255"/>
      <c r="N1" s="255"/>
      <c r="O1" s="253"/>
      <c r="P1" s="253"/>
      <c r="Q1" s="253"/>
      <c r="R1" s="253"/>
      <c r="S1" s="253"/>
      <c r="T1" s="253"/>
      <c r="U1" s="253"/>
    </row>
    <row r="2" spans="1:21" ht="15.75">
      <c r="A2" s="253"/>
      <c r="B2" s="256"/>
      <c r="C2" s="257"/>
      <c r="D2" s="253"/>
      <c r="E2" s="253"/>
      <c r="F2" s="255"/>
      <c r="G2" s="256" t="s">
        <v>0</v>
      </c>
      <c r="H2" s="304" t="s">
        <v>420</v>
      </c>
      <c r="I2" s="305"/>
      <c r="J2" s="305"/>
      <c r="K2" s="305"/>
      <c r="L2" s="305"/>
      <c r="M2" s="305"/>
      <c r="N2" s="253"/>
      <c r="O2" s="253"/>
      <c r="P2" s="253"/>
      <c r="Q2" s="253"/>
      <c r="R2" s="253"/>
      <c r="S2" s="253"/>
      <c r="T2" s="253"/>
      <c r="U2" s="253"/>
    </row>
    <row r="3" spans="1:21" ht="15.75">
      <c r="A3" s="253"/>
      <c r="B3" s="256"/>
      <c r="C3" s="257"/>
      <c r="D3" s="253"/>
      <c r="E3" s="253"/>
      <c r="F3" s="255"/>
      <c r="G3" s="253"/>
      <c r="H3" s="253"/>
      <c r="I3" s="253"/>
      <c r="J3" s="253"/>
      <c r="K3" s="255"/>
      <c r="L3" s="255"/>
      <c r="M3" s="255"/>
      <c r="N3" s="255"/>
      <c r="O3" s="253"/>
      <c r="P3" s="253"/>
      <c r="Q3" s="253"/>
      <c r="R3" s="253"/>
      <c r="S3" s="253"/>
      <c r="T3" s="253"/>
      <c r="U3" s="253"/>
    </row>
    <row r="4" spans="1:21" ht="18">
      <c r="A4" s="253"/>
      <c r="B4" s="258" t="s">
        <v>2</v>
      </c>
      <c r="C4" s="257"/>
      <c r="D4" s="253"/>
      <c r="E4" s="253"/>
      <c r="F4" s="255"/>
      <c r="G4" s="256"/>
      <c r="H4" s="256"/>
      <c r="I4" s="256"/>
      <c r="J4" s="256"/>
      <c r="K4" s="255"/>
      <c r="L4" s="255"/>
      <c r="M4" s="255"/>
      <c r="N4" s="255"/>
      <c r="O4" s="253"/>
      <c r="P4" s="253"/>
      <c r="Q4" s="253"/>
      <c r="R4" s="253"/>
      <c r="S4" s="253"/>
      <c r="T4" s="253"/>
      <c r="U4" s="253"/>
    </row>
    <row r="5" spans="1:21" ht="15.75">
      <c r="A5" s="253"/>
      <c r="B5" s="256"/>
      <c r="C5" s="259"/>
      <c r="D5" s="253"/>
      <c r="E5" s="253"/>
      <c r="F5" s="255"/>
      <c r="G5" s="256"/>
      <c r="H5" s="256"/>
      <c r="I5" s="256"/>
      <c r="J5" s="256"/>
      <c r="K5" s="255"/>
      <c r="L5" s="255"/>
      <c r="M5" s="255"/>
      <c r="N5" s="255"/>
      <c r="O5" s="253"/>
      <c r="P5" s="253"/>
      <c r="Q5" s="253"/>
      <c r="R5" s="253"/>
      <c r="S5" s="253"/>
      <c r="T5" s="253"/>
      <c r="U5" s="253"/>
    </row>
    <row r="6" spans="1:21" ht="18.75" thickBot="1">
      <c r="A6" s="253"/>
      <c r="B6" s="256"/>
      <c r="C6" s="260" t="s">
        <v>3</v>
      </c>
      <c r="D6" s="261" t="s">
        <v>4</v>
      </c>
      <c r="E6" s="254"/>
      <c r="F6" s="261" t="s">
        <v>5</v>
      </c>
      <c r="G6" s="254"/>
      <c r="H6" s="254"/>
      <c r="I6" s="254"/>
      <c r="J6" s="261" t="s">
        <v>6</v>
      </c>
      <c r="K6" s="261"/>
      <c r="L6" s="261" t="s">
        <v>7</v>
      </c>
      <c r="M6" s="261" t="s">
        <v>8</v>
      </c>
      <c r="N6" s="261"/>
      <c r="O6" s="262" t="s">
        <v>9</v>
      </c>
      <c r="P6" s="253"/>
      <c r="Q6" s="253"/>
      <c r="R6" s="253"/>
      <c r="S6" s="253"/>
      <c r="T6" s="253"/>
      <c r="U6" s="253"/>
    </row>
    <row r="7" spans="1:21" ht="16.5" thickBot="1">
      <c r="A7" s="253"/>
      <c r="B7" s="263">
        <v>1</v>
      </c>
      <c r="C7" s="264" t="s">
        <v>10</v>
      </c>
      <c r="D7" s="265" t="s">
        <v>11</v>
      </c>
      <c r="E7" s="266" t="s">
        <v>12</v>
      </c>
      <c r="F7" s="265" t="s">
        <v>13</v>
      </c>
      <c r="G7" s="267" t="s">
        <v>14</v>
      </c>
      <c r="H7" s="268"/>
      <c r="I7" s="269">
        <v>2</v>
      </c>
      <c r="J7" s="265" t="s">
        <v>13</v>
      </c>
      <c r="K7" s="269">
        <v>1</v>
      </c>
      <c r="L7" s="269"/>
      <c r="M7" s="270"/>
      <c r="N7" s="271"/>
      <c r="O7" s="272" t="s">
        <v>15</v>
      </c>
      <c r="P7" s="273" t="s">
        <v>16</v>
      </c>
      <c r="Q7" s="273" t="s">
        <v>17</v>
      </c>
      <c r="R7" s="273" t="s">
        <v>18</v>
      </c>
      <c r="S7" s="273" t="s">
        <v>19</v>
      </c>
      <c r="T7" s="273" t="s">
        <v>20</v>
      </c>
      <c r="U7" s="273" t="s">
        <v>21</v>
      </c>
    </row>
    <row r="8" spans="1:21" ht="15.75">
      <c r="A8" s="253"/>
      <c r="B8" s="263">
        <v>2</v>
      </c>
      <c r="C8" s="264" t="s">
        <v>22</v>
      </c>
      <c r="D8" s="265" t="s">
        <v>11</v>
      </c>
      <c r="E8" s="266" t="s">
        <v>23</v>
      </c>
      <c r="F8" s="265" t="s">
        <v>13</v>
      </c>
      <c r="G8" s="267" t="s">
        <v>24</v>
      </c>
      <c r="H8" s="268"/>
      <c r="I8" s="269">
        <v>1</v>
      </c>
      <c r="J8" s="265" t="s">
        <v>13</v>
      </c>
      <c r="K8" s="269">
        <v>1</v>
      </c>
      <c r="L8" s="269"/>
      <c r="M8" s="270"/>
      <c r="N8" s="271"/>
      <c r="O8" s="274">
        <v>1</v>
      </c>
      <c r="P8" s="288" t="s">
        <v>167</v>
      </c>
      <c r="Q8" s="288" t="s">
        <v>403</v>
      </c>
      <c r="R8" s="288" t="s">
        <v>404</v>
      </c>
      <c r="S8" s="288" t="s">
        <v>35</v>
      </c>
      <c r="T8" s="288" t="s">
        <v>28</v>
      </c>
      <c r="U8" s="288" t="s">
        <v>29</v>
      </c>
    </row>
    <row r="9" spans="1:21" ht="15.75">
      <c r="A9" s="253"/>
      <c r="B9" s="263">
        <v>3</v>
      </c>
      <c r="C9" s="264" t="s">
        <v>30</v>
      </c>
      <c r="D9" s="265" t="s">
        <v>31</v>
      </c>
      <c r="E9" s="266" t="s">
        <v>32</v>
      </c>
      <c r="F9" s="265" t="s">
        <v>13</v>
      </c>
      <c r="G9" s="267" t="s">
        <v>33</v>
      </c>
      <c r="H9" s="268"/>
      <c r="I9" s="269">
        <v>1</v>
      </c>
      <c r="J9" s="265" t="s">
        <v>13</v>
      </c>
      <c r="K9" s="269">
        <v>0</v>
      </c>
      <c r="L9" s="269"/>
      <c r="M9" s="270"/>
      <c r="N9" s="271"/>
      <c r="O9" s="275">
        <v>2</v>
      </c>
      <c r="P9" s="289" t="s">
        <v>24</v>
      </c>
      <c r="Q9" s="289" t="s">
        <v>405</v>
      </c>
      <c r="R9" s="289" t="s">
        <v>41</v>
      </c>
      <c r="S9" s="289" t="s">
        <v>27</v>
      </c>
      <c r="T9" s="289" t="s">
        <v>36</v>
      </c>
      <c r="U9" s="289" t="s">
        <v>43</v>
      </c>
    </row>
    <row r="10" spans="1:21" ht="15.75">
      <c r="A10" s="253"/>
      <c r="B10" s="263">
        <v>4</v>
      </c>
      <c r="C10" s="264" t="s">
        <v>38</v>
      </c>
      <c r="D10" s="265" t="s">
        <v>39</v>
      </c>
      <c r="E10" s="266" t="s">
        <v>35</v>
      </c>
      <c r="F10" s="265" t="s">
        <v>13</v>
      </c>
      <c r="G10" s="267" t="s">
        <v>40</v>
      </c>
      <c r="H10" s="268"/>
      <c r="I10" s="269">
        <v>2</v>
      </c>
      <c r="J10" s="265" t="s">
        <v>13</v>
      </c>
      <c r="K10" s="269">
        <v>0</v>
      </c>
      <c r="L10" s="269"/>
      <c r="M10" s="270"/>
      <c r="N10" s="271"/>
      <c r="O10" s="275">
        <v>3</v>
      </c>
      <c r="P10" s="289" t="s">
        <v>23</v>
      </c>
      <c r="Q10" s="289" t="s">
        <v>406</v>
      </c>
      <c r="R10" s="289" t="s">
        <v>34</v>
      </c>
      <c r="S10" s="289" t="s">
        <v>40</v>
      </c>
      <c r="T10" s="289" t="s">
        <v>159</v>
      </c>
      <c r="U10" s="289" t="s">
        <v>37</v>
      </c>
    </row>
    <row r="11" spans="1:21" ht="15.75">
      <c r="A11" s="253"/>
      <c r="B11" s="263">
        <v>5</v>
      </c>
      <c r="C11" s="264" t="s">
        <v>44</v>
      </c>
      <c r="D11" s="265" t="s">
        <v>45</v>
      </c>
      <c r="E11" s="266" t="s">
        <v>46</v>
      </c>
      <c r="F11" s="265" t="s">
        <v>13</v>
      </c>
      <c r="G11" s="267" t="s">
        <v>34</v>
      </c>
      <c r="H11" s="268"/>
      <c r="I11" s="269">
        <v>0</v>
      </c>
      <c r="J11" s="265" t="s">
        <v>13</v>
      </c>
      <c r="K11" s="269">
        <v>2</v>
      </c>
      <c r="L11" s="269"/>
      <c r="M11" s="270"/>
      <c r="N11" s="271"/>
      <c r="O11" s="275">
        <v>4</v>
      </c>
      <c r="P11" s="289" t="s">
        <v>14</v>
      </c>
      <c r="Q11" s="289" t="s">
        <v>407</v>
      </c>
      <c r="R11" s="289" t="s">
        <v>46</v>
      </c>
      <c r="S11" s="289" t="s">
        <v>48</v>
      </c>
      <c r="T11" s="289" t="s">
        <v>42</v>
      </c>
      <c r="U11" s="289" t="s">
        <v>50</v>
      </c>
    </row>
    <row r="12" spans="1:21" ht="16.5" thickBot="1">
      <c r="A12" s="253"/>
      <c r="B12" s="263">
        <v>6</v>
      </c>
      <c r="C12" s="264" t="s">
        <v>51</v>
      </c>
      <c r="D12" s="265" t="s">
        <v>39</v>
      </c>
      <c r="E12" s="266" t="s">
        <v>48</v>
      </c>
      <c r="F12" s="265" t="s">
        <v>13</v>
      </c>
      <c r="G12" s="267" t="s">
        <v>27</v>
      </c>
      <c r="H12" s="268"/>
      <c r="I12" s="269">
        <v>1</v>
      </c>
      <c r="J12" s="265" t="s">
        <v>13</v>
      </c>
      <c r="K12" s="269">
        <v>2</v>
      </c>
      <c r="L12" s="269"/>
      <c r="M12" s="270"/>
      <c r="N12" s="271"/>
      <c r="O12" s="253"/>
      <c r="P12" s="253"/>
      <c r="Q12" s="253"/>
      <c r="R12" s="253"/>
      <c r="S12" s="253"/>
      <c r="T12" s="253"/>
      <c r="U12" s="253"/>
    </row>
    <row r="13" spans="1:21" ht="16.5" thickBot="1">
      <c r="A13" s="253"/>
      <c r="B13" s="263">
        <v>7</v>
      </c>
      <c r="C13" s="264" t="s">
        <v>52</v>
      </c>
      <c r="D13" s="265" t="s">
        <v>45</v>
      </c>
      <c r="E13" s="266" t="s">
        <v>26</v>
      </c>
      <c r="F13" s="265" t="s">
        <v>13</v>
      </c>
      <c r="G13" s="267" t="s">
        <v>41</v>
      </c>
      <c r="H13" s="268"/>
      <c r="I13" s="269">
        <v>2</v>
      </c>
      <c r="J13" s="265" t="s">
        <v>13</v>
      </c>
      <c r="K13" s="269">
        <v>1</v>
      </c>
      <c r="L13" s="269"/>
      <c r="M13" s="270"/>
      <c r="N13" s="271"/>
      <c r="O13" s="272" t="s">
        <v>15</v>
      </c>
      <c r="P13" s="273" t="s">
        <v>53</v>
      </c>
      <c r="Q13" s="273" t="s">
        <v>54</v>
      </c>
      <c r="R13" s="273" t="s">
        <v>55</v>
      </c>
      <c r="S13" s="273" t="s">
        <v>56</v>
      </c>
      <c r="T13" s="273" t="s">
        <v>57</v>
      </c>
      <c r="U13" s="273" t="s">
        <v>58</v>
      </c>
    </row>
    <row r="14" spans="1:21" ht="15.75">
      <c r="A14" s="253"/>
      <c r="B14" s="263">
        <v>8</v>
      </c>
      <c r="C14" s="264" t="s">
        <v>59</v>
      </c>
      <c r="D14" s="265" t="s">
        <v>31</v>
      </c>
      <c r="E14" s="266" t="s">
        <v>47</v>
      </c>
      <c r="F14" s="265" t="s">
        <v>13</v>
      </c>
      <c r="G14" s="267" t="s">
        <v>25</v>
      </c>
      <c r="H14" s="268"/>
      <c r="I14" s="269">
        <v>1</v>
      </c>
      <c r="J14" s="265" t="s">
        <v>13</v>
      </c>
      <c r="K14" s="269">
        <v>1</v>
      </c>
      <c r="L14" s="269"/>
      <c r="M14" s="270"/>
      <c r="N14" s="271"/>
      <c r="O14" s="274">
        <v>1</v>
      </c>
      <c r="P14" s="288" t="s">
        <v>60</v>
      </c>
      <c r="Q14" s="288" t="s">
        <v>61</v>
      </c>
      <c r="R14" s="288" t="s">
        <v>62</v>
      </c>
      <c r="S14" s="288" t="s">
        <v>63</v>
      </c>
      <c r="T14" s="288" t="s">
        <v>64</v>
      </c>
      <c r="U14" s="288" t="s">
        <v>65</v>
      </c>
    </row>
    <row r="15" spans="1:21" ht="15.75">
      <c r="A15" s="253"/>
      <c r="B15" s="263">
        <v>9</v>
      </c>
      <c r="C15" s="264" t="s">
        <v>66</v>
      </c>
      <c r="D15" s="265" t="s">
        <v>67</v>
      </c>
      <c r="E15" s="266" t="s">
        <v>42</v>
      </c>
      <c r="F15" s="265" t="s">
        <v>13</v>
      </c>
      <c r="G15" s="267" t="s">
        <v>36</v>
      </c>
      <c r="H15" s="268"/>
      <c r="I15" s="269">
        <v>0</v>
      </c>
      <c r="J15" s="265" t="s">
        <v>13</v>
      </c>
      <c r="K15" s="269">
        <v>2</v>
      </c>
      <c r="L15" s="269"/>
      <c r="M15" s="270"/>
      <c r="N15" s="271"/>
      <c r="O15" s="275">
        <v>2</v>
      </c>
      <c r="P15" s="289" t="s">
        <v>68</v>
      </c>
      <c r="Q15" s="289" t="s">
        <v>69</v>
      </c>
      <c r="R15" s="289" t="s">
        <v>70</v>
      </c>
      <c r="S15" s="289" t="s">
        <v>71</v>
      </c>
      <c r="T15" s="289" t="s">
        <v>72</v>
      </c>
      <c r="U15" s="289" t="s">
        <v>73</v>
      </c>
    </row>
    <row r="16" spans="1:21" ht="15.75">
      <c r="A16" s="253"/>
      <c r="B16" s="263">
        <v>10</v>
      </c>
      <c r="C16" s="264" t="s">
        <v>74</v>
      </c>
      <c r="D16" s="265" t="s">
        <v>67</v>
      </c>
      <c r="E16" s="266" t="s">
        <v>28</v>
      </c>
      <c r="F16" s="265" t="s">
        <v>13</v>
      </c>
      <c r="G16" s="267" t="s">
        <v>49</v>
      </c>
      <c r="H16" s="268"/>
      <c r="I16" s="269">
        <v>3</v>
      </c>
      <c r="J16" s="265" t="s">
        <v>13</v>
      </c>
      <c r="K16" s="269">
        <v>0</v>
      </c>
      <c r="L16" s="269"/>
      <c r="M16" s="270"/>
      <c r="N16" s="271"/>
      <c r="O16" s="275">
        <v>3</v>
      </c>
      <c r="P16" s="289" t="s">
        <v>408</v>
      </c>
      <c r="Q16" s="289" t="s">
        <v>84</v>
      </c>
      <c r="R16" s="289" t="s">
        <v>77</v>
      </c>
      <c r="S16" s="289" t="s">
        <v>78</v>
      </c>
      <c r="T16" s="289" t="s">
        <v>79</v>
      </c>
      <c r="U16" s="289" t="s">
        <v>80</v>
      </c>
    </row>
    <row r="17" spans="1:21" ht="15.75">
      <c r="A17" s="253"/>
      <c r="B17" s="263">
        <v>11</v>
      </c>
      <c r="C17" s="264" t="s">
        <v>81</v>
      </c>
      <c r="D17" s="265" t="s">
        <v>82</v>
      </c>
      <c r="E17" s="266" t="s">
        <v>29</v>
      </c>
      <c r="F17" s="265" t="s">
        <v>13</v>
      </c>
      <c r="G17" s="267" t="s">
        <v>43</v>
      </c>
      <c r="H17" s="268"/>
      <c r="I17" s="269">
        <v>2</v>
      </c>
      <c r="J17" s="265" t="s">
        <v>13</v>
      </c>
      <c r="K17" s="269">
        <v>1</v>
      </c>
      <c r="L17" s="269"/>
      <c r="M17" s="270"/>
      <c r="N17" s="271"/>
      <c r="O17" s="275">
        <v>4</v>
      </c>
      <c r="P17" s="289" t="s">
        <v>83</v>
      </c>
      <c r="Q17" s="289" t="s">
        <v>76</v>
      </c>
      <c r="R17" s="289" t="s">
        <v>85</v>
      </c>
      <c r="S17" s="289" t="s">
        <v>86</v>
      </c>
      <c r="T17" s="289" t="s">
        <v>87</v>
      </c>
      <c r="U17" s="289" t="s">
        <v>88</v>
      </c>
    </row>
    <row r="18" spans="1:21" ht="15.75">
      <c r="A18" s="253"/>
      <c r="B18" s="263">
        <v>12</v>
      </c>
      <c r="C18" s="264" t="s">
        <v>89</v>
      </c>
      <c r="D18" s="265" t="s">
        <v>82</v>
      </c>
      <c r="E18" s="266" t="s">
        <v>37</v>
      </c>
      <c r="F18" s="265" t="s">
        <v>13</v>
      </c>
      <c r="G18" s="267" t="s">
        <v>50</v>
      </c>
      <c r="H18" s="268"/>
      <c r="I18" s="269">
        <v>1</v>
      </c>
      <c r="J18" s="265" t="s">
        <v>13</v>
      </c>
      <c r="K18" s="269">
        <v>1</v>
      </c>
      <c r="L18" s="269"/>
      <c r="M18" s="270"/>
      <c r="N18" s="271"/>
      <c r="O18" s="253"/>
      <c r="P18" s="276"/>
      <c r="Q18" s="276"/>
      <c r="R18" s="276"/>
      <c r="S18" s="276"/>
      <c r="T18" s="276"/>
      <c r="U18" s="276"/>
    </row>
    <row r="19" spans="1:21" ht="15.75">
      <c r="A19" s="253"/>
      <c r="B19" s="263">
        <v>13</v>
      </c>
      <c r="C19" s="264" t="s">
        <v>90</v>
      </c>
      <c r="D19" s="265" t="s">
        <v>91</v>
      </c>
      <c r="E19" s="266" t="s">
        <v>84</v>
      </c>
      <c r="F19" s="265" t="s">
        <v>13</v>
      </c>
      <c r="G19" s="267" t="s">
        <v>69</v>
      </c>
      <c r="H19" s="268"/>
      <c r="I19" s="269">
        <v>1</v>
      </c>
      <c r="J19" s="265" t="s">
        <v>13</v>
      </c>
      <c r="K19" s="269">
        <v>2</v>
      </c>
      <c r="L19" s="269"/>
      <c r="M19" s="270"/>
      <c r="N19" s="271"/>
      <c r="O19" s="253"/>
      <c r="P19" s="253"/>
      <c r="Q19" s="253"/>
      <c r="R19" s="253"/>
      <c r="S19" s="253"/>
      <c r="T19" s="253"/>
      <c r="U19" s="253"/>
    </row>
    <row r="20" spans="1:21" ht="16.5" thickBot="1">
      <c r="A20" s="253"/>
      <c r="B20" s="263">
        <v>14</v>
      </c>
      <c r="C20" s="264" t="s">
        <v>92</v>
      </c>
      <c r="D20" s="265" t="s">
        <v>91</v>
      </c>
      <c r="E20" s="266" t="s">
        <v>61</v>
      </c>
      <c r="F20" s="265" t="s">
        <v>13</v>
      </c>
      <c r="G20" s="267" t="s">
        <v>76</v>
      </c>
      <c r="H20" s="268"/>
      <c r="I20" s="269">
        <v>4</v>
      </c>
      <c r="J20" s="265" t="s">
        <v>13</v>
      </c>
      <c r="K20" s="269">
        <v>0</v>
      </c>
      <c r="L20" s="269"/>
      <c r="M20" s="270"/>
      <c r="N20" s="271"/>
      <c r="O20" s="277" t="s">
        <v>93</v>
      </c>
      <c r="P20" s="253"/>
      <c r="Q20" s="253"/>
      <c r="R20" s="253"/>
      <c r="S20" s="253"/>
      <c r="T20" s="253"/>
      <c r="U20" s="253"/>
    </row>
    <row r="21" spans="1:21" ht="16.5" thickBot="1">
      <c r="A21" s="253"/>
      <c r="B21" s="263">
        <v>15</v>
      </c>
      <c r="C21" s="264" t="s">
        <v>94</v>
      </c>
      <c r="D21" s="265" t="s">
        <v>95</v>
      </c>
      <c r="E21" s="266" t="s">
        <v>83</v>
      </c>
      <c r="F21" s="265" t="s">
        <v>13</v>
      </c>
      <c r="G21" s="267" t="s">
        <v>75</v>
      </c>
      <c r="H21" s="268"/>
      <c r="I21" s="269">
        <v>0</v>
      </c>
      <c r="J21" s="265" t="s">
        <v>13</v>
      </c>
      <c r="K21" s="269">
        <v>1</v>
      </c>
      <c r="L21" s="269"/>
      <c r="M21" s="270"/>
      <c r="N21" s="271"/>
      <c r="O21" s="253"/>
      <c r="P21" s="272" t="s">
        <v>16</v>
      </c>
      <c r="Q21" s="273" t="s">
        <v>17</v>
      </c>
      <c r="R21" s="273" t="s">
        <v>18</v>
      </c>
      <c r="S21" s="273" t="s">
        <v>19</v>
      </c>
      <c r="T21" s="273" t="s">
        <v>20</v>
      </c>
      <c r="U21" s="273" t="s">
        <v>21</v>
      </c>
    </row>
    <row r="22" spans="1:21" ht="15.75">
      <c r="A22" s="253"/>
      <c r="B22" s="263">
        <v>16</v>
      </c>
      <c r="C22" s="264" t="s">
        <v>96</v>
      </c>
      <c r="D22" s="265" t="s">
        <v>95</v>
      </c>
      <c r="E22" s="266" t="s">
        <v>60</v>
      </c>
      <c r="F22" s="265" t="s">
        <v>13</v>
      </c>
      <c r="G22" s="267" t="s">
        <v>68</v>
      </c>
      <c r="H22" s="268"/>
      <c r="I22" s="269">
        <v>2</v>
      </c>
      <c r="J22" s="265" t="s">
        <v>13</v>
      </c>
      <c r="K22" s="269">
        <v>1</v>
      </c>
      <c r="L22" s="269"/>
      <c r="M22" s="270"/>
      <c r="N22" s="271"/>
      <c r="O22" s="253"/>
      <c r="P22" s="278" t="s">
        <v>12</v>
      </c>
      <c r="Q22" s="278" t="s">
        <v>32</v>
      </c>
      <c r="R22" s="278" t="s">
        <v>46</v>
      </c>
      <c r="S22" s="278" t="s">
        <v>35</v>
      </c>
      <c r="T22" s="278" t="s">
        <v>42</v>
      </c>
      <c r="U22" s="278" t="s">
        <v>29</v>
      </c>
    </row>
    <row r="23" spans="1:21" ht="15.75">
      <c r="A23" s="253"/>
      <c r="B23" s="263">
        <v>17</v>
      </c>
      <c r="C23" s="264" t="s">
        <v>97</v>
      </c>
      <c r="D23" s="265" t="s">
        <v>98</v>
      </c>
      <c r="E23" s="266" t="s">
        <v>62</v>
      </c>
      <c r="F23" s="265" t="s">
        <v>13</v>
      </c>
      <c r="G23" s="267" t="s">
        <v>77</v>
      </c>
      <c r="H23" s="268"/>
      <c r="I23" s="269">
        <v>3</v>
      </c>
      <c r="J23" s="265" t="s">
        <v>13</v>
      </c>
      <c r="K23" s="269">
        <v>0</v>
      </c>
      <c r="L23" s="269"/>
      <c r="M23" s="270"/>
      <c r="N23" s="271"/>
      <c r="O23" s="253"/>
      <c r="P23" s="276" t="s">
        <v>14</v>
      </c>
      <c r="Q23" s="276" t="s">
        <v>33</v>
      </c>
      <c r="R23" s="276" t="s">
        <v>34</v>
      </c>
      <c r="S23" s="276" t="s">
        <v>40</v>
      </c>
      <c r="T23" s="276" t="s">
        <v>36</v>
      </c>
      <c r="U23" s="276" t="s">
        <v>43</v>
      </c>
    </row>
    <row r="24" spans="1:21" ht="15.75">
      <c r="A24" s="253"/>
      <c r="B24" s="263">
        <v>18</v>
      </c>
      <c r="C24" s="264" t="s">
        <v>99</v>
      </c>
      <c r="D24" s="265" t="s">
        <v>98</v>
      </c>
      <c r="E24" s="266" t="s">
        <v>85</v>
      </c>
      <c r="F24" s="265" t="s">
        <v>13</v>
      </c>
      <c r="G24" s="267" t="s">
        <v>70</v>
      </c>
      <c r="H24" s="268"/>
      <c r="I24" s="269">
        <v>1</v>
      </c>
      <c r="J24" s="265" t="s">
        <v>13</v>
      </c>
      <c r="K24" s="269">
        <v>2</v>
      </c>
      <c r="L24" s="269"/>
      <c r="M24" s="270"/>
      <c r="N24" s="271"/>
      <c r="O24" s="253"/>
      <c r="P24" s="276" t="s">
        <v>23</v>
      </c>
      <c r="Q24" s="276" t="s">
        <v>47</v>
      </c>
      <c r="R24" s="276" t="s">
        <v>26</v>
      </c>
      <c r="S24" s="276" t="s">
        <v>48</v>
      </c>
      <c r="T24" s="276" t="s">
        <v>28</v>
      </c>
      <c r="U24" s="276" t="s">
        <v>37</v>
      </c>
    </row>
    <row r="25" spans="1:21" ht="15.75">
      <c r="A25" s="253"/>
      <c r="B25" s="263">
        <v>19</v>
      </c>
      <c r="C25" s="264" t="s">
        <v>100</v>
      </c>
      <c r="D25" s="265" t="s">
        <v>101</v>
      </c>
      <c r="E25" s="266" t="s">
        <v>63</v>
      </c>
      <c r="F25" s="265" t="s">
        <v>13</v>
      </c>
      <c r="G25" s="267" t="s">
        <v>78</v>
      </c>
      <c r="H25" s="268"/>
      <c r="I25" s="269">
        <v>2</v>
      </c>
      <c r="J25" s="265" t="s">
        <v>13</v>
      </c>
      <c r="K25" s="269">
        <v>0</v>
      </c>
      <c r="L25" s="269"/>
      <c r="M25" s="270"/>
      <c r="N25" s="271"/>
      <c r="O25" s="253"/>
      <c r="P25" s="276" t="s">
        <v>24</v>
      </c>
      <c r="Q25" s="276" t="s">
        <v>25</v>
      </c>
      <c r="R25" s="276" t="s">
        <v>41</v>
      </c>
      <c r="S25" s="276" t="s">
        <v>27</v>
      </c>
      <c r="T25" s="276" t="s">
        <v>49</v>
      </c>
      <c r="U25" s="276" t="s">
        <v>50</v>
      </c>
    </row>
    <row r="26" spans="1:21" ht="16.5" thickBot="1">
      <c r="A26" s="253"/>
      <c r="B26" s="263">
        <v>20</v>
      </c>
      <c r="C26" s="264" t="s">
        <v>102</v>
      </c>
      <c r="D26" s="265" t="s">
        <v>101</v>
      </c>
      <c r="E26" s="266" t="s">
        <v>71</v>
      </c>
      <c r="F26" s="265" t="s">
        <v>13</v>
      </c>
      <c r="G26" s="267" t="s">
        <v>86</v>
      </c>
      <c r="H26" s="268"/>
      <c r="I26" s="269">
        <v>1</v>
      </c>
      <c r="J26" s="265" t="s">
        <v>13</v>
      </c>
      <c r="K26" s="269">
        <v>0</v>
      </c>
      <c r="L26" s="269"/>
      <c r="M26" s="270"/>
      <c r="N26" s="271"/>
      <c r="O26" s="253"/>
      <c r="P26" s="253"/>
      <c r="Q26" s="253"/>
      <c r="R26" s="253"/>
      <c r="S26" s="253"/>
      <c r="T26" s="253"/>
      <c r="U26" s="253"/>
    </row>
    <row r="27" spans="1:21" ht="16.5" thickBot="1">
      <c r="A27" s="253"/>
      <c r="B27" s="263">
        <v>21</v>
      </c>
      <c r="C27" s="264" t="s">
        <v>103</v>
      </c>
      <c r="D27" s="265" t="s">
        <v>104</v>
      </c>
      <c r="E27" s="266" t="s">
        <v>80</v>
      </c>
      <c r="F27" s="265" t="s">
        <v>13</v>
      </c>
      <c r="G27" s="267" t="s">
        <v>88</v>
      </c>
      <c r="H27" s="268"/>
      <c r="I27" s="269">
        <v>2</v>
      </c>
      <c r="J27" s="265" t="s">
        <v>13</v>
      </c>
      <c r="K27" s="269">
        <v>2</v>
      </c>
      <c r="L27" s="269"/>
      <c r="M27" s="270"/>
      <c r="N27" s="271"/>
      <c r="O27" s="253"/>
      <c r="P27" s="272" t="s">
        <v>53</v>
      </c>
      <c r="Q27" s="273" t="s">
        <v>54</v>
      </c>
      <c r="R27" s="273" t="s">
        <v>55</v>
      </c>
      <c r="S27" s="273" t="s">
        <v>56</v>
      </c>
      <c r="T27" s="273" t="s">
        <v>57</v>
      </c>
      <c r="U27" s="273" t="s">
        <v>58</v>
      </c>
    </row>
    <row r="28" spans="1:21" ht="15.75">
      <c r="A28" s="253"/>
      <c r="B28" s="263">
        <v>22</v>
      </c>
      <c r="C28" s="264" t="s">
        <v>105</v>
      </c>
      <c r="D28" s="265" t="s">
        <v>104</v>
      </c>
      <c r="E28" s="266" t="s">
        <v>65</v>
      </c>
      <c r="F28" s="265" t="s">
        <v>13</v>
      </c>
      <c r="G28" s="267" t="s">
        <v>73</v>
      </c>
      <c r="H28" s="268"/>
      <c r="I28" s="269">
        <v>3</v>
      </c>
      <c r="J28" s="265" t="s">
        <v>13</v>
      </c>
      <c r="K28" s="269">
        <v>1</v>
      </c>
      <c r="L28" s="269"/>
      <c r="M28" s="270"/>
      <c r="N28" s="271"/>
      <c r="O28" s="253"/>
      <c r="P28" s="278" t="s">
        <v>83</v>
      </c>
      <c r="Q28" s="278" t="s">
        <v>84</v>
      </c>
      <c r="R28" s="278" t="s">
        <v>62</v>
      </c>
      <c r="S28" s="278" t="s">
        <v>63</v>
      </c>
      <c r="T28" s="278" t="s">
        <v>64</v>
      </c>
      <c r="U28" s="278" t="s">
        <v>80</v>
      </c>
    </row>
    <row r="29" spans="1:21" ht="15.75">
      <c r="A29" s="253"/>
      <c r="B29" s="263">
        <v>23</v>
      </c>
      <c r="C29" s="264" t="s">
        <v>106</v>
      </c>
      <c r="D29" s="265" t="s">
        <v>107</v>
      </c>
      <c r="E29" s="266" t="s">
        <v>64</v>
      </c>
      <c r="F29" s="265" t="s">
        <v>13</v>
      </c>
      <c r="G29" s="267" t="s">
        <v>87</v>
      </c>
      <c r="H29" s="268"/>
      <c r="I29" s="269">
        <v>3</v>
      </c>
      <c r="J29" s="265" t="s">
        <v>13</v>
      </c>
      <c r="K29" s="269">
        <v>0</v>
      </c>
      <c r="L29" s="269"/>
      <c r="M29" s="270"/>
      <c r="N29" s="271"/>
      <c r="O29" s="253"/>
      <c r="P29" s="276" t="s">
        <v>75</v>
      </c>
      <c r="Q29" s="276" t="s">
        <v>69</v>
      </c>
      <c r="R29" s="276" t="s">
        <v>77</v>
      </c>
      <c r="S29" s="276" t="s">
        <v>78</v>
      </c>
      <c r="T29" s="276" t="s">
        <v>87</v>
      </c>
      <c r="U29" s="276" t="s">
        <v>88</v>
      </c>
    </row>
    <row r="30" spans="1:21" ht="15.75">
      <c r="A30" s="253"/>
      <c r="B30" s="263">
        <v>24</v>
      </c>
      <c r="C30" s="264" t="s">
        <v>108</v>
      </c>
      <c r="D30" s="265" t="s">
        <v>107</v>
      </c>
      <c r="E30" s="266" t="s">
        <v>79</v>
      </c>
      <c r="F30" s="265" t="s">
        <v>13</v>
      </c>
      <c r="G30" s="267" t="s">
        <v>72</v>
      </c>
      <c r="H30" s="268"/>
      <c r="I30" s="269">
        <v>0</v>
      </c>
      <c r="J30" s="265" t="s">
        <v>13</v>
      </c>
      <c r="K30" s="269">
        <v>1</v>
      </c>
      <c r="L30" s="269"/>
      <c r="M30" s="270"/>
      <c r="N30" s="271"/>
      <c r="O30" s="253"/>
      <c r="P30" s="276" t="s">
        <v>60</v>
      </c>
      <c r="Q30" s="276" t="s">
        <v>61</v>
      </c>
      <c r="R30" s="276" t="s">
        <v>85</v>
      </c>
      <c r="S30" s="276" t="s">
        <v>71</v>
      </c>
      <c r="T30" s="276" t="s">
        <v>79</v>
      </c>
      <c r="U30" s="276" t="s">
        <v>65</v>
      </c>
    </row>
    <row r="31" spans="1:21" ht="15.75">
      <c r="A31" s="253"/>
      <c r="B31" s="263">
        <v>25</v>
      </c>
      <c r="C31" s="264" t="s">
        <v>109</v>
      </c>
      <c r="D31" s="265" t="s">
        <v>11</v>
      </c>
      <c r="E31" s="266" t="s">
        <v>24</v>
      </c>
      <c r="F31" s="265" t="s">
        <v>13</v>
      </c>
      <c r="G31" s="267" t="s">
        <v>14</v>
      </c>
      <c r="H31" s="268"/>
      <c r="I31" s="269">
        <v>2</v>
      </c>
      <c r="J31" s="265" t="s">
        <v>13</v>
      </c>
      <c r="K31" s="269">
        <v>1</v>
      </c>
      <c r="L31" s="269"/>
      <c r="M31" s="270"/>
      <c r="N31" s="271"/>
      <c r="O31" s="253"/>
      <c r="P31" s="276" t="s">
        <v>68</v>
      </c>
      <c r="Q31" s="276" t="s">
        <v>76</v>
      </c>
      <c r="R31" s="276" t="s">
        <v>70</v>
      </c>
      <c r="S31" s="276" t="s">
        <v>86</v>
      </c>
      <c r="T31" s="276" t="s">
        <v>72</v>
      </c>
      <c r="U31" s="276" t="s">
        <v>73</v>
      </c>
    </row>
    <row r="32" spans="1:21" ht="15.75">
      <c r="A32" s="253"/>
      <c r="B32" s="263">
        <v>26</v>
      </c>
      <c r="C32" s="264" t="s">
        <v>110</v>
      </c>
      <c r="D32" s="265" t="s">
        <v>31</v>
      </c>
      <c r="E32" s="266" t="s">
        <v>25</v>
      </c>
      <c r="F32" s="265" t="s">
        <v>13</v>
      </c>
      <c r="G32" s="267" t="s">
        <v>33</v>
      </c>
      <c r="H32" s="268"/>
      <c r="I32" s="269">
        <v>1</v>
      </c>
      <c r="J32" s="265" t="s">
        <v>13</v>
      </c>
      <c r="K32" s="269">
        <v>0</v>
      </c>
      <c r="L32" s="269"/>
      <c r="M32" s="270"/>
      <c r="N32" s="271"/>
      <c r="O32" s="253"/>
      <c r="P32" s="253"/>
      <c r="Q32" s="253"/>
      <c r="R32" s="253"/>
      <c r="S32" s="253"/>
      <c r="T32" s="253"/>
      <c r="U32" s="253"/>
    </row>
    <row r="33" spans="1:21" ht="15.75">
      <c r="A33" s="253"/>
      <c r="B33" s="263">
        <v>27</v>
      </c>
      <c r="C33" s="264" t="s">
        <v>111</v>
      </c>
      <c r="D33" s="265" t="s">
        <v>31</v>
      </c>
      <c r="E33" s="266" t="s">
        <v>32</v>
      </c>
      <c r="F33" s="265" t="s">
        <v>13</v>
      </c>
      <c r="G33" s="267" t="s">
        <v>47</v>
      </c>
      <c r="H33" s="268"/>
      <c r="I33" s="269">
        <v>1</v>
      </c>
      <c r="J33" s="265" t="s">
        <v>13</v>
      </c>
      <c r="K33" s="269">
        <v>1</v>
      </c>
      <c r="L33" s="269"/>
      <c r="M33" s="270"/>
      <c r="N33" s="271"/>
      <c r="O33" s="253"/>
      <c r="P33" s="253"/>
      <c r="Q33" s="253"/>
      <c r="R33" s="253"/>
      <c r="S33" s="253"/>
      <c r="T33" s="253"/>
      <c r="U33" s="253"/>
    </row>
    <row r="34" spans="1:21" ht="15.75">
      <c r="A34" s="253"/>
      <c r="B34" s="263">
        <v>28</v>
      </c>
      <c r="C34" s="264" t="s">
        <v>112</v>
      </c>
      <c r="D34" s="265" t="s">
        <v>11</v>
      </c>
      <c r="E34" s="266" t="s">
        <v>12</v>
      </c>
      <c r="F34" s="265" t="s">
        <v>13</v>
      </c>
      <c r="G34" s="267" t="s">
        <v>23</v>
      </c>
      <c r="H34" s="268"/>
      <c r="I34" s="269">
        <v>2</v>
      </c>
      <c r="J34" s="265" t="s">
        <v>13</v>
      </c>
      <c r="K34" s="269">
        <v>1</v>
      </c>
      <c r="L34" s="269"/>
      <c r="M34" s="270"/>
      <c r="N34" s="271"/>
      <c r="O34" s="253"/>
      <c r="P34" s="253"/>
      <c r="Q34" s="253"/>
      <c r="R34" s="253"/>
      <c r="S34" s="253"/>
      <c r="T34" s="253"/>
      <c r="U34" s="253"/>
    </row>
    <row r="35" spans="1:21" ht="15.75">
      <c r="A35" s="253"/>
      <c r="B35" s="263">
        <v>29</v>
      </c>
      <c r="C35" s="264" t="s">
        <v>113</v>
      </c>
      <c r="D35" s="265" t="s">
        <v>45</v>
      </c>
      <c r="E35" s="266" t="s">
        <v>26</v>
      </c>
      <c r="F35" s="265" t="s">
        <v>13</v>
      </c>
      <c r="G35" s="267" t="s">
        <v>46</v>
      </c>
      <c r="H35" s="268"/>
      <c r="I35" s="269">
        <v>3</v>
      </c>
      <c r="J35" s="265" t="s">
        <v>13</v>
      </c>
      <c r="K35" s="269">
        <v>0</v>
      </c>
      <c r="L35" s="269"/>
      <c r="M35" s="270"/>
      <c r="N35" s="271"/>
      <c r="O35" s="253"/>
      <c r="P35" s="253"/>
      <c r="Q35" s="253"/>
      <c r="R35" s="253"/>
      <c r="S35" s="253"/>
      <c r="T35" s="253"/>
      <c r="U35" s="253"/>
    </row>
    <row r="36" spans="1:21" ht="15.75">
      <c r="A36" s="253"/>
      <c r="B36" s="263">
        <v>30</v>
      </c>
      <c r="C36" s="264" t="s">
        <v>114</v>
      </c>
      <c r="D36" s="265" t="s">
        <v>45</v>
      </c>
      <c r="E36" s="266" t="s">
        <v>34</v>
      </c>
      <c r="F36" s="265" t="s">
        <v>13</v>
      </c>
      <c r="G36" s="267" t="s">
        <v>41</v>
      </c>
      <c r="H36" s="268"/>
      <c r="I36" s="269">
        <v>0</v>
      </c>
      <c r="J36" s="265" t="s">
        <v>13</v>
      </c>
      <c r="K36" s="269">
        <v>2</v>
      </c>
      <c r="L36" s="269"/>
      <c r="M36" s="270"/>
      <c r="N36" s="271"/>
      <c r="O36" s="253"/>
      <c r="P36" s="253"/>
      <c r="Q36" s="253"/>
      <c r="R36" s="253"/>
      <c r="S36" s="253"/>
      <c r="T36" s="253"/>
      <c r="U36" s="253"/>
    </row>
    <row r="37" spans="1:21" ht="15.75">
      <c r="A37" s="253"/>
      <c r="B37" s="263">
        <v>31</v>
      </c>
      <c r="C37" s="264" t="s">
        <v>115</v>
      </c>
      <c r="D37" s="265" t="s">
        <v>39</v>
      </c>
      <c r="E37" s="266" t="s">
        <v>27</v>
      </c>
      <c r="F37" s="265" t="s">
        <v>13</v>
      </c>
      <c r="G37" s="267" t="s">
        <v>40</v>
      </c>
      <c r="H37" s="268"/>
      <c r="I37" s="269">
        <v>1</v>
      </c>
      <c r="J37" s="265" t="s">
        <v>13</v>
      </c>
      <c r="K37" s="269">
        <v>1</v>
      </c>
      <c r="L37" s="269"/>
      <c r="M37" s="270"/>
      <c r="N37" s="271"/>
      <c r="O37" s="253"/>
      <c r="P37" s="253"/>
      <c r="Q37" s="253"/>
      <c r="R37" s="253"/>
      <c r="S37" s="253"/>
      <c r="T37" s="253"/>
      <c r="U37" s="253"/>
    </row>
    <row r="38" spans="1:21" ht="15.75">
      <c r="A38" s="253"/>
      <c r="B38" s="263">
        <v>32</v>
      </c>
      <c r="C38" s="264" t="s">
        <v>116</v>
      </c>
      <c r="D38" s="265" t="s">
        <v>39</v>
      </c>
      <c r="E38" s="266" t="s">
        <v>35</v>
      </c>
      <c r="F38" s="265" t="s">
        <v>13</v>
      </c>
      <c r="G38" s="267" t="s">
        <v>48</v>
      </c>
      <c r="H38" s="268"/>
      <c r="I38" s="269">
        <v>2</v>
      </c>
      <c r="J38" s="265" t="s">
        <v>13</v>
      </c>
      <c r="K38" s="269">
        <v>1</v>
      </c>
      <c r="L38" s="269"/>
      <c r="M38" s="270"/>
      <c r="N38" s="271"/>
      <c r="O38" s="253"/>
      <c r="P38" s="253"/>
      <c r="Q38" s="253"/>
      <c r="R38" s="253"/>
      <c r="S38" s="253"/>
      <c r="T38" s="253"/>
      <c r="U38" s="253"/>
    </row>
    <row r="39" spans="1:21" ht="15.75">
      <c r="A39" s="253"/>
      <c r="B39" s="263">
        <v>33</v>
      </c>
      <c r="C39" s="264" t="s">
        <v>117</v>
      </c>
      <c r="D39" s="265" t="s">
        <v>67</v>
      </c>
      <c r="E39" s="266" t="s">
        <v>28</v>
      </c>
      <c r="F39" s="265" t="s">
        <v>13</v>
      </c>
      <c r="G39" s="267" t="s">
        <v>42</v>
      </c>
      <c r="H39" s="268"/>
      <c r="I39" s="269">
        <v>3</v>
      </c>
      <c r="J39" s="265" t="s">
        <v>13</v>
      </c>
      <c r="K39" s="269">
        <v>0</v>
      </c>
      <c r="L39" s="269"/>
      <c r="M39" s="270"/>
      <c r="N39" s="271"/>
      <c r="O39" s="253"/>
      <c r="P39" s="253"/>
      <c r="Q39" s="253"/>
      <c r="R39" s="253"/>
      <c r="S39" s="253"/>
      <c r="T39" s="253"/>
      <c r="U39" s="253"/>
    </row>
    <row r="40" spans="1:21" ht="15.75">
      <c r="A40" s="253"/>
      <c r="B40" s="263">
        <v>34</v>
      </c>
      <c r="C40" s="264" t="s">
        <v>118</v>
      </c>
      <c r="D40" s="265" t="s">
        <v>67</v>
      </c>
      <c r="E40" s="266" t="s">
        <v>36</v>
      </c>
      <c r="F40" s="265" t="s">
        <v>13</v>
      </c>
      <c r="G40" s="267" t="s">
        <v>49</v>
      </c>
      <c r="H40" s="268"/>
      <c r="I40" s="269">
        <v>2</v>
      </c>
      <c r="J40" s="265" t="s">
        <v>13</v>
      </c>
      <c r="K40" s="269">
        <v>0</v>
      </c>
      <c r="L40" s="269"/>
      <c r="M40" s="270"/>
      <c r="N40" s="271"/>
      <c r="O40" s="253"/>
      <c r="P40" s="253"/>
      <c r="Q40" s="253"/>
      <c r="R40" s="253"/>
      <c r="S40" s="253"/>
      <c r="T40" s="253"/>
      <c r="U40" s="253"/>
    </row>
    <row r="41" spans="1:21" ht="15.75">
      <c r="A41" s="253"/>
      <c r="B41" s="263">
        <v>35</v>
      </c>
      <c r="C41" s="264" t="s">
        <v>119</v>
      </c>
      <c r="D41" s="265" t="s">
        <v>82</v>
      </c>
      <c r="E41" s="266" t="s">
        <v>29</v>
      </c>
      <c r="F41" s="265" t="s">
        <v>13</v>
      </c>
      <c r="G41" s="267" t="s">
        <v>37</v>
      </c>
      <c r="H41" s="268"/>
      <c r="I41" s="269">
        <v>2</v>
      </c>
      <c r="J41" s="265" t="s">
        <v>13</v>
      </c>
      <c r="K41" s="269">
        <v>1</v>
      </c>
      <c r="L41" s="269"/>
      <c r="M41" s="270"/>
      <c r="N41" s="271"/>
      <c r="O41" s="253"/>
      <c r="P41" s="253"/>
      <c r="Q41" s="253"/>
      <c r="R41" s="253"/>
      <c r="S41" s="253"/>
      <c r="T41" s="253"/>
      <c r="U41" s="253"/>
    </row>
    <row r="42" spans="1:21" ht="15.75">
      <c r="A42" s="253"/>
      <c r="B42" s="263">
        <v>36</v>
      </c>
      <c r="C42" s="264" t="s">
        <v>120</v>
      </c>
      <c r="D42" s="265" t="s">
        <v>82</v>
      </c>
      <c r="E42" s="266" t="s">
        <v>50</v>
      </c>
      <c r="F42" s="265" t="s">
        <v>13</v>
      </c>
      <c r="G42" s="267" t="s">
        <v>43</v>
      </c>
      <c r="H42" s="268"/>
      <c r="I42" s="269">
        <v>0</v>
      </c>
      <c r="J42" s="265" t="s">
        <v>13</v>
      </c>
      <c r="K42" s="269">
        <v>1</v>
      </c>
      <c r="L42" s="269"/>
      <c r="M42" s="270"/>
      <c r="N42" s="271"/>
      <c r="O42" s="253"/>
      <c r="P42" s="253"/>
      <c r="Q42" s="253"/>
      <c r="R42" s="253"/>
      <c r="S42" s="253"/>
      <c r="T42" s="253"/>
      <c r="U42" s="253"/>
    </row>
    <row r="43" spans="1:21" ht="15.75">
      <c r="A43" s="253"/>
      <c r="B43" s="263">
        <v>37</v>
      </c>
      <c r="C43" s="264" t="s">
        <v>121</v>
      </c>
      <c r="D43" s="265" t="s">
        <v>91</v>
      </c>
      <c r="E43" s="266" t="s">
        <v>69</v>
      </c>
      <c r="F43" s="265" t="s">
        <v>13</v>
      </c>
      <c r="G43" s="267" t="s">
        <v>76</v>
      </c>
      <c r="H43" s="268"/>
      <c r="I43" s="269">
        <v>2</v>
      </c>
      <c r="J43" s="265" t="s">
        <v>13</v>
      </c>
      <c r="K43" s="269">
        <v>0</v>
      </c>
      <c r="L43" s="269"/>
      <c r="M43" s="270"/>
      <c r="N43" s="255"/>
      <c r="O43" s="253"/>
      <c r="P43" s="253"/>
      <c r="Q43" s="253"/>
      <c r="R43" s="253"/>
      <c r="S43" s="253"/>
      <c r="T43" s="253"/>
      <c r="U43" s="253"/>
    </row>
    <row r="44" spans="1:21" ht="15.75">
      <c r="A44" s="253"/>
      <c r="B44" s="263">
        <v>38</v>
      </c>
      <c r="C44" s="264" t="s">
        <v>122</v>
      </c>
      <c r="D44" s="265" t="s">
        <v>91</v>
      </c>
      <c r="E44" s="266" t="s">
        <v>61</v>
      </c>
      <c r="F44" s="265" t="s">
        <v>13</v>
      </c>
      <c r="G44" s="267" t="s">
        <v>84</v>
      </c>
      <c r="H44" s="268"/>
      <c r="I44" s="269">
        <v>3</v>
      </c>
      <c r="J44" s="265" t="s">
        <v>13</v>
      </c>
      <c r="K44" s="269">
        <v>1</v>
      </c>
      <c r="L44" s="269"/>
      <c r="M44" s="270"/>
      <c r="N44" s="255"/>
      <c r="O44" s="253"/>
      <c r="P44" s="253"/>
      <c r="Q44" s="253"/>
      <c r="R44" s="253"/>
      <c r="S44" s="253"/>
      <c r="T44" s="253"/>
      <c r="U44" s="253"/>
    </row>
    <row r="45" spans="1:21" ht="15.75">
      <c r="A45" s="253"/>
      <c r="B45" s="263">
        <v>39</v>
      </c>
      <c r="C45" s="264" t="s">
        <v>123</v>
      </c>
      <c r="D45" s="265" t="s">
        <v>95</v>
      </c>
      <c r="E45" s="266" t="s">
        <v>60</v>
      </c>
      <c r="F45" s="265" t="s">
        <v>13</v>
      </c>
      <c r="G45" s="267" t="s">
        <v>83</v>
      </c>
      <c r="H45" s="268"/>
      <c r="I45" s="269">
        <v>2</v>
      </c>
      <c r="J45" s="265" t="s">
        <v>13</v>
      </c>
      <c r="K45" s="269">
        <v>0</v>
      </c>
      <c r="L45" s="269"/>
      <c r="M45" s="270"/>
      <c r="N45" s="255"/>
      <c r="O45" s="253"/>
      <c r="P45" s="253"/>
      <c r="Q45" s="253"/>
      <c r="R45" s="253"/>
      <c r="S45" s="253"/>
      <c r="T45" s="253"/>
      <c r="U45" s="253"/>
    </row>
    <row r="46" spans="1:21" ht="15.75">
      <c r="A46" s="253"/>
      <c r="B46" s="263">
        <v>40</v>
      </c>
      <c r="C46" s="264" t="s">
        <v>124</v>
      </c>
      <c r="D46" s="265" t="s">
        <v>95</v>
      </c>
      <c r="E46" s="266" t="s">
        <v>75</v>
      </c>
      <c r="F46" s="265" t="s">
        <v>13</v>
      </c>
      <c r="G46" s="267" t="s">
        <v>68</v>
      </c>
      <c r="H46" s="268"/>
      <c r="I46" s="269">
        <v>0</v>
      </c>
      <c r="J46" s="265" t="s">
        <v>13</v>
      </c>
      <c r="K46" s="269">
        <v>1</v>
      </c>
      <c r="L46" s="269"/>
      <c r="M46" s="270"/>
      <c r="N46" s="255"/>
      <c r="O46" s="253"/>
      <c r="P46" s="253"/>
      <c r="Q46" s="253"/>
      <c r="R46" s="253"/>
      <c r="S46" s="253"/>
      <c r="T46" s="253"/>
      <c r="U46" s="253"/>
    </row>
    <row r="47" spans="1:21" ht="15.75">
      <c r="A47" s="253"/>
      <c r="B47" s="263">
        <v>41</v>
      </c>
      <c r="C47" s="264" t="s">
        <v>125</v>
      </c>
      <c r="D47" s="265" t="s">
        <v>98</v>
      </c>
      <c r="E47" s="266" t="s">
        <v>70</v>
      </c>
      <c r="F47" s="265" t="s">
        <v>13</v>
      </c>
      <c r="G47" s="267" t="s">
        <v>77</v>
      </c>
      <c r="H47" s="268"/>
      <c r="I47" s="269">
        <v>1</v>
      </c>
      <c r="J47" s="265" t="s">
        <v>13</v>
      </c>
      <c r="K47" s="269">
        <v>1</v>
      </c>
      <c r="L47" s="269"/>
      <c r="M47" s="270"/>
      <c r="N47" s="255"/>
      <c r="O47" s="253"/>
      <c r="P47" s="253"/>
      <c r="Q47" s="253"/>
      <c r="R47" s="253"/>
      <c r="S47" s="253"/>
      <c r="T47" s="253"/>
      <c r="U47" s="253"/>
    </row>
    <row r="48" spans="1:21" ht="15.75">
      <c r="A48" s="253"/>
      <c r="B48" s="263">
        <v>42</v>
      </c>
      <c r="C48" s="264" t="s">
        <v>126</v>
      </c>
      <c r="D48" s="265" t="s">
        <v>98</v>
      </c>
      <c r="E48" s="266" t="s">
        <v>62</v>
      </c>
      <c r="F48" s="265" t="s">
        <v>13</v>
      </c>
      <c r="G48" s="267" t="s">
        <v>85</v>
      </c>
      <c r="H48" s="268"/>
      <c r="I48" s="269">
        <v>3</v>
      </c>
      <c r="J48" s="265" t="s">
        <v>13</v>
      </c>
      <c r="K48" s="269">
        <v>0</v>
      </c>
      <c r="L48" s="269"/>
      <c r="M48" s="270"/>
      <c r="N48" s="255"/>
      <c r="O48" s="253"/>
      <c r="P48" s="253"/>
      <c r="Q48" s="253"/>
      <c r="R48" s="253"/>
      <c r="S48" s="253"/>
      <c r="T48" s="253"/>
      <c r="U48" s="253"/>
    </row>
    <row r="49" spans="1:21" ht="15.75">
      <c r="A49" s="253"/>
      <c r="B49" s="263">
        <v>43</v>
      </c>
      <c r="C49" s="264" t="s">
        <v>127</v>
      </c>
      <c r="D49" s="265" t="s">
        <v>101</v>
      </c>
      <c r="E49" s="266" t="s">
        <v>63</v>
      </c>
      <c r="F49" s="265" t="s">
        <v>13</v>
      </c>
      <c r="G49" s="267" t="s">
        <v>71</v>
      </c>
      <c r="H49" s="268"/>
      <c r="I49" s="269">
        <v>2</v>
      </c>
      <c r="J49" s="265" t="s">
        <v>13</v>
      </c>
      <c r="K49" s="269">
        <v>1</v>
      </c>
      <c r="L49" s="269"/>
      <c r="M49" s="270"/>
      <c r="N49" s="255"/>
      <c r="O49" s="253"/>
      <c r="P49" s="253"/>
      <c r="Q49" s="253"/>
      <c r="R49" s="253"/>
      <c r="S49" s="253"/>
      <c r="T49" s="253"/>
      <c r="U49" s="253"/>
    </row>
    <row r="50" spans="1:21" ht="15.75">
      <c r="A50" s="253"/>
      <c r="B50" s="263">
        <v>44</v>
      </c>
      <c r="C50" s="264" t="s">
        <v>128</v>
      </c>
      <c r="D50" s="265" t="s">
        <v>101</v>
      </c>
      <c r="E50" s="266" t="s">
        <v>86</v>
      </c>
      <c r="F50" s="265" t="s">
        <v>13</v>
      </c>
      <c r="G50" s="267" t="s">
        <v>78</v>
      </c>
      <c r="H50" s="268"/>
      <c r="I50" s="269">
        <v>0</v>
      </c>
      <c r="J50" s="265" t="s">
        <v>13</v>
      </c>
      <c r="K50" s="269">
        <v>1</v>
      </c>
      <c r="L50" s="269"/>
      <c r="M50" s="270"/>
      <c r="N50" s="255"/>
      <c r="O50" s="253"/>
      <c r="P50" s="253"/>
      <c r="Q50" s="253"/>
      <c r="R50" s="253"/>
      <c r="S50" s="253"/>
      <c r="T50" s="253"/>
      <c r="U50" s="253"/>
    </row>
    <row r="51" spans="1:21" ht="15.75">
      <c r="A51" s="253"/>
      <c r="B51" s="263">
        <v>45</v>
      </c>
      <c r="C51" s="264" t="s">
        <v>129</v>
      </c>
      <c r="D51" s="265" t="s">
        <v>104</v>
      </c>
      <c r="E51" s="266" t="s">
        <v>65</v>
      </c>
      <c r="F51" s="265" t="s">
        <v>13</v>
      </c>
      <c r="G51" s="267" t="s">
        <v>80</v>
      </c>
      <c r="H51" s="268"/>
      <c r="I51" s="269">
        <v>3</v>
      </c>
      <c r="J51" s="265" t="s">
        <v>13</v>
      </c>
      <c r="K51" s="269">
        <v>1</v>
      </c>
      <c r="L51" s="269"/>
      <c r="M51" s="270"/>
      <c r="N51" s="255"/>
      <c r="O51" s="253"/>
      <c r="P51" s="253"/>
      <c r="Q51" s="253"/>
      <c r="R51" s="253"/>
      <c r="S51" s="253"/>
      <c r="T51" s="253"/>
      <c r="U51" s="253"/>
    </row>
    <row r="52" spans="1:21" ht="15.75">
      <c r="A52" s="253"/>
      <c r="B52" s="263">
        <v>46</v>
      </c>
      <c r="C52" s="264" t="s">
        <v>130</v>
      </c>
      <c r="D52" s="265" t="s">
        <v>104</v>
      </c>
      <c r="E52" s="266" t="s">
        <v>88</v>
      </c>
      <c r="F52" s="265" t="s">
        <v>13</v>
      </c>
      <c r="G52" s="267" t="s">
        <v>73</v>
      </c>
      <c r="H52" s="268"/>
      <c r="I52" s="269">
        <v>0</v>
      </c>
      <c r="J52" s="265" t="s">
        <v>13</v>
      </c>
      <c r="K52" s="269">
        <v>1</v>
      </c>
      <c r="L52" s="269"/>
      <c r="M52" s="270"/>
      <c r="N52" s="255"/>
      <c r="O52" s="253"/>
      <c r="P52" s="253"/>
      <c r="Q52" s="253"/>
      <c r="R52" s="253"/>
      <c r="S52" s="253"/>
      <c r="T52" s="253"/>
      <c r="U52" s="253"/>
    </row>
    <row r="53" spans="1:21" ht="15.75">
      <c r="A53" s="253"/>
      <c r="B53" s="263">
        <v>47</v>
      </c>
      <c r="C53" s="264" t="s">
        <v>131</v>
      </c>
      <c r="D53" s="265" t="s">
        <v>107</v>
      </c>
      <c r="E53" s="266" t="s">
        <v>64</v>
      </c>
      <c r="F53" s="265" t="s">
        <v>13</v>
      </c>
      <c r="G53" s="267" t="s">
        <v>79</v>
      </c>
      <c r="H53" s="268"/>
      <c r="I53" s="269">
        <v>3</v>
      </c>
      <c r="J53" s="265" t="s">
        <v>13</v>
      </c>
      <c r="K53" s="269">
        <v>0</v>
      </c>
      <c r="L53" s="269"/>
      <c r="M53" s="270"/>
      <c r="N53" s="255"/>
      <c r="O53" s="253"/>
      <c r="P53" s="253"/>
      <c r="Q53" s="253"/>
      <c r="R53" s="253"/>
      <c r="S53" s="253"/>
      <c r="T53" s="253"/>
      <c r="U53" s="253"/>
    </row>
    <row r="54" spans="1:21" ht="15.75">
      <c r="A54" s="253"/>
      <c r="B54" s="263">
        <v>48</v>
      </c>
      <c r="C54" s="264" t="s">
        <v>132</v>
      </c>
      <c r="D54" s="265" t="s">
        <v>107</v>
      </c>
      <c r="E54" s="266" t="s">
        <v>72</v>
      </c>
      <c r="F54" s="265" t="s">
        <v>13</v>
      </c>
      <c r="G54" s="267" t="s">
        <v>87</v>
      </c>
      <c r="H54" s="268"/>
      <c r="I54" s="269">
        <v>1</v>
      </c>
      <c r="J54" s="265" t="s">
        <v>13</v>
      </c>
      <c r="K54" s="269">
        <v>0</v>
      </c>
      <c r="L54" s="269"/>
      <c r="M54" s="270"/>
      <c r="N54" s="255"/>
      <c r="O54" s="253"/>
      <c r="P54" s="253"/>
      <c r="Q54" s="253"/>
      <c r="R54" s="253"/>
      <c r="S54" s="253"/>
      <c r="T54" s="253"/>
      <c r="U54" s="253"/>
    </row>
    <row r="55" spans="1:21" ht="15.75">
      <c r="A55" s="253"/>
      <c r="B55" s="263">
        <v>49</v>
      </c>
      <c r="C55" s="264" t="s">
        <v>133</v>
      </c>
      <c r="D55" s="265" t="s">
        <v>45</v>
      </c>
      <c r="E55" s="266" t="s">
        <v>34</v>
      </c>
      <c r="F55" s="265" t="s">
        <v>13</v>
      </c>
      <c r="G55" s="267" t="s">
        <v>26</v>
      </c>
      <c r="H55" s="268"/>
      <c r="I55" s="269">
        <v>0</v>
      </c>
      <c r="J55" s="265" t="s">
        <v>13</v>
      </c>
      <c r="K55" s="269">
        <v>2</v>
      </c>
      <c r="L55" s="269"/>
      <c r="M55" s="270"/>
      <c r="N55" s="255"/>
      <c r="O55" s="253"/>
      <c r="P55" s="253"/>
      <c r="Q55" s="253"/>
      <c r="R55" s="253"/>
      <c r="S55" s="253"/>
      <c r="T55" s="253"/>
      <c r="U55" s="253"/>
    </row>
    <row r="56" spans="1:21" ht="15.75">
      <c r="A56" s="253"/>
      <c r="B56" s="263">
        <v>50</v>
      </c>
      <c r="C56" s="264" t="s">
        <v>133</v>
      </c>
      <c r="D56" s="265" t="s">
        <v>45</v>
      </c>
      <c r="E56" s="266" t="s">
        <v>41</v>
      </c>
      <c r="F56" s="265" t="s">
        <v>13</v>
      </c>
      <c r="G56" s="267" t="s">
        <v>46</v>
      </c>
      <c r="H56" s="268"/>
      <c r="I56" s="269">
        <v>2</v>
      </c>
      <c r="J56" s="265" t="s">
        <v>13</v>
      </c>
      <c r="K56" s="269">
        <v>0</v>
      </c>
      <c r="L56" s="269"/>
      <c r="M56" s="270"/>
      <c r="N56" s="255"/>
      <c r="O56" s="253"/>
      <c r="P56" s="253"/>
      <c r="Q56" s="253"/>
      <c r="R56" s="253"/>
      <c r="S56" s="253"/>
      <c r="T56" s="253"/>
      <c r="U56" s="253"/>
    </row>
    <row r="57" spans="1:21" ht="15.75">
      <c r="A57" s="253"/>
      <c r="B57" s="263">
        <v>51</v>
      </c>
      <c r="C57" s="264" t="s">
        <v>134</v>
      </c>
      <c r="D57" s="265" t="s">
        <v>31</v>
      </c>
      <c r="E57" s="266" t="s">
        <v>25</v>
      </c>
      <c r="F57" s="265" t="s">
        <v>13</v>
      </c>
      <c r="G57" s="267" t="s">
        <v>32</v>
      </c>
      <c r="H57" s="268"/>
      <c r="I57" s="269">
        <v>2</v>
      </c>
      <c r="J57" s="265" t="s">
        <v>13</v>
      </c>
      <c r="K57" s="269">
        <v>1</v>
      </c>
      <c r="L57" s="269"/>
      <c r="M57" s="270"/>
      <c r="N57" s="255"/>
      <c r="O57" s="253"/>
      <c r="P57" s="253"/>
      <c r="Q57" s="253"/>
      <c r="R57" s="253"/>
      <c r="S57" s="253"/>
      <c r="T57" s="253"/>
      <c r="U57" s="253"/>
    </row>
    <row r="58" spans="1:21" ht="15.75">
      <c r="A58" s="253"/>
      <c r="B58" s="263">
        <v>52</v>
      </c>
      <c r="C58" s="264" t="s">
        <v>134</v>
      </c>
      <c r="D58" s="265" t="s">
        <v>31</v>
      </c>
      <c r="E58" s="266" t="s">
        <v>33</v>
      </c>
      <c r="F58" s="265" t="s">
        <v>13</v>
      </c>
      <c r="G58" s="267" t="s">
        <v>47</v>
      </c>
      <c r="H58" s="268"/>
      <c r="I58" s="269">
        <v>1</v>
      </c>
      <c r="J58" s="265" t="s">
        <v>13</v>
      </c>
      <c r="K58" s="269">
        <v>1</v>
      </c>
      <c r="L58" s="269"/>
      <c r="M58" s="270"/>
      <c r="N58" s="255"/>
      <c r="O58" s="253"/>
      <c r="P58" s="253"/>
      <c r="Q58" s="253"/>
      <c r="R58" s="253"/>
      <c r="S58" s="253"/>
      <c r="T58" s="253"/>
      <c r="U58" s="253"/>
    </row>
    <row r="59" spans="1:21" ht="15.75">
      <c r="A59" s="253"/>
      <c r="B59" s="263">
        <v>53</v>
      </c>
      <c r="C59" s="264" t="s">
        <v>135</v>
      </c>
      <c r="D59" s="265" t="s">
        <v>11</v>
      </c>
      <c r="E59" s="266" t="s">
        <v>24</v>
      </c>
      <c r="F59" s="265" t="s">
        <v>13</v>
      </c>
      <c r="G59" s="267" t="s">
        <v>12</v>
      </c>
      <c r="H59" s="268"/>
      <c r="I59" s="269">
        <v>1</v>
      </c>
      <c r="J59" s="265" t="s">
        <v>13</v>
      </c>
      <c r="K59" s="269">
        <v>1</v>
      </c>
      <c r="L59" s="269"/>
      <c r="M59" s="270"/>
      <c r="N59" s="255"/>
      <c r="O59" s="253"/>
      <c r="P59" s="253"/>
      <c r="Q59" s="253"/>
      <c r="R59" s="253"/>
      <c r="S59" s="253"/>
      <c r="T59" s="253"/>
      <c r="U59" s="253"/>
    </row>
    <row r="60" spans="1:21" ht="15.75">
      <c r="A60" s="253"/>
      <c r="B60" s="263">
        <v>54</v>
      </c>
      <c r="C60" s="264" t="s">
        <v>135</v>
      </c>
      <c r="D60" s="265" t="s">
        <v>11</v>
      </c>
      <c r="E60" s="266" t="s">
        <v>14</v>
      </c>
      <c r="F60" s="265" t="s">
        <v>13</v>
      </c>
      <c r="G60" s="267" t="s">
        <v>23</v>
      </c>
      <c r="H60" s="268"/>
      <c r="I60" s="269">
        <v>1</v>
      </c>
      <c r="J60" s="265" t="s">
        <v>13</v>
      </c>
      <c r="K60" s="269">
        <v>1</v>
      </c>
      <c r="L60" s="269"/>
      <c r="M60" s="270"/>
      <c r="N60" s="255"/>
      <c r="O60" s="253"/>
      <c r="P60" s="253"/>
      <c r="Q60" s="253"/>
      <c r="R60" s="253"/>
      <c r="S60" s="253"/>
      <c r="T60" s="253"/>
      <c r="U60" s="253"/>
    </row>
    <row r="61" spans="1:21" ht="15.75">
      <c r="A61" s="253"/>
      <c r="B61" s="263">
        <v>55</v>
      </c>
      <c r="C61" s="264" t="s">
        <v>136</v>
      </c>
      <c r="D61" s="265" t="s">
        <v>67</v>
      </c>
      <c r="E61" s="266" t="s">
        <v>49</v>
      </c>
      <c r="F61" s="265" t="s">
        <v>13</v>
      </c>
      <c r="G61" s="267" t="s">
        <v>42</v>
      </c>
      <c r="H61" s="268"/>
      <c r="I61" s="269">
        <v>1</v>
      </c>
      <c r="J61" s="265" t="s">
        <v>13</v>
      </c>
      <c r="K61" s="269">
        <v>1</v>
      </c>
      <c r="L61" s="269"/>
      <c r="M61" s="270"/>
      <c r="N61" s="255"/>
      <c r="O61" s="253"/>
      <c r="P61" s="253"/>
      <c r="Q61" s="253"/>
      <c r="R61" s="253"/>
      <c r="S61" s="253"/>
      <c r="T61" s="253"/>
      <c r="U61" s="253"/>
    </row>
    <row r="62" spans="1:21" ht="15.75">
      <c r="A62" s="253"/>
      <c r="B62" s="263">
        <v>56</v>
      </c>
      <c r="C62" s="264" t="s">
        <v>136</v>
      </c>
      <c r="D62" s="265" t="s">
        <v>67</v>
      </c>
      <c r="E62" s="266" t="s">
        <v>36</v>
      </c>
      <c r="F62" s="265" t="s">
        <v>13</v>
      </c>
      <c r="G62" s="267" t="s">
        <v>28</v>
      </c>
      <c r="H62" s="268"/>
      <c r="I62" s="269">
        <v>1</v>
      </c>
      <c r="J62" s="265" t="s">
        <v>13</v>
      </c>
      <c r="K62" s="269">
        <v>2</v>
      </c>
      <c r="L62" s="269"/>
      <c r="M62" s="270"/>
      <c r="N62" s="255"/>
      <c r="O62" s="253"/>
      <c r="P62" s="253"/>
      <c r="Q62" s="253"/>
      <c r="R62" s="253"/>
      <c r="S62" s="253"/>
      <c r="T62" s="253"/>
      <c r="U62" s="253"/>
    </row>
    <row r="63" spans="1:21" ht="15.75">
      <c r="A63" s="253"/>
      <c r="B63" s="263">
        <v>57</v>
      </c>
      <c r="C63" s="264" t="s">
        <v>137</v>
      </c>
      <c r="D63" s="265" t="s">
        <v>82</v>
      </c>
      <c r="E63" s="266" t="s">
        <v>43</v>
      </c>
      <c r="F63" s="265" t="s">
        <v>13</v>
      </c>
      <c r="G63" s="267" t="s">
        <v>37</v>
      </c>
      <c r="H63" s="268"/>
      <c r="I63" s="269">
        <v>1</v>
      </c>
      <c r="J63" s="265" t="s">
        <v>13</v>
      </c>
      <c r="K63" s="269">
        <v>0</v>
      </c>
      <c r="L63" s="269"/>
      <c r="M63" s="270"/>
      <c r="N63" s="255"/>
      <c r="O63" s="253"/>
      <c r="P63" s="253"/>
      <c r="Q63" s="253"/>
      <c r="R63" s="253"/>
      <c r="S63" s="253"/>
      <c r="T63" s="253"/>
      <c r="U63" s="253"/>
    </row>
    <row r="64" spans="1:21" ht="15.75">
      <c r="A64" s="253"/>
      <c r="B64" s="263">
        <v>58</v>
      </c>
      <c r="C64" s="264" t="s">
        <v>137</v>
      </c>
      <c r="D64" s="265" t="s">
        <v>82</v>
      </c>
      <c r="E64" s="266" t="s">
        <v>50</v>
      </c>
      <c r="F64" s="265" t="s">
        <v>13</v>
      </c>
      <c r="G64" s="267" t="s">
        <v>29</v>
      </c>
      <c r="H64" s="268"/>
      <c r="I64" s="269">
        <v>0</v>
      </c>
      <c r="J64" s="265" t="s">
        <v>13</v>
      </c>
      <c r="K64" s="269">
        <v>1</v>
      </c>
      <c r="L64" s="269"/>
      <c r="M64" s="270"/>
      <c r="N64" s="255"/>
      <c r="O64" s="253"/>
      <c r="P64" s="253"/>
      <c r="Q64" s="253"/>
      <c r="R64" s="253"/>
      <c r="S64" s="253"/>
      <c r="T64" s="253"/>
      <c r="U64" s="253"/>
    </row>
    <row r="65" spans="1:21" ht="15.75">
      <c r="A65" s="253"/>
      <c r="B65" s="263">
        <v>59</v>
      </c>
      <c r="C65" s="264" t="s">
        <v>138</v>
      </c>
      <c r="D65" s="265" t="s">
        <v>39</v>
      </c>
      <c r="E65" s="266" t="s">
        <v>27</v>
      </c>
      <c r="F65" s="265" t="s">
        <v>13</v>
      </c>
      <c r="G65" s="267" t="s">
        <v>35</v>
      </c>
      <c r="H65" s="268"/>
      <c r="I65" s="269">
        <v>1</v>
      </c>
      <c r="J65" s="265" t="s">
        <v>13</v>
      </c>
      <c r="K65" s="269">
        <v>1</v>
      </c>
      <c r="L65" s="269"/>
      <c r="M65" s="270"/>
      <c r="N65" s="255"/>
      <c r="O65" s="253"/>
      <c r="P65" s="253"/>
      <c r="Q65" s="253"/>
      <c r="R65" s="253"/>
      <c r="S65" s="253"/>
      <c r="T65" s="253"/>
      <c r="U65" s="253"/>
    </row>
    <row r="66" spans="1:21" ht="15.75">
      <c r="A66" s="253"/>
      <c r="B66" s="263">
        <v>60</v>
      </c>
      <c r="C66" s="264" t="s">
        <v>138</v>
      </c>
      <c r="D66" s="265" t="s">
        <v>39</v>
      </c>
      <c r="E66" s="266" t="s">
        <v>40</v>
      </c>
      <c r="F66" s="265" t="s">
        <v>13</v>
      </c>
      <c r="G66" s="267" t="s">
        <v>48</v>
      </c>
      <c r="H66" s="268"/>
      <c r="I66" s="269">
        <v>1</v>
      </c>
      <c r="J66" s="265" t="s">
        <v>13</v>
      </c>
      <c r="K66" s="269">
        <v>1</v>
      </c>
      <c r="L66" s="269"/>
      <c r="M66" s="270"/>
      <c r="N66" s="255"/>
      <c r="O66" s="253"/>
      <c r="P66" s="253"/>
      <c r="Q66" s="253"/>
      <c r="R66" s="253"/>
      <c r="S66" s="253"/>
      <c r="T66" s="253"/>
      <c r="U66" s="253"/>
    </row>
    <row r="67" spans="1:21" ht="15.75">
      <c r="A67" s="253"/>
      <c r="B67" s="263">
        <v>61</v>
      </c>
      <c r="C67" s="264" t="s">
        <v>139</v>
      </c>
      <c r="D67" s="265" t="s">
        <v>98</v>
      </c>
      <c r="E67" s="266" t="s">
        <v>70</v>
      </c>
      <c r="F67" s="265" t="s">
        <v>13</v>
      </c>
      <c r="G67" s="267" t="s">
        <v>62</v>
      </c>
      <c r="H67" s="268"/>
      <c r="I67" s="269">
        <v>1</v>
      </c>
      <c r="J67" s="265" t="s">
        <v>13</v>
      </c>
      <c r="K67" s="269">
        <v>3</v>
      </c>
      <c r="L67" s="269"/>
      <c r="M67" s="270"/>
      <c r="N67" s="255"/>
      <c r="O67" s="253"/>
      <c r="P67" s="253"/>
      <c r="Q67" s="253"/>
      <c r="R67" s="253"/>
      <c r="S67" s="253"/>
      <c r="T67" s="253"/>
      <c r="U67" s="253"/>
    </row>
    <row r="68" spans="1:21" ht="15.75">
      <c r="A68" s="253"/>
      <c r="B68" s="263">
        <v>62</v>
      </c>
      <c r="C68" s="264" t="s">
        <v>139</v>
      </c>
      <c r="D68" s="265" t="s">
        <v>98</v>
      </c>
      <c r="E68" s="266" t="s">
        <v>77</v>
      </c>
      <c r="F68" s="265" t="s">
        <v>13</v>
      </c>
      <c r="G68" s="267" t="s">
        <v>85</v>
      </c>
      <c r="H68" s="268"/>
      <c r="I68" s="269">
        <v>1</v>
      </c>
      <c r="J68" s="265" t="s">
        <v>13</v>
      </c>
      <c r="K68" s="269">
        <v>0</v>
      </c>
      <c r="L68" s="269"/>
      <c r="M68" s="270"/>
      <c r="N68" s="255"/>
      <c r="O68" s="253"/>
      <c r="P68" s="253"/>
      <c r="Q68" s="253"/>
      <c r="R68" s="253"/>
      <c r="S68" s="253"/>
      <c r="T68" s="253"/>
      <c r="U68" s="253"/>
    </row>
    <row r="69" spans="1:21" ht="15.75">
      <c r="A69" s="253"/>
      <c r="B69" s="263">
        <v>63</v>
      </c>
      <c r="C69" s="264" t="s">
        <v>140</v>
      </c>
      <c r="D69" s="265" t="s">
        <v>95</v>
      </c>
      <c r="E69" s="266" t="s">
        <v>68</v>
      </c>
      <c r="F69" s="265" t="s">
        <v>13</v>
      </c>
      <c r="G69" s="267" t="s">
        <v>83</v>
      </c>
      <c r="H69" s="268"/>
      <c r="I69" s="269">
        <v>1</v>
      </c>
      <c r="J69" s="265" t="s">
        <v>13</v>
      </c>
      <c r="K69" s="269">
        <v>0</v>
      </c>
      <c r="L69" s="269"/>
      <c r="M69" s="270"/>
      <c r="N69" s="255"/>
      <c r="O69" s="253"/>
      <c r="P69" s="253"/>
      <c r="Q69" s="253"/>
      <c r="R69" s="253"/>
      <c r="S69" s="253"/>
      <c r="T69" s="253"/>
      <c r="U69" s="253"/>
    </row>
    <row r="70" spans="1:21" ht="15.75">
      <c r="A70" s="253"/>
      <c r="B70" s="263">
        <v>64</v>
      </c>
      <c r="C70" s="264" t="s">
        <v>140</v>
      </c>
      <c r="D70" s="265" t="s">
        <v>95</v>
      </c>
      <c r="E70" s="266" t="s">
        <v>75</v>
      </c>
      <c r="F70" s="265" t="s">
        <v>13</v>
      </c>
      <c r="G70" s="267" t="s">
        <v>60</v>
      </c>
      <c r="H70" s="268"/>
      <c r="I70" s="269">
        <v>0</v>
      </c>
      <c r="J70" s="265" t="s">
        <v>13</v>
      </c>
      <c r="K70" s="269">
        <v>1</v>
      </c>
      <c r="L70" s="269"/>
      <c r="M70" s="270"/>
      <c r="N70" s="255"/>
      <c r="O70" s="253"/>
      <c r="P70" s="253"/>
      <c r="Q70" s="253"/>
      <c r="R70" s="253"/>
      <c r="S70" s="253"/>
      <c r="T70" s="253"/>
      <c r="U70" s="253"/>
    </row>
    <row r="71" spans="1:21" ht="15.75">
      <c r="A71" s="253"/>
      <c r="B71" s="263">
        <v>65</v>
      </c>
      <c r="C71" s="264" t="s">
        <v>141</v>
      </c>
      <c r="D71" s="265" t="s">
        <v>91</v>
      </c>
      <c r="E71" s="266" t="s">
        <v>76</v>
      </c>
      <c r="F71" s="265" t="s">
        <v>13</v>
      </c>
      <c r="G71" s="267" t="s">
        <v>84</v>
      </c>
      <c r="H71" s="268"/>
      <c r="I71" s="269">
        <v>1</v>
      </c>
      <c r="J71" s="265" t="s">
        <v>13</v>
      </c>
      <c r="K71" s="269">
        <v>2</v>
      </c>
      <c r="L71" s="269"/>
      <c r="M71" s="270"/>
      <c r="N71" s="255"/>
      <c r="O71" s="253"/>
      <c r="P71" s="253"/>
      <c r="Q71" s="253"/>
      <c r="R71" s="253"/>
      <c r="S71" s="253"/>
      <c r="T71" s="253"/>
      <c r="U71" s="253"/>
    </row>
    <row r="72" spans="1:21" ht="15.75">
      <c r="A72" s="253"/>
      <c r="B72" s="263">
        <v>66</v>
      </c>
      <c r="C72" s="264" t="s">
        <v>141</v>
      </c>
      <c r="D72" s="265" t="s">
        <v>91</v>
      </c>
      <c r="E72" s="266" t="s">
        <v>69</v>
      </c>
      <c r="F72" s="265" t="s">
        <v>13</v>
      </c>
      <c r="G72" s="267" t="s">
        <v>61</v>
      </c>
      <c r="H72" s="268"/>
      <c r="I72" s="269">
        <v>0</v>
      </c>
      <c r="J72" s="265" t="s">
        <v>13</v>
      </c>
      <c r="K72" s="269">
        <v>2</v>
      </c>
      <c r="L72" s="269"/>
      <c r="M72" s="270"/>
      <c r="N72" s="255"/>
      <c r="O72" s="253"/>
      <c r="P72" s="253"/>
      <c r="Q72" s="253"/>
      <c r="R72" s="253"/>
      <c r="S72" s="253"/>
      <c r="T72" s="253"/>
      <c r="U72" s="253"/>
    </row>
    <row r="73" spans="1:21" ht="15.75">
      <c r="A73" s="253"/>
      <c r="B73" s="263">
        <v>67</v>
      </c>
      <c r="C73" s="264" t="s">
        <v>142</v>
      </c>
      <c r="D73" s="265" t="s">
        <v>104</v>
      </c>
      <c r="E73" s="266" t="s">
        <v>88</v>
      </c>
      <c r="F73" s="265" t="s">
        <v>13</v>
      </c>
      <c r="G73" s="267" t="s">
        <v>65</v>
      </c>
      <c r="H73" s="268"/>
      <c r="I73" s="269">
        <v>0</v>
      </c>
      <c r="J73" s="265" t="s">
        <v>13</v>
      </c>
      <c r="K73" s="269">
        <v>2</v>
      </c>
      <c r="L73" s="269"/>
      <c r="M73" s="270"/>
      <c r="N73" s="255"/>
      <c r="O73" s="253"/>
      <c r="P73" s="253"/>
      <c r="Q73" s="253"/>
      <c r="R73" s="253"/>
      <c r="S73" s="253"/>
      <c r="T73" s="253"/>
      <c r="U73" s="253"/>
    </row>
    <row r="74" spans="1:21" ht="15.75">
      <c r="A74" s="253"/>
      <c r="B74" s="263">
        <v>68</v>
      </c>
      <c r="C74" s="264" t="s">
        <v>142</v>
      </c>
      <c r="D74" s="265" t="s">
        <v>104</v>
      </c>
      <c r="E74" s="266" t="s">
        <v>73</v>
      </c>
      <c r="F74" s="265" t="s">
        <v>13</v>
      </c>
      <c r="G74" s="267" t="s">
        <v>80</v>
      </c>
      <c r="H74" s="268"/>
      <c r="I74" s="269">
        <v>1</v>
      </c>
      <c r="J74" s="265" t="s">
        <v>13</v>
      </c>
      <c r="K74" s="269">
        <v>1</v>
      </c>
      <c r="L74" s="269"/>
      <c r="M74" s="270"/>
      <c r="N74" s="255"/>
      <c r="O74" s="253"/>
      <c r="P74" s="253"/>
      <c r="Q74" s="253"/>
      <c r="R74" s="253"/>
      <c r="S74" s="253"/>
      <c r="T74" s="253"/>
      <c r="U74" s="253"/>
    </row>
    <row r="75" spans="1:21" ht="15.75">
      <c r="A75" s="253"/>
      <c r="B75" s="263">
        <v>69</v>
      </c>
      <c r="C75" s="264" t="s">
        <v>143</v>
      </c>
      <c r="D75" s="265" t="s">
        <v>101</v>
      </c>
      <c r="E75" s="266" t="s">
        <v>78</v>
      </c>
      <c r="F75" s="265" t="s">
        <v>13</v>
      </c>
      <c r="G75" s="267" t="s">
        <v>71</v>
      </c>
      <c r="H75" s="268"/>
      <c r="I75" s="269">
        <v>1</v>
      </c>
      <c r="J75" s="265" t="s">
        <v>13</v>
      </c>
      <c r="K75" s="269">
        <v>2</v>
      </c>
      <c r="L75" s="269"/>
      <c r="M75" s="270"/>
      <c r="N75" s="255"/>
      <c r="O75" s="253"/>
      <c r="P75" s="253"/>
      <c r="Q75" s="253"/>
      <c r="R75" s="253"/>
      <c r="S75" s="253"/>
      <c r="T75" s="253"/>
      <c r="U75" s="253"/>
    </row>
    <row r="76" spans="1:21" ht="15.75">
      <c r="A76" s="253"/>
      <c r="B76" s="263">
        <v>70</v>
      </c>
      <c r="C76" s="264" t="s">
        <v>143</v>
      </c>
      <c r="D76" s="265" t="s">
        <v>101</v>
      </c>
      <c r="E76" s="266" t="s">
        <v>86</v>
      </c>
      <c r="F76" s="265" t="s">
        <v>13</v>
      </c>
      <c r="G76" s="267" t="s">
        <v>63</v>
      </c>
      <c r="H76" s="268"/>
      <c r="I76" s="269">
        <v>0</v>
      </c>
      <c r="J76" s="265" t="s">
        <v>13</v>
      </c>
      <c r="K76" s="269">
        <v>2</v>
      </c>
      <c r="L76" s="269"/>
      <c r="M76" s="270"/>
      <c r="N76" s="255"/>
      <c r="O76" s="253"/>
      <c r="P76" s="253"/>
      <c r="Q76" s="253"/>
      <c r="R76" s="253"/>
      <c r="S76" s="253"/>
      <c r="T76" s="253"/>
      <c r="U76" s="253"/>
    </row>
    <row r="77" spans="1:21" ht="15.75">
      <c r="A77" s="253"/>
      <c r="B77" s="263">
        <v>71</v>
      </c>
      <c r="C77" s="264" t="s">
        <v>144</v>
      </c>
      <c r="D77" s="265" t="s">
        <v>107</v>
      </c>
      <c r="E77" s="266" t="s">
        <v>72</v>
      </c>
      <c r="F77" s="265" t="s">
        <v>13</v>
      </c>
      <c r="G77" s="267" t="s">
        <v>64</v>
      </c>
      <c r="H77" s="268"/>
      <c r="I77" s="269">
        <v>0</v>
      </c>
      <c r="J77" s="265" t="s">
        <v>13</v>
      </c>
      <c r="K77" s="269">
        <v>1</v>
      </c>
      <c r="L77" s="269"/>
      <c r="M77" s="270"/>
      <c r="N77" s="255"/>
      <c r="O77" s="253"/>
      <c r="P77" s="253"/>
      <c r="Q77" s="253"/>
      <c r="R77" s="253"/>
      <c r="S77" s="253"/>
      <c r="T77" s="253"/>
      <c r="U77" s="253"/>
    </row>
    <row r="78" spans="1:21" ht="15.75">
      <c r="A78" s="253"/>
      <c r="B78" s="263">
        <v>72</v>
      </c>
      <c r="C78" s="264" t="s">
        <v>144</v>
      </c>
      <c r="D78" s="265" t="s">
        <v>107</v>
      </c>
      <c r="E78" s="266" t="s">
        <v>87</v>
      </c>
      <c r="F78" s="265" t="s">
        <v>13</v>
      </c>
      <c r="G78" s="267" t="s">
        <v>79</v>
      </c>
      <c r="H78" s="268"/>
      <c r="I78" s="269">
        <v>1</v>
      </c>
      <c r="J78" s="265" t="s">
        <v>13</v>
      </c>
      <c r="K78" s="269">
        <v>1</v>
      </c>
      <c r="L78" s="269"/>
      <c r="M78" s="270"/>
      <c r="N78" s="255"/>
      <c r="O78" s="253"/>
      <c r="P78" s="253"/>
      <c r="Q78" s="253"/>
      <c r="R78" s="253"/>
      <c r="S78" s="253"/>
      <c r="T78" s="253"/>
      <c r="U78" s="253"/>
    </row>
    <row r="79" spans="1:21" ht="15.75">
      <c r="A79" s="253"/>
      <c r="B79" s="256"/>
      <c r="C79" s="257"/>
      <c r="D79" s="256" t="s">
        <v>145</v>
      </c>
      <c r="E79" s="279" t="s">
        <v>62</v>
      </c>
      <c r="F79" s="280" t="s">
        <v>13</v>
      </c>
      <c r="G79" s="279" t="s">
        <v>61</v>
      </c>
      <c r="H79" s="253"/>
      <c r="I79" s="253"/>
      <c r="J79" s="253"/>
      <c r="K79" s="255"/>
      <c r="L79" s="281"/>
      <c r="M79" s="281"/>
      <c r="N79" s="271"/>
      <c r="O79" s="253"/>
      <c r="P79" s="253"/>
      <c r="Q79" s="253"/>
      <c r="R79" s="253"/>
      <c r="S79" s="253"/>
      <c r="T79" s="253"/>
      <c r="U79" s="253"/>
    </row>
    <row r="80" spans="1:21" ht="15.75">
      <c r="A80" s="253"/>
      <c r="B80" s="256"/>
      <c r="C80" s="257"/>
      <c r="D80" s="256" t="s">
        <v>146</v>
      </c>
      <c r="E80" s="282" t="s">
        <v>64</v>
      </c>
      <c r="F80" s="280" t="s">
        <v>13</v>
      </c>
      <c r="G80" s="282" t="s">
        <v>63</v>
      </c>
      <c r="H80" s="253"/>
      <c r="I80" s="253"/>
      <c r="J80" s="253"/>
      <c r="K80" s="255"/>
      <c r="L80" s="283"/>
      <c r="M80" s="283"/>
      <c r="N80" s="271"/>
      <c r="O80" s="253"/>
      <c r="P80" s="253"/>
      <c r="Q80" s="253"/>
      <c r="R80" s="253"/>
      <c r="S80" s="253"/>
      <c r="T80" s="253"/>
      <c r="U80" s="253"/>
    </row>
    <row r="81" spans="1:21" ht="15.75">
      <c r="A81" s="253"/>
      <c r="B81" s="256"/>
      <c r="C81" s="257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71"/>
      <c r="O81" s="253"/>
      <c r="P81" s="253"/>
      <c r="Q81" s="253"/>
      <c r="R81" s="253"/>
      <c r="S81" s="253"/>
      <c r="T81" s="253"/>
      <c r="U81" s="253"/>
    </row>
    <row r="82" spans="1:21" ht="15.75">
      <c r="A82" s="253"/>
      <c r="B82" s="256"/>
      <c r="C82" s="257"/>
      <c r="D82" s="253"/>
      <c r="E82" s="253"/>
      <c r="F82" s="253"/>
      <c r="G82" s="253"/>
      <c r="H82" s="253"/>
      <c r="I82" s="253"/>
      <c r="J82" s="253"/>
      <c r="K82" s="253"/>
      <c r="L82" s="284" t="s">
        <v>147</v>
      </c>
      <c r="M82" s="285"/>
      <c r="N82" s="271"/>
      <c r="O82" s="253"/>
      <c r="P82" s="253"/>
      <c r="Q82" s="253"/>
      <c r="R82" s="253"/>
      <c r="S82" s="253"/>
      <c r="T82" s="253"/>
      <c r="U82" s="253"/>
    </row>
    <row r="83" spans="1:21" ht="15.75">
      <c r="A83" s="253"/>
      <c r="B83" s="256"/>
      <c r="C83" s="257"/>
      <c r="D83" s="253"/>
      <c r="E83" s="253"/>
      <c r="F83" s="253"/>
      <c r="G83" s="253"/>
      <c r="H83" s="253"/>
      <c r="I83" s="253"/>
      <c r="J83" s="253"/>
      <c r="K83" s="253"/>
      <c r="L83" s="253"/>
      <c r="M83" s="253"/>
      <c r="N83" s="271"/>
      <c r="O83" s="253"/>
      <c r="P83" s="253"/>
      <c r="Q83" s="253"/>
      <c r="R83" s="253"/>
      <c r="S83" s="253"/>
      <c r="T83" s="253"/>
      <c r="U83" s="253"/>
    </row>
    <row r="84" spans="1:21" ht="15.75">
      <c r="A84" s="256"/>
      <c r="B84" s="256"/>
      <c r="C84" s="257"/>
      <c r="D84" s="253"/>
      <c r="E84" s="253"/>
      <c r="F84" s="253"/>
      <c r="G84" s="255"/>
      <c r="H84" s="253"/>
      <c r="I84" s="253"/>
      <c r="J84" s="253"/>
      <c r="K84" s="253"/>
      <c r="L84" s="255"/>
      <c r="M84" s="255"/>
      <c r="N84" s="255"/>
      <c r="O84" s="253"/>
      <c r="P84" s="253"/>
      <c r="Q84" s="253"/>
      <c r="R84" s="253"/>
      <c r="S84" s="253"/>
      <c r="T84" s="253"/>
      <c r="U84" s="253"/>
    </row>
    <row r="85" spans="1:21" ht="15.75">
      <c r="A85" s="256"/>
      <c r="B85" s="256"/>
      <c r="C85" s="257"/>
      <c r="D85" s="253"/>
      <c r="E85" s="253"/>
      <c r="F85" s="253"/>
      <c r="G85" s="255"/>
      <c r="H85" s="253"/>
      <c r="I85" s="253"/>
      <c r="J85" s="253"/>
      <c r="K85" s="253"/>
      <c r="L85" s="255"/>
      <c r="M85" s="255"/>
      <c r="N85" s="255"/>
      <c r="O85" s="253"/>
      <c r="P85" s="253"/>
      <c r="Q85" s="253"/>
      <c r="R85" s="253"/>
      <c r="S85" s="253"/>
      <c r="T85" s="253"/>
      <c r="U85" s="253"/>
    </row>
    <row r="86" spans="1:21" ht="15.75">
      <c r="A86" s="256"/>
      <c r="B86" s="286"/>
      <c r="C86" s="287"/>
      <c r="D86" s="253"/>
      <c r="E86" s="253"/>
      <c r="F86" s="253"/>
      <c r="G86" s="255"/>
      <c r="H86" s="253"/>
      <c r="I86" s="253"/>
      <c r="J86" s="253"/>
      <c r="K86" s="253"/>
      <c r="L86" s="255"/>
      <c r="M86" s="255"/>
      <c r="N86" s="255"/>
      <c r="O86" s="253"/>
      <c r="P86" s="253"/>
      <c r="Q86" s="253"/>
      <c r="R86" s="253"/>
      <c r="S86" s="253"/>
      <c r="T86" s="253"/>
      <c r="U86" s="253"/>
    </row>
    <row r="87" spans="1:21" ht="15.75">
      <c r="A87" s="256"/>
      <c r="B87" s="286"/>
      <c r="C87" s="287"/>
      <c r="D87" s="253"/>
      <c r="E87" s="253"/>
      <c r="F87" s="253"/>
      <c r="G87" s="255"/>
      <c r="H87" s="253"/>
      <c r="I87" s="253"/>
      <c r="J87" s="253"/>
      <c r="K87" s="253"/>
      <c r="L87" s="255"/>
      <c r="M87" s="255"/>
      <c r="N87" s="255"/>
      <c r="O87" s="253"/>
      <c r="P87" s="253"/>
      <c r="Q87" s="253"/>
      <c r="R87" s="253"/>
      <c r="S87" s="253"/>
      <c r="T87" s="253"/>
      <c r="U87" s="253"/>
    </row>
    <row r="88" spans="1:21" ht="15.75">
      <c r="A88" s="253"/>
      <c r="B88" s="256"/>
      <c r="C88" s="257"/>
      <c r="D88" s="253"/>
      <c r="E88" s="253"/>
      <c r="F88" s="255"/>
      <c r="G88" s="253"/>
      <c r="H88" s="253"/>
      <c r="I88" s="253"/>
      <c r="J88" s="253"/>
      <c r="K88" s="255"/>
      <c r="L88" s="255"/>
      <c r="M88" s="255"/>
      <c r="N88" s="255"/>
      <c r="O88" s="253"/>
      <c r="P88" s="253"/>
      <c r="Q88" s="253"/>
      <c r="R88" s="253"/>
      <c r="S88" s="253"/>
      <c r="T88" s="253"/>
      <c r="U88" s="253"/>
    </row>
    <row r="89" spans="1:21" ht="15.75">
      <c r="A89" s="253"/>
      <c r="B89" s="256"/>
      <c r="C89" s="257"/>
      <c r="D89" s="253"/>
      <c r="E89" s="253"/>
      <c r="F89" s="255"/>
      <c r="G89" s="253"/>
      <c r="H89" s="253"/>
      <c r="I89" s="253"/>
      <c r="J89" s="253"/>
      <c r="K89" s="255"/>
      <c r="L89" s="255"/>
      <c r="M89" s="255"/>
      <c r="N89" s="255"/>
      <c r="O89" s="253"/>
      <c r="P89" s="253"/>
      <c r="Q89" s="253"/>
      <c r="R89" s="253"/>
      <c r="S89" s="253"/>
      <c r="T89" s="253"/>
      <c r="U89" s="253"/>
    </row>
    <row r="90" spans="1:21" ht="15.75">
      <c r="A90" s="253"/>
      <c r="B90" s="256"/>
      <c r="C90" s="257"/>
      <c r="D90" s="253"/>
      <c r="E90" s="253"/>
      <c r="F90" s="255"/>
      <c r="G90" s="253"/>
      <c r="H90" s="253"/>
      <c r="I90" s="253"/>
      <c r="J90" s="253"/>
      <c r="K90" s="255"/>
      <c r="L90" s="255"/>
      <c r="M90" s="255"/>
      <c r="N90" s="255"/>
      <c r="O90" s="253"/>
      <c r="P90" s="253"/>
      <c r="Q90" s="253"/>
      <c r="R90" s="253"/>
      <c r="S90" s="253"/>
      <c r="T90" s="253"/>
      <c r="U90" s="253"/>
    </row>
    <row r="91" spans="1:21" ht="15.75">
      <c r="A91" s="253"/>
      <c r="B91" s="256"/>
      <c r="C91" s="257"/>
      <c r="D91" s="253"/>
      <c r="E91" s="253"/>
      <c r="F91" s="255"/>
      <c r="G91" s="253"/>
      <c r="H91" s="253"/>
      <c r="I91" s="253"/>
      <c r="J91" s="253"/>
      <c r="K91" s="255"/>
      <c r="L91" s="255"/>
      <c r="M91" s="255"/>
      <c r="N91" s="255"/>
      <c r="O91" s="253"/>
      <c r="P91" s="253"/>
      <c r="Q91" s="253"/>
      <c r="R91" s="253"/>
      <c r="S91" s="253"/>
      <c r="T91" s="253"/>
      <c r="U91" s="253"/>
    </row>
    <row r="92" spans="1:21" ht="15.75">
      <c r="A92" s="253"/>
      <c r="B92" s="256"/>
      <c r="C92" s="257"/>
      <c r="D92" s="253"/>
      <c r="E92" s="253"/>
      <c r="F92" s="255"/>
      <c r="G92" s="253"/>
      <c r="H92" s="253"/>
      <c r="I92" s="253"/>
      <c r="J92" s="253"/>
      <c r="K92" s="255"/>
      <c r="L92" s="255"/>
      <c r="M92" s="255"/>
      <c r="N92" s="255"/>
      <c r="O92" s="253"/>
      <c r="P92" s="253"/>
      <c r="Q92" s="253"/>
      <c r="R92" s="253"/>
      <c r="S92" s="253"/>
      <c r="T92" s="253"/>
      <c r="U92" s="253"/>
    </row>
    <row r="93" spans="1:21" ht="15.75">
      <c r="A93" s="253"/>
      <c r="B93" s="256"/>
      <c r="C93" s="257"/>
      <c r="D93" s="253"/>
      <c r="E93" s="253"/>
      <c r="F93" s="255"/>
      <c r="G93" s="253"/>
      <c r="H93" s="253"/>
      <c r="I93" s="253"/>
      <c r="J93" s="253"/>
      <c r="K93" s="255"/>
      <c r="L93" s="255"/>
      <c r="M93" s="255"/>
      <c r="N93" s="255"/>
      <c r="O93" s="253"/>
      <c r="P93" s="253"/>
      <c r="Q93" s="253"/>
      <c r="R93" s="253"/>
      <c r="S93" s="253"/>
      <c r="T93" s="253"/>
      <c r="U93" s="253"/>
    </row>
    <row r="94" spans="1:21" ht="15.75">
      <c r="A94" s="253"/>
      <c r="B94" s="256"/>
      <c r="C94" s="257"/>
      <c r="D94" s="253"/>
      <c r="E94" s="253"/>
      <c r="F94" s="255"/>
      <c r="G94" s="253"/>
      <c r="H94" s="253"/>
      <c r="I94" s="253"/>
      <c r="J94" s="253"/>
      <c r="K94" s="255"/>
      <c r="L94" s="255"/>
      <c r="M94" s="255"/>
      <c r="N94" s="255"/>
      <c r="O94" s="253"/>
      <c r="P94" s="253"/>
      <c r="Q94" s="253"/>
      <c r="R94" s="253"/>
      <c r="S94" s="253"/>
      <c r="T94" s="253"/>
      <c r="U94" s="253"/>
    </row>
    <row r="95" spans="1:21" ht="15.75">
      <c r="A95" s="253"/>
      <c r="B95" s="256"/>
      <c r="C95" s="257"/>
      <c r="D95" s="253"/>
      <c r="E95" s="253"/>
      <c r="F95" s="255"/>
      <c r="G95" s="253"/>
      <c r="H95" s="253"/>
      <c r="I95" s="253"/>
      <c r="J95" s="253"/>
      <c r="K95" s="255"/>
      <c r="L95" s="255"/>
      <c r="M95" s="255"/>
      <c r="N95" s="255"/>
      <c r="O95" s="253"/>
      <c r="P95" s="253"/>
      <c r="Q95" s="253"/>
      <c r="R95" s="253"/>
      <c r="S95" s="253"/>
      <c r="T95" s="253"/>
      <c r="U95" s="253"/>
    </row>
    <row r="96" spans="1:21" ht="15.75">
      <c r="A96" s="253"/>
      <c r="B96" s="256"/>
      <c r="C96" s="257"/>
      <c r="D96" s="253"/>
      <c r="E96" s="253"/>
      <c r="F96" s="255"/>
      <c r="G96" s="253"/>
      <c r="H96" s="253"/>
      <c r="I96" s="253"/>
      <c r="J96" s="253"/>
      <c r="K96" s="255"/>
      <c r="L96" s="255"/>
      <c r="M96" s="255"/>
      <c r="N96" s="255"/>
      <c r="O96" s="253"/>
      <c r="P96" s="253"/>
      <c r="Q96" s="253"/>
      <c r="R96" s="253"/>
      <c r="S96" s="253"/>
      <c r="T96" s="253"/>
      <c r="U96" s="253"/>
    </row>
    <row r="97" spans="1:21" ht="15.75">
      <c r="A97" s="253"/>
      <c r="B97" s="256"/>
      <c r="C97" s="257"/>
      <c r="D97" s="253"/>
      <c r="E97" s="253"/>
      <c r="F97" s="255"/>
      <c r="G97" s="253"/>
      <c r="H97" s="253"/>
      <c r="I97" s="253"/>
      <c r="J97" s="253"/>
      <c r="K97" s="255"/>
      <c r="L97" s="255"/>
      <c r="M97" s="255"/>
      <c r="N97" s="255"/>
      <c r="O97" s="253"/>
      <c r="P97" s="253"/>
      <c r="Q97" s="253"/>
      <c r="R97" s="253"/>
      <c r="S97" s="253"/>
      <c r="T97" s="253"/>
      <c r="U97" s="253"/>
    </row>
    <row r="98" spans="1:21" ht="15.75">
      <c r="A98" s="253"/>
      <c r="B98" s="256"/>
      <c r="C98" s="257"/>
      <c r="D98" s="253"/>
      <c r="E98" s="253"/>
      <c r="F98" s="255"/>
      <c r="G98" s="253"/>
      <c r="H98" s="253"/>
      <c r="I98" s="253"/>
      <c r="J98" s="253"/>
      <c r="K98" s="255"/>
      <c r="L98" s="255"/>
      <c r="M98" s="255"/>
      <c r="N98" s="255"/>
      <c r="O98" s="253"/>
      <c r="P98" s="253"/>
      <c r="Q98" s="253"/>
      <c r="R98" s="253"/>
      <c r="S98" s="253"/>
      <c r="T98" s="253"/>
      <c r="U98" s="253"/>
    </row>
    <row r="99" spans="1:21" ht="15.75">
      <c r="A99" s="253"/>
      <c r="B99" s="256"/>
      <c r="C99" s="257"/>
      <c r="D99" s="253"/>
      <c r="E99" s="253"/>
      <c r="F99" s="255"/>
      <c r="G99" s="253"/>
      <c r="H99" s="253"/>
      <c r="I99" s="253"/>
      <c r="J99" s="253"/>
      <c r="K99" s="255"/>
      <c r="L99" s="255"/>
      <c r="M99" s="255"/>
      <c r="N99" s="255"/>
      <c r="O99" s="253"/>
      <c r="P99" s="253"/>
      <c r="Q99" s="253"/>
      <c r="R99" s="253"/>
      <c r="S99" s="253"/>
      <c r="T99" s="253"/>
      <c r="U99" s="253"/>
    </row>
    <row r="100" spans="1:21" ht="15.75">
      <c r="A100" s="253"/>
      <c r="B100" s="256"/>
      <c r="C100" s="257"/>
      <c r="D100" s="253"/>
      <c r="E100" s="253"/>
      <c r="F100" s="255"/>
      <c r="G100" s="253"/>
      <c r="H100" s="253"/>
      <c r="I100" s="253"/>
      <c r="J100" s="253"/>
      <c r="K100" s="255"/>
      <c r="L100" s="255"/>
      <c r="M100" s="255"/>
      <c r="N100" s="255"/>
      <c r="O100" s="253"/>
      <c r="P100" s="253"/>
      <c r="Q100" s="253"/>
      <c r="R100" s="253"/>
      <c r="S100" s="253"/>
      <c r="T100" s="253"/>
      <c r="U100" s="253"/>
    </row>
  </sheetData>
  <mergeCells count="1">
    <mergeCell ref="H2:M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>
      <selection sqref="A1:Z1000"/>
    </sheetView>
  </sheetViews>
  <sheetFormatPr defaultRowHeight="15"/>
  <sheetData>
    <row r="1" spans="1:26" ht="15.75">
      <c r="A1" s="218"/>
      <c r="B1" s="221"/>
      <c r="C1" s="222"/>
      <c r="D1" s="218"/>
      <c r="E1" s="218"/>
      <c r="F1" s="220"/>
      <c r="G1" s="218"/>
      <c r="H1" s="218"/>
      <c r="I1" s="218"/>
      <c r="J1" s="218"/>
      <c r="K1" s="220"/>
      <c r="L1" s="220"/>
      <c r="M1" s="220"/>
      <c r="N1" s="220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spans="1:26" ht="15.75">
      <c r="A2" s="218"/>
      <c r="B2" s="221"/>
      <c r="C2" s="222"/>
      <c r="D2" s="218"/>
      <c r="E2" s="218"/>
      <c r="F2" s="220"/>
      <c r="G2" s="221" t="s">
        <v>0</v>
      </c>
      <c r="H2" s="302" t="s">
        <v>409</v>
      </c>
      <c r="I2" s="303"/>
      <c r="J2" s="303"/>
      <c r="K2" s="303"/>
      <c r="L2" s="303"/>
      <c r="M2" s="303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spans="1:26" ht="15.75">
      <c r="A3" s="218"/>
      <c r="B3" s="221"/>
      <c r="C3" s="222"/>
      <c r="D3" s="218"/>
      <c r="E3" s="218"/>
      <c r="F3" s="220"/>
      <c r="G3" s="218"/>
      <c r="H3" s="218"/>
      <c r="I3" s="218"/>
      <c r="J3" s="218"/>
      <c r="K3" s="220"/>
      <c r="L3" s="220"/>
      <c r="M3" s="220"/>
      <c r="N3" s="220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spans="1:26" ht="18">
      <c r="A4" s="218"/>
      <c r="B4" s="223" t="s">
        <v>2</v>
      </c>
      <c r="C4" s="222"/>
      <c r="D4" s="218"/>
      <c r="E4" s="218"/>
      <c r="F4" s="220"/>
      <c r="G4" s="221"/>
      <c r="H4" s="221"/>
      <c r="I4" s="221"/>
      <c r="J4" s="221"/>
      <c r="K4" s="220"/>
      <c r="L4" s="220"/>
      <c r="M4" s="220"/>
      <c r="N4" s="220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spans="1:26" ht="15.75">
      <c r="A5" s="218"/>
      <c r="B5" s="221"/>
      <c r="C5" s="224"/>
      <c r="D5" s="218"/>
      <c r="E5" s="218"/>
      <c r="F5" s="220"/>
      <c r="G5" s="221"/>
      <c r="H5" s="221"/>
      <c r="I5" s="221"/>
      <c r="J5" s="221"/>
      <c r="K5" s="220"/>
      <c r="L5" s="220"/>
      <c r="M5" s="220"/>
      <c r="N5" s="220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spans="1:26" ht="18.75" thickBot="1">
      <c r="A6" s="218"/>
      <c r="B6" s="221"/>
      <c r="C6" s="225" t="s">
        <v>3</v>
      </c>
      <c r="D6" s="226" t="s">
        <v>4</v>
      </c>
      <c r="E6" s="219"/>
      <c r="F6" s="226" t="s">
        <v>5</v>
      </c>
      <c r="G6" s="219"/>
      <c r="H6" s="219"/>
      <c r="I6" s="219"/>
      <c r="J6" s="226" t="s">
        <v>6</v>
      </c>
      <c r="K6" s="226"/>
      <c r="L6" s="226" t="s">
        <v>7</v>
      </c>
      <c r="M6" s="226" t="s">
        <v>8</v>
      </c>
      <c r="N6" s="226"/>
      <c r="O6" s="227" t="s">
        <v>9</v>
      </c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spans="1:26" ht="16.5" thickBot="1">
      <c r="A7" s="218"/>
      <c r="B7" s="228">
        <v>1</v>
      </c>
      <c r="C7" s="229" t="s">
        <v>10</v>
      </c>
      <c r="D7" s="230" t="s">
        <v>11</v>
      </c>
      <c r="E7" s="231" t="s">
        <v>12</v>
      </c>
      <c r="F7" s="230" t="s">
        <v>13</v>
      </c>
      <c r="G7" s="232" t="s">
        <v>14</v>
      </c>
      <c r="H7" s="233"/>
      <c r="I7" s="234">
        <v>2</v>
      </c>
      <c r="J7" s="230" t="s">
        <v>13</v>
      </c>
      <c r="K7" s="234">
        <v>1</v>
      </c>
      <c r="L7" s="234"/>
      <c r="M7" s="235"/>
      <c r="N7" s="236"/>
      <c r="O7" s="237" t="s">
        <v>15</v>
      </c>
      <c r="P7" s="238" t="s">
        <v>16</v>
      </c>
      <c r="Q7" s="238" t="s">
        <v>17</v>
      </c>
      <c r="R7" s="238" t="s">
        <v>18</v>
      </c>
      <c r="S7" s="238" t="s">
        <v>19</v>
      </c>
      <c r="T7" s="238" t="s">
        <v>20</v>
      </c>
      <c r="U7" s="238" t="s">
        <v>21</v>
      </c>
      <c r="V7" s="218"/>
      <c r="W7" s="218"/>
      <c r="X7" s="218"/>
      <c r="Y7" s="218"/>
      <c r="Z7" s="218"/>
    </row>
    <row r="8" spans="1:26" ht="15.75">
      <c r="A8" s="218"/>
      <c r="B8" s="228">
        <v>2</v>
      </c>
      <c r="C8" s="229" t="s">
        <v>22</v>
      </c>
      <c r="D8" s="230" t="s">
        <v>11</v>
      </c>
      <c r="E8" s="231" t="s">
        <v>23</v>
      </c>
      <c r="F8" s="230" t="s">
        <v>13</v>
      </c>
      <c r="G8" s="232" t="s">
        <v>24</v>
      </c>
      <c r="H8" s="233"/>
      <c r="I8" s="234">
        <v>1</v>
      </c>
      <c r="J8" s="230" t="s">
        <v>13</v>
      </c>
      <c r="K8" s="234">
        <v>1</v>
      </c>
      <c r="L8" s="234"/>
      <c r="M8" s="235"/>
      <c r="N8" s="236"/>
      <c r="O8" s="239">
        <v>1</v>
      </c>
      <c r="P8" s="290" t="s">
        <v>12</v>
      </c>
      <c r="Q8" s="290" t="s">
        <v>32</v>
      </c>
      <c r="R8" s="290" t="s">
        <v>26</v>
      </c>
      <c r="S8" s="290" t="s">
        <v>151</v>
      </c>
      <c r="T8" s="290" t="s">
        <v>28</v>
      </c>
      <c r="U8" s="290" t="s">
        <v>29</v>
      </c>
      <c r="V8" s="218"/>
      <c r="W8" s="218"/>
      <c r="X8" s="218"/>
      <c r="Y8" s="218"/>
      <c r="Z8" s="218"/>
    </row>
    <row r="9" spans="1:26" ht="15.75">
      <c r="A9" s="218"/>
      <c r="B9" s="228">
        <v>3</v>
      </c>
      <c r="C9" s="229" t="s">
        <v>30</v>
      </c>
      <c r="D9" s="230" t="s">
        <v>31</v>
      </c>
      <c r="E9" s="231" t="s">
        <v>32</v>
      </c>
      <c r="F9" s="230" t="s">
        <v>13</v>
      </c>
      <c r="G9" s="232" t="s">
        <v>33</v>
      </c>
      <c r="H9" s="233"/>
      <c r="I9" s="234">
        <v>2</v>
      </c>
      <c r="J9" s="230" t="s">
        <v>13</v>
      </c>
      <c r="K9" s="234">
        <v>0</v>
      </c>
      <c r="L9" s="234"/>
      <c r="M9" s="235"/>
      <c r="N9" s="236"/>
      <c r="O9" s="240">
        <v>2</v>
      </c>
      <c r="P9" s="291" t="s">
        <v>153</v>
      </c>
      <c r="Q9" s="291" t="s">
        <v>25</v>
      </c>
      <c r="R9" s="291" t="s">
        <v>41</v>
      </c>
      <c r="S9" s="291" t="s">
        <v>27</v>
      </c>
      <c r="T9" s="291" t="s">
        <v>36</v>
      </c>
      <c r="U9" s="291" t="s">
        <v>43</v>
      </c>
      <c r="V9" s="218"/>
      <c r="W9" s="218"/>
      <c r="X9" s="218"/>
      <c r="Y9" s="218"/>
      <c r="Z9" s="218"/>
    </row>
    <row r="10" spans="1:26" ht="15.75">
      <c r="A10" s="218"/>
      <c r="B10" s="228">
        <v>4</v>
      </c>
      <c r="C10" s="229" t="s">
        <v>38</v>
      </c>
      <c r="D10" s="230" t="s">
        <v>39</v>
      </c>
      <c r="E10" s="231" t="s">
        <v>35</v>
      </c>
      <c r="F10" s="230" t="s">
        <v>13</v>
      </c>
      <c r="G10" s="232" t="s">
        <v>40</v>
      </c>
      <c r="H10" s="233"/>
      <c r="I10" s="234">
        <v>1</v>
      </c>
      <c r="J10" s="230" t="s">
        <v>13</v>
      </c>
      <c r="K10" s="234">
        <v>0</v>
      </c>
      <c r="L10" s="234"/>
      <c r="M10" s="235"/>
      <c r="N10" s="236"/>
      <c r="O10" s="240">
        <v>3</v>
      </c>
      <c r="P10" s="291" t="s">
        <v>410</v>
      </c>
      <c r="Q10" s="291" t="s">
        <v>411</v>
      </c>
      <c r="R10" s="291" t="s">
        <v>34</v>
      </c>
      <c r="S10" s="291" t="s">
        <v>48</v>
      </c>
      <c r="T10" s="291" t="s">
        <v>42</v>
      </c>
      <c r="U10" s="291" t="s">
        <v>37</v>
      </c>
      <c r="V10" s="218"/>
      <c r="W10" s="218"/>
      <c r="X10" s="218"/>
      <c r="Y10" s="218"/>
      <c r="Z10" s="218"/>
    </row>
    <row r="11" spans="1:26" ht="15.75">
      <c r="A11" s="218"/>
      <c r="B11" s="228">
        <v>5</v>
      </c>
      <c r="C11" s="229" t="s">
        <v>44</v>
      </c>
      <c r="D11" s="230" t="s">
        <v>45</v>
      </c>
      <c r="E11" s="231" t="s">
        <v>46</v>
      </c>
      <c r="F11" s="230" t="s">
        <v>13</v>
      </c>
      <c r="G11" s="232" t="s">
        <v>34</v>
      </c>
      <c r="H11" s="233"/>
      <c r="I11" s="234">
        <v>0</v>
      </c>
      <c r="J11" s="230" t="s">
        <v>13</v>
      </c>
      <c r="K11" s="234">
        <v>2</v>
      </c>
      <c r="L11" s="234"/>
      <c r="M11" s="235"/>
      <c r="N11" s="236"/>
      <c r="O11" s="240">
        <v>4</v>
      </c>
      <c r="P11" s="291" t="s">
        <v>24</v>
      </c>
      <c r="Q11" s="291" t="s">
        <v>47</v>
      </c>
      <c r="R11" s="291" t="s">
        <v>46</v>
      </c>
      <c r="S11" s="291" t="s">
        <v>40</v>
      </c>
      <c r="T11" s="291" t="s">
        <v>49</v>
      </c>
      <c r="U11" s="291" t="s">
        <v>50</v>
      </c>
      <c r="V11" s="218"/>
      <c r="W11" s="218"/>
      <c r="X11" s="218"/>
      <c r="Y11" s="218"/>
      <c r="Z11" s="218"/>
    </row>
    <row r="12" spans="1:26" ht="16.5" thickBot="1">
      <c r="A12" s="218"/>
      <c r="B12" s="228">
        <v>6</v>
      </c>
      <c r="C12" s="229" t="s">
        <v>51</v>
      </c>
      <c r="D12" s="230" t="s">
        <v>39</v>
      </c>
      <c r="E12" s="231" t="s">
        <v>48</v>
      </c>
      <c r="F12" s="230" t="s">
        <v>13</v>
      </c>
      <c r="G12" s="232" t="s">
        <v>27</v>
      </c>
      <c r="H12" s="233"/>
      <c r="I12" s="234">
        <v>1</v>
      </c>
      <c r="J12" s="230" t="s">
        <v>13</v>
      </c>
      <c r="K12" s="234">
        <v>2</v>
      </c>
      <c r="L12" s="234"/>
      <c r="M12" s="235"/>
      <c r="N12" s="236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spans="1:26" ht="16.5" thickBot="1">
      <c r="A13" s="218"/>
      <c r="B13" s="228">
        <v>7</v>
      </c>
      <c r="C13" s="229" t="s">
        <v>52</v>
      </c>
      <c r="D13" s="230" t="s">
        <v>45</v>
      </c>
      <c r="E13" s="231" t="s">
        <v>26</v>
      </c>
      <c r="F13" s="230" t="s">
        <v>13</v>
      </c>
      <c r="G13" s="232" t="s">
        <v>41</v>
      </c>
      <c r="H13" s="233"/>
      <c r="I13" s="234">
        <v>2</v>
      </c>
      <c r="J13" s="230" t="s">
        <v>13</v>
      </c>
      <c r="K13" s="234">
        <v>1</v>
      </c>
      <c r="L13" s="234"/>
      <c r="M13" s="235"/>
      <c r="N13" s="236"/>
      <c r="O13" s="237" t="s">
        <v>15</v>
      </c>
      <c r="P13" s="238" t="s">
        <v>53</v>
      </c>
      <c r="Q13" s="238" t="s">
        <v>54</v>
      </c>
      <c r="R13" s="238" t="s">
        <v>55</v>
      </c>
      <c r="S13" s="238" t="s">
        <v>56</v>
      </c>
      <c r="T13" s="238" t="s">
        <v>57</v>
      </c>
      <c r="U13" s="238" t="s">
        <v>58</v>
      </c>
      <c r="V13" s="218"/>
      <c r="W13" s="218"/>
      <c r="X13" s="218"/>
      <c r="Y13" s="218"/>
      <c r="Z13" s="218"/>
    </row>
    <row r="14" spans="1:26" ht="15.75">
      <c r="A14" s="218"/>
      <c r="B14" s="228">
        <v>8</v>
      </c>
      <c r="C14" s="229" t="s">
        <v>59</v>
      </c>
      <c r="D14" s="230" t="s">
        <v>31</v>
      </c>
      <c r="E14" s="231" t="s">
        <v>47</v>
      </c>
      <c r="F14" s="230" t="s">
        <v>13</v>
      </c>
      <c r="G14" s="232" t="s">
        <v>25</v>
      </c>
      <c r="H14" s="233"/>
      <c r="I14" s="234">
        <v>0</v>
      </c>
      <c r="J14" s="230" t="s">
        <v>13</v>
      </c>
      <c r="K14" s="234">
        <v>1</v>
      </c>
      <c r="L14" s="234"/>
      <c r="M14" s="235"/>
      <c r="N14" s="236"/>
      <c r="O14" s="239">
        <v>1</v>
      </c>
      <c r="P14" s="290" t="s">
        <v>60</v>
      </c>
      <c r="Q14" s="290" t="s">
        <v>61</v>
      </c>
      <c r="R14" s="290" t="s">
        <v>62</v>
      </c>
      <c r="S14" s="290" t="s">
        <v>63</v>
      </c>
      <c r="T14" s="290" t="s">
        <v>412</v>
      </c>
      <c r="U14" s="290" t="s">
        <v>65</v>
      </c>
      <c r="V14" s="218"/>
      <c r="W14" s="218"/>
      <c r="X14" s="218"/>
      <c r="Y14" s="218"/>
      <c r="Z14" s="218"/>
    </row>
    <row r="15" spans="1:26" ht="15.75">
      <c r="A15" s="218"/>
      <c r="B15" s="228">
        <v>9</v>
      </c>
      <c r="C15" s="229" t="s">
        <v>66</v>
      </c>
      <c r="D15" s="230" t="s">
        <v>67</v>
      </c>
      <c r="E15" s="231" t="s">
        <v>42</v>
      </c>
      <c r="F15" s="230" t="s">
        <v>13</v>
      </c>
      <c r="G15" s="232" t="s">
        <v>36</v>
      </c>
      <c r="H15" s="233"/>
      <c r="I15" s="234">
        <v>1</v>
      </c>
      <c r="J15" s="230" t="s">
        <v>13</v>
      </c>
      <c r="K15" s="234">
        <v>1</v>
      </c>
      <c r="L15" s="234"/>
      <c r="M15" s="235"/>
      <c r="N15" s="236"/>
      <c r="O15" s="240">
        <v>2</v>
      </c>
      <c r="P15" s="291" t="s">
        <v>68</v>
      </c>
      <c r="Q15" s="291" t="s">
        <v>69</v>
      </c>
      <c r="R15" s="291" t="s">
        <v>70</v>
      </c>
      <c r="S15" s="291" t="s">
        <v>413</v>
      </c>
      <c r="T15" s="291" t="s">
        <v>72</v>
      </c>
      <c r="U15" s="291" t="s">
        <v>80</v>
      </c>
      <c r="V15" s="218"/>
      <c r="W15" s="218"/>
      <c r="X15" s="218"/>
      <c r="Y15" s="218"/>
      <c r="Z15" s="218"/>
    </row>
    <row r="16" spans="1:26" ht="15.75">
      <c r="A16" s="218"/>
      <c r="B16" s="228">
        <v>10</v>
      </c>
      <c r="C16" s="229" t="s">
        <v>74</v>
      </c>
      <c r="D16" s="230" t="s">
        <v>67</v>
      </c>
      <c r="E16" s="231" t="s">
        <v>28</v>
      </c>
      <c r="F16" s="230" t="s">
        <v>13</v>
      </c>
      <c r="G16" s="232" t="s">
        <v>49</v>
      </c>
      <c r="H16" s="233"/>
      <c r="I16" s="234">
        <v>3</v>
      </c>
      <c r="J16" s="230" t="s">
        <v>13</v>
      </c>
      <c r="K16" s="234">
        <v>0</v>
      </c>
      <c r="L16" s="234"/>
      <c r="M16" s="235"/>
      <c r="N16" s="236"/>
      <c r="O16" s="240">
        <v>3</v>
      </c>
      <c r="P16" s="291" t="s">
        <v>83</v>
      </c>
      <c r="Q16" s="291" t="s">
        <v>162</v>
      </c>
      <c r="R16" s="291" t="s">
        <v>77</v>
      </c>
      <c r="S16" s="291" t="s">
        <v>71</v>
      </c>
      <c r="T16" s="291" t="s">
        <v>87</v>
      </c>
      <c r="U16" s="291" t="s">
        <v>73</v>
      </c>
      <c r="V16" s="218"/>
      <c r="W16" s="218"/>
      <c r="X16" s="218"/>
      <c r="Y16" s="218"/>
      <c r="Z16" s="218"/>
    </row>
    <row r="17" spans="1:26" ht="15.75">
      <c r="A17" s="218"/>
      <c r="B17" s="228">
        <v>11</v>
      </c>
      <c r="C17" s="229" t="s">
        <v>81</v>
      </c>
      <c r="D17" s="230" t="s">
        <v>82</v>
      </c>
      <c r="E17" s="231" t="s">
        <v>29</v>
      </c>
      <c r="F17" s="230" t="s">
        <v>13</v>
      </c>
      <c r="G17" s="232" t="s">
        <v>43</v>
      </c>
      <c r="H17" s="233"/>
      <c r="I17" s="234">
        <v>2</v>
      </c>
      <c r="J17" s="230" t="s">
        <v>13</v>
      </c>
      <c r="K17" s="234">
        <v>1</v>
      </c>
      <c r="L17" s="234"/>
      <c r="M17" s="235"/>
      <c r="N17" s="236"/>
      <c r="O17" s="240">
        <v>4</v>
      </c>
      <c r="P17" s="291" t="s">
        <v>414</v>
      </c>
      <c r="Q17" s="291" t="s">
        <v>164</v>
      </c>
      <c r="R17" s="291" t="s">
        <v>85</v>
      </c>
      <c r="S17" s="291" t="s">
        <v>86</v>
      </c>
      <c r="T17" s="291" t="s">
        <v>415</v>
      </c>
      <c r="U17" s="291" t="s">
        <v>88</v>
      </c>
      <c r="V17" s="218"/>
      <c r="W17" s="218"/>
      <c r="X17" s="218"/>
      <c r="Y17" s="218"/>
      <c r="Z17" s="218"/>
    </row>
    <row r="18" spans="1:26" ht="15.75">
      <c r="A18" s="218"/>
      <c r="B18" s="228">
        <v>12</v>
      </c>
      <c r="C18" s="229" t="s">
        <v>89</v>
      </c>
      <c r="D18" s="230" t="s">
        <v>82</v>
      </c>
      <c r="E18" s="231" t="s">
        <v>37</v>
      </c>
      <c r="F18" s="230" t="s">
        <v>13</v>
      </c>
      <c r="G18" s="232" t="s">
        <v>50</v>
      </c>
      <c r="H18" s="233"/>
      <c r="I18" s="234">
        <v>2</v>
      </c>
      <c r="J18" s="230" t="s">
        <v>13</v>
      </c>
      <c r="K18" s="234">
        <v>0</v>
      </c>
      <c r="L18" s="234"/>
      <c r="M18" s="235"/>
      <c r="N18" s="236"/>
      <c r="O18" s="218"/>
      <c r="P18" s="241"/>
      <c r="Q18" s="241"/>
      <c r="R18" s="241"/>
      <c r="S18" s="241"/>
      <c r="T18" s="241"/>
      <c r="U18" s="241"/>
      <c r="V18" s="218"/>
      <c r="W18" s="218"/>
      <c r="X18" s="218"/>
      <c r="Y18" s="218"/>
      <c r="Z18" s="218"/>
    </row>
    <row r="19" spans="1:26" ht="15.75">
      <c r="A19" s="218"/>
      <c r="B19" s="228">
        <v>13</v>
      </c>
      <c r="C19" s="229" t="s">
        <v>90</v>
      </c>
      <c r="D19" s="230" t="s">
        <v>91</v>
      </c>
      <c r="E19" s="231" t="s">
        <v>84</v>
      </c>
      <c r="F19" s="230" t="s">
        <v>13</v>
      </c>
      <c r="G19" s="232" t="s">
        <v>69</v>
      </c>
      <c r="H19" s="233"/>
      <c r="I19" s="234">
        <v>1</v>
      </c>
      <c r="J19" s="230" t="s">
        <v>13</v>
      </c>
      <c r="K19" s="234">
        <v>1</v>
      </c>
      <c r="L19" s="234"/>
      <c r="M19" s="235"/>
      <c r="N19" s="236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spans="1:26" ht="16.5" thickBot="1">
      <c r="A20" s="218"/>
      <c r="B20" s="228">
        <v>14</v>
      </c>
      <c r="C20" s="229" t="s">
        <v>92</v>
      </c>
      <c r="D20" s="230" t="s">
        <v>91</v>
      </c>
      <c r="E20" s="231" t="s">
        <v>61</v>
      </c>
      <c r="F20" s="230" t="s">
        <v>13</v>
      </c>
      <c r="G20" s="232" t="s">
        <v>76</v>
      </c>
      <c r="H20" s="233"/>
      <c r="I20" s="234">
        <v>3</v>
      </c>
      <c r="J20" s="230" t="s">
        <v>13</v>
      </c>
      <c r="K20" s="234">
        <v>0</v>
      </c>
      <c r="L20" s="234"/>
      <c r="M20" s="235"/>
      <c r="N20" s="236"/>
      <c r="O20" s="242" t="s">
        <v>93</v>
      </c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spans="1:26" ht="16.5" thickBot="1">
      <c r="A21" s="218"/>
      <c r="B21" s="228">
        <v>15</v>
      </c>
      <c r="C21" s="229" t="s">
        <v>94</v>
      </c>
      <c r="D21" s="230" t="s">
        <v>95</v>
      </c>
      <c r="E21" s="231" t="s">
        <v>83</v>
      </c>
      <c r="F21" s="230" t="s">
        <v>13</v>
      </c>
      <c r="G21" s="232" t="s">
        <v>75</v>
      </c>
      <c r="H21" s="233"/>
      <c r="I21" s="234">
        <v>2</v>
      </c>
      <c r="J21" s="230" t="s">
        <v>13</v>
      </c>
      <c r="K21" s="234">
        <v>0</v>
      </c>
      <c r="L21" s="234"/>
      <c r="M21" s="235"/>
      <c r="N21" s="236"/>
      <c r="O21" s="218"/>
      <c r="P21" s="237" t="s">
        <v>16</v>
      </c>
      <c r="Q21" s="238" t="s">
        <v>17</v>
      </c>
      <c r="R21" s="238" t="s">
        <v>18</v>
      </c>
      <c r="S21" s="238" t="s">
        <v>19</v>
      </c>
      <c r="T21" s="238" t="s">
        <v>20</v>
      </c>
      <c r="U21" s="238" t="s">
        <v>21</v>
      </c>
      <c r="V21" s="218"/>
      <c r="W21" s="218"/>
      <c r="X21" s="218"/>
      <c r="Y21" s="218"/>
      <c r="Z21" s="218"/>
    </row>
    <row r="22" spans="1:26" ht="15.75">
      <c r="A22" s="218"/>
      <c r="B22" s="228">
        <v>16</v>
      </c>
      <c r="C22" s="229" t="s">
        <v>96</v>
      </c>
      <c r="D22" s="230" t="s">
        <v>95</v>
      </c>
      <c r="E22" s="231" t="s">
        <v>60</v>
      </c>
      <c r="F22" s="230" t="s">
        <v>13</v>
      </c>
      <c r="G22" s="232" t="s">
        <v>68</v>
      </c>
      <c r="H22" s="233"/>
      <c r="I22" s="234">
        <v>2</v>
      </c>
      <c r="J22" s="230" t="s">
        <v>13</v>
      </c>
      <c r="K22" s="234">
        <v>1</v>
      </c>
      <c r="L22" s="234"/>
      <c r="M22" s="235"/>
      <c r="N22" s="236"/>
      <c r="O22" s="218"/>
      <c r="P22" s="243" t="s">
        <v>12</v>
      </c>
      <c r="Q22" s="243" t="s">
        <v>32</v>
      </c>
      <c r="R22" s="243" t="s">
        <v>46</v>
      </c>
      <c r="S22" s="243" t="s">
        <v>35</v>
      </c>
      <c r="T22" s="243" t="s">
        <v>42</v>
      </c>
      <c r="U22" s="243" t="s">
        <v>29</v>
      </c>
      <c r="V22" s="218"/>
      <c r="W22" s="218"/>
      <c r="X22" s="218"/>
      <c r="Y22" s="218"/>
      <c r="Z22" s="218"/>
    </row>
    <row r="23" spans="1:26" ht="15.75">
      <c r="A23" s="218"/>
      <c r="B23" s="228">
        <v>17</v>
      </c>
      <c r="C23" s="229" t="s">
        <v>97</v>
      </c>
      <c r="D23" s="230" t="s">
        <v>98</v>
      </c>
      <c r="E23" s="231" t="s">
        <v>62</v>
      </c>
      <c r="F23" s="230" t="s">
        <v>13</v>
      </c>
      <c r="G23" s="232" t="s">
        <v>77</v>
      </c>
      <c r="H23" s="233"/>
      <c r="I23" s="234">
        <v>2</v>
      </c>
      <c r="J23" s="230" t="s">
        <v>13</v>
      </c>
      <c r="K23" s="234">
        <v>0</v>
      </c>
      <c r="L23" s="234"/>
      <c r="M23" s="235"/>
      <c r="N23" s="236"/>
      <c r="O23" s="218"/>
      <c r="P23" s="241" t="s">
        <v>14</v>
      </c>
      <c r="Q23" s="241" t="s">
        <v>33</v>
      </c>
      <c r="R23" s="241" t="s">
        <v>34</v>
      </c>
      <c r="S23" s="241" t="s">
        <v>40</v>
      </c>
      <c r="T23" s="241" t="s">
        <v>36</v>
      </c>
      <c r="U23" s="241" t="s">
        <v>43</v>
      </c>
      <c r="V23" s="218"/>
      <c r="W23" s="218"/>
      <c r="X23" s="218"/>
      <c r="Y23" s="218"/>
      <c r="Z23" s="218"/>
    </row>
    <row r="24" spans="1:26" ht="15.75">
      <c r="A24" s="218"/>
      <c r="B24" s="228">
        <v>18</v>
      </c>
      <c r="C24" s="229" t="s">
        <v>99</v>
      </c>
      <c r="D24" s="230" t="s">
        <v>98</v>
      </c>
      <c r="E24" s="231" t="s">
        <v>85</v>
      </c>
      <c r="F24" s="230" t="s">
        <v>13</v>
      </c>
      <c r="G24" s="232" t="s">
        <v>70</v>
      </c>
      <c r="H24" s="233"/>
      <c r="I24" s="234">
        <v>1</v>
      </c>
      <c r="J24" s="230" t="s">
        <v>13</v>
      </c>
      <c r="K24" s="234">
        <v>2</v>
      </c>
      <c r="L24" s="234"/>
      <c r="M24" s="235"/>
      <c r="N24" s="236"/>
      <c r="O24" s="218"/>
      <c r="P24" s="241" t="s">
        <v>23</v>
      </c>
      <c r="Q24" s="241" t="s">
        <v>47</v>
      </c>
      <c r="R24" s="241" t="s">
        <v>26</v>
      </c>
      <c r="S24" s="241" t="s">
        <v>48</v>
      </c>
      <c r="T24" s="241" t="s">
        <v>28</v>
      </c>
      <c r="U24" s="241" t="s">
        <v>37</v>
      </c>
      <c r="V24" s="218"/>
      <c r="W24" s="218"/>
      <c r="X24" s="218"/>
      <c r="Y24" s="218"/>
      <c r="Z24" s="218"/>
    </row>
    <row r="25" spans="1:26" ht="15.75">
      <c r="A25" s="218"/>
      <c r="B25" s="228">
        <v>19</v>
      </c>
      <c r="C25" s="229" t="s">
        <v>100</v>
      </c>
      <c r="D25" s="230" t="s">
        <v>101</v>
      </c>
      <c r="E25" s="231" t="s">
        <v>63</v>
      </c>
      <c r="F25" s="230" t="s">
        <v>13</v>
      </c>
      <c r="G25" s="232" t="s">
        <v>78</v>
      </c>
      <c r="H25" s="233"/>
      <c r="I25" s="234">
        <v>2</v>
      </c>
      <c r="J25" s="230" t="s">
        <v>13</v>
      </c>
      <c r="K25" s="234">
        <v>1</v>
      </c>
      <c r="L25" s="234"/>
      <c r="M25" s="235"/>
      <c r="N25" s="236"/>
      <c r="O25" s="218"/>
      <c r="P25" s="241" t="s">
        <v>24</v>
      </c>
      <c r="Q25" s="241" t="s">
        <v>25</v>
      </c>
      <c r="R25" s="241" t="s">
        <v>41</v>
      </c>
      <c r="S25" s="241" t="s">
        <v>27</v>
      </c>
      <c r="T25" s="241" t="s">
        <v>49</v>
      </c>
      <c r="U25" s="241" t="s">
        <v>50</v>
      </c>
      <c r="V25" s="218"/>
      <c r="W25" s="218"/>
      <c r="X25" s="218"/>
      <c r="Y25" s="218"/>
      <c r="Z25" s="218"/>
    </row>
    <row r="26" spans="1:26" ht="16.5" thickBot="1">
      <c r="A26" s="218"/>
      <c r="B26" s="228">
        <v>20</v>
      </c>
      <c r="C26" s="229" t="s">
        <v>102</v>
      </c>
      <c r="D26" s="230" t="s">
        <v>101</v>
      </c>
      <c r="E26" s="231" t="s">
        <v>71</v>
      </c>
      <c r="F26" s="230" t="s">
        <v>13</v>
      </c>
      <c r="G26" s="232" t="s">
        <v>86</v>
      </c>
      <c r="H26" s="233"/>
      <c r="I26" s="234">
        <v>2</v>
      </c>
      <c r="J26" s="230" t="s">
        <v>13</v>
      </c>
      <c r="K26" s="234">
        <v>0</v>
      </c>
      <c r="L26" s="234"/>
      <c r="M26" s="235"/>
      <c r="N26" s="236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spans="1:26" ht="16.5" thickBot="1">
      <c r="A27" s="218"/>
      <c r="B27" s="228">
        <v>21</v>
      </c>
      <c r="C27" s="229" t="s">
        <v>103</v>
      </c>
      <c r="D27" s="230" t="s">
        <v>104</v>
      </c>
      <c r="E27" s="231" t="s">
        <v>80</v>
      </c>
      <c r="F27" s="230" t="s">
        <v>13</v>
      </c>
      <c r="G27" s="232" t="s">
        <v>88</v>
      </c>
      <c r="H27" s="233"/>
      <c r="I27" s="234">
        <v>1</v>
      </c>
      <c r="J27" s="230" t="s">
        <v>13</v>
      </c>
      <c r="K27" s="234">
        <v>0</v>
      </c>
      <c r="L27" s="234"/>
      <c r="M27" s="235"/>
      <c r="N27" s="236"/>
      <c r="O27" s="218"/>
      <c r="P27" s="237" t="s">
        <v>53</v>
      </c>
      <c r="Q27" s="238" t="s">
        <v>54</v>
      </c>
      <c r="R27" s="238" t="s">
        <v>55</v>
      </c>
      <c r="S27" s="238" t="s">
        <v>56</v>
      </c>
      <c r="T27" s="238" t="s">
        <v>57</v>
      </c>
      <c r="U27" s="238" t="s">
        <v>58</v>
      </c>
      <c r="V27" s="218"/>
      <c r="W27" s="218"/>
      <c r="X27" s="218"/>
      <c r="Y27" s="218"/>
      <c r="Z27" s="218"/>
    </row>
    <row r="28" spans="1:26" ht="15.75">
      <c r="A28" s="218"/>
      <c r="B28" s="228">
        <v>22</v>
      </c>
      <c r="C28" s="229" t="s">
        <v>105</v>
      </c>
      <c r="D28" s="230" t="s">
        <v>104</v>
      </c>
      <c r="E28" s="231" t="s">
        <v>65</v>
      </c>
      <c r="F28" s="230" t="s">
        <v>13</v>
      </c>
      <c r="G28" s="232" t="s">
        <v>73</v>
      </c>
      <c r="H28" s="233"/>
      <c r="I28" s="234">
        <v>2</v>
      </c>
      <c r="J28" s="230" t="s">
        <v>13</v>
      </c>
      <c r="K28" s="234">
        <v>0</v>
      </c>
      <c r="L28" s="234"/>
      <c r="M28" s="235"/>
      <c r="N28" s="236"/>
      <c r="O28" s="218"/>
      <c r="P28" s="243" t="s">
        <v>83</v>
      </c>
      <c r="Q28" s="243" t="s">
        <v>84</v>
      </c>
      <c r="R28" s="243" t="s">
        <v>62</v>
      </c>
      <c r="S28" s="243" t="s">
        <v>63</v>
      </c>
      <c r="T28" s="243" t="s">
        <v>64</v>
      </c>
      <c r="U28" s="243" t="s">
        <v>80</v>
      </c>
      <c r="V28" s="218"/>
      <c r="W28" s="218"/>
      <c r="X28" s="218"/>
      <c r="Y28" s="218"/>
      <c r="Z28" s="218"/>
    </row>
    <row r="29" spans="1:26" ht="15.75">
      <c r="A29" s="218"/>
      <c r="B29" s="228">
        <v>23</v>
      </c>
      <c r="C29" s="229" t="s">
        <v>106</v>
      </c>
      <c r="D29" s="230" t="s">
        <v>107</v>
      </c>
      <c r="E29" s="231" t="s">
        <v>64</v>
      </c>
      <c r="F29" s="230" t="s">
        <v>13</v>
      </c>
      <c r="G29" s="232" t="s">
        <v>87</v>
      </c>
      <c r="H29" s="233"/>
      <c r="I29" s="234">
        <v>2</v>
      </c>
      <c r="J29" s="230" t="s">
        <v>13</v>
      </c>
      <c r="K29" s="234">
        <v>0</v>
      </c>
      <c r="L29" s="234"/>
      <c r="M29" s="235"/>
      <c r="N29" s="236"/>
      <c r="O29" s="218"/>
      <c r="P29" s="241" t="s">
        <v>75</v>
      </c>
      <c r="Q29" s="241" t="s">
        <v>69</v>
      </c>
      <c r="R29" s="241" t="s">
        <v>77</v>
      </c>
      <c r="S29" s="241" t="s">
        <v>78</v>
      </c>
      <c r="T29" s="241" t="s">
        <v>87</v>
      </c>
      <c r="U29" s="241" t="s">
        <v>88</v>
      </c>
      <c r="V29" s="218"/>
      <c r="W29" s="218"/>
      <c r="X29" s="218"/>
      <c r="Y29" s="218"/>
      <c r="Z29" s="218"/>
    </row>
    <row r="30" spans="1:26" ht="15.75">
      <c r="A30" s="218"/>
      <c r="B30" s="228">
        <v>24</v>
      </c>
      <c r="C30" s="229" t="s">
        <v>108</v>
      </c>
      <c r="D30" s="230" t="s">
        <v>107</v>
      </c>
      <c r="E30" s="231" t="s">
        <v>79</v>
      </c>
      <c r="F30" s="230" t="s">
        <v>13</v>
      </c>
      <c r="G30" s="232" t="s">
        <v>72</v>
      </c>
      <c r="H30" s="233"/>
      <c r="I30" s="234">
        <v>0</v>
      </c>
      <c r="J30" s="230" t="s">
        <v>13</v>
      </c>
      <c r="K30" s="234">
        <v>2</v>
      </c>
      <c r="L30" s="234"/>
      <c r="M30" s="235"/>
      <c r="N30" s="236"/>
      <c r="O30" s="218"/>
      <c r="P30" s="241" t="s">
        <v>60</v>
      </c>
      <c r="Q30" s="241" t="s">
        <v>61</v>
      </c>
      <c r="R30" s="241" t="s">
        <v>85</v>
      </c>
      <c r="S30" s="241" t="s">
        <v>71</v>
      </c>
      <c r="T30" s="241" t="s">
        <v>79</v>
      </c>
      <c r="U30" s="241" t="s">
        <v>65</v>
      </c>
      <c r="V30" s="218"/>
      <c r="W30" s="218"/>
      <c r="X30" s="218"/>
      <c r="Y30" s="218"/>
      <c r="Z30" s="218"/>
    </row>
    <row r="31" spans="1:26" ht="15.75">
      <c r="A31" s="218"/>
      <c r="B31" s="228">
        <v>25</v>
      </c>
      <c r="C31" s="229" t="s">
        <v>109</v>
      </c>
      <c r="D31" s="230" t="s">
        <v>11</v>
      </c>
      <c r="E31" s="231" t="s">
        <v>24</v>
      </c>
      <c r="F31" s="230" t="s">
        <v>13</v>
      </c>
      <c r="G31" s="232" t="s">
        <v>14</v>
      </c>
      <c r="H31" s="233"/>
      <c r="I31" s="234">
        <v>0</v>
      </c>
      <c r="J31" s="230" t="s">
        <v>13</v>
      </c>
      <c r="K31" s="234">
        <v>1</v>
      </c>
      <c r="L31" s="234"/>
      <c r="M31" s="235"/>
      <c r="N31" s="236"/>
      <c r="O31" s="218"/>
      <c r="P31" s="241" t="s">
        <v>68</v>
      </c>
      <c r="Q31" s="241" t="s">
        <v>76</v>
      </c>
      <c r="R31" s="241" t="s">
        <v>70</v>
      </c>
      <c r="S31" s="241" t="s">
        <v>86</v>
      </c>
      <c r="T31" s="241" t="s">
        <v>72</v>
      </c>
      <c r="U31" s="241" t="s">
        <v>73</v>
      </c>
      <c r="V31" s="218"/>
      <c r="W31" s="218"/>
      <c r="X31" s="218"/>
      <c r="Y31" s="218"/>
      <c r="Z31" s="218"/>
    </row>
    <row r="32" spans="1:26" ht="15.75">
      <c r="A32" s="218"/>
      <c r="B32" s="228">
        <v>26</v>
      </c>
      <c r="C32" s="229" t="s">
        <v>110</v>
      </c>
      <c r="D32" s="230" t="s">
        <v>31</v>
      </c>
      <c r="E32" s="231" t="s">
        <v>25</v>
      </c>
      <c r="F32" s="230" t="s">
        <v>13</v>
      </c>
      <c r="G32" s="232" t="s">
        <v>33</v>
      </c>
      <c r="H32" s="233"/>
      <c r="I32" s="234">
        <v>1</v>
      </c>
      <c r="J32" s="230" t="s">
        <v>13</v>
      </c>
      <c r="K32" s="234">
        <v>0</v>
      </c>
      <c r="L32" s="234"/>
      <c r="M32" s="235"/>
      <c r="N32" s="236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spans="1:26" ht="15.75">
      <c r="A33" s="218"/>
      <c r="B33" s="228">
        <v>27</v>
      </c>
      <c r="C33" s="229" t="s">
        <v>111</v>
      </c>
      <c r="D33" s="230" t="s">
        <v>31</v>
      </c>
      <c r="E33" s="231" t="s">
        <v>32</v>
      </c>
      <c r="F33" s="230" t="s">
        <v>13</v>
      </c>
      <c r="G33" s="232" t="s">
        <v>47</v>
      </c>
      <c r="H33" s="233"/>
      <c r="I33" s="234">
        <v>2</v>
      </c>
      <c r="J33" s="230" t="s">
        <v>13</v>
      </c>
      <c r="K33" s="234">
        <v>0</v>
      </c>
      <c r="L33" s="234"/>
      <c r="M33" s="235"/>
      <c r="N33" s="236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spans="1:26" ht="15.75">
      <c r="A34" s="218"/>
      <c r="B34" s="228">
        <v>28</v>
      </c>
      <c r="C34" s="229" t="s">
        <v>112</v>
      </c>
      <c r="D34" s="230" t="s">
        <v>11</v>
      </c>
      <c r="E34" s="231" t="s">
        <v>12</v>
      </c>
      <c r="F34" s="230" t="s">
        <v>13</v>
      </c>
      <c r="G34" s="232" t="s">
        <v>23</v>
      </c>
      <c r="H34" s="233"/>
      <c r="I34" s="234">
        <v>1</v>
      </c>
      <c r="J34" s="230" t="s">
        <v>13</v>
      </c>
      <c r="K34" s="234">
        <v>0</v>
      </c>
      <c r="L34" s="234"/>
      <c r="M34" s="235"/>
      <c r="N34" s="236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spans="1:26" ht="15.75">
      <c r="A35" s="218"/>
      <c r="B35" s="228">
        <v>29</v>
      </c>
      <c r="C35" s="229" t="s">
        <v>113</v>
      </c>
      <c r="D35" s="230" t="s">
        <v>45</v>
      </c>
      <c r="E35" s="231" t="s">
        <v>26</v>
      </c>
      <c r="F35" s="230" t="s">
        <v>13</v>
      </c>
      <c r="G35" s="232" t="s">
        <v>46</v>
      </c>
      <c r="H35" s="233"/>
      <c r="I35" s="234">
        <v>4</v>
      </c>
      <c r="J35" s="230" t="s">
        <v>13</v>
      </c>
      <c r="K35" s="234">
        <v>0</v>
      </c>
      <c r="L35" s="234"/>
      <c r="M35" s="235"/>
      <c r="N35" s="236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spans="1:26" ht="15.75">
      <c r="A36" s="218"/>
      <c r="B36" s="228">
        <v>30</v>
      </c>
      <c r="C36" s="229" t="s">
        <v>114</v>
      </c>
      <c r="D36" s="230" t="s">
        <v>45</v>
      </c>
      <c r="E36" s="231" t="s">
        <v>34</v>
      </c>
      <c r="F36" s="230" t="s">
        <v>13</v>
      </c>
      <c r="G36" s="232" t="s">
        <v>41</v>
      </c>
      <c r="H36" s="233"/>
      <c r="I36" s="234">
        <v>0</v>
      </c>
      <c r="J36" s="230" t="s">
        <v>13</v>
      </c>
      <c r="K36" s="234">
        <v>1</v>
      </c>
      <c r="L36" s="234"/>
      <c r="M36" s="235"/>
      <c r="N36" s="236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spans="1:26" ht="15.75">
      <c r="A37" s="218"/>
      <c r="B37" s="228">
        <v>31</v>
      </c>
      <c r="C37" s="229" t="s">
        <v>115</v>
      </c>
      <c r="D37" s="230" t="s">
        <v>39</v>
      </c>
      <c r="E37" s="231" t="s">
        <v>27</v>
      </c>
      <c r="F37" s="230" t="s">
        <v>13</v>
      </c>
      <c r="G37" s="232" t="s">
        <v>40</v>
      </c>
      <c r="H37" s="233"/>
      <c r="I37" s="234">
        <v>1</v>
      </c>
      <c r="J37" s="230" t="s">
        <v>13</v>
      </c>
      <c r="K37" s="234">
        <v>0</v>
      </c>
      <c r="L37" s="234"/>
      <c r="M37" s="235"/>
      <c r="N37" s="236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spans="1:26" ht="15.75">
      <c r="A38" s="218"/>
      <c r="B38" s="228">
        <v>32</v>
      </c>
      <c r="C38" s="229" t="s">
        <v>116</v>
      </c>
      <c r="D38" s="230" t="s">
        <v>39</v>
      </c>
      <c r="E38" s="231" t="s">
        <v>35</v>
      </c>
      <c r="F38" s="230" t="s">
        <v>13</v>
      </c>
      <c r="G38" s="232" t="s">
        <v>48</v>
      </c>
      <c r="H38" s="233"/>
      <c r="I38" s="234">
        <v>1</v>
      </c>
      <c r="J38" s="230" t="s">
        <v>416</v>
      </c>
      <c r="K38" s="234">
        <v>0</v>
      </c>
      <c r="L38" s="234"/>
      <c r="M38" s="235"/>
      <c r="N38" s="236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spans="1:26" ht="15.75">
      <c r="A39" s="218"/>
      <c r="B39" s="228">
        <v>33</v>
      </c>
      <c r="C39" s="229" t="s">
        <v>117</v>
      </c>
      <c r="D39" s="230" t="s">
        <v>67</v>
      </c>
      <c r="E39" s="231" t="s">
        <v>28</v>
      </c>
      <c r="F39" s="230" t="s">
        <v>13</v>
      </c>
      <c r="G39" s="232" t="s">
        <v>42</v>
      </c>
      <c r="H39" s="233"/>
      <c r="I39" s="234">
        <v>2</v>
      </c>
      <c r="J39" s="230" t="s">
        <v>13</v>
      </c>
      <c r="K39" s="234">
        <v>1</v>
      </c>
      <c r="L39" s="234"/>
      <c r="M39" s="235"/>
      <c r="N39" s="236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spans="1:26" ht="15.75">
      <c r="A40" s="218"/>
      <c r="B40" s="228">
        <v>34</v>
      </c>
      <c r="C40" s="229" t="s">
        <v>118</v>
      </c>
      <c r="D40" s="230" t="s">
        <v>67</v>
      </c>
      <c r="E40" s="231" t="s">
        <v>36</v>
      </c>
      <c r="F40" s="230" t="s">
        <v>13</v>
      </c>
      <c r="G40" s="232" t="s">
        <v>49</v>
      </c>
      <c r="H40" s="233"/>
      <c r="I40" s="234">
        <v>2</v>
      </c>
      <c r="J40" s="230" t="s">
        <v>13</v>
      </c>
      <c r="K40" s="234">
        <v>0</v>
      </c>
      <c r="L40" s="234"/>
      <c r="M40" s="235"/>
      <c r="N40" s="236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spans="1:26" ht="15.75">
      <c r="A41" s="218"/>
      <c r="B41" s="228">
        <v>35</v>
      </c>
      <c r="C41" s="229" t="s">
        <v>119</v>
      </c>
      <c r="D41" s="230" t="s">
        <v>82</v>
      </c>
      <c r="E41" s="231" t="s">
        <v>29</v>
      </c>
      <c r="F41" s="230" t="s">
        <v>13</v>
      </c>
      <c r="G41" s="232" t="s">
        <v>37</v>
      </c>
      <c r="H41" s="233"/>
      <c r="I41" s="234">
        <v>2</v>
      </c>
      <c r="J41" s="230" t="s">
        <v>13</v>
      </c>
      <c r="K41" s="234">
        <v>0</v>
      </c>
      <c r="L41" s="234"/>
      <c r="M41" s="235"/>
      <c r="N41" s="236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spans="1:26" ht="15.75">
      <c r="A42" s="218"/>
      <c r="B42" s="228">
        <v>36</v>
      </c>
      <c r="C42" s="229" t="s">
        <v>120</v>
      </c>
      <c r="D42" s="230" t="s">
        <v>82</v>
      </c>
      <c r="E42" s="231" t="s">
        <v>50</v>
      </c>
      <c r="F42" s="230" t="s">
        <v>13</v>
      </c>
      <c r="G42" s="232" t="s">
        <v>43</v>
      </c>
      <c r="H42" s="233"/>
      <c r="I42" s="234">
        <v>0</v>
      </c>
      <c r="J42" s="230" t="s">
        <v>13</v>
      </c>
      <c r="K42" s="234">
        <v>2</v>
      </c>
      <c r="L42" s="234"/>
      <c r="M42" s="235"/>
      <c r="N42" s="236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spans="1:26" ht="15.75">
      <c r="A43" s="218"/>
      <c r="B43" s="228">
        <v>37</v>
      </c>
      <c r="C43" s="229" t="s">
        <v>121</v>
      </c>
      <c r="D43" s="230" t="s">
        <v>91</v>
      </c>
      <c r="E43" s="231" t="s">
        <v>69</v>
      </c>
      <c r="F43" s="230" t="s">
        <v>13</v>
      </c>
      <c r="G43" s="232" t="s">
        <v>76</v>
      </c>
      <c r="H43" s="233"/>
      <c r="I43" s="234">
        <v>1</v>
      </c>
      <c r="J43" s="230" t="s">
        <v>13</v>
      </c>
      <c r="K43" s="234">
        <v>0</v>
      </c>
      <c r="L43" s="234"/>
      <c r="M43" s="235"/>
      <c r="N43" s="220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spans="1:26" ht="15.75">
      <c r="A44" s="218"/>
      <c r="B44" s="228">
        <v>38</v>
      </c>
      <c r="C44" s="229" t="s">
        <v>122</v>
      </c>
      <c r="D44" s="230" t="s">
        <v>91</v>
      </c>
      <c r="E44" s="231" t="s">
        <v>61</v>
      </c>
      <c r="F44" s="230" t="s">
        <v>13</v>
      </c>
      <c r="G44" s="232" t="s">
        <v>84</v>
      </c>
      <c r="H44" s="233"/>
      <c r="I44" s="234">
        <v>2</v>
      </c>
      <c r="J44" s="230" t="s">
        <v>13</v>
      </c>
      <c r="K44" s="234">
        <v>0</v>
      </c>
      <c r="L44" s="234"/>
      <c r="M44" s="235"/>
      <c r="N44" s="220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spans="1:26" ht="15.75">
      <c r="A45" s="218"/>
      <c r="B45" s="228">
        <v>39</v>
      </c>
      <c r="C45" s="229" t="s">
        <v>123</v>
      </c>
      <c r="D45" s="230" t="s">
        <v>95</v>
      </c>
      <c r="E45" s="231" t="s">
        <v>60</v>
      </c>
      <c r="F45" s="230" t="s">
        <v>13</v>
      </c>
      <c r="G45" s="232" t="s">
        <v>83</v>
      </c>
      <c r="H45" s="233"/>
      <c r="I45" s="234">
        <v>1</v>
      </c>
      <c r="J45" s="230" t="s">
        <v>13</v>
      </c>
      <c r="K45" s="234">
        <v>0</v>
      </c>
      <c r="L45" s="234"/>
      <c r="M45" s="235"/>
      <c r="N45" s="220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spans="1:26" ht="15.75">
      <c r="A46" s="218"/>
      <c r="B46" s="228">
        <v>40</v>
      </c>
      <c r="C46" s="229" t="s">
        <v>124</v>
      </c>
      <c r="D46" s="230" t="s">
        <v>95</v>
      </c>
      <c r="E46" s="231" t="s">
        <v>75</v>
      </c>
      <c r="F46" s="230" t="s">
        <v>13</v>
      </c>
      <c r="G46" s="232" t="s">
        <v>68</v>
      </c>
      <c r="H46" s="233"/>
      <c r="I46" s="234">
        <v>0</v>
      </c>
      <c r="J46" s="230" t="s">
        <v>13</v>
      </c>
      <c r="K46" s="234">
        <v>1</v>
      </c>
      <c r="L46" s="234"/>
      <c r="M46" s="235"/>
      <c r="N46" s="220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spans="1:26" ht="15.75">
      <c r="A47" s="218"/>
      <c r="B47" s="228">
        <v>41</v>
      </c>
      <c r="C47" s="229" t="s">
        <v>125</v>
      </c>
      <c r="D47" s="230" t="s">
        <v>98</v>
      </c>
      <c r="E47" s="231" t="s">
        <v>70</v>
      </c>
      <c r="F47" s="230" t="s">
        <v>13</v>
      </c>
      <c r="G47" s="232" t="s">
        <v>77</v>
      </c>
      <c r="H47" s="233"/>
      <c r="I47" s="234">
        <v>1</v>
      </c>
      <c r="J47" s="230" t="s">
        <v>13</v>
      </c>
      <c r="K47" s="234">
        <v>1</v>
      </c>
      <c r="L47" s="234"/>
      <c r="M47" s="235"/>
      <c r="N47" s="220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spans="1:26" ht="15.75">
      <c r="A48" s="218"/>
      <c r="B48" s="228">
        <v>42</v>
      </c>
      <c r="C48" s="229" t="s">
        <v>126</v>
      </c>
      <c r="D48" s="230" t="s">
        <v>98</v>
      </c>
      <c r="E48" s="231" t="s">
        <v>62</v>
      </c>
      <c r="F48" s="230" t="s">
        <v>13</v>
      </c>
      <c r="G48" s="232" t="s">
        <v>85</v>
      </c>
      <c r="H48" s="233"/>
      <c r="I48" s="234">
        <v>3</v>
      </c>
      <c r="J48" s="230" t="s">
        <v>13</v>
      </c>
      <c r="K48" s="234">
        <v>0</v>
      </c>
      <c r="L48" s="234"/>
      <c r="M48" s="235"/>
      <c r="N48" s="220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spans="1:26" ht="15.75">
      <c r="A49" s="218"/>
      <c r="B49" s="228">
        <v>43</v>
      </c>
      <c r="C49" s="229" t="s">
        <v>127</v>
      </c>
      <c r="D49" s="230" t="s">
        <v>101</v>
      </c>
      <c r="E49" s="231" t="s">
        <v>63</v>
      </c>
      <c r="F49" s="230" t="s">
        <v>13</v>
      </c>
      <c r="G49" s="232" t="s">
        <v>71</v>
      </c>
      <c r="H49" s="233"/>
      <c r="I49" s="234">
        <v>2</v>
      </c>
      <c r="J49" s="230" t="s">
        <v>13</v>
      </c>
      <c r="K49" s="234">
        <v>0</v>
      </c>
      <c r="L49" s="234"/>
      <c r="M49" s="235"/>
      <c r="N49" s="220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spans="1:26" ht="15.75">
      <c r="A50" s="218"/>
      <c r="B50" s="228">
        <v>44</v>
      </c>
      <c r="C50" s="229" t="s">
        <v>128</v>
      </c>
      <c r="D50" s="230" t="s">
        <v>101</v>
      </c>
      <c r="E50" s="231" t="s">
        <v>86</v>
      </c>
      <c r="F50" s="230" t="s">
        <v>13</v>
      </c>
      <c r="G50" s="232" t="s">
        <v>78</v>
      </c>
      <c r="H50" s="233"/>
      <c r="I50" s="234">
        <v>0</v>
      </c>
      <c r="J50" s="230" t="s">
        <v>13</v>
      </c>
      <c r="K50" s="234">
        <v>1</v>
      </c>
      <c r="L50" s="234"/>
      <c r="M50" s="235"/>
      <c r="N50" s="220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spans="1:26" ht="15.75">
      <c r="A51" s="218"/>
      <c r="B51" s="228">
        <v>45</v>
      </c>
      <c r="C51" s="229" t="s">
        <v>129</v>
      </c>
      <c r="D51" s="230" t="s">
        <v>104</v>
      </c>
      <c r="E51" s="231" t="s">
        <v>65</v>
      </c>
      <c r="F51" s="230" t="s">
        <v>13</v>
      </c>
      <c r="G51" s="232" t="s">
        <v>80</v>
      </c>
      <c r="H51" s="233"/>
      <c r="I51" s="234">
        <v>2</v>
      </c>
      <c r="J51" s="230" t="s">
        <v>13</v>
      </c>
      <c r="K51" s="234">
        <v>0</v>
      </c>
      <c r="L51" s="234"/>
      <c r="M51" s="235"/>
      <c r="N51" s="220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spans="1:26" ht="15.75">
      <c r="A52" s="218"/>
      <c r="B52" s="228">
        <v>46</v>
      </c>
      <c r="C52" s="229" t="s">
        <v>130</v>
      </c>
      <c r="D52" s="230" t="s">
        <v>104</v>
      </c>
      <c r="E52" s="231" t="s">
        <v>88</v>
      </c>
      <c r="F52" s="230" t="s">
        <v>13</v>
      </c>
      <c r="G52" s="232" t="s">
        <v>73</v>
      </c>
      <c r="H52" s="233"/>
      <c r="I52" s="234">
        <v>0</v>
      </c>
      <c r="J52" s="230" t="s">
        <v>13</v>
      </c>
      <c r="K52" s="234">
        <v>1</v>
      </c>
      <c r="L52" s="234"/>
      <c r="M52" s="235"/>
      <c r="N52" s="220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spans="1:26" ht="15.75">
      <c r="A53" s="218"/>
      <c r="B53" s="228">
        <v>47</v>
      </c>
      <c r="C53" s="229" t="s">
        <v>131</v>
      </c>
      <c r="D53" s="230" t="s">
        <v>107</v>
      </c>
      <c r="E53" s="231" t="s">
        <v>64</v>
      </c>
      <c r="F53" s="230" t="s">
        <v>13</v>
      </c>
      <c r="G53" s="232" t="s">
        <v>79</v>
      </c>
      <c r="H53" s="233"/>
      <c r="I53" s="234">
        <v>2</v>
      </c>
      <c r="J53" s="230" t="s">
        <v>13</v>
      </c>
      <c r="K53" s="234">
        <v>0</v>
      </c>
      <c r="L53" s="234"/>
      <c r="M53" s="235"/>
      <c r="N53" s="220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spans="1:26" ht="15.75">
      <c r="A54" s="218"/>
      <c r="B54" s="228">
        <v>48</v>
      </c>
      <c r="C54" s="229" t="s">
        <v>132</v>
      </c>
      <c r="D54" s="230" t="s">
        <v>107</v>
      </c>
      <c r="E54" s="231" t="s">
        <v>72</v>
      </c>
      <c r="F54" s="230" t="s">
        <v>13</v>
      </c>
      <c r="G54" s="232" t="s">
        <v>87</v>
      </c>
      <c r="H54" s="233"/>
      <c r="I54" s="234">
        <v>2</v>
      </c>
      <c r="J54" s="230" t="s">
        <v>13</v>
      </c>
      <c r="K54" s="234">
        <v>0</v>
      </c>
      <c r="L54" s="234"/>
      <c r="M54" s="235"/>
      <c r="N54" s="220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spans="1:26" ht="15.75">
      <c r="A55" s="218"/>
      <c r="B55" s="228">
        <v>49</v>
      </c>
      <c r="C55" s="229" t="s">
        <v>133</v>
      </c>
      <c r="D55" s="230" t="s">
        <v>45</v>
      </c>
      <c r="E55" s="231" t="s">
        <v>34</v>
      </c>
      <c r="F55" s="230" t="s">
        <v>13</v>
      </c>
      <c r="G55" s="232" t="s">
        <v>26</v>
      </c>
      <c r="H55" s="233"/>
      <c r="I55" s="234">
        <v>0</v>
      </c>
      <c r="J55" s="230" t="s">
        <v>13</v>
      </c>
      <c r="K55" s="234">
        <v>2</v>
      </c>
      <c r="L55" s="234"/>
      <c r="M55" s="235"/>
      <c r="N55" s="220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spans="1:26" ht="15.75">
      <c r="A56" s="218"/>
      <c r="B56" s="228">
        <v>50</v>
      </c>
      <c r="C56" s="229" t="s">
        <v>133</v>
      </c>
      <c r="D56" s="230" t="s">
        <v>45</v>
      </c>
      <c r="E56" s="231" t="s">
        <v>41</v>
      </c>
      <c r="F56" s="230" t="s">
        <v>13</v>
      </c>
      <c r="G56" s="232" t="s">
        <v>46</v>
      </c>
      <c r="H56" s="233"/>
      <c r="I56" s="234">
        <v>2</v>
      </c>
      <c r="J56" s="230" t="s">
        <v>13</v>
      </c>
      <c r="K56" s="234">
        <v>0</v>
      </c>
      <c r="L56" s="234"/>
      <c r="M56" s="235"/>
      <c r="N56" s="220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spans="1:26" ht="15.75">
      <c r="A57" s="218"/>
      <c r="B57" s="228">
        <v>51</v>
      </c>
      <c r="C57" s="229" t="s">
        <v>134</v>
      </c>
      <c r="D57" s="230" t="s">
        <v>31</v>
      </c>
      <c r="E57" s="231" t="s">
        <v>25</v>
      </c>
      <c r="F57" s="230" t="s">
        <v>13</v>
      </c>
      <c r="G57" s="232" t="s">
        <v>32</v>
      </c>
      <c r="H57" s="233"/>
      <c r="I57" s="234">
        <v>1</v>
      </c>
      <c r="J57" s="230" t="s">
        <v>13</v>
      </c>
      <c r="K57" s="234">
        <v>1</v>
      </c>
      <c r="L57" s="234"/>
      <c r="M57" s="235"/>
      <c r="N57" s="220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spans="1:26" ht="15.75">
      <c r="A58" s="218"/>
      <c r="B58" s="228">
        <v>52</v>
      </c>
      <c r="C58" s="229" t="s">
        <v>134</v>
      </c>
      <c r="D58" s="230" t="s">
        <v>31</v>
      </c>
      <c r="E58" s="231" t="s">
        <v>33</v>
      </c>
      <c r="F58" s="230" t="s">
        <v>13</v>
      </c>
      <c r="G58" s="232" t="s">
        <v>47</v>
      </c>
      <c r="H58" s="233"/>
      <c r="I58" s="234">
        <v>1</v>
      </c>
      <c r="J58" s="230" t="s">
        <v>13</v>
      </c>
      <c r="K58" s="234">
        <v>0</v>
      </c>
      <c r="L58" s="234"/>
      <c r="M58" s="235"/>
      <c r="N58" s="220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spans="1:26" ht="15.75">
      <c r="A59" s="218"/>
      <c r="B59" s="228">
        <v>53</v>
      </c>
      <c r="C59" s="229" t="s">
        <v>135</v>
      </c>
      <c r="D59" s="230" t="s">
        <v>11</v>
      </c>
      <c r="E59" s="231" t="s">
        <v>24</v>
      </c>
      <c r="F59" s="230" t="s">
        <v>13</v>
      </c>
      <c r="G59" s="232" t="s">
        <v>12</v>
      </c>
      <c r="H59" s="233"/>
      <c r="I59" s="234">
        <v>1</v>
      </c>
      <c r="J59" s="230" t="s">
        <v>13</v>
      </c>
      <c r="K59" s="234">
        <v>2</v>
      </c>
      <c r="L59" s="234"/>
      <c r="M59" s="235"/>
      <c r="N59" s="220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spans="1:26" ht="15.75">
      <c r="A60" s="218"/>
      <c r="B60" s="228">
        <v>54</v>
      </c>
      <c r="C60" s="229" t="s">
        <v>135</v>
      </c>
      <c r="D60" s="230" t="s">
        <v>11</v>
      </c>
      <c r="E60" s="231" t="s">
        <v>14</v>
      </c>
      <c r="F60" s="230" t="s">
        <v>13</v>
      </c>
      <c r="G60" s="232" t="s">
        <v>23</v>
      </c>
      <c r="H60" s="233"/>
      <c r="I60" s="234">
        <v>1</v>
      </c>
      <c r="J60" s="230" t="s">
        <v>13</v>
      </c>
      <c r="K60" s="234">
        <v>2</v>
      </c>
      <c r="L60" s="234"/>
      <c r="M60" s="235"/>
      <c r="N60" s="220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spans="1:26" ht="15.75">
      <c r="A61" s="218"/>
      <c r="B61" s="228">
        <v>55</v>
      </c>
      <c r="C61" s="229" t="s">
        <v>136</v>
      </c>
      <c r="D61" s="230" t="s">
        <v>67</v>
      </c>
      <c r="E61" s="231" t="s">
        <v>49</v>
      </c>
      <c r="F61" s="230" t="s">
        <v>13</v>
      </c>
      <c r="G61" s="232" t="s">
        <v>42</v>
      </c>
      <c r="H61" s="233"/>
      <c r="I61" s="234">
        <v>0</v>
      </c>
      <c r="J61" s="230" t="s">
        <v>13</v>
      </c>
      <c r="K61" s="234">
        <v>2</v>
      </c>
      <c r="L61" s="234"/>
      <c r="M61" s="235"/>
      <c r="N61" s="220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spans="1:26" ht="15.75">
      <c r="A62" s="218"/>
      <c r="B62" s="228">
        <v>56</v>
      </c>
      <c r="C62" s="229" t="s">
        <v>136</v>
      </c>
      <c r="D62" s="230" t="s">
        <v>67</v>
      </c>
      <c r="E62" s="231" t="s">
        <v>36</v>
      </c>
      <c r="F62" s="230" t="s">
        <v>13</v>
      </c>
      <c r="G62" s="232" t="s">
        <v>28</v>
      </c>
      <c r="H62" s="233"/>
      <c r="I62" s="234">
        <v>1</v>
      </c>
      <c r="J62" s="230" t="s">
        <v>13</v>
      </c>
      <c r="K62" s="234">
        <v>2</v>
      </c>
      <c r="L62" s="234"/>
      <c r="M62" s="235"/>
      <c r="N62" s="220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spans="1:26" ht="15.75">
      <c r="A63" s="218"/>
      <c r="B63" s="228">
        <v>57</v>
      </c>
      <c r="C63" s="229" t="s">
        <v>137</v>
      </c>
      <c r="D63" s="230" t="s">
        <v>82</v>
      </c>
      <c r="E63" s="231" t="s">
        <v>43</v>
      </c>
      <c r="F63" s="230" t="s">
        <v>13</v>
      </c>
      <c r="G63" s="232" t="s">
        <v>37</v>
      </c>
      <c r="H63" s="233"/>
      <c r="I63" s="234">
        <v>1</v>
      </c>
      <c r="J63" s="230" t="s">
        <v>13</v>
      </c>
      <c r="K63" s="234">
        <v>1</v>
      </c>
      <c r="L63" s="234"/>
      <c r="M63" s="235"/>
      <c r="N63" s="220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spans="1:26" ht="15.75">
      <c r="A64" s="218"/>
      <c r="B64" s="228">
        <v>58</v>
      </c>
      <c r="C64" s="229" t="s">
        <v>137</v>
      </c>
      <c r="D64" s="230" t="s">
        <v>82</v>
      </c>
      <c r="E64" s="231" t="s">
        <v>50</v>
      </c>
      <c r="F64" s="230" t="s">
        <v>13</v>
      </c>
      <c r="G64" s="232" t="s">
        <v>29</v>
      </c>
      <c r="H64" s="233"/>
      <c r="I64" s="234">
        <v>0</v>
      </c>
      <c r="J64" s="230" t="s">
        <v>13</v>
      </c>
      <c r="K64" s="234">
        <v>2</v>
      </c>
      <c r="L64" s="234"/>
      <c r="M64" s="235"/>
      <c r="N64" s="220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spans="1:26" ht="15.75">
      <c r="A65" s="218"/>
      <c r="B65" s="228">
        <v>59</v>
      </c>
      <c r="C65" s="229" t="s">
        <v>138</v>
      </c>
      <c r="D65" s="230" t="s">
        <v>39</v>
      </c>
      <c r="E65" s="231" t="s">
        <v>27</v>
      </c>
      <c r="F65" s="230" t="s">
        <v>13</v>
      </c>
      <c r="G65" s="232" t="s">
        <v>35</v>
      </c>
      <c r="H65" s="233"/>
      <c r="I65" s="234">
        <v>1</v>
      </c>
      <c r="J65" s="230" t="s">
        <v>13</v>
      </c>
      <c r="K65" s="234">
        <v>2</v>
      </c>
      <c r="L65" s="234"/>
      <c r="M65" s="235"/>
      <c r="N65" s="220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spans="1:26" ht="15.75">
      <c r="A66" s="218"/>
      <c r="B66" s="228">
        <v>60</v>
      </c>
      <c r="C66" s="229" t="s">
        <v>138</v>
      </c>
      <c r="D66" s="230" t="s">
        <v>39</v>
      </c>
      <c r="E66" s="231" t="s">
        <v>40</v>
      </c>
      <c r="F66" s="230" t="s">
        <v>13</v>
      </c>
      <c r="G66" s="232" t="s">
        <v>48</v>
      </c>
      <c r="H66" s="233"/>
      <c r="I66" s="234">
        <v>0</v>
      </c>
      <c r="J66" s="230" t="s">
        <v>13</v>
      </c>
      <c r="K66" s="234">
        <v>0</v>
      </c>
      <c r="L66" s="234"/>
      <c r="M66" s="235"/>
      <c r="N66" s="220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spans="1:26" ht="15.75">
      <c r="A67" s="218"/>
      <c r="B67" s="228">
        <v>61</v>
      </c>
      <c r="C67" s="229" t="s">
        <v>139</v>
      </c>
      <c r="D67" s="230" t="s">
        <v>98</v>
      </c>
      <c r="E67" s="231" t="s">
        <v>70</v>
      </c>
      <c r="F67" s="230" t="s">
        <v>13</v>
      </c>
      <c r="G67" s="232" t="s">
        <v>62</v>
      </c>
      <c r="H67" s="233"/>
      <c r="I67" s="234">
        <v>0</v>
      </c>
      <c r="J67" s="230" t="s">
        <v>13</v>
      </c>
      <c r="K67" s="234">
        <v>2</v>
      </c>
      <c r="L67" s="234"/>
      <c r="M67" s="235"/>
      <c r="N67" s="220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spans="1:26" ht="15.75">
      <c r="A68" s="218"/>
      <c r="B68" s="228">
        <v>62</v>
      </c>
      <c r="C68" s="229" t="s">
        <v>139</v>
      </c>
      <c r="D68" s="230" t="s">
        <v>98</v>
      </c>
      <c r="E68" s="231" t="s">
        <v>77</v>
      </c>
      <c r="F68" s="230" t="s">
        <v>13</v>
      </c>
      <c r="G68" s="232" t="s">
        <v>85</v>
      </c>
      <c r="H68" s="233"/>
      <c r="I68" s="234">
        <v>1</v>
      </c>
      <c r="J68" s="230" t="s">
        <v>13</v>
      </c>
      <c r="K68" s="234">
        <v>0</v>
      </c>
      <c r="L68" s="234"/>
      <c r="M68" s="235"/>
      <c r="N68" s="220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spans="1:26" ht="15.75">
      <c r="A69" s="218"/>
      <c r="B69" s="228">
        <v>63</v>
      </c>
      <c r="C69" s="229" t="s">
        <v>140</v>
      </c>
      <c r="D69" s="230" t="s">
        <v>95</v>
      </c>
      <c r="E69" s="231" t="s">
        <v>68</v>
      </c>
      <c r="F69" s="230" t="s">
        <v>13</v>
      </c>
      <c r="G69" s="232" t="s">
        <v>83</v>
      </c>
      <c r="H69" s="233"/>
      <c r="I69" s="234">
        <v>1</v>
      </c>
      <c r="J69" s="230" t="s">
        <v>13</v>
      </c>
      <c r="K69" s="234">
        <v>0</v>
      </c>
      <c r="L69" s="234"/>
      <c r="M69" s="235"/>
      <c r="N69" s="220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spans="1:26" ht="15.75">
      <c r="A70" s="218"/>
      <c r="B70" s="228">
        <v>64</v>
      </c>
      <c r="C70" s="229" t="s">
        <v>140</v>
      </c>
      <c r="D70" s="230" t="s">
        <v>95</v>
      </c>
      <c r="E70" s="231" t="s">
        <v>75</v>
      </c>
      <c r="F70" s="230" t="s">
        <v>13</v>
      </c>
      <c r="G70" s="232" t="s">
        <v>60</v>
      </c>
      <c r="H70" s="233"/>
      <c r="I70" s="234">
        <v>0</v>
      </c>
      <c r="J70" s="230" t="s">
        <v>13</v>
      </c>
      <c r="K70" s="234">
        <v>2</v>
      </c>
      <c r="L70" s="234"/>
      <c r="M70" s="235"/>
      <c r="N70" s="220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spans="1:26" ht="15.75">
      <c r="A71" s="218"/>
      <c r="B71" s="228">
        <v>65</v>
      </c>
      <c r="C71" s="229" t="s">
        <v>141</v>
      </c>
      <c r="D71" s="230" t="s">
        <v>91</v>
      </c>
      <c r="E71" s="231" t="s">
        <v>76</v>
      </c>
      <c r="F71" s="230" t="s">
        <v>13</v>
      </c>
      <c r="G71" s="232" t="s">
        <v>84</v>
      </c>
      <c r="H71" s="233"/>
      <c r="I71" s="234">
        <v>1</v>
      </c>
      <c r="J71" s="230" t="s">
        <v>13</v>
      </c>
      <c r="K71" s="234">
        <v>1</v>
      </c>
      <c r="L71" s="234"/>
      <c r="M71" s="235"/>
      <c r="N71" s="220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spans="1:26" ht="15.75">
      <c r="A72" s="218"/>
      <c r="B72" s="228">
        <v>66</v>
      </c>
      <c r="C72" s="229" t="s">
        <v>141</v>
      </c>
      <c r="D72" s="230" t="s">
        <v>91</v>
      </c>
      <c r="E72" s="231" t="s">
        <v>69</v>
      </c>
      <c r="F72" s="230" t="s">
        <v>13</v>
      </c>
      <c r="G72" s="232" t="s">
        <v>61</v>
      </c>
      <c r="H72" s="233"/>
      <c r="I72" s="234">
        <v>0</v>
      </c>
      <c r="J72" s="230" t="s">
        <v>13</v>
      </c>
      <c r="K72" s="234">
        <v>2</v>
      </c>
      <c r="L72" s="234"/>
      <c r="M72" s="235"/>
      <c r="N72" s="220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spans="1:26" ht="15.75">
      <c r="A73" s="218"/>
      <c r="B73" s="228">
        <v>67</v>
      </c>
      <c r="C73" s="229" t="s">
        <v>142</v>
      </c>
      <c r="D73" s="230" t="s">
        <v>104</v>
      </c>
      <c r="E73" s="231" t="s">
        <v>88</v>
      </c>
      <c r="F73" s="230" t="s">
        <v>13</v>
      </c>
      <c r="G73" s="232" t="s">
        <v>65</v>
      </c>
      <c r="H73" s="233"/>
      <c r="I73" s="234">
        <v>0</v>
      </c>
      <c r="J73" s="230" t="s">
        <v>13</v>
      </c>
      <c r="K73" s="234">
        <v>3</v>
      </c>
      <c r="L73" s="234"/>
      <c r="M73" s="235"/>
      <c r="N73" s="220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spans="1:26" ht="15.75">
      <c r="A74" s="218"/>
      <c r="B74" s="228">
        <v>68</v>
      </c>
      <c r="C74" s="229" t="s">
        <v>142</v>
      </c>
      <c r="D74" s="230" t="s">
        <v>104</v>
      </c>
      <c r="E74" s="231" t="s">
        <v>73</v>
      </c>
      <c r="F74" s="230" t="s">
        <v>13</v>
      </c>
      <c r="G74" s="232" t="s">
        <v>80</v>
      </c>
      <c r="H74" s="233"/>
      <c r="I74" s="234">
        <v>2</v>
      </c>
      <c r="J74" s="230" t="s">
        <v>13</v>
      </c>
      <c r="K74" s="234">
        <v>1</v>
      </c>
      <c r="L74" s="234"/>
      <c r="M74" s="235"/>
      <c r="N74" s="220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spans="1:26" ht="15.75">
      <c r="A75" s="218"/>
      <c r="B75" s="228">
        <v>69</v>
      </c>
      <c r="C75" s="229" t="s">
        <v>143</v>
      </c>
      <c r="D75" s="230" t="s">
        <v>101</v>
      </c>
      <c r="E75" s="231" t="s">
        <v>78</v>
      </c>
      <c r="F75" s="230" t="s">
        <v>13</v>
      </c>
      <c r="G75" s="232" t="s">
        <v>71</v>
      </c>
      <c r="H75" s="233"/>
      <c r="I75" s="234">
        <v>1</v>
      </c>
      <c r="J75" s="230" t="s">
        <v>13</v>
      </c>
      <c r="K75" s="234">
        <v>1</v>
      </c>
      <c r="L75" s="234"/>
      <c r="M75" s="235"/>
      <c r="N75" s="220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spans="1:26" ht="15.75">
      <c r="A76" s="218"/>
      <c r="B76" s="228">
        <v>70</v>
      </c>
      <c r="C76" s="229" t="s">
        <v>143</v>
      </c>
      <c r="D76" s="230" t="s">
        <v>101</v>
      </c>
      <c r="E76" s="231" t="s">
        <v>86</v>
      </c>
      <c r="F76" s="230" t="s">
        <v>13</v>
      </c>
      <c r="G76" s="232" t="s">
        <v>63</v>
      </c>
      <c r="H76" s="233"/>
      <c r="I76" s="234">
        <v>0</v>
      </c>
      <c r="J76" s="230" t="s">
        <v>13</v>
      </c>
      <c r="K76" s="234">
        <v>3</v>
      </c>
      <c r="L76" s="234"/>
      <c r="M76" s="235"/>
      <c r="N76" s="220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spans="1:26" ht="15.75">
      <c r="A77" s="218"/>
      <c r="B77" s="228">
        <v>71</v>
      </c>
      <c r="C77" s="229" t="s">
        <v>144</v>
      </c>
      <c r="D77" s="230" t="s">
        <v>107</v>
      </c>
      <c r="E77" s="231" t="s">
        <v>72</v>
      </c>
      <c r="F77" s="230" t="s">
        <v>13</v>
      </c>
      <c r="G77" s="232" t="s">
        <v>64</v>
      </c>
      <c r="H77" s="233"/>
      <c r="I77" s="234">
        <v>1</v>
      </c>
      <c r="J77" s="230" t="s">
        <v>13</v>
      </c>
      <c r="K77" s="234">
        <v>2</v>
      </c>
      <c r="L77" s="234"/>
      <c r="M77" s="235"/>
      <c r="N77" s="220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spans="1:26" ht="15.75">
      <c r="A78" s="218"/>
      <c r="B78" s="228">
        <v>72</v>
      </c>
      <c r="C78" s="229" t="s">
        <v>144</v>
      </c>
      <c r="D78" s="230" t="s">
        <v>107</v>
      </c>
      <c r="E78" s="231" t="s">
        <v>87</v>
      </c>
      <c r="F78" s="230" t="s">
        <v>13</v>
      </c>
      <c r="G78" s="232" t="s">
        <v>79</v>
      </c>
      <c r="H78" s="233"/>
      <c r="I78" s="234">
        <v>1</v>
      </c>
      <c r="J78" s="230" t="s">
        <v>13</v>
      </c>
      <c r="K78" s="234">
        <v>0</v>
      </c>
      <c r="L78" s="234"/>
      <c r="M78" s="235"/>
      <c r="N78" s="220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spans="1:26" ht="15.75">
      <c r="A79" s="218"/>
      <c r="B79" s="221"/>
      <c r="C79" s="222"/>
      <c r="D79" s="221" t="s">
        <v>145</v>
      </c>
      <c r="E79" s="244" t="s">
        <v>412</v>
      </c>
      <c r="F79" s="245" t="s">
        <v>13</v>
      </c>
      <c r="G79" s="244" t="s">
        <v>62</v>
      </c>
      <c r="H79" s="218"/>
      <c r="I79" s="218"/>
      <c r="J79" s="218"/>
      <c r="K79" s="220"/>
      <c r="L79" s="246"/>
      <c r="M79" s="246"/>
      <c r="N79" s="236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spans="1:26" ht="15.75">
      <c r="A80" s="218"/>
      <c r="B80" s="221"/>
      <c r="C80" s="222"/>
      <c r="D80" s="221" t="s">
        <v>146</v>
      </c>
      <c r="E80" s="247" t="s">
        <v>61</v>
      </c>
      <c r="F80" s="245" t="s">
        <v>13</v>
      </c>
      <c r="G80" s="247" t="s">
        <v>41</v>
      </c>
      <c r="H80" s="218"/>
      <c r="I80" s="218"/>
      <c r="J80" s="218"/>
      <c r="K80" s="220"/>
      <c r="L80" s="248"/>
      <c r="M80" s="248"/>
      <c r="N80" s="236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spans="1:26" ht="15.75">
      <c r="A81" s="218"/>
      <c r="B81" s="221"/>
      <c r="C81" s="222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36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spans="1:26" ht="15.75">
      <c r="A82" s="218"/>
      <c r="B82" s="221"/>
      <c r="C82" s="222"/>
      <c r="D82" s="218"/>
      <c r="E82" s="218"/>
      <c r="F82" s="218"/>
      <c r="G82" s="218"/>
      <c r="H82" s="218"/>
      <c r="I82" s="218"/>
      <c r="J82" s="218"/>
      <c r="K82" s="218"/>
      <c r="L82" s="249" t="s">
        <v>147</v>
      </c>
      <c r="M82" s="250"/>
      <c r="N82" s="236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spans="1:26" ht="15.75">
      <c r="A83" s="218"/>
      <c r="B83" s="221"/>
      <c r="C83" s="222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36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spans="1:26" ht="15.75">
      <c r="A84" s="221"/>
      <c r="B84" s="221"/>
      <c r="C84" s="222"/>
      <c r="D84" s="218"/>
      <c r="E84" s="218"/>
      <c r="F84" s="218"/>
      <c r="G84" s="220"/>
      <c r="H84" s="218"/>
      <c r="I84" s="218"/>
      <c r="J84" s="218"/>
      <c r="K84" s="218"/>
      <c r="L84" s="220"/>
      <c r="M84" s="220"/>
      <c r="N84" s="220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spans="1:26" ht="15.75">
      <c r="A85" s="221"/>
      <c r="B85" s="221"/>
      <c r="C85" s="222"/>
      <c r="D85" s="218"/>
      <c r="E85" s="218"/>
      <c r="F85" s="218"/>
      <c r="G85" s="220"/>
      <c r="H85" s="218"/>
      <c r="I85" s="218"/>
      <c r="J85" s="218"/>
      <c r="K85" s="218"/>
      <c r="L85" s="220"/>
      <c r="M85" s="220"/>
      <c r="N85" s="220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spans="1:26" ht="15.75">
      <c r="A86" s="221"/>
      <c r="B86" s="251"/>
      <c r="C86" s="252"/>
      <c r="D86" s="218"/>
      <c r="E86" s="218"/>
      <c r="F86" s="218"/>
      <c r="G86" s="220"/>
      <c r="H86" s="218"/>
      <c r="I86" s="218"/>
      <c r="J86" s="218"/>
      <c r="K86" s="218"/>
      <c r="L86" s="220"/>
      <c r="M86" s="220"/>
      <c r="N86" s="220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spans="1:26" ht="15.75">
      <c r="A87" s="221"/>
      <c r="B87" s="251"/>
      <c r="C87" s="252"/>
      <c r="D87" s="218"/>
      <c r="E87" s="218"/>
      <c r="F87" s="218"/>
      <c r="G87" s="220"/>
      <c r="H87" s="218"/>
      <c r="I87" s="218"/>
      <c r="J87" s="218"/>
      <c r="K87" s="218"/>
      <c r="L87" s="220"/>
      <c r="M87" s="220"/>
      <c r="N87" s="220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spans="1:26" ht="15.75">
      <c r="A88" s="218"/>
      <c r="B88" s="221"/>
      <c r="C88" s="222"/>
      <c r="D88" s="218"/>
      <c r="E88" s="218"/>
      <c r="F88" s="220"/>
      <c r="G88" s="218"/>
      <c r="H88" s="218"/>
      <c r="I88" s="218"/>
      <c r="J88" s="218"/>
      <c r="K88" s="220"/>
      <c r="L88" s="220"/>
      <c r="M88" s="220"/>
      <c r="N88" s="220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spans="1:26" ht="15.75">
      <c r="A89" s="218"/>
      <c r="B89" s="221"/>
      <c r="C89" s="222"/>
      <c r="D89" s="218"/>
      <c r="E89" s="218"/>
      <c r="F89" s="220"/>
      <c r="G89" s="218"/>
      <c r="H89" s="218"/>
      <c r="I89" s="218"/>
      <c r="J89" s="218"/>
      <c r="K89" s="220"/>
      <c r="L89" s="220"/>
      <c r="M89" s="220"/>
      <c r="N89" s="220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spans="1:26" ht="15.75">
      <c r="A90" s="218"/>
      <c r="B90" s="221"/>
      <c r="C90" s="222"/>
      <c r="D90" s="218"/>
      <c r="E90" s="218"/>
      <c r="F90" s="220"/>
      <c r="G90" s="218"/>
      <c r="H90" s="218"/>
      <c r="I90" s="218"/>
      <c r="J90" s="218"/>
      <c r="K90" s="220"/>
      <c r="L90" s="220"/>
      <c r="M90" s="220"/>
      <c r="N90" s="220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spans="1:26" ht="15.75">
      <c r="A91" s="218"/>
      <c r="B91" s="221"/>
      <c r="C91" s="222"/>
      <c r="D91" s="218"/>
      <c r="E91" s="218"/>
      <c r="F91" s="220"/>
      <c r="G91" s="218"/>
      <c r="H91" s="218"/>
      <c r="I91" s="218"/>
      <c r="J91" s="218"/>
      <c r="K91" s="220"/>
      <c r="L91" s="220"/>
      <c r="M91" s="220"/>
      <c r="N91" s="220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spans="1:26" ht="15.75">
      <c r="A92" s="218"/>
      <c r="B92" s="221"/>
      <c r="C92" s="222"/>
      <c r="D92" s="218"/>
      <c r="E92" s="218"/>
      <c r="F92" s="220"/>
      <c r="G92" s="218"/>
      <c r="H92" s="218"/>
      <c r="I92" s="218"/>
      <c r="J92" s="218"/>
      <c r="K92" s="220"/>
      <c r="L92" s="220"/>
      <c r="M92" s="220"/>
      <c r="N92" s="220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spans="1:26" ht="15.75">
      <c r="A93" s="218"/>
      <c r="B93" s="221"/>
      <c r="C93" s="222"/>
      <c r="D93" s="218"/>
      <c r="E93" s="218"/>
      <c r="F93" s="220"/>
      <c r="G93" s="218"/>
      <c r="H93" s="218"/>
      <c r="I93" s="218"/>
      <c r="J93" s="218"/>
      <c r="K93" s="220"/>
      <c r="L93" s="220"/>
      <c r="M93" s="220"/>
      <c r="N93" s="220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spans="1:26" ht="15.75">
      <c r="A94" s="218"/>
      <c r="B94" s="221"/>
      <c r="C94" s="222"/>
      <c r="D94" s="218"/>
      <c r="E94" s="218"/>
      <c r="F94" s="220"/>
      <c r="G94" s="218"/>
      <c r="H94" s="218"/>
      <c r="I94" s="218"/>
      <c r="J94" s="218"/>
      <c r="K94" s="220"/>
      <c r="L94" s="220"/>
      <c r="M94" s="220"/>
      <c r="N94" s="220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spans="1:26" ht="15.75">
      <c r="A95" s="218"/>
      <c r="B95" s="221"/>
      <c r="C95" s="222"/>
      <c r="D95" s="218"/>
      <c r="E95" s="218"/>
      <c r="F95" s="220"/>
      <c r="G95" s="218"/>
      <c r="H95" s="218"/>
      <c r="I95" s="218"/>
      <c r="J95" s="218"/>
      <c r="K95" s="220"/>
      <c r="L95" s="220"/>
      <c r="M95" s="220"/>
      <c r="N95" s="220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spans="1:26" ht="15.75">
      <c r="A96" s="218"/>
      <c r="B96" s="221"/>
      <c r="C96" s="222"/>
      <c r="D96" s="218"/>
      <c r="E96" s="218"/>
      <c r="F96" s="220"/>
      <c r="G96" s="218"/>
      <c r="H96" s="218"/>
      <c r="I96" s="218"/>
      <c r="J96" s="218"/>
      <c r="K96" s="220"/>
      <c r="L96" s="220"/>
      <c r="M96" s="220"/>
      <c r="N96" s="220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spans="1:26" ht="15.75">
      <c r="A97" s="218"/>
      <c r="B97" s="221"/>
      <c r="C97" s="222"/>
      <c r="D97" s="218"/>
      <c r="E97" s="218"/>
      <c r="F97" s="220"/>
      <c r="G97" s="218"/>
      <c r="H97" s="218"/>
      <c r="I97" s="218"/>
      <c r="J97" s="218"/>
      <c r="K97" s="220"/>
      <c r="L97" s="220"/>
      <c r="M97" s="220"/>
      <c r="N97" s="220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spans="1:26" ht="15.75">
      <c r="A98" s="218"/>
      <c r="B98" s="221"/>
      <c r="C98" s="222"/>
      <c r="D98" s="218"/>
      <c r="E98" s="218"/>
      <c r="F98" s="220"/>
      <c r="G98" s="218"/>
      <c r="H98" s="218"/>
      <c r="I98" s="218"/>
      <c r="J98" s="218"/>
      <c r="K98" s="220"/>
      <c r="L98" s="220"/>
      <c r="M98" s="220"/>
      <c r="N98" s="220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spans="1:26" ht="15.75">
      <c r="A99" s="218"/>
      <c r="B99" s="221"/>
      <c r="C99" s="222"/>
      <c r="D99" s="218"/>
      <c r="E99" s="218"/>
      <c r="F99" s="220"/>
      <c r="G99" s="218"/>
      <c r="H99" s="218"/>
      <c r="I99" s="218"/>
      <c r="J99" s="218"/>
      <c r="K99" s="220"/>
      <c r="L99" s="220"/>
      <c r="M99" s="220"/>
      <c r="N99" s="220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spans="1:26" ht="15.75">
      <c r="A100" s="218"/>
      <c r="B100" s="221"/>
      <c r="C100" s="222"/>
      <c r="D100" s="218"/>
      <c r="E100" s="218"/>
      <c r="F100" s="220"/>
      <c r="G100" s="218"/>
      <c r="H100" s="218"/>
      <c r="I100" s="218"/>
      <c r="J100" s="218"/>
      <c r="K100" s="220"/>
      <c r="L100" s="220"/>
      <c r="M100" s="220"/>
      <c r="N100" s="220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spans="1:26" ht="15.75">
      <c r="A101" s="218"/>
      <c r="B101" s="221"/>
      <c r="C101" s="222"/>
      <c r="D101" s="218"/>
      <c r="E101" s="218"/>
      <c r="F101" s="220"/>
      <c r="G101" s="218"/>
      <c r="H101" s="218"/>
      <c r="I101" s="218"/>
      <c r="J101" s="218"/>
      <c r="K101" s="220"/>
      <c r="L101" s="220"/>
      <c r="M101" s="220"/>
      <c r="N101" s="220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spans="1:26" ht="15.75">
      <c r="A102" s="218"/>
      <c r="B102" s="221"/>
      <c r="C102" s="222"/>
      <c r="D102" s="218"/>
      <c r="E102" s="218"/>
      <c r="F102" s="220"/>
      <c r="G102" s="218"/>
      <c r="H102" s="218"/>
      <c r="I102" s="218"/>
      <c r="J102" s="218"/>
      <c r="K102" s="220"/>
      <c r="L102" s="220"/>
      <c r="M102" s="220"/>
      <c r="N102" s="220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spans="1:26" ht="15.75">
      <c r="A103" s="218"/>
      <c r="B103" s="221"/>
      <c r="C103" s="222"/>
      <c r="D103" s="218"/>
      <c r="E103" s="218"/>
      <c r="F103" s="220"/>
      <c r="G103" s="218"/>
      <c r="H103" s="218"/>
      <c r="I103" s="218"/>
      <c r="J103" s="218"/>
      <c r="K103" s="220"/>
      <c r="L103" s="220"/>
      <c r="M103" s="220"/>
      <c r="N103" s="220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spans="1:26" ht="15.75">
      <c r="A104" s="218"/>
      <c r="B104" s="221"/>
      <c r="C104" s="222"/>
      <c r="D104" s="218"/>
      <c r="E104" s="218"/>
      <c r="F104" s="220"/>
      <c r="G104" s="218"/>
      <c r="H104" s="218"/>
      <c r="I104" s="218"/>
      <c r="J104" s="218"/>
      <c r="K104" s="220"/>
      <c r="L104" s="220"/>
      <c r="M104" s="220"/>
      <c r="N104" s="220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spans="1:26" ht="15.75">
      <c r="A105" s="218"/>
      <c r="B105" s="221"/>
      <c r="C105" s="222"/>
      <c r="D105" s="218"/>
      <c r="E105" s="218"/>
      <c r="F105" s="220"/>
      <c r="G105" s="218"/>
      <c r="H105" s="218"/>
      <c r="I105" s="218"/>
      <c r="J105" s="218"/>
      <c r="K105" s="220"/>
      <c r="L105" s="220"/>
      <c r="M105" s="220"/>
      <c r="N105" s="220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spans="1:26" ht="15.75">
      <c r="A106" s="218"/>
      <c r="B106" s="221"/>
      <c r="C106" s="222"/>
      <c r="D106" s="218"/>
      <c r="E106" s="218"/>
      <c r="F106" s="220"/>
      <c r="G106" s="218"/>
      <c r="H106" s="218"/>
      <c r="I106" s="218"/>
      <c r="J106" s="218"/>
      <c r="K106" s="220"/>
      <c r="L106" s="220"/>
      <c r="M106" s="220"/>
      <c r="N106" s="220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spans="1:26" ht="15.75">
      <c r="A107" s="218"/>
      <c r="B107" s="221"/>
      <c r="C107" s="222"/>
      <c r="D107" s="218"/>
      <c r="E107" s="218"/>
      <c r="F107" s="220"/>
      <c r="G107" s="218"/>
      <c r="H107" s="218"/>
      <c r="I107" s="218"/>
      <c r="J107" s="218"/>
      <c r="K107" s="220"/>
      <c r="L107" s="220"/>
      <c r="M107" s="220"/>
      <c r="N107" s="220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spans="1:26" ht="15.75">
      <c r="A108" s="218"/>
      <c r="B108" s="221"/>
      <c r="C108" s="222"/>
      <c r="D108" s="218"/>
      <c r="E108" s="218"/>
      <c r="F108" s="220"/>
      <c r="G108" s="218"/>
      <c r="H108" s="218"/>
      <c r="I108" s="218"/>
      <c r="J108" s="218"/>
      <c r="K108" s="220"/>
      <c r="L108" s="220"/>
      <c r="M108" s="220"/>
      <c r="N108" s="220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spans="1:26" ht="15.75">
      <c r="A109" s="218"/>
      <c r="B109" s="221"/>
      <c r="C109" s="222"/>
      <c r="D109" s="218"/>
      <c r="E109" s="218"/>
      <c r="F109" s="220"/>
      <c r="G109" s="218"/>
      <c r="H109" s="218"/>
      <c r="I109" s="218"/>
      <c r="J109" s="218"/>
      <c r="K109" s="220"/>
      <c r="L109" s="220"/>
      <c r="M109" s="220"/>
      <c r="N109" s="220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spans="1:26" ht="15.75">
      <c r="A110" s="218"/>
      <c r="B110" s="221"/>
      <c r="C110" s="222"/>
      <c r="D110" s="218"/>
      <c r="E110" s="218"/>
      <c r="F110" s="220"/>
      <c r="G110" s="218"/>
      <c r="H110" s="218"/>
      <c r="I110" s="218"/>
      <c r="J110" s="218"/>
      <c r="K110" s="220"/>
      <c r="L110" s="220"/>
      <c r="M110" s="220"/>
      <c r="N110" s="220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spans="1:26" ht="15.75">
      <c r="A111" s="218"/>
      <c r="B111" s="221"/>
      <c r="C111" s="222"/>
      <c r="D111" s="218"/>
      <c r="E111" s="218"/>
      <c r="F111" s="220"/>
      <c r="G111" s="218"/>
      <c r="H111" s="218"/>
      <c r="I111" s="218"/>
      <c r="J111" s="218"/>
      <c r="K111" s="220"/>
      <c r="L111" s="220"/>
      <c r="M111" s="220"/>
      <c r="N111" s="220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spans="1:26" ht="15.75">
      <c r="A112" s="218"/>
      <c r="B112" s="221"/>
      <c r="C112" s="222"/>
      <c r="D112" s="218"/>
      <c r="E112" s="218"/>
      <c r="F112" s="220"/>
      <c r="G112" s="218"/>
      <c r="H112" s="218"/>
      <c r="I112" s="218"/>
      <c r="J112" s="218"/>
      <c r="K112" s="220"/>
      <c r="L112" s="220"/>
      <c r="M112" s="220"/>
      <c r="N112" s="220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spans="1:26" ht="15.75">
      <c r="A113" s="218"/>
      <c r="B113" s="221"/>
      <c r="C113" s="222"/>
      <c r="D113" s="218"/>
      <c r="E113" s="218"/>
      <c r="F113" s="220"/>
      <c r="G113" s="218"/>
      <c r="H113" s="218"/>
      <c r="I113" s="218"/>
      <c r="J113" s="218"/>
      <c r="K113" s="220"/>
      <c r="L113" s="220"/>
      <c r="M113" s="220"/>
      <c r="N113" s="220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spans="1:26" ht="15.75">
      <c r="A114" s="218"/>
      <c r="B114" s="221"/>
      <c r="C114" s="222"/>
      <c r="D114" s="218"/>
      <c r="E114" s="218"/>
      <c r="F114" s="220"/>
      <c r="G114" s="218"/>
      <c r="H114" s="218"/>
      <c r="I114" s="218"/>
      <c r="J114" s="218"/>
      <c r="K114" s="220"/>
      <c r="L114" s="220"/>
      <c r="M114" s="220"/>
      <c r="N114" s="220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spans="1:26" ht="15.75">
      <c r="A115" s="218"/>
      <c r="B115" s="221"/>
      <c r="C115" s="222"/>
      <c r="D115" s="218"/>
      <c r="E115" s="218"/>
      <c r="F115" s="220"/>
      <c r="G115" s="218"/>
      <c r="H115" s="218"/>
      <c r="I115" s="218"/>
      <c r="J115" s="218"/>
      <c r="K115" s="220"/>
      <c r="L115" s="220"/>
      <c r="M115" s="220"/>
      <c r="N115" s="220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spans="1:26" ht="15.75">
      <c r="A116" s="218"/>
      <c r="B116" s="221"/>
      <c r="C116" s="222"/>
      <c r="D116" s="218"/>
      <c r="E116" s="218"/>
      <c r="F116" s="220"/>
      <c r="G116" s="218"/>
      <c r="H116" s="218"/>
      <c r="I116" s="218"/>
      <c r="J116" s="218"/>
      <c r="K116" s="220"/>
      <c r="L116" s="220"/>
      <c r="M116" s="220"/>
      <c r="N116" s="220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spans="1:26" ht="15.75">
      <c r="A117" s="218"/>
      <c r="B117" s="221"/>
      <c r="C117" s="222"/>
      <c r="D117" s="218"/>
      <c r="E117" s="218"/>
      <c r="F117" s="220"/>
      <c r="G117" s="218"/>
      <c r="H117" s="218"/>
      <c r="I117" s="218"/>
      <c r="J117" s="218"/>
      <c r="K117" s="220"/>
      <c r="L117" s="220"/>
      <c r="M117" s="220"/>
      <c r="N117" s="220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spans="1:26" ht="15.75">
      <c r="A118" s="218"/>
      <c r="B118" s="221"/>
      <c r="C118" s="222"/>
      <c r="D118" s="218"/>
      <c r="E118" s="218"/>
      <c r="F118" s="220"/>
      <c r="G118" s="218"/>
      <c r="H118" s="218"/>
      <c r="I118" s="218"/>
      <c r="J118" s="218"/>
      <c r="K118" s="220"/>
      <c r="L118" s="220"/>
      <c r="M118" s="220"/>
      <c r="N118" s="220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spans="1:26" ht="15.75">
      <c r="A119" s="218"/>
      <c r="B119" s="221"/>
      <c r="C119" s="222"/>
      <c r="D119" s="218"/>
      <c r="E119" s="218"/>
      <c r="F119" s="220"/>
      <c r="G119" s="218"/>
      <c r="H119" s="218"/>
      <c r="I119" s="218"/>
      <c r="J119" s="218"/>
      <c r="K119" s="220"/>
      <c r="L119" s="220"/>
      <c r="M119" s="220"/>
      <c r="N119" s="220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spans="1:26" ht="15.75">
      <c r="A120" s="218"/>
      <c r="B120" s="221"/>
      <c r="C120" s="222"/>
      <c r="D120" s="218"/>
      <c r="E120" s="218"/>
      <c r="F120" s="220"/>
      <c r="G120" s="218"/>
      <c r="H120" s="218"/>
      <c r="I120" s="218"/>
      <c r="J120" s="218"/>
      <c r="K120" s="220"/>
      <c r="L120" s="220"/>
      <c r="M120" s="220"/>
      <c r="N120" s="220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spans="1:26" ht="15.75">
      <c r="A121" s="218"/>
      <c r="B121" s="221"/>
      <c r="C121" s="222"/>
      <c r="D121" s="218"/>
      <c r="E121" s="218"/>
      <c r="F121" s="220"/>
      <c r="G121" s="218"/>
      <c r="H121" s="218"/>
      <c r="I121" s="218"/>
      <c r="J121" s="218"/>
      <c r="K121" s="220"/>
      <c r="L121" s="220"/>
      <c r="M121" s="220"/>
      <c r="N121" s="220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spans="1:26" ht="15.75">
      <c r="A122" s="218"/>
      <c r="B122" s="221"/>
      <c r="C122" s="222"/>
      <c r="D122" s="218"/>
      <c r="E122" s="218"/>
      <c r="F122" s="220"/>
      <c r="G122" s="218"/>
      <c r="H122" s="218"/>
      <c r="I122" s="218"/>
      <c r="J122" s="218"/>
      <c r="K122" s="220"/>
      <c r="L122" s="220"/>
      <c r="M122" s="220"/>
      <c r="N122" s="220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spans="1:26" ht="15.75">
      <c r="A123" s="218"/>
      <c r="B123" s="221"/>
      <c r="C123" s="222"/>
      <c r="D123" s="218"/>
      <c r="E123" s="218"/>
      <c r="F123" s="220"/>
      <c r="G123" s="218"/>
      <c r="H123" s="218"/>
      <c r="I123" s="218"/>
      <c r="J123" s="218"/>
      <c r="K123" s="220"/>
      <c r="L123" s="220"/>
      <c r="M123" s="220"/>
      <c r="N123" s="220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spans="1:26" ht="15.75">
      <c r="A124" s="218"/>
      <c r="B124" s="221"/>
      <c r="C124" s="222"/>
      <c r="D124" s="218"/>
      <c r="E124" s="218"/>
      <c r="F124" s="220"/>
      <c r="G124" s="218"/>
      <c r="H124" s="218"/>
      <c r="I124" s="218"/>
      <c r="J124" s="218"/>
      <c r="K124" s="220"/>
      <c r="L124" s="220"/>
      <c r="M124" s="220"/>
      <c r="N124" s="220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spans="1:26" ht="15.75">
      <c r="A125" s="218"/>
      <c r="B125" s="221"/>
      <c r="C125" s="222"/>
      <c r="D125" s="218"/>
      <c r="E125" s="218"/>
      <c r="F125" s="220"/>
      <c r="G125" s="218"/>
      <c r="H125" s="218"/>
      <c r="I125" s="218"/>
      <c r="J125" s="218"/>
      <c r="K125" s="220"/>
      <c r="L125" s="220"/>
      <c r="M125" s="220"/>
      <c r="N125" s="220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spans="1:26" ht="15.75">
      <c r="A126" s="218"/>
      <c r="B126" s="221"/>
      <c r="C126" s="222"/>
      <c r="D126" s="218"/>
      <c r="E126" s="218"/>
      <c r="F126" s="220"/>
      <c r="G126" s="218"/>
      <c r="H126" s="218"/>
      <c r="I126" s="218"/>
      <c r="J126" s="218"/>
      <c r="K126" s="220"/>
      <c r="L126" s="220"/>
      <c r="M126" s="220"/>
      <c r="N126" s="220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spans="1:26" ht="15.75">
      <c r="A127" s="218"/>
      <c r="B127" s="221"/>
      <c r="C127" s="222"/>
      <c r="D127" s="218"/>
      <c r="E127" s="218"/>
      <c r="F127" s="220"/>
      <c r="G127" s="218"/>
      <c r="H127" s="218"/>
      <c r="I127" s="218"/>
      <c r="J127" s="218"/>
      <c r="K127" s="220"/>
      <c r="L127" s="220"/>
      <c r="M127" s="220"/>
      <c r="N127" s="220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spans="1:26" ht="15.75">
      <c r="A128" s="218"/>
      <c r="B128" s="221"/>
      <c r="C128" s="222"/>
      <c r="D128" s="218"/>
      <c r="E128" s="218"/>
      <c r="F128" s="220"/>
      <c r="G128" s="218"/>
      <c r="H128" s="218"/>
      <c r="I128" s="218"/>
      <c r="J128" s="218"/>
      <c r="K128" s="220"/>
      <c r="L128" s="220"/>
      <c r="M128" s="220"/>
      <c r="N128" s="220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spans="1:26" ht="15.75">
      <c r="A129" s="218"/>
      <c r="B129" s="221"/>
      <c r="C129" s="222"/>
      <c r="D129" s="218"/>
      <c r="E129" s="218"/>
      <c r="F129" s="220"/>
      <c r="G129" s="218"/>
      <c r="H129" s="218"/>
      <c r="I129" s="218"/>
      <c r="J129" s="218"/>
      <c r="K129" s="220"/>
      <c r="L129" s="220"/>
      <c r="M129" s="220"/>
      <c r="N129" s="220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spans="1:26" ht="15.75">
      <c r="A130" s="218"/>
      <c r="B130" s="221"/>
      <c r="C130" s="222"/>
      <c r="D130" s="218"/>
      <c r="E130" s="218"/>
      <c r="F130" s="220"/>
      <c r="G130" s="218"/>
      <c r="H130" s="218"/>
      <c r="I130" s="218"/>
      <c r="J130" s="218"/>
      <c r="K130" s="220"/>
      <c r="L130" s="220"/>
      <c r="M130" s="220"/>
      <c r="N130" s="220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spans="1:26" ht="15.75">
      <c r="A131" s="218"/>
      <c r="B131" s="221"/>
      <c r="C131" s="222"/>
      <c r="D131" s="218"/>
      <c r="E131" s="218"/>
      <c r="F131" s="220"/>
      <c r="G131" s="218"/>
      <c r="H131" s="218"/>
      <c r="I131" s="218"/>
      <c r="J131" s="218"/>
      <c r="K131" s="220"/>
      <c r="L131" s="220"/>
      <c r="M131" s="220"/>
      <c r="N131" s="220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spans="1:26" ht="15.75">
      <c r="A132" s="218"/>
      <c r="B132" s="221"/>
      <c r="C132" s="222"/>
      <c r="D132" s="218"/>
      <c r="E132" s="218"/>
      <c r="F132" s="220"/>
      <c r="G132" s="218"/>
      <c r="H132" s="218"/>
      <c r="I132" s="218"/>
      <c r="J132" s="218"/>
      <c r="K132" s="220"/>
      <c r="L132" s="220"/>
      <c r="M132" s="220"/>
      <c r="N132" s="220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spans="1:26" ht="15.75">
      <c r="A133" s="218"/>
      <c r="B133" s="221"/>
      <c r="C133" s="222"/>
      <c r="D133" s="218"/>
      <c r="E133" s="218"/>
      <c r="F133" s="220"/>
      <c r="G133" s="218"/>
      <c r="H133" s="218"/>
      <c r="I133" s="218"/>
      <c r="J133" s="218"/>
      <c r="K133" s="220"/>
      <c r="L133" s="220"/>
      <c r="M133" s="220"/>
      <c r="N133" s="220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spans="1:26" ht="15.75">
      <c r="A134" s="218"/>
      <c r="B134" s="221"/>
      <c r="C134" s="222"/>
      <c r="D134" s="218"/>
      <c r="E134" s="218"/>
      <c r="F134" s="220"/>
      <c r="G134" s="218"/>
      <c r="H134" s="218"/>
      <c r="I134" s="218"/>
      <c r="J134" s="218"/>
      <c r="K134" s="220"/>
      <c r="L134" s="220"/>
      <c r="M134" s="220"/>
      <c r="N134" s="220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spans="1:26" ht="15.75">
      <c r="A135" s="218"/>
      <c r="B135" s="221"/>
      <c r="C135" s="222"/>
      <c r="D135" s="218"/>
      <c r="E135" s="218"/>
      <c r="F135" s="220"/>
      <c r="G135" s="218"/>
      <c r="H135" s="218"/>
      <c r="I135" s="218"/>
      <c r="J135" s="218"/>
      <c r="K135" s="220"/>
      <c r="L135" s="220"/>
      <c r="M135" s="220"/>
      <c r="N135" s="220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spans="1:26" ht="15.75">
      <c r="A136" s="218"/>
      <c r="B136" s="221"/>
      <c r="C136" s="222"/>
      <c r="D136" s="218"/>
      <c r="E136" s="218"/>
      <c r="F136" s="220"/>
      <c r="G136" s="218"/>
      <c r="H136" s="218"/>
      <c r="I136" s="218"/>
      <c r="J136" s="218"/>
      <c r="K136" s="220"/>
      <c r="L136" s="220"/>
      <c r="M136" s="220"/>
      <c r="N136" s="220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spans="1:26" ht="15.75">
      <c r="A137" s="218"/>
      <c r="B137" s="221"/>
      <c r="C137" s="222"/>
      <c r="D137" s="218"/>
      <c r="E137" s="218"/>
      <c r="F137" s="220"/>
      <c r="G137" s="218"/>
      <c r="H137" s="218"/>
      <c r="I137" s="218"/>
      <c r="J137" s="218"/>
      <c r="K137" s="220"/>
      <c r="L137" s="220"/>
      <c r="M137" s="220"/>
      <c r="N137" s="220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spans="1:26" ht="15.75">
      <c r="A138" s="218"/>
      <c r="B138" s="221"/>
      <c r="C138" s="222"/>
      <c r="D138" s="218"/>
      <c r="E138" s="218"/>
      <c r="F138" s="220"/>
      <c r="G138" s="218"/>
      <c r="H138" s="218"/>
      <c r="I138" s="218"/>
      <c r="J138" s="218"/>
      <c r="K138" s="220"/>
      <c r="L138" s="220"/>
      <c r="M138" s="220"/>
      <c r="N138" s="220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spans="1:26" ht="15.75">
      <c r="A139" s="218"/>
      <c r="B139" s="221"/>
      <c r="C139" s="222"/>
      <c r="D139" s="218"/>
      <c r="E139" s="218"/>
      <c r="F139" s="220"/>
      <c r="G139" s="218"/>
      <c r="H139" s="218"/>
      <c r="I139" s="218"/>
      <c r="J139" s="218"/>
      <c r="K139" s="220"/>
      <c r="L139" s="220"/>
      <c r="M139" s="220"/>
      <c r="N139" s="220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spans="1:26" ht="15.75">
      <c r="A140" s="218"/>
      <c r="B140" s="221"/>
      <c r="C140" s="222"/>
      <c r="D140" s="218"/>
      <c r="E140" s="218"/>
      <c r="F140" s="220"/>
      <c r="G140" s="218"/>
      <c r="H140" s="218"/>
      <c r="I140" s="218"/>
      <c r="J140" s="218"/>
      <c r="K140" s="220"/>
      <c r="L140" s="220"/>
      <c r="M140" s="220"/>
      <c r="N140" s="220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spans="1:26" ht="15.75">
      <c r="A141" s="218"/>
      <c r="B141" s="221"/>
      <c r="C141" s="222"/>
      <c r="D141" s="218"/>
      <c r="E141" s="218"/>
      <c r="F141" s="220"/>
      <c r="G141" s="218"/>
      <c r="H141" s="218"/>
      <c r="I141" s="218"/>
      <c r="J141" s="218"/>
      <c r="K141" s="220"/>
      <c r="L141" s="220"/>
      <c r="M141" s="220"/>
      <c r="N141" s="220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spans="1:26" ht="15.75">
      <c r="A142" s="218"/>
      <c r="B142" s="221"/>
      <c r="C142" s="222"/>
      <c r="D142" s="218"/>
      <c r="E142" s="218"/>
      <c r="F142" s="220"/>
      <c r="G142" s="218"/>
      <c r="H142" s="218"/>
      <c r="I142" s="218"/>
      <c r="J142" s="218"/>
      <c r="K142" s="220"/>
      <c r="L142" s="220"/>
      <c r="M142" s="220"/>
      <c r="N142" s="220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spans="1:26" ht="15.75">
      <c r="A143" s="218"/>
      <c r="B143" s="221"/>
      <c r="C143" s="222"/>
      <c r="D143" s="218"/>
      <c r="E143" s="218"/>
      <c r="F143" s="220"/>
      <c r="G143" s="218"/>
      <c r="H143" s="218"/>
      <c r="I143" s="218"/>
      <c r="J143" s="218"/>
      <c r="K143" s="220"/>
      <c r="L143" s="220"/>
      <c r="M143" s="220"/>
      <c r="N143" s="220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spans="1:26" ht="15.75">
      <c r="A144" s="218"/>
      <c r="B144" s="221"/>
      <c r="C144" s="222"/>
      <c r="D144" s="218"/>
      <c r="E144" s="218"/>
      <c r="F144" s="220"/>
      <c r="G144" s="218"/>
      <c r="H144" s="218"/>
      <c r="I144" s="218"/>
      <c r="J144" s="218"/>
      <c r="K144" s="220"/>
      <c r="L144" s="220"/>
      <c r="M144" s="220"/>
      <c r="N144" s="220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spans="1:26" ht="15.75">
      <c r="A145" s="218"/>
      <c r="B145" s="221"/>
      <c r="C145" s="222"/>
      <c r="D145" s="218"/>
      <c r="E145" s="218"/>
      <c r="F145" s="220"/>
      <c r="G145" s="218"/>
      <c r="H145" s="218"/>
      <c r="I145" s="218"/>
      <c r="J145" s="218"/>
      <c r="K145" s="220"/>
      <c r="L145" s="220"/>
      <c r="M145" s="220"/>
      <c r="N145" s="220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spans="1:26" ht="15.75">
      <c r="A146" s="218"/>
      <c r="B146" s="221"/>
      <c r="C146" s="222"/>
      <c r="D146" s="218"/>
      <c r="E146" s="218"/>
      <c r="F146" s="220"/>
      <c r="G146" s="218"/>
      <c r="H146" s="218"/>
      <c r="I146" s="218"/>
      <c r="J146" s="218"/>
      <c r="K146" s="220"/>
      <c r="L146" s="220"/>
      <c r="M146" s="220"/>
      <c r="N146" s="220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spans="1:26" ht="15.75">
      <c r="A147" s="218"/>
      <c r="B147" s="221"/>
      <c r="C147" s="222"/>
      <c r="D147" s="218"/>
      <c r="E147" s="218"/>
      <c r="F147" s="220"/>
      <c r="G147" s="218"/>
      <c r="H147" s="218"/>
      <c r="I147" s="218"/>
      <c r="J147" s="218"/>
      <c r="K147" s="220"/>
      <c r="L147" s="220"/>
      <c r="M147" s="220"/>
      <c r="N147" s="220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spans="1:26" ht="15.75">
      <c r="A148" s="218"/>
      <c r="B148" s="221"/>
      <c r="C148" s="222"/>
      <c r="D148" s="218"/>
      <c r="E148" s="218"/>
      <c r="F148" s="220"/>
      <c r="G148" s="218"/>
      <c r="H148" s="218"/>
      <c r="I148" s="218"/>
      <c r="J148" s="218"/>
      <c r="K148" s="220"/>
      <c r="L148" s="220"/>
      <c r="M148" s="220"/>
      <c r="N148" s="220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spans="1:26" ht="15.75">
      <c r="A149" s="218"/>
      <c r="B149" s="221"/>
      <c r="C149" s="222"/>
      <c r="D149" s="218"/>
      <c r="E149" s="218"/>
      <c r="F149" s="220"/>
      <c r="G149" s="218"/>
      <c r="H149" s="218"/>
      <c r="I149" s="218"/>
      <c r="J149" s="218"/>
      <c r="K149" s="220"/>
      <c r="L149" s="220"/>
      <c r="M149" s="220"/>
      <c r="N149" s="220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spans="1:26" ht="15.75">
      <c r="A150" s="218"/>
      <c r="B150" s="221"/>
      <c r="C150" s="222"/>
      <c r="D150" s="218"/>
      <c r="E150" s="218"/>
      <c r="F150" s="220"/>
      <c r="G150" s="218"/>
      <c r="H150" s="218"/>
      <c r="I150" s="218"/>
      <c r="J150" s="218"/>
      <c r="K150" s="220"/>
      <c r="L150" s="220"/>
      <c r="M150" s="220"/>
      <c r="N150" s="220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spans="1:26" ht="15.75">
      <c r="A151" s="218"/>
      <c r="B151" s="221"/>
      <c r="C151" s="222"/>
      <c r="D151" s="218"/>
      <c r="E151" s="218"/>
      <c r="F151" s="220"/>
      <c r="G151" s="218"/>
      <c r="H151" s="218"/>
      <c r="I151" s="218"/>
      <c r="J151" s="218"/>
      <c r="K151" s="220"/>
      <c r="L151" s="220"/>
      <c r="M151" s="220"/>
      <c r="N151" s="220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spans="1:26" ht="15.75">
      <c r="A152" s="218"/>
      <c r="B152" s="221"/>
      <c r="C152" s="222"/>
      <c r="D152" s="218"/>
      <c r="E152" s="218"/>
      <c r="F152" s="220"/>
      <c r="G152" s="218"/>
      <c r="H152" s="218"/>
      <c r="I152" s="218"/>
      <c r="J152" s="218"/>
      <c r="K152" s="220"/>
      <c r="L152" s="220"/>
      <c r="M152" s="220"/>
      <c r="N152" s="220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spans="1:26" ht="15.75">
      <c r="A153" s="218"/>
      <c r="B153" s="221"/>
      <c r="C153" s="222"/>
      <c r="D153" s="218"/>
      <c r="E153" s="218"/>
      <c r="F153" s="220"/>
      <c r="G153" s="218"/>
      <c r="H153" s="218"/>
      <c r="I153" s="218"/>
      <c r="J153" s="218"/>
      <c r="K153" s="220"/>
      <c r="L153" s="220"/>
      <c r="M153" s="220"/>
      <c r="N153" s="220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spans="1:26" ht="15.75">
      <c r="A154" s="218"/>
      <c r="B154" s="221"/>
      <c r="C154" s="222"/>
      <c r="D154" s="218"/>
      <c r="E154" s="218"/>
      <c r="F154" s="220"/>
      <c r="G154" s="218"/>
      <c r="H154" s="218"/>
      <c r="I154" s="218"/>
      <c r="J154" s="218"/>
      <c r="K154" s="220"/>
      <c r="L154" s="220"/>
      <c r="M154" s="220"/>
      <c r="N154" s="220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spans="1:26" ht="15.75">
      <c r="A155" s="218"/>
      <c r="B155" s="221"/>
      <c r="C155" s="222"/>
      <c r="D155" s="218"/>
      <c r="E155" s="218"/>
      <c r="F155" s="220"/>
      <c r="G155" s="218"/>
      <c r="H155" s="218"/>
      <c r="I155" s="218"/>
      <c r="J155" s="218"/>
      <c r="K155" s="220"/>
      <c r="L155" s="220"/>
      <c r="M155" s="220"/>
      <c r="N155" s="220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spans="1:26" ht="15.75">
      <c r="A156" s="218"/>
      <c r="B156" s="221"/>
      <c r="C156" s="222"/>
      <c r="D156" s="218"/>
      <c r="E156" s="218"/>
      <c r="F156" s="220"/>
      <c r="G156" s="218"/>
      <c r="H156" s="218"/>
      <c r="I156" s="218"/>
      <c r="J156" s="218"/>
      <c r="K156" s="220"/>
      <c r="L156" s="220"/>
      <c r="M156" s="220"/>
      <c r="N156" s="220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spans="1:26" ht="15.75">
      <c r="A157" s="218"/>
      <c r="B157" s="221"/>
      <c r="C157" s="222"/>
      <c r="D157" s="218"/>
      <c r="E157" s="218"/>
      <c r="F157" s="220"/>
      <c r="G157" s="218"/>
      <c r="H157" s="218"/>
      <c r="I157" s="218"/>
      <c r="J157" s="218"/>
      <c r="K157" s="220"/>
      <c r="L157" s="220"/>
      <c r="M157" s="220"/>
      <c r="N157" s="220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spans="1:26" ht="15.75">
      <c r="A158" s="218"/>
      <c r="B158" s="221"/>
      <c r="C158" s="222"/>
      <c r="D158" s="218"/>
      <c r="E158" s="218"/>
      <c r="F158" s="220"/>
      <c r="G158" s="218"/>
      <c r="H158" s="218"/>
      <c r="I158" s="218"/>
      <c r="J158" s="218"/>
      <c r="K158" s="220"/>
      <c r="L158" s="220"/>
      <c r="M158" s="220"/>
      <c r="N158" s="220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spans="1:26" ht="15.75">
      <c r="A159" s="218"/>
      <c r="B159" s="221"/>
      <c r="C159" s="222"/>
      <c r="D159" s="218"/>
      <c r="E159" s="218"/>
      <c r="F159" s="220"/>
      <c r="G159" s="218"/>
      <c r="H159" s="218"/>
      <c r="I159" s="218"/>
      <c r="J159" s="218"/>
      <c r="K159" s="220"/>
      <c r="L159" s="220"/>
      <c r="M159" s="220"/>
      <c r="N159" s="220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spans="1:26" ht="15.75">
      <c r="A160" s="218"/>
      <c r="B160" s="221"/>
      <c r="C160" s="222"/>
      <c r="D160" s="218"/>
      <c r="E160" s="218"/>
      <c r="F160" s="220"/>
      <c r="G160" s="218"/>
      <c r="H160" s="218"/>
      <c r="I160" s="218"/>
      <c r="J160" s="218"/>
      <c r="K160" s="220"/>
      <c r="L160" s="220"/>
      <c r="M160" s="220"/>
      <c r="N160" s="220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spans="1:26" ht="15.75">
      <c r="A161" s="218"/>
      <c r="B161" s="221"/>
      <c r="C161" s="222"/>
      <c r="D161" s="218"/>
      <c r="E161" s="218"/>
      <c r="F161" s="220"/>
      <c r="G161" s="218"/>
      <c r="H161" s="218"/>
      <c r="I161" s="218"/>
      <c r="J161" s="218"/>
      <c r="K161" s="220"/>
      <c r="L161" s="220"/>
      <c r="M161" s="220"/>
      <c r="N161" s="220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spans="1:26" ht="15.75">
      <c r="A162" s="218"/>
      <c r="B162" s="221"/>
      <c r="C162" s="222"/>
      <c r="D162" s="218"/>
      <c r="E162" s="218"/>
      <c r="F162" s="220"/>
      <c r="G162" s="218"/>
      <c r="H162" s="218"/>
      <c r="I162" s="218"/>
      <c r="J162" s="218"/>
      <c r="K162" s="220"/>
      <c r="L162" s="220"/>
      <c r="M162" s="220"/>
      <c r="N162" s="220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spans="1:26" ht="15.75">
      <c r="A163" s="218"/>
      <c r="B163" s="221"/>
      <c r="C163" s="222"/>
      <c r="D163" s="218"/>
      <c r="E163" s="218"/>
      <c r="F163" s="220"/>
      <c r="G163" s="218"/>
      <c r="H163" s="218"/>
      <c r="I163" s="218"/>
      <c r="J163" s="218"/>
      <c r="K163" s="220"/>
      <c r="L163" s="220"/>
      <c r="M163" s="220"/>
      <c r="N163" s="220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spans="1:26" ht="15.75">
      <c r="A164" s="218"/>
      <c r="B164" s="221"/>
      <c r="C164" s="222"/>
      <c r="D164" s="218"/>
      <c r="E164" s="218"/>
      <c r="F164" s="220"/>
      <c r="G164" s="218"/>
      <c r="H164" s="218"/>
      <c r="I164" s="218"/>
      <c r="J164" s="218"/>
      <c r="K164" s="220"/>
      <c r="L164" s="220"/>
      <c r="M164" s="220"/>
      <c r="N164" s="220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spans="1:26" ht="15.75">
      <c r="A165" s="218"/>
      <c r="B165" s="221"/>
      <c r="C165" s="222"/>
      <c r="D165" s="218"/>
      <c r="E165" s="218"/>
      <c r="F165" s="220"/>
      <c r="G165" s="218"/>
      <c r="H165" s="218"/>
      <c r="I165" s="218"/>
      <c r="J165" s="218"/>
      <c r="K165" s="220"/>
      <c r="L165" s="220"/>
      <c r="M165" s="220"/>
      <c r="N165" s="220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spans="1:26" ht="15.75">
      <c r="A166" s="218"/>
      <c r="B166" s="221"/>
      <c r="C166" s="222"/>
      <c r="D166" s="218"/>
      <c r="E166" s="218"/>
      <c r="F166" s="220"/>
      <c r="G166" s="218"/>
      <c r="H166" s="218"/>
      <c r="I166" s="218"/>
      <c r="J166" s="218"/>
      <c r="K166" s="220"/>
      <c r="L166" s="220"/>
      <c r="M166" s="220"/>
      <c r="N166" s="220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spans="1:26" ht="15.75">
      <c r="A167" s="218"/>
      <c r="B167" s="221"/>
      <c r="C167" s="222"/>
      <c r="D167" s="218"/>
      <c r="E167" s="218"/>
      <c r="F167" s="220"/>
      <c r="G167" s="218"/>
      <c r="H167" s="218"/>
      <c r="I167" s="218"/>
      <c r="J167" s="218"/>
      <c r="K167" s="220"/>
      <c r="L167" s="220"/>
      <c r="M167" s="220"/>
      <c r="N167" s="220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spans="1:26" ht="15.75">
      <c r="A168" s="218"/>
      <c r="B168" s="221"/>
      <c r="C168" s="222"/>
      <c r="D168" s="218"/>
      <c r="E168" s="218"/>
      <c r="F168" s="220"/>
      <c r="G168" s="218"/>
      <c r="H168" s="218"/>
      <c r="I168" s="218"/>
      <c r="J168" s="218"/>
      <c r="K168" s="220"/>
      <c r="L168" s="220"/>
      <c r="M168" s="220"/>
      <c r="N168" s="220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spans="1:26" ht="15.75">
      <c r="A169" s="218"/>
      <c r="B169" s="221"/>
      <c r="C169" s="222"/>
      <c r="D169" s="218"/>
      <c r="E169" s="218"/>
      <c r="F169" s="220"/>
      <c r="G169" s="218"/>
      <c r="H169" s="218"/>
      <c r="I169" s="218"/>
      <c r="J169" s="218"/>
      <c r="K169" s="220"/>
      <c r="L169" s="220"/>
      <c r="M169" s="220"/>
      <c r="N169" s="220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spans="1:26" ht="15.75">
      <c r="A170" s="218"/>
      <c r="B170" s="221"/>
      <c r="C170" s="222"/>
      <c r="D170" s="218"/>
      <c r="E170" s="218"/>
      <c r="F170" s="220"/>
      <c r="G170" s="218"/>
      <c r="H170" s="218"/>
      <c r="I170" s="218"/>
      <c r="J170" s="218"/>
      <c r="K170" s="220"/>
      <c r="L170" s="220"/>
      <c r="M170" s="220"/>
      <c r="N170" s="220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spans="1:26" ht="15.75">
      <c r="A171" s="218"/>
      <c r="B171" s="221"/>
      <c r="C171" s="222"/>
      <c r="D171" s="218"/>
      <c r="E171" s="218"/>
      <c r="F171" s="220"/>
      <c r="G171" s="218"/>
      <c r="H171" s="218"/>
      <c r="I171" s="218"/>
      <c r="J171" s="218"/>
      <c r="K171" s="220"/>
      <c r="L171" s="220"/>
      <c r="M171" s="220"/>
      <c r="N171" s="220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spans="1:26" ht="15.75">
      <c r="A172" s="218"/>
      <c r="B172" s="221"/>
      <c r="C172" s="222"/>
      <c r="D172" s="218"/>
      <c r="E172" s="218"/>
      <c r="F172" s="220"/>
      <c r="G172" s="218"/>
      <c r="H172" s="218"/>
      <c r="I172" s="218"/>
      <c r="J172" s="218"/>
      <c r="K172" s="220"/>
      <c r="L172" s="220"/>
      <c r="M172" s="220"/>
      <c r="N172" s="220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spans="1:26" ht="15.75">
      <c r="A173" s="218"/>
      <c r="B173" s="221"/>
      <c r="C173" s="222"/>
      <c r="D173" s="218"/>
      <c r="E173" s="218"/>
      <c r="F173" s="220"/>
      <c r="G173" s="218"/>
      <c r="H173" s="218"/>
      <c r="I173" s="218"/>
      <c r="J173" s="218"/>
      <c r="K173" s="220"/>
      <c r="L173" s="220"/>
      <c r="M173" s="220"/>
      <c r="N173" s="220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spans="1:26" ht="15.75">
      <c r="A174" s="218"/>
      <c r="B174" s="221"/>
      <c r="C174" s="222"/>
      <c r="D174" s="218"/>
      <c r="E174" s="218"/>
      <c r="F174" s="220"/>
      <c r="G174" s="218"/>
      <c r="H174" s="218"/>
      <c r="I174" s="218"/>
      <c r="J174" s="218"/>
      <c r="K174" s="220"/>
      <c r="L174" s="220"/>
      <c r="M174" s="220"/>
      <c r="N174" s="220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spans="1:26" ht="15.75">
      <c r="A175" s="218"/>
      <c r="B175" s="221"/>
      <c r="C175" s="222"/>
      <c r="D175" s="218"/>
      <c r="E175" s="218"/>
      <c r="F175" s="220"/>
      <c r="G175" s="218"/>
      <c r="H175" s="218"/>
      <c r="I175" s="218"/>
      <c r="J175" s="218"/>
      <c r="K175" s="220"/>
      <c r="L175" s="220"/>
      <c r="M175" s="220"/>
      <c r="N175" s="220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spans="1:26" ht="15.75">
      <c r="A176" s="218"/>
      <c r="B176" s="221"/>
      <c r="C176" s="222"/>
      <c r="D176" s="218"/>
      <c r="E176" s="218"/>
      <c r="F176" s="220"/>
      <c r="G176" s="218"/>
      <c r="H176" s="218"/>
      <c r="I176" s="218"/>
      <c r="J176" s="218"/>
      <c r="K176" s="220"/>
      <c r="L176" s="220"/>
      <c r="M176" s="220"/>
      <c r="N176" s="220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spans="1:26" ht="15.75">
      <c r="A177" s="218"/>
      <c r="B177" s="221"/>
      <c r="C177" s="222"/>
      <c r="D177" s="218"/>
      <c r="E177" s="218"/>
      <c r="F177" s="220"/>
      <c r="G177" s="218"/>
      <c r="H177" s="218"/>
      <c r="I177" s="218"/>
      <c r="J177" s="218"/>
      <c r="K177" s="220"/>
      <c r="L177" s="220"/>
      <c r="M177" s="220"/>
      <c r="N177" s="220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spans="1:26" ht="15.75">
      <c r="A178" s="218"/>
      <c r="B178" s="221"/>
      <c r="C178" s="222"/>
      <c r="D178" s="218"/>
      <c r="E178" s="218"/>
      <c r="F178" s="220"/>
      <c r="G178" s="218"/>
      <c r="H178" s="218"/>
      <c r="I178" s="218"/>
      <c r="J178" s="218"/>
      <c r="K178" s="220"/>
      <c r="L178" s="220"/>
      <c r="M178" s="220"/>
      <c r="N178" s="220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spans="1:26" ht="15.75">
      <c r="A179" s="218"/>
      <c r="B179" s="221"/>
      <c r="C179" s="222"/>
      <c r="D179" s="218"/>
      <c r="E179" s="218"/>
      <c r="F179" s="220"/>
      <c r="G179" s="218"/>
      <c r="H179" s="218"/>
      <c r="I179" s="218"/>
      <c r="J179" s="218"/>
      <c r="K179" s="220"/>
      <c r="L179" s="220"/>
      <c r="M179" s="220"/>
      <c r="N179" s="220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spans="1:26" ht="15.75">
      <c r="A180" s="218"/>
      <c r="B180" s="221"/>
      <c r="C180" s="222"/>
      <c r="D180" s="218"/>
      <c r="E180" s="218"/>
      <c r="F180" s="220"/>
      <c r="G180" s="218"/>
      <c r="H180" s="218"/>
      <c r="I180" s="218"/>
      <c r="J180" s="218"/>
      <c r="K180" s="220"/>
      <c r="L180" s="220"/>
      <c r="M180" s="220"/>
      <c r="N180" s="220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spans="1:26" ht="15.75">
      <c r="A181" s="218"/>
      <c r="B181" s="221"/>
      <c r="C181" s="222"/>
      <c r="D181" s="218"/>
      <c r="E181" s="218"/>
      <c r="F181" s="220"/>
      <c r="G181" s="218"/>
      <c r="H181" s="218"/>
      <c r="I181" s="218"/>
      <c r="J181" s="218"/>
      <c r="K181" s="220"/>
      <c r="L181" s="220"/>
      <c r="M181" s="220"/>
      <c r="N181" s="220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spans="1:26" ht="15.75">
      <c r="A182" s="218"/>
      <c r="B182" s="221"/>
      <c r="C182" s="222"/>
      <c r="D182" s="218"/>
      <c r="E182" s="218"/>
      <c r="F182" s="220"/>
      <c r="G182" s="218"/>
      <c r="H182" s="218"/>
      <c r="I182" s="218"/>
      <c r="J182" s="218"/>
      <c r="K182" s="220"/>
      <c r="L182" s="220"/>
      <c r="M182" s="220"/>
      <c r="N182" s="220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spans="1:26" ht="15.75">
      <c r="A183" s="218"/>
      <c r="B183" s="221"/>
      <c r="C183" s="222"/>
      <c r="D183" s="218"/>
      <c r="E183" s="218"/>
      <c r="F183" s="220"/>
      <c r="G183" s="218"/>
      <c r="H183" s="218"/>
      <c r="I183" s="218"/>
      <c r="J183" s="218"/>
      <c r="K183" s="220"/>
      <c r="L183" s="220"/>
      <c r="M183" s="220"/>
      <c r="N183" s="220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spans="1:26" ht="15.75">
      <c r="A184" s="218"/>
      <c r="B184" s="221"/>
      <c r="C184" s="222"/>
      <c r="D184" s="218"/>
      <c r="E184" s="218"/>
      <c r="F184" s="220"/>
      <c r="G184" s="218"/>
      <c r="H184" s="218"/>
      <c r="I184" s="218"/>
      <c r="J184" s="218"/>
      <c r="K184" s="220"/>
      <c r="L184" s="220"/>
      <c r="M184" s="220"/>
      <c r="N184" s="220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spans="1:26" ht="15.75">
      <c r="A185" s="218"/>
      <c r="B185" s="221"/>
      <c r="C185" s="222"/>
      <c r="D185" s="218"/>
      <c r="E185" s="218"/>
      <c r="F185" s="220"/>
      <c r="G185" s="218"/>
      <c r="H185" s="218"/>
      <c r="I185" s="218"/>
      <c r="J185" s="218"/>
      <c r="K185" s="220"/>
      <c r="L185" s="220"/>
      <c r="M185" s="220"/>
      <c r="N185" s="220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spans="1:26" ht="15.75">
      <c r="A186" s="218"/>
      <c r="B186" s="221"/>
      <c r="C186" s="222"/>
      <c r="D186" s="218"/>
      <c r="E186" s="218"/>
      <c r="F186" s="220"/>
      <c r="G186" s="218"/>
      <c r="H186" s="218"/>
      <c r="I186" s="218"/>
      <c r="J186" s="218"/>
      <c r="K186" s="220"/>
      <c r="L186" s="220"/>
      <c r="M186" s="220"/>
      <c r="N186" s="220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spans="1:26" ht="15.75">
      <c r="A187" s="218"/>
      <c r="B187" s="221"/>
      <c r="C187" s="222"/>
      <c r="D187" s="218"/>
      <c r="E187" s="218"/>
      <c r="F187" s="220"/>
      <c r="G187" s="218"/>
      <c r="H187" s="218"/>
      <c r="I187" s="218"/>
      <c r="J187" s="218"/>
      <c r="K187" s="220"/>
      <c r="L187" s="220"/>
      <c r="M187" s="220"/>
      <c r="N187" s="220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spans="1:26" ht="15.75">
      <c r="A188" s="218"/>
      <c r="B188" s="221"/>
      <c r="C188" s="222"/>
      <c r="D188" s="218"/>
      <c r="E188" s="218"/>
      <c r="F188" s="220"/>
      <c r="G188" s="218"/>
      <c r="H188" s="218"/>
      <c r="I188" s="218"/>
      <c r="J188" s="218"/>
      <c r="K188" s="220"/>
      <c r="L188" s="220"/>
      <c r="M188" s="220"/>
      <c r="N188" s="220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spans="1:26" ht="15.75">
      <c r="A189" s="218"/>
      <c r="B189" s="221"/>
      <c r="C189" s="222"/>
      <c r="D189" s="218"/>
      <c r="E189" s="218"/>
      <c r="F189" s="220"/>
      <c r="G189" s="218"/>
      <c r="H189" s="218"/>
      <c r="I189" s="218"/>
      <c r="J189" s="218"/>
      <c r="K189" s="220"/>
      <c r="L189" s="220"/>
      <c r="M189" s="220"/>
      <c r="N189" s="220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spans="1:26" ht="15.75">
      <c r="A190" s="218"/>
      <c r="B190" s="221"/>
      <c r="C190" s="222"/>
      <c r="D190" s="218"/>
      <c r="E190" s="218"/>
      <c r="F190" s="220"/>
      <c r="G190" s="218"/>
      <c r="H190" s="218"/>
      <c r="I190" s="218"/>
      <c r="J190" s="218"/>
      <c r="K190" s="220"/>
      <c r="L190" s="220"/>
      <c r="M190" s="220"/>
      <c r="N190" s="220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spans="1:26" ht="15.75">
      <c r="A191" s="218"/>
      <c r="B191" s="221"/>
      <c r="C191" s="222"/>
      <c r="D191" s="218"/>
      <c r="E191" s="218"/>
      <c r="F191" s="220"/>
      <c r="G191" s="218"/>
      <c r="H191" s="218"/>
      <c r="I191" s="218"/>
      <c r="J191" s="218"/>
      <c r="K191" s="220"/>
      <c r="L191" s="220"/>
      <c r="M191" s="220"/>
      <c r="N191" s="220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spans="1:26" ht="15.75">
      <c r="A192" s="218"/>
      <c r="B192" s="221"/>
      <c r="C192" s="222"/>
      <c r="D192" s="218"/>
      <c r="E192" s="218"/>
      <c r="F192" s="220"/>
      <c r="G192" s="218"/>
      <c r="H192" s="218"/>
      <c r="I192" s="218"/>
      <c r="J192" s="218"/>
      <c r="K192" s="220"/>
      <c r="L192" s="220"/>
      <c r="M192" s="220"/>
      <c r="N192" s="220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spans="1:26" ht="15.75">
      <c r="A193" s="218"/>
      <c r="B193" s="221"/>
      <c r="C193" s="222"/>
      <c r="D193" s="218"/>
      <c r="E193" s="218"/>
      <c r="F193" s="220"/>
      <c r="G193" s="218"/>
      <c r="H193" s="218"/>
      <c r="I193" s="218"/>
      <c r="J193" s="218"/>
      <c r="K193" s="220"/>
      <c r="L193" s="220"/>
      <c r="M193" s="220"/>
      <c r="N193" s="220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spans="1:26" ht="15.75">
      <c r="A194" s="218"/>
      <c r="B194" s="221"/>
      <c r="C194" s="222"/>
      <c r="D194" s="218"/>
      <c r="E194" s="218"/>
      <c r="F194" s="220"/>
      <c r="G194" s="218"/>
      <c r="H194" s="218"/>
      <c r="I194" s="218"/>
      <c r="J194" s="218"/>
      <c r="K194" s="220"/>
      <c r="L194" s="220"/>
      <c r="M194" s="220"/>
      <c r="N194" s="220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spans="1:26" ht="15.75">
      <c r="A195" s="218"/>
      <c r="B195" s="221"/>
      <c r="C195" s="222"/>
      <c r="D195" s="218"/>
      <c r="E195" s="218"/>
      <c r="F195" s="220"/>
      <c r="G195" s="218"/>
      <c r="H195" s="218"/>
      <c r="I195" s="218"/>
      <c r="J195" s="218"/>
      <c r="K195" s="220"/>
      <c r="L195" s="220"/>
      <c r="M195" s="220"/>
      <c r="N195" s="220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spans="1:26" ht="15.75">
      <c r="A196" s="218"/>
      <c r="B196" s="221"/>
      <c r="C196" s="222"/>
      <c r="D196" s="218"/>
      <c r="E196" s="218"/>
      <c r="F196" s="220"/>
      <c r="G196" s="218"/>
      <c r="H196" s="218"/>
      <c r="I196" s="218"/>
      <c r="J196" s="218"/>
      <c r="K196" s="220"/>
      <c r="L196" s="220"/>
      <c r="M196" s="220"/>
      <c r="N196" s="220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spans="1:26" ht="15.75">
      <c r="A197" s="218"/>
      <c r="B197" s="221"/>
      <c r="C197" s="222"/>
      <c r="D197" s="218"/>
      <c r="E197" s="218"/>
      <c r="F197" s="220"/>
      <c r="G197" s="218"/>
      <c r="H197" s="218"/>
      <c r="I197" s="218"/>
      <c r="J197" s="218"/>
      <c r="K197" s="220"/>
      <c r="L197" s="220"/>
      <c r="M197" s="220"/>
      <c r="N197" s="220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spans="1:26" ht="15.75">
      <c r="A198" s="218"/>
      <c r="B198" s="221"/>
      <c r="C198" s="222"/>
      <c r="D198" s="218"/>
      <c r="E198" s="218"/>
      <c r="F198" s="220"/>
      <c r="G198" s="218"/>
      <c r="H198" s="218"/>
      <c r="I198" s="218"/>
      <c r="J198" s="218"/>
      <c r="K198" s="220"/>
      <c r="L198" s="220"/>
      <c r="M198" s="220"/>
      <c r="N198" s="220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spans="1:26" ht="15.75">
      <c r="A199" s="218"/>
      <c r="B199" s="221"/>
      <c r="C199" s="222"/>
      <c r="D199" s="218"/>
      <c r="E199" s="218"/>
      <c r="F199" s="220"/>
      <c r="G199" s="218"/>
      <c r="H199" s="218"/>
      <c r="I199" s="218"/>
      <c r="J199" s="218"/>
      <c r="K199" s="220"/>
      <c r="L199" s="220"/>
      <c r="M199" s="220"/>
      <c r="N199" s="220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spans="1:26" ht="15.75">
      <c r="A200" s="218"/>
      <c r="B200" s="221"/>
      <c r="C200" s="222"/>
      <c r="D200" s="218"/>
      <c r="E200" s="218"/>
      <c r="F200" s="220"/>
      <c r="G200" s="218"/>
      <c r="H200" s="218"/>
      <c r="I200" s="218"/>
      <c r="J200" s="218"/>
      <c r="K200" s="220"/>
      <c r="L200" s="220"/>
      <c r="M200" s="220"/>
      <c r="N200" s="220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spans="1:26" ht="15.75">
      <c r="A201" s="218"/>
      <c r="B201" s="221"/>
      <c r="C201" s="222"/>
      <c r="D201" s="218"/>
      <c r="E201" s="218"/>
      <c r="F201" s="220"/>
      <c r="G201" s="218"/>
      <c r="H201" s="218"/>
      <c r="I201" s="218"/>
      <c r="J201" s="218"/>
      <c r="K201" s="220"/>
      <c r="L201" s="220"/>
      <c r="M201" s="220"/>
      <c r="N201" s="220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spans="1:26" ht="15.75">
      <c r="A202" s="218"/>
      <c r="B202" s="221"/>
      <c r="C202" s="222"/>
      <c r="D202" s="218"/>
      <c r="E202" s="218"/>
      <c r="F202" s="220"/>
      <c r="G202" s="218"/>
      <c r="H202" s="218"/>
      <c r="I202" s="218"/>
      <c r="J202" s="218"/>
      <c r="K202" s="220"/>
      <c r="L202" s="220"/>
      <c r="M202" s="220"/>
      <c r="N202" s="220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spans="1:26" ht="15.75">
      <c r="A203" s="218"/>
      <c r="B203" s="221"/>
      <c r="C203" s="222"/>
      <c r="D203" s="218"/>
      <c r="E203" s="218"/>
      <c r="F203" s="220"/>
      <c r="G203" s="218"/>
      <c r="H203" s="218"/>
      <c r="I203" s="218"/>
      <c r="J203" s="218"/>
      <c r="K203" s="220"/>
      <c r="L203" s="220"/>
      <c r="M203" s="220"/>
      <c r="N203" s="220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spans="1:26" ht="15.75">
      <c r="A204" s="218"/>
      <c r="B204" s="221"/>
      <c r="C204" s="222"/>
      <c r="D204" s="218"/>
      <c r="E204" s="218"/>
      <c r="F204" s="220"/>
      <c r="G204" s="218"/>
      <c r="H204" s="218"/>
      <c r="I204" s="218"/>
      <c r="J204" s="218"/>
      <c r="K204" s="220"/>
      <c r="L204" s="220"/>
      <c r="M204" s="220"/>
      <c r="N204" s="220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spans="1:26" ht="15.75">
      <c r="A205" s="218"/>
      <c r="B205" s="221"/>
      <c r="C205" s="222"/>
      <c r="D205" s="218"/>
      <c r="E205" s="218"/>
      <c r="F205" s="220"/>
      <c r="G205" s="218"/>
      <c r="H205" s="218"/>
      <c r="I205" s="218"/>
      <c r="J205" s="218"/>
      <c r="K205" s="220"/>
      <c r="L205" s="220"/>
      <c r="M205" s="220"/>
      <c r="N205" s="220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spans="1:26" ht="15.75">
      <c r="A206" s="218"/>
      <c r="B206" s="221"/>
      <c r="C206" s="222"/>
      <c r="D206" s="218"/>
      <c r="E206" s="218"/>
      <c r="F206" s="220"/>
      <c r="G206" s="218"/>
      <c r="H206" s="218"/>
      <c r="I206" s="218"/>
      <c r="J206" s="218"/>
      <c r="K206" s="220"/>
      <c r="L206" s="220"/>
      <c r="M206" s="220"/>
      <c r="N206" s="220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spans="1:26" ht="15.75">
      <c r="A207" s="218"/>
      <c r="B207" s="221"/>
      <c r="C207" s="222"/>
      <c r="D207" s="218"/>
      <c r="E207" s="218"/>
      <c r="F207" s="220"/>
      <c r="G207" s="218"/>
      <c r="H207" s="218"/>
      <c r="I207" s="218"/>
      <c r="J207" s="218"/>
      <c r="K207" s="220"/>
      <c r="L207" s="220"/>
      <c r="M207" s="220"/>
      <c r="N207" s="220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spans="1:26" ht="15.75">
      <c r="A208" s="218"/>
      <c r="B208" s="221"/>
      <c r="C208" s="222"/>
      <c r="D208" s="218"/>
      <c r="E208" s="218"/>
      <c r="F208" s="220"/>
      <c r="G208" s="218"/>
      <c r="H208" s="218"/>
      <c r="I208" s="218"/>
      <c r="J208" s="218"/>
      <c r="K208" s="220"/>
      <c r="L208" s="220"/>
      <c r="M208" s="220"/>
      <c r="N208" s="220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spans="1:26" ht="15.75">
      <c r="A209" s="218"/>
      <c r="B209" s="221"/>
      <c r="C209" s="222"/>
      <c r="D209" s="218"/>
      <c r="E209" s="218"/>
      <c r="F209" s="220"/>
      <c r="G209" s="218"/>
      <c r="H209" s="218"/>
      <c r="I209" s="218"/>
      <c r="J209" s="218"/>
      <c r="K209" s="220"/>
      <c r="L209" s="220"/>
      <c r="M209" s="220"/>
      <c r="N209" s="220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spans="1:26" ht="15.75">
      <c r="A210" s="218"/>
      <c r="B210" s="221"/>
      <c r="C210" s="222"/>
      <c r="D210" s="218"/>
      <c r="E210" s="218"/>
      <c r="F210" s="220"/>
      <c r="G210" s="218"/>
      <c r="H210" s="218"/>
      <c r="I210" s="218"/>
      <c r="J210" s="218"/>
      <c r="K210" s="220"/>
      <c r="L210" s="220"/>
      <c r="M210" s="220"/>
      <c r="N210" s="220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spans="1:26" ht="15.75">
      <c r="A211" s="218"/>
      <c r="B211" s="221"/>
      <c r="C211" s="222"/>
      <c r="D211" s="218"/>
      <c r="E211" s="218"/>
      <c r="F211" s="220"/>
      <c r="G211" s="218"/>
      <c r="H211" s="218"/>
      <c r="I211" s="218"/>
      <c r="J211" s="218"/>
      <c r="K211" s="220"/>
      <c r="L211" s="220"/>
      <c r="M211" s="220"/>
      <c r="N211" s="220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spans="1:26" ht="15.75">
      <c r="A212" s="218"/>
      <c r="B212" s="221"/>
      <c r="C212" s="222"/>
      <c r="D212" s="218"/>
      <c r="E212" s="218"/>
      <c r="F212" s="220"/>
      <c r="G212" s="218"/>
      <c r="H212" s="218"/>
      <c r="I212" s="218"/>
      <c r="J212" s="218"/>
      <c r="K212" s="220"/>
      <c r="L212" s="220"/>
      <c r="M212" s="220"/>
      <c r="N212" s="220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spans="1:26" ht="15.75">
      <c r="A213" s="218"/>
      <c r="B213" s="221"/>
      <c r="C213" s="222"/>
      <c r="D213" s="218"/>
      <c r="E213" s="218"/>
      <c r="F213" s="220"/>
      <c r="G213" s="218"/>
      <c r="H213" s="218"/>
      <c r="I213" s="218"/>
      <c r="J213" s="218"/>
      <c r="K213" s="220"/>
      <c r="L213" s="220"/>
      <c r="M213" s="220"/>
      <c r="N213" s="220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spans="1:26" ht="15.75">
      <c r="A214" s="218"/>
      <c r="B214" s="221"/>
      <c r="C214" s="222"/>
      <c r="D214" s="218"/>
      <c r="E214" s="218"/>
      <c r="F214" s="220"/>
      <c r="G214" s="218"/>
      <c r="H214" s="218"/>
      <c r="I214" s="218"/>
      <c r="J214" s="218"/>
      <c r="K214" s="220"/>
      <c r="L214" s="220"/>
      <c r="M214" s="220"/>
      <c r="N214" s="220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spans="1:26" ht="15.75">
      <c r="A215" s="218"/>
      <c r="B215" s="221"/>
      <c r="C215" s="222"/>
      <c r="D215" s="218"/>
      <c r="E215" s="218"/>
      <c r="F215" s="220"/>
      <c r="G215" s="218"/>
      <c r="H215" s="218"/>
      <c r="I215" s="218"/>
      <c r="J215" s="218"/>
      <c r="K215" s="220"/>
      <c r="L215" s="220"/>
      <c r="M215" s="220"/>
      <c r="N215" s="220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spans="1:26" ht="15.75">
      <c r="A216" s="218"/>
      <c r="B216" s="221"/>
      <c r="C216" s="222"/>
      <c r="D216" s="218"/>
      <c r="E216" s="218"/>
      <c r="F216" s="220"/>
      <c r="G216" s="218"/>
      <c r="H216" s="218"/>
      <c r="I216" s="218"/>
      <c r="J216" s="218"/>
      <c r="K216" s="220"/>
      <c r="L216" s="220"/>
      <c r="M216" s="220"/>
      <c r="N216" s="220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spans="1:26" ht="15.75">
      <c r="A217" s="218"/>
      <c r="B217" s="221"/>
      <c r="C217" s="222"/>
      <c r="D217" s="218"/>
      <c r="E217" s="218"/>
      <c r="F217" s="220"/>
      <c r="G217" s="218"/>
      <c r="H217" s="218"/>
      <c r="I217" s="218"/>
      <c r="J217" s="218"/>
      <c r="K217" s="220"/>
      <c r="L217" s="220"/>
      <c r="M217" s="220"/>
      <c r="N217" s="220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spans="1:26" ht="15.75">
      <c r="A218" s="218"/>
      <c r="B218" s="221"/>
      <c r="C218" s="222"/>
      <c r="D218" s="218"/>
      <c r="E218" s="218"/>
      <c r="F218" s="220"/>
      <c r="G218" s="218"/>
      <c r="H218" s="218"/>
      <c r="I218" s="218"/>
      <c r="J218" s="218"/>
      <c r="K218" s="220"/>
      <c r="L218" s="220"/>
      <c r="M218" s="220"/>
      <c r="N218" s="220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spans="1:26" ht="15.75">
      <c r="A219" s="218"/>
      <c r="B219" s="221"/>
      <c r="C219" s="222"/>
      <c r="D219" s="218"/>
      <c r="E219" s="218"/>
      <c r="F219" s="220"/>
      <c r="G219" s="218"/>
      <c r="H219" s="218"/>
      <c r="I219" s="218"/>
      <c r="J219" s="218"/>
      <c r="K219" s="220"/>
      <c r="L219" s="220"/>
      <c r="M219" s="220"/>
      <c r="N219" s="220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spans="1:26" ht="15.75">
      <c r="A220" s="218"/>
      <c r="B220" s="221"/>
      <c r="C220" s="222"/>
      <c r="D220" s="218"/>
      <c r="E220" s="218"/>
      <c r="F220" s="220"/>
      <c r="G220" s="218"/>
      <c r="H220" s="218"/>
      <c r="I220" s="218"/>
      <c r="J220" s="218"/>
      <c r="K220" s="220"/>
      <c r="L220" s="220"/>
      <c r="M220" s="220"/>
      <c r="N220" s="220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spans="1:26" ht="15.75">
      <c r="A221" s="218"/>
      <c r="B221" s="221"/>
      <c r="C221" s="222"/>
      <c r="D221" s="218"/>
      <c r="E221" s="218"/>
      <c r="F221" s="220"/>
      <c r="G221" s="218"/>
      <c r="H221" s="218"/>
      <c r="I221" s="218"/>
      <c r="J221" s="218"/>
      <c r="K221" s="220"/>
      <c r="L221" s="220"/>
      <c r="M221" s="220"/>
      <c r="N221" s="220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spans="1:26" ht="15.75">
      <c r="A222" s="218"/>
      <c r="B222" s="221"/>
      <c r="C222" s="222"/>
      <c r="D222" s="218"/>
      <c r="E222" s="218"/>
      <c r="F222" s="220"/>
      <c r="G222" s="218"/>
      <c r="H222" s="218"/>
      <c r="I222" s="218"/>
      <c r="J222" s="218"/>
      <c r="K222" s="220"/>
      <c r="L222" s="220"/>
      <c r="M222" s="220"/>
      <c r="N222" s="220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spans="1:26" ht="15.75">
      <c r="A223" s="218"/>
      <c r="B223" s="221"/>
      <c r="C223" s="222"/>
      <c r="D223" s="218"/>
      <c r="E223" s="218"/>
      <c r="F223" s="220"/>
      <c r="G223" s="218"/>
      <c r="H223" s="218"/>
      <c r="I223" s="218"/>
      <c r="J223" s="218"/>
      <c r="K223" s="220"/>
      <c r="L223" s="220"/>
      <c r="M223" s="220"/>
      <c r="N223" s="220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spans="1:26" ht="15.75">
      <c r="A224" s="218"/>
      <c r="B224" s="221"/>
      <c r="C224" s="222"/>
      <c r="D224" s="218"/>
      <c r="E224" s="218"/>
      <c r="F224" s="220"/>
      <c r="G224" s="218"/>
      <c r="H224" s="218"/>
      <c r="I224" s="218"/>
      <c r="J224" s="218"/>
      <c r="K224" s="220"/>
      <c r="L224" s="220"/>
      <c r="M224" s="220"/>
      <c r="N224" s="220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spans="1:26" ht="15.75">
      <c r="A225" s="218"/>
      <c r="B225" s="221"/>
      <c r="C225" s="222"/>
      <c r="D225" s="218"/>
      <c r="E225" s="218"/>
      <c r="F225" s="220"/>
      <c r="G225" s="218"/>
      <c r="H225" s="218"/>
      <c r="I225" s="218"/>
      <c r="J225" s="218"/>
      <c r="K225" s="220"/>
      <c r="L225" s="220"/>
      <c r="M225" s="220"/>
      <c r="N225" s="220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spans="1:26" ht="15.75">
      <c r="A226" s="218"/>
      <c r="B226" s="221"/>
      <c r="C226" s="222"/>
      <c r="D226" s="218"/>
      <c r="E226" s="218"/>
      <c r="F226" s="220"/>
      <c r="G226" s="218"/>
      <c r="H226" s="218"/>
      <c r="I226" s="218"/>
      <c r="J226" s="218"/>
      <c r="K226" s="220"/>
      <c r="L226" s="220"/>
      <c r="M226" s="220"/>
      <c r="N226" s="220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spans="1:26" ht="15.75">
      <c r="A227" s="218"/>
      <c r="B227" s="221"/>
      <c r="C227" s="222"/>
      <c r="D227" s="218"/>
      <c r="E227" s="218"/>
      <c r="F227" s="220"/>
      <c r="G227" s="218"/>
      <c r="H227" s="218"/>
      <c r="I227" s="218"/>
      <c r="J227" s="218"/>
      <c r="K227" s="220"/>
      <c r="L227" s="220"/>
      <c r="M227" s="220"/>
      <c r="N227" s="220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spans="1:26" ht="15.75">
      <c r="A228" s="218"/>
      <c r="B228" s="221"/>
      <c r="C228" s="222"/>
      <c r="D228" s="218"/>
      <c r="E228" s="218"/>
      <c r="F228" s="220"/>
      <c r="G228" s="218"/>
      <c r="H228" s="218"/>
      <c r="I228" s="218"/>
      <c r="J228" s="218"/>
      <c r="K228" s="220"/>
      <c r="L228" s="220"/>
      <c r="M228" s="220"/>
      <c r="N228" s="220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spans="1:26" ht="15.75">
      <c r="A229" s="218"/>
      <c r="B229" s="221"/>
      <c r="C229" s="222"/>
      <c r="D229" s="218"/>
      <c r="E229" s="218"/>
      <c r="F229" s="220"/>
      <c r="G229" s="218"/>
      <c r="H229" s="218"/>
      <c r="I229" s="218"/>
      <c r="J229" s="218"/>
      <c r="K229" s="220"/>
      <c r="L229" s="220"/>
      <c r="M229" s="220"/>
      <c r="N229" s="220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spans="1:26" ht="15.75">
      <c r="A230" s="218"/>
      <c r="B230" s="221"/>
      <c r="C230" s="222"/>
      <c r="D230" s="218"/>
      <c r="E230" s="218"/>
      <c r="F230" s="220"/>
      <c r="G230" s="218"/>
      <c r="H230" s="218"/>
      <c r="I230" s="218"/>
      <c r="J230" s="218"/>
      <c r="K230" s="220"/>
      <c r="L230" s="220"/>
      <c r="M230" s="220"/>
      <c r="N230" s="220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spans="1:26" ht="15.75">
      <c r="A231" s="218"/>
      <c r="B231" s="221"/>
      <c r="C231" s="222"/>
      <c r="D231" s="218"/>
      <c r="E231" s="218"/>
      <c r="F231" s="220"/>
      <c r="G231" s="218"/>
      <c r="H231" s="218"/>
      <c r="I231" s="218"/>
      <c r="J231" s="218"/>
      <c r="K231" s="220"/>
      <c r="L231" s="220"/>
      <c r="M231" s="220"/>
      <c r="N231" s="220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spans="1:26" ht="15.75">
      <c r="A232" s="218"/>
      <c r="B232" s="221"/>
      <c r="C232" s="222"/>
      <c r="D232" s="218"/>
      <c r="E232" s="218"/>
      <c r="F232" s="220"/>
      <c r="G232" s="218"/>
      <c r="H232" s="218"/>
      <c r="I232" s="218"/>
      <c r="J232" s="218"/>
      <c r="K232" s="220"/>
      <c r="L232" s="220"/>
      <c r="M232" s="220"/>
      <c r="N232" s="220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spans="1:26" ht="15.75">
      <c r="A233" s="218"/>
      <c r="B233" s="221"/>
      <c r="C233" s="222"/>
      <c r="D233" s="218"/>
      <c r="E233" s="218"/>
      <c r="F233" s="220"/>
      <c r="G233" s="218"/>
      <c r="H233" s="218"/>
      <c r="I233" s="218"/>
      <c r="J233" s="218"/>
      <c r="K233" s="220"/>
      <c r="L233" s="220"/>
      <c r="M233" s="220"/>
      <c r="N233" s="220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spans="1:26" ht="15.75">
      <c r="A234" s="218"/>
      <c r="B234" s="221"/>
      <c r="C234" s="222"/>
      <c r="D234" s="218"/>
      <c r="E234" s="218"/>
      <c r="F234" s="220"/>
      <c r="G234" s="218"/>
      <c r="H234" s="218"/>
      <c r="I234" s="218"/>
      <c r="J234" s="218"/>
      <c r="K234" s="220"/>
      <c r="L234" s="220"/>
      <c r="M234" s="220"/>
      <c r="N234" s="220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spans="1:26" ht="15.75">
      <c r="A235" s="218"/>
      <c r="B235" s="221"/>
      <c r="C235" s="222"/>
      <c r="D235" s="218"/>
      <c r="E235" s="218"/>
      <c r="F235" s="220"/>
      <c r="G235" s="218"/>
      <c r="H235" s="218"/>
      <c r="I235" s="218"/>
      <c r="J235" s="218"/>
      <c r="K235" s="220"/>
      <c r="L235" s="220"/>
      <c r="M235" s="220"/>
      <c r="N235" s="220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spans="1:26" ht="15.75">
      <c r="A236" s="218"/>
      <c r="B236" s="221"/>
      <c r="C236" s="222"/>
      <c r="D236" s="218"/>
      <c r="E236" s="218"/>
      <c r="F236" s="220"/>
      <c r="G236" s="218"/>
      <c r="H236" s="218"/>
      <c r="I236" s="218"/>
      <c r="J236" s="218"/>
      <c r="K236" s="220"/>
      <c r="L236" s="220"/>
      <c r="M236" s="220"/>
      <c r="N236" s="220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spans="1:26" ht="15.75">
      <c r="A237" s="218"/>
      <c r="B237" s="221"/>
      <c r="C237" s="222"/>
      <c r="D237" s="218"/>
      <c r="E237" s="218"/>
      <c r="F237" s="220"/>
      <c r="G237" s="218"/>
      <c r="H237" s="218"/>
      <c r="I237" s="218"/>
      <c r="J237" s="218"/>
      <c r="K237" s="220"/>
      <c r="L237" s="220"/>
      <c r="M237" s="220"/>
      <c r="N237" s="220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spans="1:26" ht="15.75">
      <c r="A238" s="218"/>
      <c r="B238" s="221"/>
      <c r="C238" s="222"/>
      <c r="D238" s="218"/>
      <c r="E238" s="218"/>
      <c r="F238" s="220"/>
      <c r="G238" s="218"/>
      <c r="H238" s="218"/>
      <c r="I238" s="218"/>
      <c r="J238" s="218"/>
      <c r="K238" s="220"/>
      <c r="L238" s="220"/>
      <c r="M238" s="220"/>
      <c r="N238" s="220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spans="1:26" ht="15.75">
      <c r="A239" s="218"/>
      <c r="B239" s="221"/>
      <c r="C239" s="222"/>
      <c r="D239" s="218"/>
      <c r="E239" s="218"/>
      <c r="F239" s="220"/>
      <c r="G239" s="218"/>
      <c r="H239" s="218"/>
      <c r="I239" s="218"/>
      <c r="J239" s="218"/>
      <c r="K239" s="220"/>
      <c r="L239" s="220"/>
      <c r="M239" s="220"/>
      <c r="N239" s="220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spans="1:26" ht="15.75">
      <c r="A240" s="218"/>
      <c r="B240" s="221"/>
      <c r="C240" s="222"/>
      <c r="D240" s="218"/>
      <c r="E240" s="218"/>
      <c r="F240" s="220"/>
      <c r="G240" s="218"/>
      <c r="H240" s="218"/>
      <c r="I240" s="218"/>
      <c r="J240" s="218"/>
      <c r="K240" s="220"/>
      <c r="L240" s="220"/>
      <c r="M240" s="220"/>
      <c r="N240" s="220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spans="1:26" ht="15.75">
      <c r="A241" s="218"/>
      <c r="B241" s="221"/>
      <c r="C241" s="222"/>
      <c r="D241" s="218"/>
      <c r="E241" s="218"/>
      <c r="F241" s="220"/>
      <c r="G241" s="218"/>
      <c r="H241" s="218"/>
      <c r="I241" s="218"/>
      <c r="J241" s="218"/>
      <c r="K241" s="220"/>
      <c r="L241" s="220"/>
      <c r="M241" s="220"/>
      <c r="N241" s="220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spans="1:26" ht="15.75">
      <c r="A242" s="218"/>
      <c r="B242" s="221"/>
      <c r="C242" s="222"/>
      <c r="D242" s="218"/>
      <c r="E242" s="218"/>
      <c r="F242" s="220"/>
      <c r="G242" s="218"/>
      <c r="H242" s="218"/>
      <c r="I242" s="218"/>
      <c r="J242" s="218"/>
      <c r="K242" s="220"/>
      <c r="L242" s="220"/>
      <c r="M242" s="220"/>
      <c r="N242" s="220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spans="1:26" ht="15.75">
      <c r="A243" s="218"/>
      <c r="B243" s="221"/>
      <c r="C243" s="222"/>
      <c r="D243" s="218"/>
      <c r="E243" s="218"/>
      <c r="F243" s="220"/>
      <c r="G243" s="218"/>
      <c r="H243" s="218"/>
      <c r="I243" s="218"/>
      <c r="J243" s="218"/>
      <c r="K243" s="220"/>
      <c r="L243" s="220"/>
      <c r="M243" s="220"/>
      <c r="N243" s="220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spans="1:26" ht="15.75">
      <c r="A244" s="218"/>
      <c r="B244" s="221"/>
      <c r="C244" s="222"/>
      <c r="D244" s="218"/>
      <c r="E244" s="218"/>
      <c r="F244" s="220"/>
      <c r="G244" s="218"/>
      <c r="H244" s="218"/>
      <c r="I244" s="218"/>
      <c r="J244" s="218"/>
      <c r="K244" s="220"/>
      <c r="L244" s="220"/>
      <c r="M244" s="220"/>
      <c r="N244" s="220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spans="1:26" ht="15.75">
      <c r="A245" s="218"/>
      <c r="B245" s="221"/>
      <c r="C245" s="222"/>
      <c r="D245" s="218"/>
      <c r="E245" s="218"/>
      <c r="F245" s="220"/>
      <c r="G245" s="218"/>
      <c r="H245" s="218"/>
      <c r="I245" s="218"/>
      <c r="J245" s="218"/>
      <c r="K245" s="220"/>
      <c r="L245" s="220"/>
      <c r="M245" s="220"/>
      <c r="N245" s="220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spans="1:26" ht="15.75">
      <c r="A246" s="218"/>
      <c r="B246" s="221"/>
      <c r="C246" s="222"/>
      <c r="D246" s="218"/>
      <c r="E246" s="218"/>
      <c r="F246" s="220"/>
      <c r="G246" s="218"/>
      <c r="H246" s="218"/>
      <c r="I246" s="218"/>
      <c r="J246" s="218"/>
      <c r="K246" s="220"/>
      <c r="L246" s="220"/>
      <c r="M246" s="220"/>
      <c r="N246" s="220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spans="1:26" ht="15.75">
      <c r="A247" s="218"/>
      <c r="B247" s="221"/>
      <c r="C247" s="222"/>
      <c r="D247" s="218"/>
      <c r="E247" s="218"/>
      <c r="F247" s="220"/>
      <c r="G247" s="218"/>
      <c r="H247" s="218"/>
      <c r="I247" s="218"/>
      <c r="J247" s="218"/>
      <c r="K247" s="220"/>
      <c r="L247" s="220"/>
      <c r="M247" s="220"/>
      <c r="N247" s="220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spans="1:26" ht="15.75">
      <c r="A248" s="218"/>
      <c r="B248" s="221"/>
      <c r="C248" s="222"/>
      <c r="D248" s="218"/>
      <c r="E248" s="218"/>
      <c r="F248" s="220"/>
      <c r="G248" s="218"/>
      <c r="H248" s="218"/>
      <c r="I248" s="218"/>
      <c r="J248" s="218"/>
      <c r="K248" s="220"/>
      <c r="L248" s="220"/>
      <c r="M248" s="220"/>
      <c r="N248" s="220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spans="1:26" ht="15.75">
      <c r="A249" s="218"/>
      <c r="B249" s="221"/>
      <c r="C249" s="222"/>
      <c r="D249" s="218"/>
      <c r="E249" s="218"/>
      <c r="F249" s="220"/>
      <c r="G249" s="218"/>
      <c r="H249" s="218"/>
      <c r="I249" s="218"/>
      <c r="J249" s="218"/>
      <c r="K249" s="220"/>
      <c r="L249" s="220"/>
      <c r="M249" s="220"/>
      <c r="N249" s="220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spans="1:26" ht="15.75">
      <c r="A250" s="218"/>
      <c r="B250" s="221"/>
      <c r="C250" s="222"/>
      <c r="D250" s="218"/>
      <c r="E250" s="218"/>
      <c r="F250" s="220"/>
      <c r="G250" s="218"/>
      <c r="H250" s="218"/>
      <c r="I250" s="218"/>
      <c r="J250" s="218"/>
      <c r="K250" s="220"/>
      <c r="L250" s="220"/>
      <c r="M250" s="220"/>
      <c r="N250" s="220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spans="1:26" ht="15.75">
      <c r="A251" s="218"/>
      <c r="B251" s="221"/>
      <c r="C251" s="222"/>
      <c r="D251" s="218"/>
      <c r="E251" s="218"/>
      <c r="F251" s="220"/>
      <c r="G251" s="218"/>
      <c r="H251" s="218"/>
      <c r="I251" s="218"/>
      <c r="J251" s="218"/>
      <c r="K251" s="220"/>
      <c r="L251" s="220"/>
      <c r="M251" s="220"/>
      <c r="N251" s="220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spans="1:26" ht="15.75">
      <c r="A252" s="218"/>
      <c r="B252" s="221"/>
      <c r="C252" s="222"/>
      <c r="D252" s="218"/>
      <c r="E252" s="218"/>
      <c r="F252" s="220"/>
      <c r="G252" s="218"/>
      <c r="H252" s="218"/>
      <c r="I252" s="218"/>
      <c r="J252" s="218"/>
      <c r="K252" s="220"/>
      <c r="L252" s="220"/>
      <c r="M252" s="220"/>
      <c r="N252" s="220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spans="1:26" ht="15.75">
      <c r="A253" s="218"/>
      <c r="B253" s="221"/>
      <c r="C253" s="222"/>
      <c r="D253" s="218"/>
      <c r="E253" s="218"/>
      <c r="F253" s="220"/>
      <c r="G253" s="218"/>
      <c r="H253" s="218"/>
      <c r="I253" s="218"/>
      <c r="J253" s="218"/>
      <c r="K253" s="220"/>
      <c r="L253" s="220"/>
      <c r="M253" s="220"/>
      <c r="N253" s="220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spans="1:26" ht="15.75">
      <c r="A254" s="218"/>
      <c r="B254" s="221"/>
      <c r="C254" s="222"/>
      <c r="D254" s="218"/>
      <c r="E254" s="218"/>
      <c r="F254" s="220"/>
      <c r="G254" s="218"/>
      <c r="H254" s="218"/>
      <c r="I254" s="218"/>
      <c r="J254" s="218"/>
      <c r="K254" s="220"/>
      <c r="L254" s="220"/>
      <c r="M254" s="220"/>
      <c r="N254" s="220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spans="1:26" ht="15.75">
      <c r="A255" s="218"/>
      <c r="B255" s="221"/>
      <c r="C255" s="222"/>
      <c r="D255" s="218"/>
      <c r="E255" s="218"/>
      <c r="F255" s="220"/>
      <c r="G255" s="218"/>
      <c r="H255" s="218"/>
      <c r="I255" s="218"/>
      <c r="J255" s="218"/>
      <c r="K255" s="220"/>
      <c r="L255" s="220"/>
      <c r="M255" s="220"/>
      <c r="N255" s="220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spans="1:26" ht="15.75">
      <c r="A256" s="218"/>
      <c r="B256" s="221"/>
      <c r="C256" s="222"/>
      <c r="D256" s="218"/>
      <c r="E256" s="218"/>
      <c r="F256" s="220"/>
      <c r="G256" s="218"/>
      <c r="H256" s="218"/>
      <c r="I256" s="218"/>
      <c r="J256" s="218"/>
      <c r="K256" s="220"/>
      <c r="L256" s="220"/>
      <c r="M256" s="220"/>
      <c r="N256" s="220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spans="1:26" ht="15.75">
      <c r="A257" s="218"/>
      <c r="B257" s="221"/>
      <c r="C257" s="222"/>
      <c r="D257" s="218"/>
      <c r="E257" s="218"/>
      <c r="F257" s="220"/>
      <c r="G257" s="218"/>
      <c r="H257" s="218"/>
      <c r="I257" s="218"/>
      <c r="J257" s="218"/>
      <c r="K257" s="220"/>
      <c r="L257" s="220"/>
      <c r="M257" s="220"/>
      <c r="N257" s="220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spans="1:26" ht="15.75">
      <c r="A258" s="218"/>
      <c r="B258" s="221"/>
      <c r="C258" s="222"/>
      <c r="D258" s="218"/>
      <c r="E258" s="218"/>
      <c r="F258" s="220"/>
      <c r="G258" s="218"/>
      <c r="H258" s="218"/>
      <c r="I258" s="218"/>
      <c r="J258" s="218"/>
      <c r="K258" s="220"/>
      <c r="L258" s="220"/>
      <c r="M258" s="220"/>
      <c r="N258" s="220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spans="1:26" ht="15.75">
      <c r="A259" s="218"/>
      <c r="B259" s="221"/>
      <c r="C259" s="222"/>
      <c r="D259" s="218"/>
      <c r="E259" s="218"/>
      <c r="F259" s="220"/>
      <c r="G259" s="218"/>
      <c r="H259" s="218"/>
      <c r="I259" s="218"/>
      <c r="J259" s="218"/>
      <c r="K259" s="220"/>
      <c r="L259" s="220"/>
      <c r="M259" s="220"/>
      <c r="N259" s="220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spans="1:26" ht="15.75">
      <c r="A260" s="218"/>
      <c r="B260" s="221"/>
      <c r="C260" s="222"/>
      <c r="D260" s="218"/>
      <c r="E260" s="218"/>
      <c r="F260" s="220"/>
      <c r="G260" s="218"/>
      <c r="H260" s="218"/>
      <c r="I260" s="218"/>
      <c r="J260" s="218"/>
      <c r="K260" s="220"/>
      <c r="L260" s="220"/>
      <c r="M260" s="220"/>
      <c r="N260" s="220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spans="1:26" ht="15.75">
      <c r="A261" s="218"/>
      <c r="B261" s="221"/>
      <c r="C261" s="222"/>
      <c r="D261" s="218"/>
      <c r="E261" s="218"/>
      <c r="F261" s="220"/>
      <c r="G261" s="218"/>
      <c r="H261" s="218"/>
      <c r="I261" s="218"/>
      <c r="J261" s="218"/>
      <c r="K261" s="220"/>
      <c r="L261" s="220"/>
      <c r="M261" s="220"/>
      <c r="N261" s="220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spans="1:26" ht="15.75">
      <c r="A262" s="218"/>
      <c r="B262" s="221"/>
      <c r="C262" s="222"/>
      <c r="D262" s="218"/>
      <c r="E262" s="218"/>
      <c r="F262" s="220"/>
      <c r="G262" s="218"/>
      <c r="H262" s="218"/>
      <c r="I262" s="218"/>
      <c r="J262" s="218"/>
      <c r="K262" s="220"/>
      <c r="L262" s="220"/>
      <c r="M262" s="220"/>
      <c r="N262" s="220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spans="1:26" ht="15.75">
      <c r="A263" s="218"/>
      <c r="B263" s="221"/>
      <c r="C263" s="222"/>
      <c r="D263" s="218"/>
      <c r="E263" s="218"/>
      <c r="F263" s="220"/>
      <c r="G263" s="218"/>
      <c r="H263" s="218"/>
      <c r="I263" s="218"/>
      <c r="J263" s="218"/>
      <c r="K263" s="220"/>
      <c r="L263" s="220"/>
      <c r="M263" s="220"/>
      <c r="N263" s="220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spans="1:26" ht="15.75">
      <c r="A264" s="218"/>
      <c r="B264" s="221"/>
      <c r="C264" s="222"/>
      <c r="D264" s="218"/>
      <c r="E264" s="218"/>
      <c r="F264" s="220"/>
      <c r="G264" s="218"/>
      <c r="H264" s="218"/>
      <c r="I264" s="218"/>
      <c r="J264" s="218"/>
      <c r="K264" s="220"/>
      <c r="L264" s="220"/>
      <c r="M264" s="220"/>
      <c r="N264" s="220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spans="1:26" ht="15.75">
      <c r="A265" s="218"/>
      <c r="B265" s="221"/>
      <c r="C265" s="222"/>
      <c r="D265" s="218"/>
      <c r="E265" s="218"/>
      <c r="F265" s="220"/>
      <c r="G265" s="218"/>
      <c r="H265" s="218"/>
      <c r="I265" s="218"/>
      <c r="J265" s="218"/>
      <c r="K265" s="220"/>
      <c r="L265" s="220"/>
      <c r="M265" s="220"/>
      <c r="N265" s="220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spans="1:26" ht="15.75">
      <c r="A266" s="218"/>
      <c r="B266" s="221"/>
      <c r="C266" s="222"/>
      <c r="D266" s="218"/>
      <c r="E266" s="218"/>
      <c r="F266" s="220"/>
      <c r="G266" s="218"/>
      <c r="H266" s="218"/>
      <c r="I266" s="218"/>
      <c r="J266" s="218"/>
      <c r="K266" s="220"/>
      <c r="L266" s="220"/>
      <c r="M266" s="220"/>
      <c r="N266" s="220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spans="1:26" ht="15.75">
      <c r="A267" s="218"/>
      <c r="B267" s="221"/>
      <c r="C267" s="222"/>
      <c r="D267" s="218"/>
      <c r="E267" s="218"/>
      <c r="F267" s="220"/>
      <c r="G267" s="218"/>
      <c r="H267" s="218"/>
      <c r="I267" s="218"/>
      <c r="J267" s="218"/>
      <c r="K267" s="220"/>
      <c r="L267" s="220"/>
      <c r="M267" s="220"/>
      <c r="N267" s="220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spans="1:26" ht="15.75">
      <c r="A268" s="218"/>
      <c r="B268" s="221"/>
      <c r="C268" s="222"/>
      <c r="D268" s="218"/>
      <c r="E268" s="218"/>
      <c r="F268" s="220"/>
      <c r="G268" s="218"/>
      <c r="H268" s="218"/>
      <c r="I268" s="218"/>
      <c r="J268" s="218"/>
      <c r="K268" s="220"/>
      <c r="L268" s="220"/>
      <c r="M268" s="220"/>
      <c r="N268" s="220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spans="1:26" ht="15.75">
      <c r="A269" s="218"/>
      <c r="B269" s="221"/>
      <c r="C269" s="222"/>
      <c r="D269" s="218"/>
      <c r="E269" s="218"/>
      <c r="F269" s="220"/>
      <c r="G269" s="218"/>
      <c r="H269" s="218"/>
      <c r="I269" s="218"/>
      <c r="J269" s="218"/>
      <c r="K269" s="220"/>
      <c r="L269" s="220"/>
      <c r="M269" s="220"/>
      <c r="N269" s="220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spans="1:26" ht="15.75">
      <c r="A270" s="218"/>
      <c r="B270" s="221"/>
      <c r="C270" s="222"/>
      <c r="D270" s="218"/>
      <c r="E270" s="218"/>
      <c r="F270" s="220"/>
      <c r="G270" s="218"/>
      <c r="H270" s="218"/>
      <c r="I270" s="218"/>
      <c r="J270" s="218"/>
      <c r="K270" s="220"/>
      <c r="L270" s="220"/>
      <c r="M270" s="220"/>
      <c r="N270" s="220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spans="1:26" ht="15.75">
      <c r="A271" s="218"/>
      <c r="B271" s="221"/>
      <c r="C271" s="222"/>
      <c r="D271" s="218"/>
      <c r="E271" s="218"/>
      <c r="F271" s="220"/>
      <c r="G271" s="218"/>
      <c r="H271" s="218"/>
      <c r="I271" s="218"/>
      <c r="J271" s="218"/>
      <c r="K271" s="220"/>
      <c r="L271" s="220"/>
      <c r="M271" s="220"/>
      <c r="N271" s="220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spans="1:26" ht="15.75">
      <c r="A272" s="218"/>
      <c r="B272" s="221"/>
      <c r="C272" s="222"/>
      <c r="D272" s="218"/>
      <c r="E272" s="218"/>
      <c r="F272" s="220"/>
      <c r="G272" s="218"/>
      <c r="H272" s="218"/>
      <c r="I272" s="218"/>
      <c r="J272" s="218"/>
      <c r="K272" s="220"/>
      <c r="L272" s="220"/>
      <c r="M272" s="220"/>
      <c r="N272" s="220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spans="1:26" ht="15.75">
      <c r="A273" s="218"/>
      <c r="B273" s="221"/>
      <c r="C273" s="222"/>
      <c r="D273" s="218"/>
      <c r="E273" s="218"/>
      <c r="F273" s="220"/>
      <c r="G273" s="218"/>
      <c r="H273" s="218"/>
      <c r="I273" s="218"/>
      <c r="J273" s="218"/>
      <c r="K273" s="220"/>
      <c r="L273" s="220"/>
      <c r="M273" s="220"/>
      <c r="N273" s="220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spans="1:26" ht="15.75">
      <c r="A274" s="218"/>
      <c r="B274" s="221"/>
      <c r="C274" s="222"/>
      <c r="D274" s="218"/>
      <c r="E274" s="218"/>
      <c r="F274" s="220"/>
      <c r="G274" s="218"/>
      <c r="H274" s="218"/>
      <c r="I274" s="218"/>
      <c r="J274" s="218"/>
      <c r="K274" s="220"/>
      <c r="L274" s="220"/>
      <c r="M274" s="220"/>
      <c r="N274" s="220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spans="1:26" ht="15.75">
      <c r="A275" s="218"/>
      <c r="B275" s="221"/>
      <c r="C275" s="222"/>
      <c r="D275" s="218"/>
      <c r="E275" s="218"/>
      <c r="F275" s="220"/>
      <c r="G275" s="218"/>
      <c r="H275" s="218"/>
      <c r="I275" s="218"/>
      <c r="J275" s="218"/>
      <c r="K275" s="220"/>
      <c r="L275" s="220"/>
      <c r="M275" s="220"/>
      <c r="N275" s="220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spans="1:26" ht="15.75">
      <c r="A276" s="218"/>
      <c r="B276" s="221"/>
      <c r="C276" s="222"/>
      <c r="D276" s="218"/>
      <c r="E276" s="218"/>
      <c r="F276" s="220"/>
      <c r="G276" s="218"/>
      <c r="H276" s="218"/>
      <c r="I276" s="218"/>
      <c r="J276" s="218"/>
      <c r="K276" s="220"/>
      <c r="L276" s="220"/>
      <c r="M276" s="220"/>
      <c r="N276" s="220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spans="1:26" ht="15.75">
      <c r="A277" s="218"/>
      <c r="B277" s="221"/>
      <c r="C277" s="222"/>
      <c r="D277" s="218"/>
      <c r="E277" s="218"/>
      <c r="F277" s="220"/>
      <c r="G277" s="218"/>
      <c r="H277" s="218"/>
      <c r="I277" s="218"/>
      <c r="J277" s="218"/>
      <c r="K277" s="220"/>
      <c r="L277" s="220"/>
      <c r="M277" s="220"/>
      <c r="N277" s="220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spans="1:26" ht="15.75">
      <c r="A278" s="218"/>
      <c r="B278" s="221"/>
      <c r="C278" s="222"/>
      <c r="D278" s="218"/>
      <c r="E278" s="218"/>
      <c r="F278" s="220"/>
      <c r="G278" s="218"/>
      <c r="H278" s="218"/>
      <c r="I278" s="218"/>
      <c r="J278" s="218"/>
      <c r="K278" s="220"/>
      <c r="L278" s="220"/>
      <c r="M278" s="220"/>
      <c r="N278" s="220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spans="1:26" ht="15.75">
      <c r="A279" s="218"/>
      <c r="B279" s="221"/>
      <c r="C279" s="222"/>
      <c r="D279" s="218"/>
      <c r="E279" s="218"/>
      <c r="F279" s="220"/>
      <c r="G279" s="218"/>
      <c r="H279" s="218"/>
      <c r="I279" s="218"/>
      <c r="J279" s="218"/>
      <c r="K279" s="220"/>
      <c r="L279" s="220"/>
      <c r="M279" s="220"/>
      <c r="N279" s="220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spans="1:26" ht="15.75">
      <c r="A280" s="218"/>
      <c r="B280" s="221"/>
      <c r="C280" s="222"/>
      <c r="D280" s="218"/>
      <c r="E280" s="218"/>
      <c r="F280" s="220"/>
      <c r="G280" s="218"/>
      <c r="H280" s="218"/>
      <c r="I280" s="218"/>
      <c r="J280" s="218"/>
      <c r="K280" s="220"/>
      <c r="L280" s="220"/>
      <c r="M280" s="220"/>
      <c r="N280" s="220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spans="1:26" ht="15.75">
      <c r="A281" s="218"/>
      <c r="B281" s="221"/>
      <c r="C281" s="222"/>
      <c r="D281" s="218"/>
      <c r="E281" s="218"/>
      <c r="F281" s="220"/>
      <c r="G281" s="218"/>
      <c r="H281" s="218"/>
      <c r="I281" s="218"/>
      <c r="J281" s="218"/>
      <c r="K281" s="220"/>
      <c r="L281" s="220"/>
      <c r="M281" s="220"/>
      <c r="N281" s="220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spans="1:26" ht="15.75">
      <c r="A282" s="218"/>
      <c r="B282" s="221"/>
      <c r="C282" s="222"/>
      <c r="D282" s="218"/>
      <c r="E282" s="218"/>
      <c r="F282" s="220"/>
      <c r="G282" s="218"/>
      <c r="H282" s="218"/>
      <c r="I282" s="218"/>
      <c r="J282" s="218"/>
      <c r="K282" s="220"/>
      <c r="L282" s="220"/>
      <c r="M282" s="220"/>
      <c r="N282" s="220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spans="1:26" ht="15.75">
      <c r="A283" s="218"/>
      <c r="B283" s="221"/>
      <c r="C283" s="222"/>
      <c r="D283" s="218"/>
      <c r="E283" s="218"/>
      <c r="F283" s="220"/>
      <c r="G283" s="218"/>
      <c r="H283" s="218"/>
      <c r="I283" s="218"/>
      <c r="J283" s="218"/>
      <c r="K283" s="220"/>
      <c r="L283" s="220"/>
      <c r="M283" s="220"/>
      <c r="N283" s="220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spans="1:26" ht="15.75">
      <c r="A284" s="218"/>
      <c r="B284" s="221"/>
      <c r="C284" s="222"/>
      <c r="D284" s="218"/>
      <c r="E284" s="218"/>
      <c r="F284" s="220"/>
      <c r="G284" s="218"/>
      <c r="H284" s="218"/>
      <c r="I284" s="218"/>
      <c r="J284" s="218"/>
      <c r="K284" s="220"/>
      <c r="L284" s="220"/>
      <c r="M284" s="220"/>
      <c r="N284" s="220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spans="1:26" ht="15.75">
      <c r="A285" s="218"/>
      <c r="B285" s="221"/>
      <c r="C285" s="222"/>
      <c r="D285" s="218"/>
      <c r="E285" s="218"/>
      <c r="F285" s="220"/>
      <c r="G285" s="218"/>
      <c r="H285" s="218"/>
      <c r="I285" s="218"/>
      <c r="J285" s="218"/>
      <c r="K285" s="220"/>
      <c r="L285" s="220"/>
      <c r="M285" s="220"/>
      <c r="N285" s="220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spans="1:26" ht="15.75">
      <c r="A286" s="218"/>
      <c r="B286" s="221"/>
      <c r="C286" s="222"/>
      <c r="D286" s="218"/>
      <c r="E286" s="218"/>
      <c r="F286" s="220"/>
      <c r="G286" s="218"/>
      <c r="H286" s="218"/>
      <c r="I286" s="218"/>
      <c r="J286" s="218"/>
      <c r="K286" s="220"/>
      <c r="L286" s="220"/>
      <c r="M286" s="220"/>
      <c r="N286" s="220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spans="1:26" ht="15.75">
      <c r="A287" s="218"/>
      <c r="B287" s="221"/>
      <c r="C287" s="222"/>
      <c r="D287" s="218"/>
      <c r="E287" s="218"/>
      <c r="F287" s="220"/>
      <c r="G287" s="218"/>
      <c r="H287" s="218"/>
      <c r="I287" s="218"/>
      <c r="J287" s="218"/>
      <c r="K287" s="220"/>
      <c r="L287" s="220"/>
      <c r="M287" s="220"/>
      <c r="N287" s="220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spans="1:26" ht="15.75">
      <c r="A288" s="218"/>
      <c r="B288" s="221"/>
      <c r="C288" s="222"/>
      <c r="D288" s="218"/>
      <c r="E288" s="218"/>
      <c r="F288" s="220"/>
      <c r="G288" s="218"/>
      <c r="H288" s="218"/>
      <c r="I288" s="218"/>
      <c r="J288" s="218"/>
      <c r="K288" s="220"/>
      <c r="L288" s="220"/>
      <c r="M288" s="220"/>
      <c r="N288" s="220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spans="1:26" ht="15.75">
      <c r="A289" s="218"/>
      <c r="B289" s="221"/>
      <c r="C289" s="222"/>
      <c r="D289" s="218"/>
      <c r="E289" s="218"/>
      <c r="F289" s="220"/>
      <c r="G289" s="218"/>
      <c r="H289" s="218"/>
      <c r="I289" s="218"/>
      <c r="J289" s="218"/>
      <c r="K289" s="220"/>
      <c r="L289" s="220"/>
      <c r="M289" s="220"/>
      <c r="N289" s="220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spans="1:26" ht="15.75">
      <c r="A290" s="218"/>
      <c r="B290" s="221"/>
      <c r="C290" s="222"/>
      <c r="D290" s="218"/>
      <c r="E290" s="218"/>
      <c r="F290" s="220"/>
      <c r="G290" s="218"/>
      <c r="H290" s="218"/>
      <c r="I290" s="218"/>
      <c r="J290" s="218"/>
      <c r="K290" s="220"/>
      <c r="L290" s="220"/>
      <c r="M290" s="220"/>
      <c r="N290" s="220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spans="1:26" ht="15.75">
      <c r="A291" s="218"/>
      <c r="B291" s="221"/>
      <c r="C291" s="222"/>
      <c r="D291" s="218"/>
      <c r="E291" s="218"/>
      <c r="F291" s="220"/>
      <c r="G291" s="218"/>
      <c r="H291" s="218"/>
      <c r="I291" s="218"/>
      <c r="J291" s="218"/>
      <c r="K291" s="220"/>
      <c r="L291" s="220"/>
      <c r="M291" s="220"/>
      <c r="N291" s="220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spans="1:26" ht="15.75">
      <c r="A292" s="218"/>
      <c r="B292" s="221"/>
      <c r="C292" s="222"/>
      <c r="D292" s="218"/>
      <c r="E292" s="218"/>
      <c r="F292" s="220"/>
      <c r="G292" s="218"/>
      <c r="H292" s="218"/>
      <c r="I292" s="218"/>
      <c r="J292" s="218"/>
      <c r="K292" s="220"/>
      <c r="L292" s="220"/>
      <c r="M292" s="220"/>
      <c r="N292" s="220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spans="1:26" ht="15.75">
      <c r="A293" s="218"/>
      <c r="B293" s="221"/>
      <c r="C293" s="222"/>
      <c r="D293" s="218"/>
      <c r="E293" s="218"/>
      <c r="F293" s="220"/>
      <c r="G293" s="218"/>
      <c r="H293" s="218"/>
      <c r="I293" s="218"/>
      <c r="J293" s="218"/>
      <c r="K293" s="220"/>
      <c r="L293" s="220"/>
      <c r="M293" s="220"/>
      <c r="N293" s="220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spans="1:26" ht="15.75">
      <c r="A294" s="218"/>
      <c r="B294" s="221"/>
      <c r="C294" s="222"/>
      <c r="D294" s="218"/>
      <c r="E294" s="218"/>
      <c r="F294" s="220"/>
      <c r="G294" s="218"/>
      <c r="H294" s="218"/>
      <c r="I294" s="218"/>
      <c r="J294" s="218"/>
      <c r="K294" s="220"/>
      <c r="L294" s="220"/>
      <c r="M294" s="220"/>
      <c r="N294" s="220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spans="1:26" ht="15.75">
      <c r="A295" s="218"/>
      <c r="B295" s="221"/>
      <c r="C295" s="222"/>
      <c r="D295" s="218"/>
      <c r="E295" s="218"/>
      <c r="F295" s="220"/>
      <c r="G295" s="218"/>
      <c r="H295" s="218"/>
      <c r="I295" s="218"/>
      <c r="J295" s="218"/>
      <c r="K295" s="220"/>
      <c r="L295" s="220"/>
      <c r="M295" s="220"/>
      <c r="N295" s="220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spans="1:26" ht="15.75">
      <c r="A296" s="218"/>
      <c r="B296" s="221"/>
      <c r="C296" s="222"/>
      <c r="D296" s="218"/>
      <c r="E296" s="218"/>
      <c r="F296" s="220"/>
      <c r="G296" s="218"/>
      <c r="H296" s="218"/>
      <c r="I296" s="218"/>
      <c r="J296" s="218"/>
      <c r="K296" s="220"/>
      <c r="L296" s="220"/>
      <c r="M296" s="220"/>
      <c r="N296" s="220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spans="1:26" ht="15.75">
      <c r="A297" s="218"/>
      <c r="B297" s="221"/>
      <c r="C297" s="222"/>
      <c r="D297" s="218"/>
      <c r="E297" s="218"/>
      <c r="F297" s="220"/>
      <c r="G297" s="218"/>
      <c r="H297" s="218"/>
      <c r="I297" s="218"/>
      <c r="J297" s="218"/>
      <c r="K297" s="220"/>
      <c r="L297" s="220"/>
      <c r="M297" s="220"/>
      <c r="N297" s="220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spans="1:26" ht="15.75">
      <c r="A298" s="218"/>
      <c r="B298" s="221"/>
      <c r="C298" s="222"/>
      <c r="D298" s="218"/>
      <c r="E298" s="218"/>
      <c r="F298" s="220"/>
      <c r="G298" s="218"/>
      <c r="H298" s="218"/>
      <c r="I298" s="218"/>
      <c r="J298" s="218"/>
      <c r="K298" s="220"/>
      <c r="L298" s="220"/>
      <c r="M298" s="220"/>
      <c r="N298" s="220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spans="1:26" ht="15.75">
      <c r="A299" s="218"/>
      <c r="B299" s="221"/>
      <c r="C299" s="222"/>
      <c r="D299" s="218"/>
      <c r="E299" s="218"/>
      <c r="F299" s="220"/>
      <c r="G299" s="218"/>
      <c r="H299" s="218"/>
      <c r="I299" s="218"/>
      <c r="J299" s="218"/>
      <c r="K299" s="220"/>
      <c r="L299" s="220"/>
      <c r="M299" s="220"/>
      <c r="N299" s="220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spans="1:26" ht="15.75">
      <c r="A300" s="218"/>
      <c r="B300" s="221"/>
      <c r="C300" s="222"/>
      <c r="D300" s="218"/>
      <c r="E300" s="218"/>
      <c r="F300" s="220"/>
      <c r="G300" s="218"/>
      <c r="H300" s="218"/>
      <c r="I300" s="218"/>
      <c r="J300" s="218"/>
      <c r="K300" s="220"/>
      <c r="L300" s="220"/>
      <c r="M300" s="220"/>
      <c r="N300" s="220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spans="1:26" ht="15.75">
      <c r="A301" s="218"/>
      <c r="B301" s="221"/>
      <c r="C301" s="222"/>
      <c r="D301" s="218"/>
      <c r="E301" s="218"/>
      <c r="F301" s="220"/>
      <c r="G301" s="218"/>
      <c r="H301" s="218"/>
      <c r="I301" s="218"/>
      <c r="J301" s="218"/>
      <c r="K301" s="220"/>
      <c r="L301" s="220"/>
      <c r="M301" s="220"/>
      <c r="N301" s="220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spans="1:26" ht="15.75">
      <c r="A302" s="218"/>
      <c r="B302" s="221"/>
      <c r="C302" s="222"/>
      <c r="D302" s="218"/>
      <c r="E302" s="218"/>
      <c r="F302" s="220"/>
      <c r="G302" s="218"/>
      <c r="H302" s="218"/>
      <c r="I302" s="218"/>
      <c r="J302" s="218"/>
      <c r="K302" s="220"/>
      <c r="L302" s="220"/>
      <c r="M302" s="220"/>
      <c r="N302" s="220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spans="1:26" ht="15.75">
      <c r="A303" s="218"/>
      <c r="B303" s="221"/>
      <c r="C303" s="222"/>
      <c r="D303" s="218"/>
      <c r="E303" s="218"/>
      <c r="F303" s="220"/>
      <c r="G303" s="218"/>
      <c r="H303" s="218"/>
      <c r="I303" s="218"/>
      <c r="J303" s="218"/>
      <c r="K303" s="220"/>
      <c r="L303" s="220"/>
      <c r="M303" s="220"/>
      <c r="N303" s="220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spans="1:26" ht="15.75">
      <c r="A304" s="218"/>
      <c r="B304" s="221"/>
      <c r="C304" s="222"/>
      <c r="D304" s="218"/>
      <c r="E304" s="218"/>
      <c r="F304" s="220"/>
      <c r="G304" s="218"/>
      <c r="H304" s="218"/>
      <c r="I304" s="218"/>
      <c r="J304" s="218"/>
      <c r="K304" s="220"/>
      <c r="L304" s="220"/>
      <c r="M304" s="220"/>
      <c r="N304" s="220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spans="1:26" ht="15.75">
      <c r="A305" s="218"/>
      <c r="B305" s="221"/>
      <c r="C305" s="222"/>
      <c r="D305" s="218"/>
      <c r="E305" s="218"/>
      <c r="F305" s="220"/>
      <c r="G305" s="218"/>
      <c r="H305" s="218"/>
      <c r="I305" s="218"/>
      <c r="J305" s="218"/>
      <c r="K305" s="220"/>
      <c r="L305" s="220"/>
      <c r="M305" s="220"/>
      <c r="N305" s="220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spans="1:26" ht="15.75">
      <c r="A306" s="218"/>
      <c r="B306" s="221"/>
      <c r="C306" s="222"/>
      <c r="D306" s="218"/>
      <c r="E306" s="218"/>
      <c r="F306" s="220"/>
      <c r="G306" s="218"/>
      <c r="H306" s="218"/>
      <c r="I306" s="218"/>
      <c r="J306" s="218"/>
      <c r="K306" s="220"/>
      <c r="L306" s="220"/>
      <c r="M306" s="220"/>
      <c r="N306" s="220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spans="1:26" ht="15.75">
      <c r="A307" s="218"/>
      <c r="B307" s="221"/>
      <c r="C307" s="222"/>
      <c r="D307" s="218"/>
      <c r="E307" s="218"/>
      <c r="F307" s="220"/>
      <c r="G307" s="218"/>
      <c r="H307" s="218"/>
      <c r="I307" s="218"/>
      <c r="J307" s="218"/>
      <c r="K307" s="220"/>
      <c r="L307" s="220"/>
      <c r="M307" s="220"/>
      <c r="N307" s="220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spans="1:26" ht="15.75">
      <c r="A308" s="218"/>
      <c r="B308" s="221"/>
      <c r="C308" s="222"/>
      <c r="D308" s="218"/>
      <c r="E308" s="218"/>
      <c r="F308" s="220"/>
      <c r="G308" s="218"/>
      <c r="H308" s="218"/>
      <c r="I308" s="218"/>
      <c r="J308" s="218"/>
      <c r="K308" s="220"/>
      <c r="L308" s="220"/>
      <c r="M308" s="220"/>
      <c r="N308" s="220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spans="1:26" ht="15.75">
      <c r="A309" s="218"/>
      <c r="B309" s="221"/>
      <c r="C309" s="222"/>
      <c r="D309" s="218"/>
      <c r="E309" s="218"/>
      <c r="F309" s="220"/>
      <c r="G309" s="218"/>
      <c r="H309" s="218"/>
      <c r="I309" s="218"/>
      <c r="J309" s="218"/>
      <c r="K309" s="220"/>
      <c r="L309" s="220"/>
      <c r="M309" s="220"/>
      <c r="N309" s="220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spans="1:26" ht="15.75">
      <c r="A310" s="218"/>
      <c r="B310" s="221"/>
      <c r="C310" s="222"/>
      <c r="D310" s="218"/>
      <c r="E310" s="218"/>
      <c r="F310" s="220"/>
      <c r="G310" s="218"/>
      <c r="H310" s="218"/>
      <c r="I310" s="218"/>
      <c r="J310" s="218"/>
      <c r="K310" s="220"/>
      <c r="L310" s="220"/>
      <c r="M310" s="220"/>
      <c r="N310" s="220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spans="1:26" ht="15.75">
      <c r="A311" s="218"/>
      <c r="B311" s="221"/>
      <c r="C311" s="222"/>
      <c r="D311" s="218"/>
      <c r="E311" s="218"/>
      <c r="F311" s="220"/>
      <c r="G311" s="218"/>
      <c r="H311" s="218"/>
      <c r="I311" s="218"/>
      <c r="J311" s="218"/>
      <c r="K311" s="220"/>
      <c r="L311" s="220"/>
      <c r="M311" s="220"/>
      <c r="N311" s="220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spans="1:26" ht="15.75">
      <c r="A312" s="218"/>
      <c r="B312" s="221"/>
      <c r="C312" s="222"/>
      <c r="D312" s="218"/>
      <c r="E312" s="218"/>
      <c r="F312" s="220"/>
      <c r="G312" s="218"/>
      <c r="H312" s="218"/>
      <c r="I312" s="218"/>
      <c r="J312" s="218"/>
      <c r="K312" s="220"/>
      <c r="L312" s="220"/>
      <c r="M312" s="220"/>
      <c r="N312" s="220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spans="1:26" ht="15.75">
      <c r="A313" s="218"/>
      <c r="B313" s="221"/>
      <c r="C313" s="222"/>
      <c r="D313" s="218"/>
      <c r="E313" s="218"/>
      <c r="F313" s="220"/>
      <c r="G313" s="218"/>
      <c r="H313" s="218"/>
      <c r="I313" s="218"/>
      <c r="J313" s="218"/>
      <c r="K313" s="220"/>
      <c r="L313" s="220"/>
      <c r="M313" s="220"/>
      <c r="N313" s="220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spans="1:26" ht="15.75">
      <c r="A314" s="218"/>
      <c r="B314" s="221"/>
      <c r="C314" s="222"/>
      <c r="D314" s="218"/>
      <c r="E314" s="218"/>
      <c r="F314" s="220"/>
      <c r="G314" s="218"/>
      <c r="H314" s="218"/>
      <c r="I314" s="218"/>
      <c r="J314" s="218"/>
      <c r="K314" s="220"/>
      <c r="L314" s="220"/>
      <c r="M314" s="220"/>
      <c r="N314" s="220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spans="1:26" ht="15.75">
      <c r="A315" s="218"/>
      <c r="B315" s="221"/>
      <c r="C315" s="222"/>
      <c r="D315" s="218"/>
      <c r="E315" s="218"/>
      <c r="F315" s="220"/>
      <c r="G315" s="218"/>
      <c r="H315" s="218"/>
      <c r="I315" s="218"/>
      <c r="J315" s="218"/>
      <c r="K315" s="220"/>
      <c r="L315" s="220"/>
      <c r="M315" s="220"/>
      <c r="N315" s="220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spans="1:26" ht="15.75">
      <c r="A316" s="218"/>
      <c r="B316" s="221"/>
      <c r="C316" s="222"/>
      <c r="D316" s="218"/>
      <c r="E316" s="218"/>
      <c r="F316" s="220"/>
      <c r="G316" s="218"/>
      <c r="H316" s="218"/>
      <c r="I316" s="218"/>
      <c r="J316" s="218"/>
      <c r="K316" s="220"/>
      <c r="L316" s="220"/>
      <c r="M316" s="220"/>
      <c r="N316" s="220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spans="1:26" ht="15.75">
      <c r="A317" s="218"/>
      <c r="B317" s="221"/>
      <c r="C317" s="222"/>
      <c r="D317" s="218"/>
      <c r="E317" s="218"/>
      <c r="F317" s="220"/>
      <c r="G317" s="218"/>
      <c r="H317" s="218"/>
      <c r="I317" s="218"/>
      <c r="J317" s="218"/>
      <c r="K317" s="220"/>
      <c r="L317" s="220"/>
      <c r="M317" s="220"/>
      <c r="N317" s="220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spans="1:26" ht="15.75">
      <c r="A318" s="218"/>
      <c r="B318" s="221"/>
      <c r="C318" s="222"/>
      <c r="D318" s="218"/>
      <c r="E318" s="218"/>
      <c r="F318" s="220"/>
      <c r="G318" s="218"/>
      <c r="H318" s="218"/>
      <c r="I318" s="218"/>
      <c r="J318" s="218"/>
      <c r="K318" s="220"/>
      <c r="L318" s="220"/>
      <c r="M318" s="220"/>
      <c r="N318" s="220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spans="1:26" ht="15.75">
      <c r="A319" s="218"/>
      <c r="B319" s="221"/>
      <c r="C319" s="222"/>
      <c r="D319" s="218"/>
      <c r="E319" s="218"/>
      <c r="F319" s="220"/>
      <c r="G319" s="218"/>
      <c r="H319" s="218"/>
      <c r="I319" s="218"/>
      <c r="J319" s="218"/>
      <c r="K319" s="220"/>
      <c r="L319" s="220"/>
      <c r="M319" s="220"/>
      <c r="N319" s="220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spans="1:26" ht="15.75">
      <c r="A320" s="218"/>
      <c r="B320" s="221"/>
      <c r="C320" s="222"/>
      <c r="D320" s="218"/>
      <c r="E320" s="218"/>
      <c r="F320" s="220"/>
      <c r="G320" s="218"/>
      <c r="H320" s="218"/>
      <c r="I320" s="218"/>
      <c r="J320" s="218"/>
      <c r="K320" s="220"/>
      <c r="L320" s="220"/>
      <c r="M320" s="220"/>
      <c r="N320" s="220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spans="1:26" ht="15.75">
      <c r="A321" s="218"/>
      <c r="B321" s="221"/>
      <c r="C321" s="222"/>
      <c r="D321" s="218"/>
      <c r="E321" s="218"/>
      <c r="F321" s="220"/>
      <c r="G321" s="218"/>
      <c r="H321" s="218"/>
      <c r="I321" s="218"/>
      <c r="J321" s="218"/>
      <c r="K321" s="220"/>
      <c r="L321" s="220"/>
      <c r="M321" s="220"/>
      <c r="N321" s="220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spans="1:26" ht="15.75">
      <c r="A322" s="218"/>
      <c r="B322" s="221"/>
      <c r="C322" s="222"/>
      <c r="D322" s="218"/>
      <c r="E322" s="218"/>
      <c r="F322" s="220"/>
      <c r="G322" s="218"/>
      <c r="H322" s="218"/>
      <c r="I322" s="218"/>
      <c r="J322" s="218"/>
      <c r="K322" s="220"/>
      <c r="L322" s="220"/>
      <c r="M322" s="220"/>
      <c r="N322" s="220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spans="1:26" ht="15.75">
      <c r="A323" s="218"/>
      <c r="B323" s="221"/>
      <c r="C323" s="222"/>
      <c r="D323" s="218"/>
      <c r="E323" s="218"/>
      <c r="F323" s="220"/>
      <c r="G323" s="218"/>
      <c r="H323" s="218"/>
      <c r="I323" s="218"/>
      <c r="J323" s="218"/>
      <c r="K323" s="220"/>
      <c r="L323" s="220"/>
      <c r="M323" s="220"/>
      <c r="N323" s="220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spans="1:26" ht="15.75">
      <c r="A324" s="218"/>
      <c r="B324" s="221"/>
      <c r="C324" s="222"/>
      <c r="D324" s="218"/>
      <c r="E324" s="218"/>
      <c r="F324" s="220"/>
      <c r="G324" s="218"/>
      <c r="H324" s="218"/>
      <c r="I324" s="218"/>
      <c r="J324" s="218"/>
      <c r="K324" s="220"/>
      <c r="L324" s="220"/>
      <c r="M324" s="220"/>
      <c r="N324" s="220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spans="1:26" ht="15.75">
      <c r="A325" s="218"/>
      <c r="B325" s="221"/>
      <c r="C325" s="222"/>
      <c r="D325" s="218"/>
      <c r="E325" s="218"/>
      <c r="F325" s="220"/>
      <c r="G325" s="218"/>
      <c r="H325" s="218"/>
      <c r="I325" s="218"/>
      <c r="J325" s="218"/>
      <c r="K325" s="220"/>
      <c r="L325" s="220"/>
      <c r="M325" s="220"/>
      <c r="N325" s="220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spans="1:26" ht="15.75">
      <c r="A326" s="218"/>
      <c r="B326" s="221"/>
      <c r="C326" s="222"/>
      <c r="D326" s="218"/>
      <c r="E326" s="218"/>
      <c r="F326" s="220"/>
      <c r="G326" s="218"/>
      <c r="H326" s="218"/>
      <c r="I326" s="218"/>
      <c r="J326" s="218"/>
      <c r="K326" s="220"/>
      <c r="L326" s="220"/>
      <c r="M326" s="220"/>
      <c r="N326" s="220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spans="1:26" ht="15.75">
      <c r="A327" s="218"/>
      <c r="B327" s="221"/>
      <c r="C327" s="222"/>
      <c r="D327" s="218"/>
      <c r="E327" s="218"/>
      <c r="F327" s="220"/>
      <c r="G327" s="218"/>
      <c r="H327" s="218"/>
      <c r="I327" s="218"/>
      <c r="J327" s="218"/>
      <c r="K327" s="220"/>
      <c r="L327" s="220"/>
      <c r="M327" s="220"/>
      <c r="N327" s="220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spans="1:26" ht="15.75">
      <c r="A328" s="218"/>
      <c r="B328" s="221"/>
      <c r="C328" s="222"/>
      <c r="D328" s="218"/>
      <c r="E328" s="218"/>
      <c r="F328" s="220"/>
      <c r="G328" s="218"/>
      <c r="H328" s="218"/>
      <c r="I328" s="218"/>
      <c r="J328" s="218"/>
      <c r="K328" s="220"/>
      <c r="L328" s="220"/>
      <c r="M328" s="220"/>
      <c r="N328" s="220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spans="1:26" ht="15.75">
      <c r="A329" s="218"/>
      <c r="B329" s="221"/>
      <c r="C329" s="222"/>
      <c r="D329" s="218"/>
      <c r="E329" s="218"/>
      <c r="F329" s="220"/>
      <c r="G329" s="218"/>
      <c r="H329" s="218"/>
      <c r="I329" s="218"/>
      <c r="J329" s="218"/>
      <c r="K329" s="220"/>
      <c r="L329" s="220"/>
      <c r="M329" s="220"/>
      <c r="N329" s="220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spans="1:26" ht="15.75">
      <c r="A330" s="218"/>
      <c r="B330" s="221"/>
      <c r="C330" s="222"/>
      <c r="D330" s="218"/>
      <c r="E330" s="218"/>
      <c r="F330" s="220"/>
      <c r="G330" s="218"/>
      <c r="H330" s="218"/>
      <c r="I330" s="218"/>
      <c r="J330" s="218"/>
      <c r="K330" s="220"/>
      <c r="L330" s="220"/>
      <c r="M330" s="220"/>
      <c r="N330" s="220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spans="1:26" ht="15.75">
      <c r="A331" s="218"/>
      <c r="B331" s="221"/>
      <c r="C331" s="222"/>
      <c r="D331" s="218"/>
      <c r="E331" s="218"/>
      <c r="F331" s="220"/>
      <c r="G331" s="218"/>
      <c r="H331" s="218"/>
      <c r="I331" s="218"/>
      <c r="J331" s="218"/>
      <c r="K331" s="220"/>
      <c r="L331" s="220"/>
      <c r="M331" s="220"/>
      <c r="N331" s="220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spans="1:26" ht="15.75">
      <c r="A332" s="218"/>
      <c r="B332" s="221"/>
      <c r="C332" s="222"/>
      <c r="D332" s="218"/>
      <c r="E332" s="218"/>
      <c r="F332" s="220"/>
      <c r="G332" s="218"/>
      <c r="H332" s="218"/>
      <c r="I332" s="218"/>
      <c r="J332" s="218"/>
      <c r="K332" s="220"/>
      <c r="L332" s="220"/>
      <c r="M332" s="220"/>
      <c r="N332" s="220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spans="1:26" ht="15.75">
      <c r="A333" s="218"/>
      <c r="B333" s="221"/>
      <c r="C333" s="222"/>
      <c r="D333" s="218"/>
      <c r="E333" s="218"/>
      <c r="F333" s="220"/>
      <c r="G333" s="218"/>
      <c r="H333" s="218"/>
      <c r="I333" s="218"/>
      <c r="J333" s="218"/>
      <c r="K333" s="220"/>
      <c r="L333" s="220"/>
      <c r="M333" s="220"/>
      <c r="N333" s="220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spans="1:26" ht="15.75">
      <c r="A334" s="218"/>
      <c r="B334" s="221"/>
      <c r="C334" s="222"/>
      <c r="D334" s="218"/>
      <c r="E334" s="218"/>
      <c r="F334" s="220"/>
      <c r="G334" s="218"/>
      <c r="H334" s="218"/>
      <c r="I334" s="218"/>
      <c r="J334" s="218"/>
      <c r="K334" s="220"/>
      <c r="L334" s="220"/>
      <c r="M334" s="220"/>
      <c r="N334" s="220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spans="1:26" ht="15.75">
      <c r="A335" s="218"/>
      <c r="B335" s="221"/>
      <c r="C335" s="222"/>
      <c r="D335" s="218"/>
      <c r="E335" s="218"/>
      <c r="F335" s="220"/>
      <c r="G335" s="218"/>
      <c r="H335" s="218"/>
      <c r="I335" s="218"/>
      <c r="J335" s="218"/>
      <c r="K335" s="220"/>
      <c r="L335" s="220"/>
      <c r="M335" s="220"/>
      <c r="N335" s="220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spans="1:26" ht="15.75">
      <c r="A336" s="218"/>
      <c r="B336" s="221"/>
      <c r="C336" s="222"/>
      <c r="D336" s="218"/>
      <c r="E336" s="218"/>
      <c r="F336" s="220"/>
      <c r="G336" s="218"/>
      <c r="H336" s="218"/>
      <c r="I336" s="218"/>
      <c r="J336" s="218"/>
      <c r="K336" s="220"/>
      <c r="L336" s="220"/>
      <c r="M336" s="220"/>
      <c r="N336" s="220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spans="1:26" ht="15.75">
      <c r="A337" s="218"/>
      <c r="B337" s="221"/>
      <c r="C337" s="222"/>
      <c r="D337" s="218"/>
      <c r="E337" s="218"/>
      <c r="F337" s="220"/>
      <c r="G337" s="218"/>
      <c r="H337" s="218"/>
      <c r="I337" s="218"/>
      <c r="J337" s="218"/>
      <c r="K337" s="220"/>
      <c r="L337" s="220"/>
      <c r="M337" s="220"/>
      <c r="N337" s="220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spans="1:26" ht="15.75">
      <c r="A338" s="218"/>
      <c r="B338" s="221"/>
      <c r="C338" s="222"/>
      <c r="D338" s="218"/>
      <c r="E338" s="218"/>
      <c r="F338" s="220"/>
      <c r="G338" s="218"/>
      <c r="H338" s="218"/>
      <c r="I338" s="218"/>
      <c r="J338" s="218"/>
      <c r="K338" s="220"/>
      <c r="L338" s="220"/>
      <c r="M338" s="220"/>
      <c r="N338" s="220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spans="1:26" ht="15.75">
      <c r="A339" s="218"/>
      <c r="B339" s="221"/>
      <c r="C339" s="222"/>
      <c r="D339" s="218"/>
      <c r="E339" s="218"/>
      <c r="F339" s="220"/>
      <c r="G339" s="218"/>
      <c r="H339" s="218"/>
      <c r="I339" s="218"/>
      <c r="J339" s="218"/>
      <c r="K339" s="220"/>
      <c r="L339" s="220"/>
      <c r="M339" s="220"/>
      <c r="N339" s="220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spans="1:26" ht="15.75">
      <c r="A340" s="218"/>
      <c r="B340" s="221"/>
      <c r="C340" s="222"/>
      <c r="D340" s="218"/>
      <c r="E340" s="218"/>
      <c r="F340" s="220"/>
      <c r="G340" s="218"/>
      <c r="H340" s="218"/>
      <c r="I340" s="218"/>
      <c r="J340" s="218"/>
      <c r="K340" s="220"/>
      <c r="L340" s="220"/>
      <c r="M340" s="220"/>
      <c r="N340" s="220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spans="1:26" ht="15.75">
      <c r="A341" s="218"/>
      <c r="B341" s="221"/>
      <c r="C341" s="222"/>
      <c r="D341" s="218"/>
      <c r="E341" s="218"/>
      <c r="F341" s="220"/>
      <c r="G341" s="218"/>
      <c r="H341" s="218"/>
      <c r="I341" s="218"/>
      <c r="J341" s="218"/>
      <c r="K341" s="220"/>
      <c r="L341" s="220"/>
      <c r="M341" s="220"/>
      <c r="N341" s="220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spans="1:26" ht="15.75">
      <c r="A342" s="218"/>
      <c r="B342" s="221"/>
      <c r="C342" s="222"/>
      <c r="D342" s="218"/>
      <c r="E342" s="218"/>
      <c r="F342" s="220"/>
      <c r="G342" s="218"/>
      <c r="H342" s="218"/>
      <c r="I342" s="218"/>
      <c r="J342" s="218"/>
      <c r="K342" s="220"/>
      <c r="L342" s="220"/>
      <c r="M342" s="220"/>
      <c r="N342" s="220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spans="1:26" ht="15.75">
      <c r="A343" s="218"/>
      <c r="B343" s="221"/>
      <c r="C343" s="222"/>
      <c r="D343" s="218"/>
      <c r="E343" s="218"/>
      <c r="F343" s="220"/>
      <c r="G343" s="218"/>
      <c r="H343" s="218"/>
      <c r="I343" s="218"/>
      <c r="J343" s="218"/>
      <c r="K343" s="220"/>
      <c r="L343" s="220"/>
      <c r="M343" s="220"/>
      <c r="N343" s="220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spans="1:26" ht="15.75">
      <c r="A344" s="218"/>
      <c r="B344" s="221"/>
      <c r="C344" s="222"/>
      <c r="D344" s="218"/>
      <c r="E344" s="218"/>
      <c r="F344" s="220"/>
      <c r="G344" s="218"/>
      <c r="H344" s="218"/>
      <c r="I344" s="218"/>
      <c r="J344" s="218"/>
      <c r="K344" s="220"/>
      <c r="L344" s="220"/>
      <c r="M344" s="220"/>
      <c r="N344" s="220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spans="1:26" ht="15.75">
      <c r="A345" s="218"/>
      <c r="B345" s="221"/>
      <c r="C345" s="222"/>
      <c r="D345" s="218"/>
      <c r="E345" s="218"/>
      <c r="F345" s="220"/>
      <c r="G345" s="218"/>
      <c r="H345" s="218"/>
      <c r="I345" s="218"/>
      <c r="J345" s="218"/>
      <c r="K345" s="220"/>
      <c r="L345" s="220"/>
      <c r="M345" s="220"/>
      <c r="N345" s="220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spans="1:26" ht="15.75">
      <c r="A346" s="218"/>
      <c r="B346" s="221"/>
      <c r="C346" s="222"/>
      <c r="D346" s="218"/>
      <c r="E346" s="218"/>
      <c r="F346" s="220"/>
      <c r="G346" s="218"/>
      <c r="H346" s="218"/>
      <c r="I346" s="218"/>
      <c r="J346" s="218"/>
      <c r="K346" s="220"/>
      <c r="L346" s="220"/>
      <c r="M346" s="220"/>
      <c r="N346" s="220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spans="1:26" ht="15.75">
      <c r="A347" s="218"/>
      <c r="B347" s="221"/>
      <c r="C347" s="222"/>
      <c r="D347" s="218"/>
      <c r="E347" s="218"/>
      <c r="F347" s="220"/>
      <c r="G347" s="218"/>
      <c r="H347" s="218"/>
      <c r="I347" s="218"/>
      <c r="J347" s="218"/>
      <c r="K347" s="220"/>
      <c r="L347" s="220"/>
      <c r="M347" s="220"/>
      <c r="N347" s="220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spans="1:26" ht="15.75">
      <c r="A348" s="218"/>
      <c r="B348" s="221"/>
      <c r="C348" s="222"/>
      <c r="D348" s="218"/>
      <c r="E348" s="218"/>
      <c r="F348" s="220"/>
      <c r="G348" s="218"/>
      <c r="H348" s="218"/>
      <c r="I348" s="218"/>
      <c r="J348" s="218"/>
      <c r="K348" s="220"/>
      <c r="L348" s="220"/>
      <c r="M348" s="220"/>
      <c r="N348" s="220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spans="1:26" ht="15.75">
      <c r="A349" s="218"/>
      <c r="B349" s="221"/>
      <c r="C349" s="222"/>
      <c r="D349" s="218"/>
      <c r="E349" s="218"/>
      <c r="F349" s="220"/>
      <c r="G349" s="218"/>
      <c r="H349" s="218"/>
      <c r="I349" s="218"/>
      <c r="J349" s="218"/>
      <c r="K349" s="220"/>
      <c r="L349" s="220"/>
      <c r="M349" s="220"/>
      <c r="N349" s="220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spans="1:26" ht="15.75">
      <c r="A350" s="218"/>
      <c r="B350" s="221"/>
      <c r="C350" s="222"/>
      <c r="D350" s="218"/>
      <c r="E350" s="218"/>
      <c r="F350" s="220"/>
      <c r="G350" s="218"/>
      <c r="H350" s="218"/>
      <c r="I350" s="218"/>
      <c r="J350" s="218"/>
      <c r="K350" s="220"/>
      <c r="L350" s="220"/>
      <c r="M350" s="220"/>
      <c r="N350" s="220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spans="1:26" ht="15.75">
      <c r="A351" s="218"/>
      <c r="B351" s="221"/>
      <c r="C351" s="222"/>
      <c r="D351" s="218"/>
      <c r="E351" s="218"/>
      <c r="F351" s="220"/>
      <c r="G351" s="218"/>
      <c r="H351" s="218"/>
      <c r="I351" s="218"/>
      <c r="J351" s="218"/>
      <c r="K351" s="220"/>
      <c r="L351" s="220"/>
      <c r="M351" s="220"/>
      <c r="N351" s="220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spans="1:26" ht="15.75">
      <c r="A352" s="218"/>
      <c r="B352" s="221"/>
      <c r="C352" s="222"/>
      <c r="D352" s="218"/>
      <c r="E352" s="218"/>
      <c r="F352" s="220"/>
      <c r="G352" s="218"/>
      <c r="H352" s="218"/>
      <c r="I352" s="218"/>
      <c r="J352" s="218"/>
      <c r="K352" s="220"/>
      <c r="L352" s="220"/>
      <c r="M352" s="220"/>
      <c r="N352" s="220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spans="1:26" ht="15.75">
      <c r="A353" s="218"/>
      <c r="B353" s="221"/>
      <c r="C353" s="222"/>
      <c r="D353" s="218"/>
      <c r="E353" s="218"/>
      <c r="F353" s="220"/>
      <c r="G353" s="218"/>
      <c r="H353" s="218"/>
      <c r="I353" s="218"/>
      <c r="J353" s="218"/>
      <c r="K353" s="220"/>
      <c r="L353" s="220"/>
      <c r="M353" s="220"/>
      <c r="N353" s="220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spans="1:26" ht="15.75">
      <c r="A354" s="218"/>
      <c r="B354" s="221"/>
      <c r="C354" s="222"/>
      <c r="D354" s="218"/>
      <c r="E354" s="218"/>
      <c r="F354" s="220"/>
      <c r="G354" s="218"/>
      <c r="H354" s="218"/>
      <c r="I354" s="218"/>
      <c r="J354" s="218"/>
      <c r="K354" s="220"/>
      <c r="L354" s="220"/>
      <c r="M354" s="220"/>
      <c r="N354" s="220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spans="1:26" ht="15.75">
      <c r="A355" s="218"/>
      <c r="B355" s="221"/>
      <c r="C355" s="222"/>
      <c r="D355" s="218"/>
      <c r="E355" s="218"/>
      <c r="F355" s="220"/>
      <c r="G355" s="218"/>
      <c r="H355" s="218"/>
      <c r="I355" s="218"/>
      <c r="J355" s="218"/>
      <c r="K355" s="220"/>
      <c r="L355" s="220"/>
      <c r="M355" s="220"/>
      <c r="N355" s="220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spans="1:26" ht="15.75">
      <c r="A356" s="218"/>
      <c r="B356" s="221"/>
      <c r="C356" s="222"/>
      <c r="D356" s="218"/>
      <c r="E356" s="218"/>
      <c r="F356" s="220"/>
      <c r="G356" s="218"/>
      <c r="H356" s="218"/>
      <c r="I356" s="218"/>
      <c r="J356" s="218"/>
      <c r="K356" s="220"/>
      <c r="L356" s="220"/>
      <c r="M356" s="220"/>
      <c r="N356" s="220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spans="1:26" ht="15.75">
      <c r="A357" s="218"/>
      <c r="B357" s="221"/>
      <c r="C357" s="222"/>
      <c r="D357" s="218"/>
      <c r="E357" s="218"/>
      <c r="F357" s="220"/>
      <c r="G357" s="218"/>
      <c r="H357" s="218"/>
      <c r="I357" s="218"/>
      <c r="J357" s="218"/>
      <c r="K357" s="220"/>
      <c r="L357" s="220"/>
      <c r="M357" s="220"/>
      <c r="N357" s="220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spans="1:26" ht="15.75">
      <c r="A358" s="218"/>
      <c r="B358" s="221"/>
      <c r="C358" s="222"/>
      <c r="D358" s="218"/>
      <c r="E358" s="218"/>
      <c r="F358" s="220"/>
      <c r="G358" s="218"/>
      <c r="H358" s="218"/>
      <c r="I358" s="218"/>
      <c r="J358" s="218"/>
      <c r="K358" s="220"/>
      <c r="L358" s="220"/>
      <c r="M358" s="220"/>
      <c r="N358" s="220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spans="1:26" ht="15.75">
      <c r="A359" s="218"/>
      <c r="B359" s="221"/>
      <c r="C359" s="222"/>
      <c r="D359" s="218"/>
      <c r="E359" s="218"/>
      <c r="F359" s="220"/>
      <c r="G359" s="218"/>
      <c r="H359" s="218"/>
      <c r="I359" s="218"/>
      <c r="J359" s="218"/>
      <c r="K359" s="220"/>
      <c r="L359" s="220"/>
      <c r="M359" s="220"/>
      <c r="N359" s="220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spans="1:26" ht="15.75">
      <c r="A360" s="218"/>
      <c r="B360" s="221"/>
      <c r="C360" s="222"/>
      <c r="D360" s="218"/>
      <c r="E360" s="218"/>
      <c r="F360" s="220"/>
      <c r="G360" s="218"/>
      <c r="H360" s="218"/>
      <c r="I360" s="218"/>
      <c r="J360" s="218"/>
      <c r="K360" s="220"/>
      <c r="L360" s="220"/>
      <c r="M360" s="220"/>
      <c r="N360" s="220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spans="1:26" ht="15.75">
      <c r="A361" s="218"/>
      <c r="B361" s="221"/>
      <c r="C361" s="222"/>
      <c r="D361" s="218"/>
      <c r="E361" s="218"/>
      <c r="F361" s="220"/>
      <c r="G361" s="218"/>
      <c r="H361" s="218"/>
      <c r="I361" s="218"/>
      <c r="J361" s="218"/>
      <c r="K361" s="220"/>
      <c r="L361" s="220"/>
      <c r="M361" s="220"/>
      <c r="N361" s="220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spans="1:26" ht="15.75">
      <c r="A362" s="218"/>
      <c r="B362" s="221"/>
      <c r="C362" s="222"/>
      <c r="D362" s="218"/>
      <c r="E362" s="218"/>
      <c r="F362" s="220"/>
      <c r="G362" s="218"/>
      <c r="H362" s="218"/>
      <c r="I362" s="218"/>
      <c r="J362" s="218"/>
      <c r="K362" s="220"/>
      <c r="L362" s="220"/>
      <c r="M362" s="220"/>
      <c r="N362" s="220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spans="1:26" ht="15.75">
      <c r="A363" s="218"/>
      <c r="B363" s="221"/>
      <c r="C363" s="222"/>
      <c r="D363" s="218"/>
      <c r="E363" s="218"/>
      <c r="F363" s="220"/>
      <c r="G363" s="218"/>
      <c r="H363" s="218"/>
      <c r="I363" s="218"/>
      <c r="J363" s="218"/>
      <c r="K363" s="220"/>
      <c r="L363" s="220"/>
      <c r="M363" s="220"/>
      <c r="N363" s="220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spans="1:26" ht="15.75">
      <c r="A364" s="218"/>
      <c r="B364" s="221"/>
      <c r="C364" s="222"/>
      <c r="D364" s="218"/>
      <c r="E364" s="218"/>
      <c r="F364" s="220"/>
      <c r="G364" s="218"/>
      <c r="H364" s="218"/>
      <c r="I364" s="218"/>
      <c r="J364" s="218"/>
      <c r="K364" s="220"/>
      <c r="L364" s="220"/>
      <c r="M364" s="220"/>
      <c r="N364" s="220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spans="1:26" ht="15.75">
      <c r="A365" s="218"/>
      <c r="B365" s="221"/>
      <c r="C365" s="222"/>
      <c r="D365" s="218"/>
      <c r="E365" s="218"/>
      <c r="F365" s="220"/>
      <c r="G365" s="218"/>
      <c r="H365" s="218"/>
      <c r="I365" s="218"/>
      <c r="J365" s="218"/>
      <c r="K365" s="220"/>
      <c r="L365" s="220"/>
      <c r="M365" s="220"/>
      <c r="N365" s="220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spans="1:26" ht="15.75">
      <c r="A366" s="218"/>
      <c r="B366" s="221"/>
      <c r="C366" s="222"/>
      <c r="D366" s="218"/>
      <c r="E366" s="218"/>
      <c r="F366" s="220"/>
      <c r="G366" s="218"/>
      <c r="H366" s="218"/>
      <c r="I366" s="218"/>
      <c r="J366" s="218"/>
      <c r="K366" s="220"/>
      <c r="L366" s="220"/>
      <c r="M366" s="220"/>
      <c r="N366" s="220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spans="1:26" ht="15.75">
      <c r="A367" s="218"/>
      <c r="B367" s="221"/>
      <c r="C367" s="222"/>
      <c r="D367" s="218"/>
      <c r="E367" s="218"/>
      <c r="F367" s="220"/>
      <c r="G367" s="218"/>
      <c r="H367" s="218"/>
      <c r="I367" s="218"/>
      <c r="J367" s="218"/>
      <c r="K367" s="220"/>
      <c r="L367" s="220"/>
      <c r="M367" s="220"/>
      <c r="N367" s="220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spans="1:26" ht="15.75">
      <c r="A368" s="218"/>
      <c r="B368" s="221"/>
      <c r="C368" s="222"/>
      <c r="D368" s="218"/>
      <c r="E368" s="218"/>
      <c r="F368" s="220"/>
      <c r="G368" s="218"/>
      <c r="H368" s="218"/>
      <c r="I368" s="218"/>
      <c r="J368" s="218"/>
      <c r="K368" s="220"/>
      <c r="L368" s="220"/>
      <c r="M368" s="220"/>
      <c r="N368" s="220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spans="1:26" ht="15.75">
      <c r="A369" s="218"/>
      <c r="B369" s="221"/>
      <c r="C369" s="222"/>
      <c r="D369" s="218"/>
      <c r="E369" s="218"/>
      <c r="F369" s="220"/>
      <c r="G369" s="218"/>
      <c r="H369" s="218"/>
      <c r="I369" s="218"/>
      <c r="J369" s="218"/>
      <c r="K369" s="220"/>
      <c r="L369" s="220"/>
      <c r="M369" s="220"/>
      <c r="N369" s="220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spans="1:26" ht="15.75">
      <c r="A370" s="218"/>
      <c r="B370" s="221"/>
      <c r="C370" s="222"/>
      <c r="D370" s="218"/>
      <c r="E370" s="218"/>
      <c r="F370" s="220"/>
      <c r="G370" s="218"/>
      <c r="H370" s="218"/>
      <c r="I370" s="218"/>
      <c r="J370" s="218"/>
      <c r="K370" s="220"/>
      <c r="L370" s="220"/>
      <c r="M370" s="220"/>
      <c r="N370" s="220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spans="1:26" ht="15.75">
      <c r="A371" s="218"/>
      <c r="B371" s="221"/>
      <c r="C371" s="222"/>
      <c r="D371" s="218"/>
      <c r="E371" s="218"/>
      <c r="F371" s="220"/>
      <c r="G371" s="218"/>
      <c r="H371" s="218"/>
      <c r="I371" s="218"/>
      <c r="J371" s="218"/>
      <c r="K371" s="220"/>
      <c r="L371" s="220"/>
      <c r="M371" s="220"/>
      <c r="N371" s="220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spans="1:26" ht="15.75">
      <c r="A372" s="218"/>
      <c r="B372" s="221"/>
      <c r="C372" s="222"/>
      <c r="D372" s="218"/>
      <c r="E372" s="218"/>
      <c r="F372" s="220"/>
      <c r="G372" s="218"/>
      <c r="H372" s="218"/>
      <c r="I372" s="218"/>
      <c r="J372" s="218"/>
      <c r="K372" s="220"/>
      <c r="L372" s="220"/>
      <c r="M372" s="220"/>
      <c r="N372" s="220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spans="1:26" ht="15.75">
      <c r="A373" s="218"/>
      <c r="B373" s="221"/>
      <c r="C373" s="222"/>
      <c r="D373" s="218"/>
      <c r="E373" s="218"/>
      <c r="F373" s="220"/>
      <c r="G373" s="218"/>
      <c r="H373" s="218"/>
      <c r="I373" s="218"/>
      <c r="J373" s="218"/>
      <c r="K373" s="220"/>
      <c r="L373" s="220"/>
      <c r="M373" s="220"/>
      <c r="N373" s="220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spans="1:26" ht="15.75">
      <c r="A374" s="218"/>
      <c r="B374" s="221"/>
      <c r="C374" s="222"/>
      <c r="D374" s="218"/>
      <c r="E374" s="218"/>
      <c r="F374" s="220"/>
      <c r="G374" s="218"/>
      <c r="H374" s="218"/>
      <c r="I374" s="218"/>
      <c r="J374" s="218"/>
      <c r="K374" s="220"/>
      <c r="L374" s="220"/>
      <c r="M374" s="220"/>
      <c r="N374" s="220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spans="1:26" ht="15.75">
      <c r="A375" s="218"/>
      <c r="B375" s="221"/>
      <c r="C375" s="222"/>
      <c r="D375" s="218"/>
      <c r="E375" s="218"/>
      <c r="F375" s="220"/>
      <c r="G375" s="218"/>
      <c r="H375" s="218"/>
      <c r="I375" s="218"/>
      <c r="J375" s="218"/>
      <c r="K375" s="220"/>
      <c r="L375" s="220"/>
      <c r="M375" s="220"/>
      <c r="N375" s="220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spans="1:26" ht="15.75">
      <c r="A376" s="218"/>
      <c r="B376" s="221"/>
      <c r="C376" s="222"/>
      <c r="D376" s="218"/>
      <c r="E376" s="218"/>
      <c r="F376" s="220"/>
      <c r="G376" s="218"/>
      <c r="H376" s="218"/>
      <c r="I376" s="218"/>
      <c r="J376" s="218"/>
      <c r="K376" s="220"/>
      <c r="L376" s="220"/>
      <c r="M376" s="220"/>
      <c r="N376" s="220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spans="1:26" ht="15.75">
      <c r="A377" s="218"/>
      <c r="B377" s="221"/>
      <c r="C377" s="222"/>
      <c r="D377" s="218"/>
      <c r="E377" s="218"/>
      <c r="F377" s="220"/>
      <c r="G377" s="218"/>
      <c r="H377" s="218"/>
      <c r="I377" s="218"/>
      <c r="J377" s="218"/>
      <c r="K377" s="220"/>
      <c r="L377" s="220"/>
      <c r="M377" s="220"/>
      <c r="N377" s="220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spans="1:26" ht="15.75">
      <c r="A378" s="218"/>
      <c r="B378" s="221"/>
      <c r="C378" s="222"/>
      <c r="D378" s="218"/>
      <c r="E378" s="218"/>
      <c r="F378" s="220"/>
      <c r="G378" s="218"/>
      <c r="H378" s="218"/>
      <c r="I378" s="218"/>
      <c r="J378" s="218"/>
      <c r="K378" s="220"/>
      <c r="L378" s="220"/>
      <c r="M378" s="220"/>
      <c r="N378" s="220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spans="1:26" ht="15.75">
      <c r="A379" s="218"/>
      <c r="B379" s="221"/>
      <c r="C379" s="222"/>
      <c r="D379" s="218"/>
      <c r="E379" s="218"/>
      <c r="F379" s="220"/>
      <c r="G379" s="218"/>
      <c r="H379" s="218"/>
      <c r="I379" s="218"/>
      <c r="J379" s="218"/>
      <c r="K379" s="220"/>
      <c r="L379" s="220"/>
      <c r="M379" s="220"/>
      <c r="N379" s="220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spans="1:26" ht="15.75">
      <c r="A380" s="218"/>
      <c r="B380" s="221"/>
      <c r="C380" s="222"/>
      <c r="D380" s="218"/>
      <c r="E380" s="218"/>
      <c r="F380" s="220"/>
      <c r="G380" s="218"/>
      <c r="H380" s="218"/>
      <c r="I380" s="218"/>
      <c r="J380" s="218"/>
      <c r="K380" s="220"/>
      <c r="L380" s="220"/>
      <c r="M380" s="220"/>
      <c r="N380" s="220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spans="1:26" ht="15.75">
      <c r="A381" s="218"/>
      <c r="B381" s="221"/>
      <c r="C381" s="222"/>
      <c r="D381" s="218"/>
      <c r="E381" s="218"/>
      <c r="F381" s="220"/>
      <c r="G381" s="218"/>
      <c r="H381" s="218"/>
      <c r="I381" s="218"/>
      <c r="J381" s="218"/>
      <c r="K381" s="220"/>
      <c r="L381" s="220"/>
      <c r="M381" s="220"/>
      <c r="N381" s="220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spans="1:26" ht="15.75">
      <c r="A382" s="218"/>
      <c r="B382" s="221"/>
      <c r="C382" s="222"/>
      <c r="D382" s="218"/>
      <c r="E382" s="218"/>
      <c r="F382" s="220"/>
      <c r="G382" s="218"/>
      <c r="H382" s="218"/>
      <c r="I382" s="218"/>
      <c r="J382" s="218"/>
      <c r="K382" s="220"/>
      <c r="L382" s="220"/>
      <c r="M382" s="220"/>
      <c r="N382" s="220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spans="1:26" ht="15.75">
      <c r="A383" s="218"/>
      <c r="B383" s="221"/>
      <c r="C383" s="222"/>
      <c r="D383" s="218"/>
      <c r="E383" s="218"/>
      <c r="F383" s="220"/>
      <c r="G383" s="218"/>
      <c r="H383" s="218"/>
      <c r="I383" s="218"/>
      <c r="J383" s="218"/>
      <c r="K383" s="220"/>
      <c r="L383" s="220"/>
      <c r="M383" s="220"/>
      <c r="N383" s="220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spans="1:26" ht="15.75">
      <c r="A384" s="218"/>
      <c r="B384" s="221"/>
      <c r="C384" s="222"/>
      <c r="D384" s="218"/>
      <c r="E384" s="218"/>
      <c r="F384" s="220"/>
      <c r="G384" s="218"/>
      <c r="H384" s="218"/>
      <c r="I384" s="218"/>
      <c r="J384" s="218"/>
      <c r="K384" s="220"/>
      <c r="L384" s="220"/>
      <c r="M384" s="220"/>
      <c r="N384" s="220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spans="1:26" ht="15.75">
      <c r="A385" s="218"/>
      <c r="B385" s="221"/>
      <c r="C385" s="222"/>
      <c r="D385" s="218"/>
      <c r="E385" s="218"/>
      <c r="F385" s="220"/>
      <c r="G385" s="218"/>
      <c r="H385" s="218"/>
      <c r="I385" s="218"/>
      <c r="J385" s="218"/>
      <c r="K385" s="220"/>
      <c r="L385" s="220"/>
      <c r="M385" s="220"/>
      <c r="N385" s="220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spans="1:26" ht="15.75">
      <c r="A386" s="218"/>
      <c r="B386" s="221"/>
      <c r="C386" s="222"/>
      <c r="D386" s="218"/>
      <c r="E386" s="218"/>
      <c r="F386" s="220"/>
      <c r="G386" s="218"/>
      <c r="H386" s="218"/>
      <c r="I386" s="218"/>
      <c r="J386" s="218"/>
      <c r="K386" s="220"/>
      <c r="L386" s="220"/>
      <c r="M386" s="220"/>
      <c r="N386" s="220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spans="1:26" ht="15.75">
      <c r="A387" s="218"/>
      <c r="B387" s="221"/>
      <c r="C387" s="222"/>
      <c r="D387" s="218"/>
      <c r="E387" s="218"/>
      <c r="F387" s="220"/>
      <c r="G387" s="218"/>
      <c r="H387" s="218"/>
      <c r="I387" s="218"/>
      <c r="J387" s="218"/>
      <c r="K387" s="220"/>
      <c r="L387" s="220"/>
      <c r="M387" s="220"/>
      <c r="N387" s="220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spans="1:26" ht="15.75">
      <c r="A388" s="218"/>
      <c r="B388" s="221"/>
      <c r="C388" s="222"/>
      <c r="D388" s="218"/>
      <c r="E388" s="218"/>
      <c r="F388" s="220"/>
      <c r="G388" s="218"/>
      <c r="H388" s="218"/>
      <c r="I388" s="218"/>
      <c r="J388" s="218"/>
      <c r="K388" s="220"/>
      <c r="L388" s="220"/>
      <c r="M388" s="220"/>
      <c r="N388" s="220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spans="1:26" ht="15.75">
      <c r="A389" s="218"/>
      <c r="B389" s="221"/>
      <c r="C389" s="222"/>
      <c r="D389" s="218"/>
      <c r="E389" s="218"/>
      <c r="F389" s="220"/>
      <c r="G389" s="218"/>
      <c r="H389" s="218"/>
      <c r="I389" s="218"/>
      <c r="J389" s="218"/>
      <c r="K389" s="220"/>
      <c r="L389" s="220"/>
      <c r="M389" s="220"/>
      <c r="N389" s="220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spans="1:26" ht="15.75">
      <c r="A390" s="218"/>
      <c r="B390" s="221"/>
      <c r="C390" s="222"/>
      <c r="D390" s="218"/>
      <c r="E390" s="218"/>
      <c r="F390" s="220"/>
      <c r="G390" s="218"/>
      <c r="H390" s="218"/>
      <c r="I390" s="218"/>
      <c r="J390" s="218"/>
      <c r="K390" s="220"/>
      <c r="L390" s="220"/>
      <c r="M390" s="220"/>
      <c r="N390" s="220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spans="1:26" ht="15.75">
      <c r="A391" s="218"/>
      <c r="B391" s="221"/>
      <c r="C391" s="222"/>
      <c r="D391" s="218"/>
      <c r="E391" s="218"/>
      <c r="F391" s="220"/>
      <c r="G391" s="218"/>
      <c r="H391" s="218"/>
      <c r="I391" s="218"/>
      <c r="J391" s="218"/>
      <c r="K391" s="220"/>
      <c r="L391" s="220"/>
      <c r="M391" s="220"/>
      <c r="N391" s="220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spans="1:26" ht="15.75">
      <c r="A392" s="218"/>
      <c r="B392" s="221"/>
      <c r="C392" s="222"/>
      <c r="D392" s="218"/>
      <c r="E392" s="218"/>
      <c r="F392" s="220"/>
      <c r="G392" s="218"/>
      <c r="H392" s="218"/>
      <c r="I392" s="218"/>
      <c r="J392" s="218"/>
      <c r="K392" s="220"/>
      <c r="L392" s="220"/>
      <c r="M392" s="220"/>
      <c r="N392" s="220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spans="1:26" ht="15.75">
      <c r="A393" s="218"/>
      <c r="B393" s="221"/>
      <c r="C393" s="222"/>
      <c r="D393" s="218"/>
      <c r="E393" s="218"/>
      <c r="F393" s="220"/>
      <c r="G393" s="218"/>
      <c r="H393" s="218"/>
      <c r="I393" s="218"/>
      <c r="J393" s="218"/>
      <c r="K393" s="220"/>
      <c r="L393" s="220"/>
      <c r="M393" s="220"/>
      <c r="N393" s="220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spans="1:26" ht="15.75">
      <c r="A394" s="218"/>
      <c r="B394" s="221"/>
      <c r="C394" s="222"/>
      <c r="D394" s="218"/>
      <c r="E394" s="218"/>
      <c r="F394" s="220"/>
      <c r="G394" s="218"/>
      <c r="H394" s="218"/>
      <c r="I394" s="218"/>
      <c r="J394" s="218"/>
      <c r="K394" s="220"/>
      <c r="L394" s="220"/>
      <c r="M394" s="220"/>
      <c r="N394" s="220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spans="1:26" ht="15.75">
      <c r="A395" s="218"/>
      <c r="B395" s="221"/>
      <c r="C395" s="222"/>
      <c r="D395" s="218"/>
      <c r="E395" s="218"/>
      <c r="F395" s="220"/>
      <c r="G395" s="218"/>
      <c r="H395" s="218"/>
      <c r="I395" s="218"/>
      <c r="J395" s="218"/>
      <c r="K395" s="220"/>
      <c r="L395" s="220"/>
      <c r="M395" s="220"/>
      <c r="N395" s="220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spans="1:26" ht="15.75">
      <c r="A396" s="218"/>
      <c r="B396" s="221"/>
      <c r="C396" s="222"/>
      <c r="D396" s="218"/>
      <c r="E396" s="218"/>
      <c r="F396" s="220"/>
      <c r="G396" s="218"/>
      <c r="H396" s="218"/>
      <c r="I396" s="218"/>
      <c r="J396" s="218"/>
      <c r="K396" s="220"/>
      <c r="L396" s="220"/>
      <c r="M396" s="220"/>
      <c r="N396" s="220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spans="1:26" ht="15.75">
      <c r="A397" s="218"/>
      <c r="B397" s="221"/>
      <c r="C397" s="222"/>
      <c r="D397" s="218"/>
      <c r="E397" s="218"/>
      <c r="F397" s="220"/>
      <c r="G397" s="218"/>
      <c r="H397" s="218"/>
      <c r="I397" s="218"/>
      <c r="J397" s="218"/>
      <c r="K397" s="220"/>
      <c r="L397" s="220"/>
      <c r="M397" s="220"/>
      <c r="N397" s="220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spans="1:26" ht="15.75">
      <c r="A398" s="218"/>
      <c r="B398" s="221"/>
      <c r="C398" s="222"/>
      <c r="D398" s="218"/>
      <c r="E398" s="218"/>
      <c r="F398" s="220"/>
      <c r="G398" s="218"/>
      <c r="H398" s="218"/>
      <c r="I398" s="218"/>
      <c r="J398" s="218"/>
      <c r="K398" s="220"/>
      <c r="L398" s="220"/>
      <c r="M398" s="220"/>
      <c r="N398" s="220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spans="1:26" ht="15.75">
      <c r="A399" s="218"/>
      <c r="B399" s="221"/>
      <c r="C399" s="222"/>
      <c r="D399" s="218"/>
      <c r="E399" s="218"/>
      <c r="F399" s="220"/>
      <c r="G399" s="218"/>
      <c r="H399" s="218"/>
      <c r="I399" s="218"/>
      <c r="J399" s="218"/>
      <c r="K399" s="220"/>
      <c r="L399" s="220"/>
      <c r="M399" s="220"/>
      <c r="N399" s="220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spans="1:26" ht="15.75">
      <c r="A400" s="218"/>
      <c r="B400" s="221"/>
      <c r="C400" s="222"/>
      <c r="D400" s="218"/>
      <c r="E400" s="218"/>
      <c r="F400" s="220"/>
      <c r="G400" s="218"/>
      <c r="H400" s="218"/>
      <c r="I400" s="218"/>
      <c r="J400" s="218"/>
      <c r="K400" s="220"/>
      <c r="L400" s="220"/>
      <c r="M400" s="220"/>
      <c r="N400" s="220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spans="1:26" ht="15.75">
      <c r="A401" s="218"/>
      <c r="B401" s="221"/>
      <c r="C401" s="222"/>
      <c r="D401" s="218"/>
      <c r="E401" s="218"/>
      <c r="F401" s="220"/>
      <c r="G401" s="218"/>
      <c r="H401" s="218"/>
      <c r="I401" s="218"/>
      <c r="J401" s="218"/>
      <c r="K401" s="220"/>
      <c r="L401" s="220"/>
      <c r="M401" s="220"/>
      <c r="N401" s="220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spans="1:26" ht="15.75">
      <c r="A402" s="218"/>
      <c r="B402" s="221"/>
      <c r="C402" s="222"/>
      <c r="D402" s="218"/>
      <c r="E402" s="218"/>
      <c r="F402" s="220"/>
      <c r="G402" s="218"/>
      <c r="H402" s="218"/>
      <c r="I402" s="218"/>
      <c r="J402" s="218"/>
      <c r="K402" s="220"/>
      <c r="L402" s="220"/>
      <c r="M402" s="220"/>
      <c r="N402" s="220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spans="1:26" ht="15.75">
      <c r="A403" s="218"/>
      <c r="B403" s="221"/>
      <c r="C403" s="222"/>
      <c r="D403" s="218"/>
      <c r="E403" s="218"/>
      <c r="F403" s="220"/>
      <c r="G403" s="218"/>
      <c r="H403" s="218"/>
      <c r="I403" s="218"/>
      <c r="J403" s="218"/>
      <c r="K403" s="220"/>
      <c r="L403" s="220"/>
      <c r="M403" s="220"/>
      <c r="N403" s="220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spans="1:26" ht="15.75">
      <c r="A404" s="218"/>
      <c r="B404" s="221"/>
      <c r="C404" s="222"/>
      <c r="D404" s="218"/>
      <c r="E404" s="218"/>
      <c r="F404" s="220"/>
      <c r="G404" s="218"/>
      <c r="H404" s="218"/>
      <c r="I404" s="218"/>
      <c r="J404" s="218"/>
      <c r="K404" s="220"/>
      <c r="L404" s="220"/>
      <c r="M404" s="220"/>
      <c r="N404" s="220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spans="1:26" ht="15.75">
      <c r="A405" s="218"/>
      <c r="B405" s="221"/>
      <c r="C405" s="222"/>
      <c r="D405" s="218"/>
      <c r="E405" s="218"/>
      <c r="F405" s="220"/>
      <c r="G405" s="218"/>
      <c r="H405" s="218"/>
      <c r="I405" s="218"/>
      <c r="J405" s="218"/>
      <c r="K405" s="220"/>
      <c r="L405" s="220"/>
      <c r="M405" s="220"/>
      <c r="N405" s="220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spans="1:26" ht="15.75">
      <c r="A406" s="218"/>
      <c r="B406" s="221"/>
      <c r="C406" s="222"/>
      <c r="D406" s="218"/>
      <c r="E406" s="218"/>
      <c r="F406" s="220"/>
      <c r="G406" s="218"/>
      <c r="H406" s="218"/>
      <c r="I406" s="218"/>
      <c r="J406" s="218"/>
      <c r="K406" s="220"/>
      <c r="L406" s="220"/>
      <c r="M406" s="220"/>
      <c r="N406" s="220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spans="1:26" ht="15.75">
      <c r="A407" s="218"/>
      <c r="B407" s="221"/>
      <c r="C407" s="222"/>
      <c r="D407" s="218"/>
      <c r="E407" s="218"/>
      <c r="F407" s="220"/>
      <c r="G407" s="218"/>
      <c r="H407" s="218"/>
      <c r="I407" s="218"/>
      <c r="J407" s="218"/>
      <c r="K407" s="220"/>
      <c r="L407" s="220"/>
      <c r="M407" s="220"/>
      <c r="N407" s="220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spans="1:26" ht="15.75">
      <c r="A408" s="218"/>
      <c r="B408" s="221"/>
      <c r="C408" s="222"/>
      <c r="D408" s="218"/>
      <c r="E408" s="218"/>
      <c r="F408" s="220"/>
      <c r="G408" s="218"/>
      <c r="H408" s="218"/>
      <c r="I408" s="218"/>
      <c r="J408" s="218"/>
      <c r="K408" s="220"/>
      <c r="L408" s="220"/>
      <c r="M408" s="220"/>
      <c r="N408" s="220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spans="1:26" ht="15.75">
      <c r="A409" s="218"/>
      <c r="B409" s="221"/>
      <c r="C409" s="222"/>
      <c r="D409" s="218"/>
      <c r="E409" s="218"/>
      <c r="F409" s="220"/>
      <c r="G409" s="218"/>
      <c r="H409" s="218"/>
      <c r="I409" s="218"/>
      <c r="J409" s="218"/>
      <c r="K409" s="220"/>
      <c r="L409" s="220"/>
      <c r="M409" s="220"/>
      <c r="N409" s="220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spans="1:26" ht="15.75">
      <c r="A410" s="218"/>
      <c r="B410" s="221"/>
      <c r="C410" s="222"/>
      <c r="D410" s="218"/>
      <c r="E410" s="218"/>
      <c r="F410" s="220"/>
      <c r="G410" s="218"/>
      <c r="H410" s="218"/>
      <c r="I410" s="218"/>
      <c r="J410" s="218"/>
      <c r="K410" s="220"/>
      <c r="L410" s="220"/>
      <c r="M410" s="220"/>
      <c r="N410" s="220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spans="1:26" ht="15.75">
      <c r="A411" s="218"/>
      <c r="B411" s="221"/>
      <c r="C411" s="222"/>
      <c r="D411" s="218"/>
      <c r="E411" s="218"/>
      <c r="F411" s="220"/>
      <c r="G411" s="218"/>
      <c r="H411" s="218"/>
      <c r="I411" s="218"/>
      <c r="J411" s="218"/>
      <c r="K411" s="220"/>
      <c r="L411" s="220"/>
      <c r="M411" s="220"/>
      <c r="N411" s="220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spans="1:26" ht="15.75">
      <c r="A412" s="218"/>
      <c r="B412" s="221"/>
      <c r="C412" s="222"/>
      <c r="D412" s="218"/>
      <c r="E412" s="218"/>
      <c r="F412" s="220"/>
      <c r="G412" s="218"/>
      <c r="H412" s="218"/>
      <c r="I412" s="218"/>
      <c r="J412" s="218"/>
      <c r="K412" s="220"/>
      <c r="L412" s="220"/>
      <c r="M412" s="220"/>
      <c r="N412" s="220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spans="1:26" ht="15.75">
      <c r="A413" s="218"/>
      <c r="B413" s="221"/>
      <c r="C413" s="222"/>
      <c r="D413" s="218"/>
      <c r="E413" s="218"/>
      <c r="F413" s="220"/>
      <c r="G413" s="218"/>
      <c r="H413" s="218"/>
      <c r="I413" s="218"/>
      <c r="J413" s="218"/>
      <c r="K413" s="220"/>
      <c r="L413" s="220"/>
      <c r="M413" s="220"/>
      <c r="N413" s="220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spans="1:26" ht="15.75">
      <c r="A414" s="218"/>
      <c r="B414" s="221"/>
      <c r="C414" s="222"/>
      <c r="D414" s="218"/>
      <c r="E414" s="218"/>
      <c r="F414" s="220"/>
      <c r="G414" s="218"/>
      <c r="H414" s="218"/>
      <c r="I414" s="218"/>
      <c r="J414" s="218"/>
      <c r="K414" s="220"/>
      <c r="L414" s="220"/>
      <c r="M414" s="220"/>
      <c r="N414" s="220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spans="1:26" ht="15.75">
      <c r="A415" s="218"/>
      <c r="B415" s="221"/>
      <c r="C415" s="222"/>
      <c r="D415" s="218"/>
      <c r="E415" s="218"/>
      <c r="F415" s="220"/>
      <c r="G415" s="218"/>
      <c r="H415" s="218"/>
      <c r="I415" s="218"/>
      <c r="J415" s="218"/>
      <c r="K415" s="220"/>
      <c r="L415" s="220"/>
      <c r="M415" s="220"/>
      <c r="N415" s="220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spans="1:26" ht="15.75">
      <c r="A416" s="218"/>
      <c r="B416" s="221"/>
      <c r="C416" s="222"/>
      <c r="D416" s="218"/>
      <c r="E416" s="218"/>
      <c r="F416" s="220"/>
      <c r="G416" s="218"/>
      <c r="H416" s="218"/>
      <c r="I416" s="218"/>
      <c r="J416" s="218"/>
      <c r="K416" s="220"/>
      <c r="L416" s="220"/>
      <c r="M416" s="220"/>
      <c r="N416" s="220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spans="1:26" ht="15.75">
      <c r="A417" s="218"/>
      <c r="B417" s="221"/>
      <c r="C417" s="222"/>
      <c r="D417" s="218"/>
      <c r="E417" s="218"/>
      <c r="F417" s="220"/>
      <c r="G417" s="218"/>
      <c r="H417" s="218"/>
      <c r="I417" s="218"/>
      <c r="J417" s="218"/>
      <c r="K417" s="220"/>
      <c r="L417" s="220"/>
      <c r="M417" s="220"/>
      <c r="N417" s="220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spans="1:26" ht="15.75">
      <c r="A418" s="218"/>
      <c r="B418" s="221"/>
      <c r="C418" s="222"/>
      <c r="D418" s="218"/>
      <c r="E418" s="218"/>
      <c r="F418" s="220"/>
      <c r="G418" s="218"/>
      <c r="H418" s="218"/>
      <c r="I418" s="218"/>
      <c r="J418" s="218"/>
      <c r="K418" s="220"/>
      <c r="L418" s="220"/>
      <c r="M418" s="220"/>
      <c r="N418" s="220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spans="1:26" ht="15.75">
      <c r="A419" s="218"/>
      <c r="B419" s="221"/>
      <c r="C419" s="222"/>
      <c r="D419" s="218"/>
      <c r="E419" s="218"/>
      <c r="F419" s="220"/>
      <c r="G419" s="218"/>
      <c r="H419" s="218"/>
      <c r="I419" s="218"/>
      <c r="J419" s="218"/>
      <c r="K419" s="220"/>
      <c r="L419" s="220"/>
      <c r="M419" s="220"/>
      <c r="N419" s="220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spans="1:26" ht="15.75">
      <c r="A420" s="218"/>
      <c r="B420" s="221"/>
      <c r="C420" s="222"/>
      <c r="D420" s="218"/>
      <c r="E420" s="218"/>
      <c r="F420" s="220"/>
      <c r="G420" s="218"/>
      <c r="H420" s="218"/>
      <c r="I420" s="218"/>
      <c r="J420" s="218"/>
      <c r="K420" s="220"/>
      <c r="L420" s="220"/>
      <c r="M420" s="220"/>
      <c r="N420" s="220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spans="1:26" ht="15.75">
      <c r="A421" s="218"/>
      <c r="B421" s="221"/>
      <c r="C421" s="222"/>
      <c r="D421" s="218"/>
      <c r="E421" s="218"/>
      <c r="F421" s="220"/>
      <c r="G421" s="218"/>
      <c r="H421" s="218"/>
      <c r="I421" s="218"/>
      <c r="J421" s="218"/>
      <c r="K421" s="220"/>
      <c r="L421" s="220"/>
      <c r="M421" s="220"/>
      <c r="N421" s="220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spans="1:26" ht="15.75">
      <c r="A422" s="218"/>
      <c r="B422" s="221"/>
      <c r="C422" s="222"/>
      <c r="D422" s="218"/>
      <c r="E422" s="218"/>
      <c r="F422" s="220"/>
      <c r="G422" s="218"/>
      <c r="H422" s="218"/>
      <c r="I422" s="218"/>
      <c r="J422" s="218"/>
      <c r="K422" s="220"/>
      <c r="L422" s="220"/>
      <c r="M422" s="220"/>
      <c r="N422" s="220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spans="1:26" ht="15.75">
      <c r="A423" s="218"/>
      <c r="B423" s="221"/>
      <c r="C423" s="222"/>
      <c r="D423" s="218"/>
      <c r="E423" s="218"/>
      <c r="F423" s="220"/>
      <c r="G423" s="218"/>
      <c r="H423" s="218"/>
      <c r="I423" s="218"/>
      <c r="J423" s="218"/>
      <c r="K423" s="220"/>
      <c r="L423" s="220"/>
      <c r="M423" s="220"/>
      <c r="N423" s="220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spans="1:26" ht="15.75">
      <c r="A424" s="218"/>
      <c r="B424" s="221"/>
      <c r="C424" s="222"/>
      <c r="D424" s="218"/>
      <c r="E424" s="218"/>
      <c r="F424" s="220"/>
      <c r="G424" s="218"/>
      <c r="H424" s="218"/>
      <c r="I424" s="218"/>
      <c r="J424" s="218"/>
      <c r="K424" s="220"/>
      <c r="L424" s="220"/>
      <c r="M424" s="220"/>
      <c r="N424" s="220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spans="1:26" ht="15.75">
      <c r="A425" s="218"/>
      <c r="B425" s="221"/>
      <c r="C425" s="222"/>
      <c r="D425" s="218"/>
      <c r="E425" s="218"/>
      <c r="F425" s="220"/>
      <c r="G425" s="218"/>
      <c r="H425" s="218"/>
      <c r="I425" s="218"/>
      <c r="J425" s="218"/>
      <c r="K425" s="220"/>
      <c r="L425" s="220"/>
      <c r="M425" s="220"/>
      <c r="N425" s="220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spans="1:26" ht="15.75">
      <c r="A426" s="218"/>
      <c r="B426" s="221"/>
      <c r="C426" s="222"/>
      <c r="D426" s="218"/>
      <c r="E426" s="218"/>
      <c r="F426" s="220"/>
      <c r="G426" s="218"/>
      <c r="H426" s="218"/>
      <c r="I426" s="218"/>
      <c r="J426" s="218"/>
      <c r="K426" s="220"/>
      <c r="L426" s="220"/>
      <c r="M426" s="220"/>
      <c r="N426" s="220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spans="1:26" ht="15.75">
      <c r="A427" s="218"/>
      <c r="B427" s="221"/>
      <c r="C427" s="222"/>
      <c r="D427" s="218"/>
      <c r="E427" s="218"/>
      <c r="F427" s="220"/>
      <c r="G427" s="218"/>
      <c r="H427" s="218"/>
      <c r="I427" s="218"/>
      <c r="J427" s="218"/>
      <c r="K427" s="220"/>
      <c r="L427" s="220"/>
      <c r="M427" s="220"/>
      <c r="N427" s="220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spans="1:26" ht="15.75">
      <c r="A428" s="218"/>
      <c r="B428" s="221"/>
      <c r="C428" s="222"/>
      <c r="D428" s="218"/>
      <c r="E428" s="218"/>
      <c r="F428" s="220"/>
      <c r="G428" s="218"/>
      <c r="H428" s="218"/>
      <c r="I428" s="218"/>
      <c r="J428" s="218"/>
      <c r="K428" s="220"/>
      <c r="L428" s="220"/>
      <c r="M428" s="220"/>
      <c r="N428" s="220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spans="1:26" ht="15.75">
      <c r="A429" s="218"/>
      <c r="B429" s="221"/>
      <c r="C429" s="222"/>
      <c r="D429" s="218"/>
      <c r="E429" s="218"/>
      <c r="F429" s="220"/>
      <c r="G429" s="218"/>
      <c r="H429" s="218"/>
      <c r="I429" s="218"/>
      <c r="J429" s="218"/>
      <c r="K429" s="220"/>
      <c r="L429" s="220"/>
      <c r="M429" s="220"/>
      <c r="N429" s="220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spans="1:26" ht="15.75">
      <c r="A430" s="218"/>
      <c r="B430" s="221"/>
      <c r="C430" s="222"/>
      <c r="D430" s="218"/>
      <c r="E430" s="218"/>
      <c r="F430" s="220"/>
      <c r="G430" s="218"/>
      <c r="H430" s="218"/>
      <c r="I430" s="218"/>
      <c r="J430" s="218"/>
      <c r="K430" s="220"/>
      <c r="L430" s="220"/>
      <c r="M430" s="220"/>
      <c r="N430" s="220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spans="1:26" ht="15.75">
      <c r="A431" s="218"/>
      <c r="B431" s="221"/>
      <c r="C431" s="222"/>
      <c r="D431" s="218"/>
      <c r="E431" s="218"/>
      <c r="F431" s="220"/>
      <c r="G431" s="218"/>
      <c r="H431" s="218"/>
      <c r="I431" s="218"/>
      <c r="J431" s="218"/>
      <c r="K431" s="220"/>
      <c r="L431" s="220"/>
      <c r="M431" s="220"/>
      <c r="N431" s="220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spans="1:26" ht="15.75">
      <c r="A432" s="218"/>
      <c r="B432" s="221"/>
      <c r="C432" s="222"/>
      <c r="D432" s="218"/>
      <c r="E432" s="218"/>
      <c r="F432" s="220"/>
      <c r="G432" s="218"/>
      <c r="H432" s="218"/>
      <c r="I432" s="218"/>
      <c r="J432" s="218"/>
      <c r="K432" s="220"/>
      <c r="L432" s="220"/>
      <c r="M432" s="220"/>
      <c r="N432" s="220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spans="1:26" ht="15.75">
      <c r="A433" s="218"/>
      <c r="B433" s="221"/>
      <c r="C433" s="222"/>
      <c r="D433" s="218"/>
      <c r="E433" s="218"/>
      <c r="F433" s="220"/>
      <c r="G433" s="218"/>
      <c r="H433" s="218"/>
      <c r="I433" s="218"/>
      <c r="J433" s="218"/>
      <c r="K433" s="220"/>
      <c r="L433" s="220"/>
      <c r="M433" s="220"/>
      <c r="N433" s="220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spans="1:26" ht="15.75">
      <c r="A434" s="218"/>
      <c r="B434" s="221"/>
      <c r="C434" s="222"/>
      <c r="D434" s="218"/>
      <c r="E434" s="218"/>
      <c r="F434" s="220"/>
      <c r="G434" s="218"/>
      <c r="H434" s="218"/>
      <c r="I434" s="218"/>
      <c r="J434" s="218"/>
      <c r="K434" s="220"/>
      <c r="L434" s="220"/>
      <c r="M434" s="220"/>
      <c r="N434" s="220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spans="1:26" ht="15.75">
      <c r="A435" s="218"/>
      <c r="B435" s="221"/>
      <c r="C435" s="222"/>
      <c r="D435" s="218"/>
      <c r="E435" s="218"/>
      <c r="F435" s="220"/>
      <c r="G435" s="218"/>
      <c r="H435" s="218"/>
      <c r="I435" s="218"/>
      <c r="J435" s="218"/>
      <c r="K435" s="220"/>
      <c r="L435" s="220"/>
      <c r="M435" s="220"/>
      <c r="N435" s="220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spans="1:26" ht="15.75">
      <c r="A436" s="218"/>
      <c r="B436" s="221"/>
      <c r="C436" s="222"/>
      <c r="D436" s="218"/>
      <c r="E436" s="218"/>
      <c r="F436" s="220"/>
      <c r="G436" s="218"/>
      <c r="H436" s="218"/>
      <c r="I436" s="218"/>
      <c r="J436" s="218"/>
      <c r="K436" s="220"/>
      <c r="L436" s="220"/>
      <c r="M436" s="220"/>
      <c r="N436" s="220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spans="1:26" ht="15.75">
      <c r="A437" s="218"/>
      <c r="B437" s="221"/>
      <c r="C437" s="222"/>
      <c r="D437" s="218"/>
      <c r="E437" s="218"/>
      <c r="F437" s="220"/>
      <c r="G437" s="218"/>
      <c r="H437" s="218"/>
      <c r="I437" s="218"/>
      <c r="J437" s="218"/>
      <c r="K437" s="220"/>
      <c r="L437" s="220"/>
      <c r="M437" s="220"/>
      <c r="N437" s="220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spans="1:26" ht="15.75">
      <c r="A438" s="218"/>
      <c r="B438" s="221"/>
      <c r="C438" s="222"/>
      <c r="D438" s="218"/>
      <c r="E438" s="218"/>
      <c r="F438" s="220"/>
      <c r="G438" s="218"/>
      <c r="H438" s="218"/>
      <c r="I438" s="218"/>
      <c r="J438" s="218"/>
      <c r="K438" s="220"/>
      <c r="L438" s="220"/>
      <c r="M438" s="220"/>
      <c r="N438" s="220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spans="1:26" ht="15.75">
      <c r="A439" s="218"/>
      <c r="B439" s="221"/>
      <c r="C439" s="222"/>
      <c r="D439" s="218"/>
      <c r="E439" s="218"/>
      <c r="F439" s="220"/>
      <c r="G439" s="218"/>
      <c r="H439" s="218"/>
      <c r="I439" s="218"/>
      <c r="J439" s="218"/>
      <c r="K439" s="220"/>
      <c r="L439" s="220"/>
      <c r="M439" s="220"/>
      <c r="N439" s="220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spans="1:26" ht="15.75">
      <c r="A440" s="218"/>
      <c r="B440" s="221"/>
      <c r="C440" s="222"/>
      <c r="D440" s="218"/>
      <c r="E440" s="218"/>
      <c r="F440" s="220"/>
      <c r="G440" s="218"/>
      <c r="H440" s="218"/>
      <c r="I440" s="218"/>
      <c r="J440" s="218"/>
      <c r="K440" s="220"/>
      <c r="L440" s="220"/>
      <c r="M440" s="220"/>
      <c r="N440" s="220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spans="1:26" ht="15.75">
      <c r="A441" s="218"/>
      <c r="B441" s="221"/>
      <c r="C441" s="222"/>
      <c r="D441" s="218"/>
      <c r="E441" s="218"/>
      <c r="F441" s="220"/>
      <c r="G441" s="218"/>
      <c r="H441" s="218"/>
      <c r="I441" s="218"/>
      <c r="J441" s="218"/>
      <c r="K441" s="220"/>
      <c r="L441" s="220"/>
      <c r="M441" s="220"/>
      <c r="N441" s="220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spans="1:26" ht="15.75">
      <c r="A442" s="218"/>
      <c r="B442" s="221"/>
      <c r="C442" s="222"/>
      <c r="D442" s="218"/>
      <c r="E442" s="218"/>
      <c r="F442" s="220"/>
      <c r="G442" s="218"/>
      <c r="H442" s="218"/>
      <c r="I442" s="218"/>
      <c r="J442" s="218"/>
      <c r="K442" s="220"/>
      <c r="L442" s="220"/>
      <c r="M442" s="220"/>
      <c r="N442" s="220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spans="1:26" ht="15.75">
      <c r="A443" s="218"/>
      <c r="B443" s="221"/>
      <c r="C443" s="222"/>
      <c r="D443" s="218"/>
      <c r="E443" s="218"/>
      <c r="F443" s="220"/>
      <c r="G443" s="218"/>
      <c r="H443" s="218"/>
      <c r="I443" s="218"/>
      <c r="J443" s="218"/>
      <c r="K443" s="220"/>
      <c r="L443" s="220"/>
      <c r="M443" s="220"/>
      <c r="N443" s="220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spans="1:26" ht="15.75">
      <c r="A444" s="218"/>
      <c r="B444" s="221"/>
      <c r="C444" s="222"/>
      <c r="D444" s="218"/>
      <c r="E444" s="218"/>
      <c r="F444" s="220"/>
      <c r="G444" s="218"/>
      <c r="H444" s="218"/>
      <c r="I444" s="218"/>
      <c r="J444" s="218"/>
      <c r="K444" s="220"/>
      <c r="L444" s="220"/>
      <c r="M444" s="220"/>
      <c r="N444" s="220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spans="1:26" ht="15.75">
      <c r="A445" s="218"/>
      <c r="B445" s="221"/>
      <c r="C445" s="222"/>
      <c r="D445" s="218"/>
      <c r="E445" s="218"/>
      <c r="F445" s="220"/>
      <c r="G445" s="218"/>
      <c r="H445" s="218"/>
      <c r="I445" s="218"/>
      <c r="J445" s="218"/>
      <c r="K445" s="220"/>
      <c r="L445" s="220"/>
      <c r="M445" s="220"/>
      <c r="N445" s="220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spans="1:26" ht="15.75">
      <c r="A446" s="218"/>
      <c r="B446" s="221"/>
      <c r="C446" s="222"/>
      <c r="D446" s="218"/>
      <c r="E446" s="218"/>
      <c r="F446" s="220"/>
      <c r="G446" s="218"/>
      <c r="H446" s="218"/>
      <c r="I446" s="218"/>
      <c r="J446" s="218"/>
      <c r="K446" s="220"/>
      <c r="L446" s="220"/>
      <c r="M446" s="220"/>
      <c r="N446" s="220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spans="1:26" ht="15.75">
      <c r="A447" s="218"/>
      <c r="B447" s="221"/>
      <c r="C447" s="222"/>
      <c r="D447" s="218"/>
      <c r="E447" s="218"/>
      <c r="F447" s="220"/>
      <c r="G447" s="218"/>
      <c r="H447" s="218"/>
      <c r="I447" s="218"/>
      <c r="J447" s="218"/>
      <c r="K447" s="220"/>
      <c r="L447" s="220"/>
      <c r="M447" s="220"/>
      <c r="N447" s="220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spans="1:26" ht="15.75">
      <c r="A448" s="218"/>
      <c r="B448" s="221"/>
      <c r="C448" s="222"/>
      <c r="D448" s="218"/>
      <c r="E448" s="218"/>
      <c r="F448" s="220"/>
      <c r="G448" s="218"/>
      <c r="H448" s="218"/>
      <c r="I448" s="218"/>
      <c r="J448" s="218"/>
      <c r="K448" s="220"/>
      <c r="L448" s="220"/>
      <c r="M448" s="220"/>
      <c r="N448" s="220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spans="1:26" ht="15.75">
      <c r="A449" s="218"/>
      <c r="B449" s="221"/>
      <c r="C449" s="222"/>
      <c r="D449" s="218"/>
      <c r="E449" s="218"/>
      <c r="F449" s="220"/>
      <c r="G449" s="218"/>
      <c r="H449" s="218"/>
      <c r="I449" s="218"/>
      <c r="J449" s="218"/>
      <c r="K449" s="220"/>
      <c r="L449" s="220"/>
      <c r="M449" s="220"/>
      <c r="N449" s="220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spans="1:26" ht="15.75">
      <c r="A450" s="218"/>
      <c r="B450" s="221"/>
      <c r="C450" s="222"/>
      <c r="D450" s="218"/>
      <c r="E450" s="218"/>
      <c r="F450" s="220"/>
      <c r="G450" s="218"/>
      <c r="H450" s="218"/>
      <c r="I450" s="218"/>
      <c r="J450" s="218"/>
      <c r="K450" s="220"/>
      <c r="L450" s="220"/>
      <c r="M450" s="220"/>
      <c r="N450" s="220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spans="1:26" ht="15.75">
      <c r="A451" s="218"/>
      <c r="B451" s="221"/>
      <c r="C451" s="222"/>
      <c r="D451" s="218"/>
      <c r="E451" s="218"/>
      <c r="F451" s="220"/>
      <c r="G451" s="218"/>
      <c r="H451" s="218"/>
      <c r="I451" s="218"/>
      <c r="J451" s="218"/>
      <c r="K451" s="220"/>
      <c r="L451" s="220"/>
      <c r="M451" s="220"/>
      <c r="N451" s="220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spans="1:26" ht="15.75">
      <c r="A452" s="218"/>
      <c r="B452" s="221"/>
      <c r="C452" s="222"/>
      <c r="D452" s="218"/>
      <c r="E452" s="218"/>
      <c r="F452" s="220"/>
      <c r="G452" s="218"/>
      <c r="H452" s="218"/>
      <c r="I452" s="218"/>
      <c r="J452" s="218"/>
      <c r="K452" s="220"/>
      <c r="L452" s="220"/>
      <c r="M452" s="220"/>
      <c r="N452" s="220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spans="1:26" ht="15.75">
      <c r="A453" s="218"/>
      <c r="B453" s="221"/>
      <c r="C453" s="222"/>
      <c r="D453" s="218"/>
      <c r="E453" s="218"/>
      <c r="F453" s="220"/>
      <c r="G453" s="218"/>
      <c r="H453" s="218"/>
      <c r="I453" s="218"/>
      <c r="J453" s="218"/>
      <c r="K453" s="220"/>
      <c r="L453" s="220"/>
      <c r="M453" s="220"/>
      <c r="N453" s="220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spans="1:26" ht="15.75">
      <c r="A454" s="218"/>
      <c r="B454" s="221"/>
      <c r="C454" s="222"/>
      <c r="D454" s="218"/>
      <c r="E454" s="218"/>
      <c r="F454" s="220"/>
      <c r="G454" s="218"/>
      <c r="H454" s="218"/>
      <c r="I454" s="218"/>
      <c r="J454" s="218"/>
      <c r="K454" s="220"/>
      <c r="L454" s="220"/>
      <c r="M454" s="220"/>
      <c r="N454" s="220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spans="1:26" ht="15.75">
      <c r="A455" s="218"/>
      <c r="B455" s="221"/>
      <c r="C455" s="222"/>
      <c r="D455" s="218"/>
      <c r="E455" s="218"/>
      <c r="F455" s="220"/>
      <c r="G455" s="218"/>
      <c r="H455" s="218"/>
      <c r="I455" s="218"/>
      <c r="J455" s="218"/>
      <c r="K455" s="220"/>
      <c r="L455" s="220"/>
      <c r="M455" s="220"/>
      <c r="N455" s="220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spans="1:26" ht="15.75">
      <c r="A456" s="218"/>
      <c r="B456" s="221"/>
      <c r="C456" s="222"/>
      <c r="D456" s="218"/>
      <c r="E456" s="218"/>
      <c r="F456" s="220"/>
      <c r="G456" s="218"/>
      <c r="H456" s="218"/>
      <c r="I456" s="218"/>
      <c r="J456" s="218"/>
      <c r="K456" s="220"/>
      <c r="L456" s="220"/>
      <c r="M456" s="220"/>
      <c r="N456" s="220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spans="1:26" ht="15.75">
      <c r="A457" s="218"/>
      <c r="B457" s="221"/>
      <c r="C457" s="222"/>
      <c r="D457" s="218"/>
      <c r="E457" s="218"/>
      <c r="F457" s="220"/>
      <c r="G457" s="218"/>
      <c r="H457" s="218"/>
      <c r="I457" s="218"/>
      <c r="J457" s="218"/>
      <c r="K457" s="220"/>
      <c r="L457" s="220"/>
      <c r="M457" s="220"/>
      <c r="N457" s="220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spans="1:26" ht="15.75">
      <c r="A458" s="218"/>
      <c r="B458" s="221"/>
      <c r="C458" s="222"/>
      <c r="D458" s="218"/>
      <c r="E458" s="218"/>
      <c r="F458" s="220"/>
      <c r="G458" s="218"/>
      <c r="H458" s="218"/>
      <c r="I458" s="218"/>
      <c r="J458" s="218"/>
      <c r="K458" s="220"/>
      <c r="L458" s="220"/>
      <c r="M458" s="220"/>
      <c r="N458" s="220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spans="1:26" ht="15.75">
      <c r="A459" s="218"/>
      <c r="B459" s="221"/>
      <c r="C459" s="222"/>
      <c r="D459" s="218"/>
      <c r="E459" s="218"/>
      <c r="F459" s="220"/>
      <c r="G459" s="218"/>
      <c r="H459" s="218"/>
      <c r="I459" s="218"/>
      <c r="J459" s="218"/>
      <c r="K459" s="220"/>
      <c r="L459" s="220"/>
      <c r="M459" s="220"/>
      <c r="N459" s="220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spans="1:26" ht="15.75">
      <c r="A460" s="218"/>
      <c r="B460" s="221"/>
      <c r="C460" s="222"/>
      <c r="D460" s="218"/>
      <c r="E460" s="218"/>
      <c r="F460" s="220"/>
      <c r="G460" s="218"/>
      <c r="H460" s="218"/>
      <c r="I460" s="218"/>
      <c r="J460" s="218"/>
      <c r="K460" s="220"/>
      <c r="L460" s="220"/>
      <c r="M460" s="220"/>
      <c r="N460" s="220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spans="1:26" ht="15.75">
      <c r="A461" s="218"/>
      <c r="B461" s="221"/>
      <c r="C461" s="222"/>
      <c r="D461" s="218"/>
      <c r="E461" s="218"/>
      <c r="F461" s="220"/>
      <c r="G461" s="218"/>
      <c r="H461" s="218"/>
      <c r="I461" s="218"/>
      <c r="J461" s="218"/>
      <c r="K461" s="220"/>
      <c r="L461" s="220"/>
      <c r="M461" s="220"/>
      <c r="N461" s="220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spans="1:26" ht="15.75">
      <c r="A462" s="218"/>
      <c r="B462" s="221"/>
      <c r="C462" s="222"/>
      <c r="D462" s="218"/>
      <c r="E462" s="218"/>
      <c r="F462" s="220"/>
      <c r="G462" s="218"/>
      <c r="H462" s="218"/>
      <c r="I462" s="218"/>
      <c r="J462" s="218"/>
      <c r="K462" s="220"/>
      <c r="L462" s="220"/>
      <c r="M462" s="220"/>
      <c r="N462" s="220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spans="1:26" ht="15.75">
      <c r="A463" s="218"/>
      <c r="B463" s="221"/>
      <c r="C463" s="222"/>
      <c r="D463" s="218"/>
      <c r="E463" s="218"/>
      <c r="F463" s="220"/>
      <c r="G463" s="218"/>
      <c r="H463" s="218"/>
      <c r="I463" s="218"/>
      <c r="J463" s="218"/>
      <c r="K463" s="220"/>
      <c r="L463" s="220"/>
      <c r="M463" s="220"/>
      <c r="N463" s="220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spans="1:26" ht="15.75">
      <c r="A464" s="218"/>
      <c r="B464" s="221"/>
      <c r="C464" s="222"/>
      <c r="D464" s="218"/>
      <c r="E464" s="218"/>
      <c r="F464" s="220"/>
      <c r="G464" s="218"/>
      <c r="H464" s="218"/>
      <c r="I464" s="218"/>
      <c r="J464" s="218"/>
      <c r="K464" s="220"/>
      <c r="L464" s="220"/>
      <c r="M464" s="220"/>
      <c r="N464" s="220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spans="1:26" ht="15.75">
      <c r="A465" s="218"/>
      <c r="B465" s="221"/>
      <c r="C465" s="222"/>
      <c r="D465" s="218"/>
      <c r="E465" s="218"/>
      <c r="F465" s="220"/>
      <c r="G465" s="218"/>
      <c r="H465" s="218"/>
      <c r="I465" s="218"/>
      <c r="J465" s="218"/>
      <c r="K465" s="220"/>
      <c r="L465" s="220"/>
      <c r="M465" s="220"/>
      <c r="N465" s="220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spans="1:26" ht="15.75">
      <c r="A466" s="218"/>
      <c r="B466" s="221"/>
      <c r="C466" s="222"/>
      <c r="D466" s="218"/>
      <c r="E466" s="218"/>
      <c r="F466" s="220"/>
      <c r="G466" s="218"/>
      <c r="H466" s="218"/>
      <c r="I466" s="218"/>
      <c r="J466" s="218"/>
      <c r="K466" s="220"/>
      <c r="L466" s="220"/>
      <c r="M466" s="220"/>
      <c r="N466" s="220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spans="1:26" ht="15.75">
      <c r="A467" s="218"/>
      <c r="B467" s="221"/>
      <c r="C467" s="222"/>
      <c r="D467" s="218"/>
      <c r="E467" s="218"/>
      <c r="F467" s="220"/>
      <c r="G467" s="218"/>
      <c r="H467" s="218"/>
      <c r="I467" s="218"/>
      <c r="J467" s="218"/>
      <c r="K467" s="220"/>
      <c r="L467" s="220"/>
      <c r="M467" s="220"/>
      <c r="N467" s="220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spans="1:26" ht="15.75">
      <c r="A468" s="218"/>
      <c r="B468" s="221"/>
      <c r="C468" s="222"/>
      <c r="D468" s="218"/>
      <c r="E468" s="218"/>
      <c r="F468" s="220"/>
      <c r="G468" s="218"/>
      <c r="H468" s="218"/>
      <c r="I468" s="218"/>
      <c r="J468" s="218"/>
      <c r="K468" s="220"/>
      <c r="L468" s="220"/>
      <c r="M468" s="220"/>
      <c r="N468" s="220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spans="1:26" ht="15.75">
      <c r="A469" s="218"/>
      <c r="B469" s="221"/>
      <c r="C469" s="222"/>
      <c r="D469" s="218"/>
      <c r="E469" s="218"/>
      <c r="F469" s="220"/>
      <c r="G469" s="218"/>
      <c r="H469" s="218"/>
      <c r="I469" s="218"/>
      <c r="J469" s="218"/>
      <c r="K469" s="220"/>
      <c r="L469" s="220"/>
      <c r="M469" s="220"/>
      <c r="N469" s="220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spans="1:26" ht="15.75">
      <c r="A470" s="218"/>
      <c r="B470" s="221"/>
      <c r="C470" s="222"/>
      <c r="D470" s="218"/>
      <c r="E470" s="218"/>
      <c r="F470" s="220"/>
      <c r="G470" s="218"/>
      <c r="H470" s="218"/>
      <c r="I470" s="218"/>
      <c r="J470" s="218"/>
      <c r="K470" s="220"/>
      <c r="L470" s="220"/>
      <c r="M470" s="220"/>
      <c r="N470" s="220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spans="1:26" ht="15.75">
      <c r="A471" s="218"/>
      <c r="B471" s="221"/>
      <c r="C471" s="222"/>
      <c r="D471" s="218"/>
      <c r="E471" s="218"/>
      <c r="F471" s="220"/>
      <c r="G471" s="218"/>
      <c r="H471" s="218"/>
      <c r="I471" s="218"/>
      <c r="J471" s="218"/>
      <c r="K471" s="220"/>
      <c r="L471" s="220"/>
      <c r="M471" s="220"/>
      <c r="N471" s="220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spans="1:26" ht="15.75">
      <c r="A472" s="218"/>
      <c r="B472" s="221"/>
      <c r="C472" s="222"/>
      <c r="D472" s="218"/>
      <c r="E472" s="218"/>
      <c r="F472" s="220"/>
      <c r="G472" s="218"/>
      <c r="H472" s="218"/>
      <c r="I472" s="218"/>
      <c r="J472" s="218"/>
      <c r="K472" s="220"/>
      <c r="L472" s="220"/>
      <c r="M472" s="220"/>
      <c r="N472" s="220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spans="1:26" ht="15.75">
      <c r="A473" s="218"/>
      <c r="B473" s="221"/>
      <c r="C473" s="222"/>
      <c r="D473" s="218"/>
      <c r="E473" s="218"/>
      <c r="F473" s="220"/>
      <c r="G473" s="218"/>
      <c r="H473" s="218"/>
      <c r="I473" s="218"/>
      <c r="J473" s="218"/>
      <c r="K473" s="220"/>
      <c r="L473" s="220"/>
      <c r="M473" s="220"/>
      <c r="N473" s="220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spans="1:26" ht="15.75">
      <c r="A474" s="218"/>
      <c r="B474" s="221"/>
      <c r="C474" s="222"/>
      <c r="D474" s="218"/>
      <c r="E474" s="218"/>
      <c r="F474" s="220"/>
      <c r="G474" s="218"/>
      <c r="H474" s="218"/>
      <c r="I474" s="218"/>
      <c r="J474" s="218"/>
      <c r="K474" s="220"/>
      <c r="L474" s="220"/>
      <c r="M474" s="220"/>
      <c r="N474" s="220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spans="1:26" ht="15.75">
      <c r="A475" s="218"/>
      <c r="B475" s="221"/>
      <c r="C475" s="222"/>
      <c r="D475" s="218"/>
      <c r="E475" s="218"/>
      <c r="F475" s="220"/>
      <c r="G475" s="218"/>
      <c r="H475" s="218"/>
      <c r="I475" s="218"/>
      <c r="J475" s="218"/>
      <c r="K475" s="220"/>
      <c r="L475" s="220"/>
      <c r="M475" s="220"/>
      <c r="N475" s="220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spans="1:26" ht="15.75">
      <c r="A476" s="218"/>
      <c r="B476" s="221"/>
      <c r="C476" s="222"/>
      <c r="D476" s="218"/>
      <c r="E476" s="218"/>
      <c r="F476" s="220"/>
      <c r="G476" s="218"/>
      <c r="H476" s="218"/>
      <c r="I476" s="218"/>
      <c r="J476" s="218"/>
      <c r="K476" s="220"/>
      <c r="L476" s="220"/>
      <c r="M476" s="220"/>
      <c r="N476" s="220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spans="1:26" ht="15.75">
      <c r="A477" s="218"/>
      <c r="B477" s="221"/>
      <c r="C477" s="222"/>
      <c r="D477" s="218"/>
      <c r="E477" s="218"/>
      <c r="F477" s="220"/>
      <c r="G477" s="218"/>
      <c r="H477" s="218"/>
      <c r="I477" s="218"/>
      <c r="J477" s="218"/>
      <c r="K477" s="220"/>
      <c r="L477" s="220"/>
      <c r="M477" s="220"/>
      <c r="N477" s="220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spans="1:26" ht="15.75">
      <c r="A478" s="218"/>
      <c r="B478" s="221"/>
      <c r="C478" s="222"/>
      <c r="D478" s="218"/>
      <c r="E478" s="218"/>
      <c r="F478" s="220"/>
      <c r="G478" s="218"/>
      <c r="H478" s="218"/>
      <c r="I478" s="218"/>
      <c r="J478" s="218"/>
      <c r="K478" s="220"/>
      <c r="L478" s="220"/>
      <c r="M478" s="220"/>
      <c r="N478" s="220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spans="1:26" ht="15.75">
      <c r="A479" s="218"/>
      <c r="B479" s="221"/>
      <c r="C479" s="222"/>
      <c r="D479" s="218"/>
      <c r="E479" s="218"/>
      <c r="F479" s="220"/>
      <c r="G479" s="218"/>
      <c r="H479" s="218"/>
      <c r="I479" s="218"/>
      <c r="J479" s="218"/>
      <c r="K479" s="220"/>
      <c r="L479" s="220"/>
      <c r="M479" s="220"/>
      <c r="N479" s="220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spans="1:26" ht="15.75">
      <c r="A480" s="218"/>
      <c r="B480" s="221"/>
      <c r="C480" s="222"/>
      <c r="D480" s="218"/>
      <c r="E480" s="218"/>
      <c r="F480" s="220"/>
      <c r="G480" s="218"/>
      <c r="H480" s="218"/>
      <c r="I480" s="218"/>
      <c r="J480" s="218"/>
      <c r="K480" s="220"/>
      <c r="L480" s="220"/>
      <c r="M480" s="220"/>
      <c r="N480" s="220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spans="1:26" ht="15.75">
      <c r="A481" s="218"/>
      <c r="B481" s="221"/>
      <c r="C481" s="222"/>
      <c r="D481" s="218"/>
      <c r="E481" s="218"/>
      <c r="F481" s="220"/>
      <c r="G481" s="218"/>
      <c r="H481" s="218"/>
      <c r="I481" s="218"/>
      <c r="J481" s="218"/>
      <c r="K481" s="220"/>
      <c r="L481" s="220"/>
      <c r="M481" s="220"/>
      <c r="N481" s="220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spans="1:26" ht="15.75">
      <c r="A482" s="218"/>
      <c r="B482" s="221"/>
      <c r="C482" s="222"/>
      <c r="D482" s="218"/>
      <c r="E482" s="218"/>
      <c r="F482" s="220"/>
      <c r="G482" s="218"/>
      <c r="H482" s="218"/>
      <c r="I482" s="218"/>
      <c r="J482" s="218"/>
      <c r="K482" s="220"/>
      <c r="L482" s="220"/>
      <c r="M482" s="220"/>
      <c r="N482" s="220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spans="1:26" ht="15.75">
      <c r="A483" s="218"/>
      <c r="B483" s="221"/>
      <c r="C483" s="222"/>
      <c r="D483" s="218"/>
      <c r="E483" s="218"/>
      <c r="F483" s="220"/>
      <c r="G483" s="218"/>
      <c r="H483" s="218"/>
      <c r="I483" s="218"/>
      <c r="J483" s="218"/>
      <c r="K483" s="220"/>
      <c r="L483" s="220"/>
      <c r="M483" s="220"/>
      <c r="N483" s="220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spans="1:26" ht="15.75">
      <c r="A484" s="218"/>
      <c r="B484" s="221"/>
      <c r="C484" s="222"/>
      <c r="D484" s="218"/>
      <c r="E484" s="218"/>
      <c r="F484" s="220"/>
      <c r="G484" s="218"/>
      <c r="H484" s="218"/>
      <c r="I484" s="218"/>
      <c r="J484" s="218"/>
      <c r="K484" s="220"/>
      <c r="L484" s="220"/>
      <c r="M484" s="220"/>
      <c r="N484" s="220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spans="1:26" ht="15.75">
      <c r="A485" s="218"/>
      <c r="B485" s="221"/>
      <c r="C485" s="222"/>
      <c r="D485" s="218"/>
      <c r="E485" s="218"/>
      <c r="F485" s="220"/>
      <c r="G485" s="218"/>
      <c r="H485" s="218"/>
      <c r="I485" s="218"/>
      <c r="J485" s="218"/>
      <c r="K485" s="220"/>
      <c r="L485" s="220"/>
      <c r="M485" s="220"/>
      <c r="N485" s="220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spans="1:26" ht="15.75">
      <c r="A486" s="218"/>
      <c r="B486" s="221"/>
      <c r="C486" s="222"/>
      <c r="D486" s="218"/>
      <c r="E486" s="218"/>
      <c r="F486" s="220"/>
      <c r="G486" s="218"/>
      <c r="H486" s="218"/>
      <c r="I486" s="218"/>
      <c r="J486" s="218"/>
      <c r="K486" s="220"/>
      <c r="L486" s="220"/>
      <c r="M486" s="220"/>
      <c r="N486" s="220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spans="1:26" ht="15.75">
      <c r="A487" s="218"/>
      <c r="B487" s="221"/>
      <c r="C487" s="222"/>
      <c r="D487" s="218"/>
      <c r="E487" s="218"/>
      <c r="F487" s="220"/>
      <c r="G487" s="218"/>
      <c r="H487" s="218"/>
      <c r="I487" s="218"/>
      <c r="J487" s="218"/>
      <c r="K487" s="220"/>
      <c r="L487" s="220"/>
      <c r="M487" s="220"/>
      <c r="N487" s="220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spans="1:26" ht="15.75">
      <c r="A488" s="218"/>
      <c r="B488" s="221"/>
      <c r="C488" s="222"/>
      <c r="D488" s="218"/>
      <c r="E488" s="218"/>
      <c r="F488" s="220"/>
      <c r="G488" s="218"/>
      <c r="H488" s="218"/>
      <c r="I488" s="218"/>
      <c r="J488" s="218"/>
      <c r="K488" s="220"/>
      <c r="L488" s="220"/>
      <c r="M488" s="220"/>
      <c r="N488" s="220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spans="1:26" ht="15.75">
      <c r="A489" s="218"/>
      <c r="B489" s="221"/>
      <c r="C489" s="222"/>
      <c r="D489" s="218"/>
      <c r="E489" s="218"/>
      <c r="F489" s="220"/>
      <c r="G489" s="218"/>
      <c r="H489" s="218"/>
      <c r="I489" s="218"/>
      <c r="J489" s="218"/>
      <c r="K489" s="220"/>
      <c r="L489" s="220"/>
      <c r="M489" s="220"/>
      <c r="N489" s="220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spans="1:26" ht="15.75">
      <c r="A490" s="218"/>
      <c r="B490" s="221"/>
      <c r="C490" s="222"/>
      <c r="D490" s="218"/>
      <c r="E490" s="218"/>
      <c r="F490" s="220"/>
      <c r="G490" s="218"/>
      <c r="H490" s="218"/>
      <c r="I490" s="218"/>
      <c r="J490" s="218"/>
      <c r="K490" s="220"/>
      <c r="L490" s="220"/>
      <c r="M490" s="220"/>
      <c r="N490" s="220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spans="1:26" ht="15.75">
      <c r="A491" s="218"/>
      <c r="B491" s="221"/>
      <c r="C491" s="222"/>
      <c r="D491" s="218"/>
      <c r="E491" s="218"/>
      <c r="F491" s="220"/>
      <c r="G491" s="218"/>
      <c r="H491" s="218"/>
      <c r="I491" s="218"/>
      <c r="J491" s="218"/>
      <c r="K491" s="220"/>
      <c r="L491" s="220"/>
      <c r="M491" s="220"/>
      <c r="N491" s="220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spans="1:26" ht="15.75">
      <c r="A492" s="218"/>
      <c r="B492" s="221"/>
      <c r="C492" s="222"/>
      <c r="D492" s="218"/>
      <c r="E492" s="218"/>
      <c r="F492" s="220"/>
      <c r="G492" s="218"/>
      <c r="H492" s="218"/>
      <c r="I492" s="218"/>
      <c r="J492" s="218"/>
      <c r="K492" s="220"/>
      <c r="L492" s="220"/>
      <c r="M492" s="220"/>
      <c r="N492" s="220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spans="1:26" ht="15.75">
      <c r="A493" s="218"/>
      <c r="B493" s="221"/>
      <c r="C493" s="222"/>
      <c r="D493" s="218"/>
      <c r="E493" s="218"/>
      <c r="F493" s="220"/>
      <c r="G493" s="218"/>
      <c r="H493" s="218"/>
      <c r="I493" s="218"/>
      <c r="J493" s="218"/>
      <c r="K493" s="220"/>
      <c r="L493" s="220"/>
      <c r="M493" s="220"/>
      <c r="N493" s="220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spans="1:26" ht="15.75">
      <c r="A494" s="218"/>
      <c r="B494" s="221"/>
      <c r="C494" s="222"/>
      <c r="D494" s="218"/>
      <c r="E494" s="218"/>
      <c r="F494" s="220"/>
      <c r="G494" s="218"/>
      <c r="H494" s="218"/>
      <c r="I494" s="218"/>
      <c r="J494" s="218"/>
      <c r="K494" s="220"/>
      <c r="L494" s="220"/>
      <c r="M494" s="220"/>
      <c r="N494" s="220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spans="1:26" ht="15.75">
      <c r="A495" s="218"/>
      <c r="B495" s="221"/>
      <c r="C495" s="222"/>
      <c r="D495" s="218"/>
      <c r="E495" s="218"/>
      <c r="F495" s="220"/>
      <c r="G495" s="218"/>
      <c r="H495" s="218"/>
      <c r="I495" s="218"/>
      <c r="J495" s="218"/>
      <c r="K495" s="220"/>
      <c r="L495" s="220"/>
      <c r="M495" s="220"/>
      <c r="N495" s="220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spans="1:26" ht="15.75">
      <c r="A496" s="218"/>
      <c r="B496" s="221"/>
      <c r="C496" s="222"/>
      <c r="D496" s="218"/>
      <c r="E496" s="218"/>
      <c r="F496" s="220"/>
      <c r="G496" s="218"/>
      <c r="H496" s="218"/>
      <c r="I496" s="218"/>
      <c r="J496" s="218"/>
      <c r="K496" s="220"/>
      <c r="L496" s="220"/>
      <c r="M496" s="220"/>
      <c r="N496" s="220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spans="1:26" ht="15.75">
      <c r="A497" s="218"/>
      <c r="B497" s="221"/>
      <c r="C497" s="222"/>
      <c r="D497" s="218"/>
      <c r="E497" s="218"/>
      <c r="F497" s="220"/>
      <c r="G497" s="218"/>
      <c r="H497" s="218"/>
      <c r="I497" s="218"/>
      <c r="J497" s="218"/>
      <c r="K497" s="220"/>
      <c r="L497" s="220"/>
      <c r="M497" s="220"/>
      <c r="N497" s="220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spans="1:26" ht="15.75">
      <c r="A498" s="218"/>
      <c r="B498" s="221"/>
      <c r="C498" s="222"/>
      <c r="D498" s="218"/>
      <c r="E498" s="218"/>
      <c r="F498" s="220"/>
      <c r="G498" s="218"/>
      <c r="H498" s="218"/>
      <c r="I498" s="218"/>
      <c r="J498" s="218"/>
      <c r="K498" s="220"/>
      <c r="L498" s="220"/>
      <c r="M498" s="220"/>
      <c r="N498" s="220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spans="1:26" ht="15.75">
      <c r="A499" s="218"/>
      <c r="B499" s="221"/>
      <c r="C499" s="222"/>
      <c r="D499" s="218"/>
      <c r="E499" s="218"/>
      <c r="F499" s="220"/>
      <c r="G499" s="218"/>
      <c r="H499" s="218"/>
      <c r="I499" s="218"/>
      <c r="J499" s="218"/>
      <c r="K499" s="220"/>
      <c r="L499" s="220"/>
      <c r="M499" s="220"/>
      <c r="N499" s="220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spans="1:26" ht="15.75">
      <c r="A500" s="218"/>
      <c r="B500" s="221"/>
      <c r="C500" s="222"/>
      <c r="D500" s="218"/>
      <c r="E500" s="218"/>
      <c r="F500" s="220"/>
      <c r="G500" s="218"/>
      <c r="H500" s="218"/>
      <c r="I500" s="218"/>
      <c r="J500" s="218"/>
      <c r="K500" s="220"/>
      <c r="L500" s="220"/>
      <c r="M500" s="220"/>
      <c r="N500" s="220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spans="1:26" ht="15.75">
      <c r="A501" s="218"/>
      <c r="B501" s="221"/>
      <c r="C501" s="222"/>
      <c r="D501" s="218"/>
      <c r="E501" s="218"/>
      <c r="F501" s="220"/>
      <c r="G501" s="218"/>
      <c r="H501" s="218"/>
      <c r="I501" s="218"/>
      <c r="J501" s="218"/>
      <c r="K501" s="220"/>
      <c r="L501" s="220"/>
      <c r="M501" s="220"/>
      <c r="N501" s="220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spans="1:26" ht="15.75">
      <c r="A502" s="218"/>
      <c r="B502" s="221"/>
      <c r="C502" s="222"/>
      <c r="D502" s="218"/>
      <c r="E502" s="218"/>
      <c r="F502" s="220"/>
      <c r="G502" s="218"/>
      <c r="H502" s="218"/>
      <c r="I502" s="218"/>
      <c r="J502" s="218"/>
      <c r="K502" s="220"/>
      <c r="L502" s="220"/>
      <c r="M502" s="220"/>
      <c r="N502" s="220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spans="1:26" ht="15.75">
      <c r="A503" s="218"/>
      <c r="B503" s="221"/>
      <c r="C503" s="222"/>
      <c r="D503" s="218"/>
      <c r="E503" s="218"/>
      <c r="F503" s="220"/>
      <c r="G503" s="218"/>
      <c r="H503" s="218"/>
      <c r="I503" s="218"/>
      <c r="J503" s="218"/>
      <c r="K503" s="220"/>
      <c r="L503" s="220"/>
      <c r="M503" s="220"/>
      <c r="N503" s="220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spans="1:26" ht="15.75">
      <c r="A504" s="218"/>
      <c r="B504" s="221"/>
      <c r="C504" s="222"/>
      <c r="D504" s="218"/>
      <c r="E504" s="218"/>
      <c r="F504" s="220"/>
      <c r="G504" s="218"/>
      <c r="H504" s="218"/>
      <c r="I504" s="218"/>
      <c r="J504" s="218"/>
      <c r="K504" s="220"/>
      <c r="L504" s="220"/>
      <c r="M504" s="220"/>
      <c r="N504" s="220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spans="1:26" ht="15.75">
      <c r="A505" s="218"/>
      <c r="B505" s="221"/>
      <c r="C505" s="222"/>
      <c r="D505" s="218"/>
      <c r="E505" s="218"/>
      <c r="F505" s="220"/>
      <c r="G505" s="218"/>
      <c r="H505" s="218"/>
      <c r="I505" s="218"/>
      <c r="J505" s="218"/>
      <c r="K505" s="220"/>
      <c r="L505" s="220"/>
      <c r="M505" s="220"/>
      <c r="N505" s="220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spans="1:26" ht="15.75">
      <c r="A506" s="218"/>
      <c r="B506" s="221"/>
      <c r="C506" s="222"/>
      <c r="D506" s="218"/>
      <c r="E506" s="218"/>
      <c r="F506" s="220"/>
      <c r="G506" s="218"/>
      <c r="H506" s="218"/>
      <c r="I506" s="218"/>
      <c r="J506" s="218"/>
      <c r="K506" s="220"/>
      <c r="L506" s="220"/>
      <c r="M506" s="220"/>
      <c r="N506" s="220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spans="1:26" ht="15.75">
      <c r="A507" s="218"/>
      <c r="B507" s="221"/>
      <c r="C507" s="222"/>
      <c r="D507" s="218"/>
      <c r="E507" s="218"/>
      <c r="F507" s="220"/>
      <c r="G507" s="218"/>
      <c r="H507" s="218"/>
      <c r="I507" s="218"/>
      <c r="J507" s="218"/>
      <c r="K507" s="220"/>
      <c r="L507" s="220"/>
      <c r="M507" s="220"/>
      <c r="N507" s="220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spans="1:26" ht="15.75">
      <c r="A508" s="218"/>
      <c r="B508" s="221"/>
      <c r="C508" s="222"/>
      <c r="D508" s="218"/>
      <c r="E508" s="218"/>
      <c r="F508" s="220"/>
      <c r="G508" s="218"/>
      <c r="H508" s="218"/>
      <c r="I508" s="218"/>
      <c r="J508" s="218"/>
      <c r="K508" s="220"/>
      <c r="L508" s="220"/>
      <c r="M508" s="220"/>
      <c r="N508" s="220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spans="1:26" ht="15.75">
      <c r="A509" s="218"/>
      <c r="B509" s="221"/>
      <c r="C509" s="222"/>
      <c r="D509" s="218"/>
      <c r="E509" s="218"/>
      <c r="F509" s="220"/>
      <c r="G509" s="218"/>
      <c r="H509" s="218"/>
      <c r="I509" s="218"/>
      <c r="J509" s="218"/>
      <c r="K509" s="220"/>
      <c r="L509" s="220"/>
      <c r="M509" s="220"/>
      <c r="N509" s="220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spans="1:26" ht="15.75">
      <c r="A510" s="218"/>
      <c r="B510" s="221"/>
      <c r="C510" s="222"/>
      <c r="D510" s="218"/>
      <c r="E510" s="218"/>
      <c r="F510" s="220"/>
      <c r="G510" s="218"/>
      <c r="H510" s="218"/>
      <c r="I510" s="218"/>
      <c r="J510" s="218"/>
      <c r="K510" s="220"/>
      <c r="L510" s="220"/>
      <c r="M510" s="220"/>
      <c r="N510" s="220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spans="1:26" ht="15.75">
      <c r="A511" s="218"/>
      <c r="B511" s="221"/>
      <c r="C511" s="222"/>
      <c r="D511" s="218"/>
      <c r="E511" s="218"/>
      <c r="F511" s="220"/>
      <c r="G511" s="218"/>
      <c r="H511" s="218"/>
      <c r="I511" s="218"/>
      <c r="J511" s="218"/>
      <c r="K511" s="220"/>
      <c r="L511" s="220"/>
      <c r="M511" s="220"/>
      <c r="N511" s="220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spans="1:26" ht="15.75">
      <c r="A512" s="218"/>
      <c r="B512" s="221"/>
      <c r="C512" s="222"/>
      <c r="D512" s="218"/>
      <c r="E512" s="218"/>
      <c r="F512" s="220"/>
      <c r="G512" s="218"/>
      <c r="H512" s="218"/>
      <c r="I512" s="218"/>
      <c r="J512" s="218"/>
      <c r="K512" s="220"/>
      <c r="L512" s="220"/>
      <c r="M512" s="220"/>
      <c r="N512" s="220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spans="1:26" ht="15.75">
      <c r="A513" s="218"/>
      <c r="B513" s="221"/>
      <c r="C513" s="222"/>
      <c r="D513" s="218"/>
      <c r="E513" s="218"/>
      <c r="F513" s="220"/>
      <c r="G513" s="218"/>
      <c r="H513" s="218"/>
      <c r="I513" s="218"/>
      <c r="J513" s="218"/>
      <c r="K513" s="220"/>
      <c r="L513" s="220"/>
      <c r="M513" s="220"/>
      <c r="N513" s="220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spans="1:26" ht="15.75">
      <c r="A514" s="218"/>
      <c r="B514" s="221"/>
      <c r="C514" s="222"/>
      <c r="D514" s="218"/>
      <c r="E514" s="218"/>
      <c r="F514" s="220"/>
      <c r="G514" s="218"/>
      <c r="H514" s="218"/>
      <c r="I514" s="218"/>
      <c r="J514" s="218"/>
      <c r="K514" s="220"/>
      <c r="L514" s="220"/>
      <c r="M514" s="220"/>
      <c r="N514" s="220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spans="1:26" ht="15.75">
      <c r="A515" s="218"/>
      <c r="B515" s="221"/>
      <c r="C515" s="222"/>
      <c r="D515" s="218"/>
      <c r="E515" s="218"/>
      <c r="F515" s="220"/>
      <c r="G515" s="218"/>
      <c r="H515" s="218"/>
      <c r="I515" s="218"/>
      <c r="J515" s="218"/>
      <c r="K515" s="220"/>
      <c r="L515" s="220"/>
      <c r="M515" s="220"/>
      <c r="N515" s="220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spans="1:26" ht="15.75">
      <c r="A516" s="218"/>
      <c r="B516" s="221"/>
      <c r="C516" s="222"/>
      <c r="D516" s="218"/>
      <c r="E516" s="218"/>
      <c r="F516" s="220"/>
      <c r="G516" s="218"/>
      <c r="H516" s="218"/>
      <c r="I516" s="218"/>
      <c r="J516" s="218"/>
      <c r="K516" s="220"/>
      <c r="L516" s="220"/>
      <c r="M516" s="220"/>
      <c r="N516" s="220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spans="1:26" ht="15.75">
      <c r="A517" s="218"/>
      <c r="B517" s="221"/>
      <c r="C517" s="222"/>
      <c r="D517" s="218"/>
      <c r="E517" s="218"/>
      <c r="F517" s="220"/>
      <c r="G517" s="218"/>
      <c r="H517" s="218"/>
      <c r="I517" s="218"/>
      <c r="J517" s="218"/>
      <c r="K517" s="220"/>
      <c r="L517" s="220"/>
      <c r="M517" s="220"/>
      <c r="N517" s="220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spans="1:26" ht="15.75">
      <c r="A518" s="218"/>
      <c r="B518" s="221"/>
      <c r="C518" s="222"/>
      <c r="D518" s="218"/>
      <c r="E518" s="218"/>
      <c r="F518" s="220"/>
      <c r="G518" s="218"/>
      <c r="H518" s="218"/>
      <c r="I518" s="218"/>
      <c r="J518" s="218"/>
      <c r="K518" s="220"/>
      <c r="L518" s="220"/>
      <c r="M518" s="220"/>
      <c r="N518" s="220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spans="1:26" ht="15.75">
      <c r="A519" s="218"/>
      <c r="B519" s="221"/>
      <c r="C519" s="222"/>
      <c r="D519" s="218"/>
      <c r="E519" s="218"/>
      <c r="F519" s="220"/>
      <c r="G519" s="218"/>
      <c r="H519" s="218"/>
      <c r="I519" s="218"/>
      <c r="J519" s="218"/>
      <c r="K519" s="220"/>
      <c r="L519" s="220"/>
      <c r="M519" s="220"/>
      <c r="N519" s="220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spans="1:26" ht="15.75">
      <c r="A520" s="218"/>
      <c r="B520" s="221"/>
      <c r="C520" s="222"/>
      <c r="D520" s="218"/>
      <c r="E520" s="218"/>
      <c r="F520" s="220"/>
      <c r="G520" s="218"/>
      <c r="H520" s="218"/>
      <c r="I520" s="218"/>
      <c r="J520" s="218"/>
      <c r="K520" s="220"/>
      <c r="L520" s="220"/>
      <c r="M520" s="220"/>
      <c r="N520" s="220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spans="1:26" ht="15.75">
      <c r="A521" s="218"/>
      <c r="B521" s="221"/>
      <c r="C521" s="222"/>
      <c r="D521" s="218"/>
      <c r="E521" s="218"/>
      <c r="F521" s="220"/>
      <c r="G521" s="218"/>
      <c r="H521" s="218"/>
      <c r="I521" s="218"/>
      <c r="J521" s="218"/>
      <c r="K521" s="220"/>
      <c r="L521" s="220"/>
      <c r="M521" s="220"/>
      <c r="N521" s="220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spans="1:26" ht="15.75">
      <c r="A522" s="218"/>
      <c r="B522" s="221"/>
      <c r="C522" s="222"/>
      <c r="D522" s="218"/>
      <c r="E522" s="218"/>
      <c r="F522" s="220"/>
      <c r="G522" s="218"/>
      <c r="H522" s="218"/>
      <c r="I522" s="218"/>
      <c r="J522" s="218"/>
      <c r="K522" s="220"/>
      <c r="L522" s="220"/>
      <c r="M522" s="220"/>
      <c r="N522" s="220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spans="1:26" ht="15.75">
      <c r="A523" s="218"/>
      <c r="B523" s="221"/>
      <c r="C523" s="222"/>
      <c r="D523" s="218"/>
      <c r="E523" s="218"/>
      <c r="F523" s="220"/>
      <c r="G523" s="218"/>
      <c r="H523" s="218"/>
      <c r="I523" s="218"/>
      <c r="J523" s="218"/>
      <c r="K523" s="220"/>
      <c r="L523" s="220"/>
      <c r="M523" s="220"/>
      <c r="N523" s="220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spans="1:26" ht="15.75">
      <c r="A524" s="218"/>
      <c r="B524" s="221"/>
      <c r="C524" s="222"/>
      <c r="D524" s="218"/>
      <c r="E524" s="218"/>
      <c r="F524" s="220"/>
      <c r="G524" s="218"/>
      <c r="H524" s="218"/>
      <c r="I524" s="218"/>
      <c r="J524" s="218"/>
      <c r="K524" s="220"/>
      <c r="L524" s="220"/>
      <c r="M524" s="220"/>
      <c r="N524" s="220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spans="1:26" ht="15.75">
      <c r="A525" s="218"/>
      <c r="B525" s="221"/>
      <c r="C525" s="222"/>
      <c r="D525" s="218"/>
      <c r="E525" s="218"/>
      <c r="F525" s="220"/>
      <c r="G525" s="218"/>
      <c r="H525" s="218"/>
      <c r="I525" s="218"/>
      <c r="J525" s="218"/>
      <c r="K525" s="220"/>
      <c r="L525" s="220"/>
      <c r="M525" s="220"/>
      <c r="N525" s="220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spans="1:26" ht="15.75">
      <c r="A526" s="218"/>
      <c r="B526" s="221"/>
      <c r="C526" s="222"/>
      <c r="D526" s="218"/>
      <c r="E526" s="218"/>
      <c r="F526" s="220"/>
      <c r="G526" s="218"/>
      <c r="H526" s="218"/>
      <c r="I526" s="218"/>
      <c r="J526" s="218"/>
      <c r="K526" s="220"/>
      <c r="L526" s="220"/>
      <c r="M526" s="220"/>
      <c r="N526" s="220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spans="1:26" ht="15.75">
      <c r="A527" s="218"/>
      <c r="B527" s="221"/>
      <c r="C527" s="222"/>
      <c r="D527" s="218"/>
      <c r="E527" s="218"/>
      <c r="F527" s="220"/>
      <c r="G527" s="218"/>
      <c r="H527" s="218"/>
      <c r="I527" s="218"/>
      <c r="J527" s="218"/>
      <c r="K527" s="220"/>
      <c r="L527" s="220"/>
      <c r="M527" s="220"/>
      <c r="N527" s="220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spans="1:26" ht="15.75">
      <c r="A528" s="218"/>
      <c r="B528" s="221"/>
      <c r="C528" s="222"/>
      <c r="D528" s="218"/>
      <c r="E528" s="218"/>
      <c r="F528" s="220"/>
      <c r="G528" s="218"/>
      <c r="H528" s="218"/>
      <c r="I528" s="218"/>
      <c r="J528" s="218"/>
      <c r="K528" s="220"/>
      <c r="L528" s="220"/>
      <c r="M528" s="220"/>
      <c r="N528" s="220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spans="1:26" ht="15.75">
      <c r="A529" s="218"/>
      <c r="B529" s="221"/>
      <c r="C529" s="222"/>
      <c r="D529" s="218"/>
      <c r="E529" s="218"/>
      <c r="F529" s="220"/>
      <c r="G529" s="218"/>
      <c r="H529" s="218"/>
      <c r="I529" s="218"/>
      <c r="J529" s="218"/>
      <c r="K529" s="220"/>
      <c r="L529" s="220"/>
      <c r="M529" s="220"/>
      <c r="N529" s="220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spans="1:26" ht="15.75">
      <c r="A530" s="218"/>
      <c r="B530" s="221"/>
      <c r="C530" s="222"/>
      <c r="D530" s="218"/>
      <c r="E530" s="218"/>
      <c r="F530" s="220"/>
      <c r="G530" s="218"/>
      <c r="H530" s="218"/>
      <c r="I530" s="218"/>
      <c r="J530" s="218"/>
      <c r="K530" s="220"/>
      <c r="L530" s="220"/>
      <c r="M530" s="220"/>
      <c r="N530" s="220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spans="1:26" ht="15.75">
      <c r="A531" s="218"/>
      <c r="B531" s="221"/>
      <c r="C531" s="222"/>
      <c r="D531" s="218"/>
      <c r="E531" s="218"/>
      <c r="F531" s="220"/>
      <c r="G531" s="218"/>
      <c r="H531" s="218"/>
      <c r="I531" s="218"/>
      <c r="J531" s="218"/>
      <c r="K531" s="220"/>
      <c r="L531" s="220"/>
      <c r="M531" s="220"/>
      <c r="N531" s="220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spans="1:26" ht="15.75">
      <c r="A532" s="218"/>
      <c r="B532" s="221"/>
      <c r="C532" s="222"/>
      <c r="D532" s="218"/>
      <c r="E532" s="218"/>
      <c r="F532" s="220"/>
      <c r="G532" s="218"/>
      <c r="H532" s="218"/>
      <c r="I532" s="218"/>
      <c r="J532" s="218"/>
      <c r="K532" s="220"/>
      <c r="L532" s="220"/>
      <c r="M532" s="220"/>
      <c r="N532" s="220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spans="1:26" ht="15.75">
      <c r="A533" s="218"/>
      <c r="B533" s="221"/>
      <c r="C533" s="222"/>
      <c r="D533" s="218"/>
      <c r="E533" s="218"/>
      <c r="F533" s="220"/>
      <c r="G533" s="218"/>
      <c r="H533" s="218"/>
      <c r="I533" s="218"/>
      <c r="J533" s="218"/>
      <c r="K533" s="220"/>
      <c r="L533" s="220"/>
      <c r="M533" s="220"/>
      <c r="N533" s="220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spans="1:26" ht="15.75">
      <c r="A534" s="218"/>
      <c r="B534" s="221"/>
      <c r="C534" s="222"/>
      <c r="D534" s="218"/>
      <c r="E534" s="218"/>
      <c r="F534" s="220"/>
      <c r="G534" s="218"/>
      <c r="H534" s="218"/>
      <c r="I534" s="218"/>
      <c r="J534" s="218"/>
      <c r="K534" s="220"/>
      <c r="L534" s="220"/>
      <c r="M534" s="220"/>
      <c r="N534" s="220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spans="1:26" ht="15.75">
      <c r="A535" s="218"/>
      <c r="B535" s="221"/>
      <c r="C535" s="222"/>
      <c r="D535" s="218"/>
      <c r="E535" s="218"/>
      <c r="F535" s="220"/>
      <c r="G535" s="218"/>
      <c r="H535" s="218"/>
      <c r="I535" s="218"/>
      <c r="J535" s="218"/>
      <c r="K535" s="220"/>
      <c r="L535" s="220"/>
      <c r="M535" s="220"/>
      <c r="N535" s="220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spans="1:26" ht="15.75">
      <c r="A536" s="218"/>
      <c r="B536" s="221"/>
      <c r="C536" s="222"/>
      <c r="D536" s="218"/>
      <c r="E536" s="218"/>
      <c r="F536" s="220"/>
      <c r="G536" s="218"/>
      <c r="H536" s="218"/>
      <c r="I536" s="218"/>
      <c r="J536" s="218"/>
      <c r="K536" s="220"/>
      <c r="L536" s="220"/>
      <c r="M536" s="220"/>
      <c r="N536" s="220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spans="1:26" ht="15.75">
      <c r="A537" s="218"/>
      <c r="B537" s="221"/>
      <c r="C537" s="222"/>
      <c r="D537" s="218"/>
      <c r="E537" s="218"/>
      <c r="F537" s="220"/>
      <c r="G537" s="218"/>
      <c r="H537" s="218"/>
      <c r="I537" s="218"/>
      <c r="J537" s="218"/>
      <c r="K537" s="220"/>
      <c r="L537" s="220"/>
      <c r="M537" s="220"/>
      <c r="N537" s="220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spans="1:26" ht="15.75">
      <c r="A538" s="218"/>
      <c r="B538" s="221"/>
      <c r="C538" s="222"/>
      <c r="D538" s="218"/>
      <c r="E538" s="218"/>
      <c r="F538" s="220"/>
      <c r="G538" s="218"/>
      <c r="H538" s="218"/>
      <c r="I538" s="218"/>
      <c r="J538" s="218"/>
      <c r="K538" s="220"/>
      <c r="L538" s="220"/>
      <c r="M538" s="220"/>
      <c r="N538" s="220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spans="1:26" ht="15.75">
      <c r="A539" s="218"/>
      <c r="B539" s="221"/>
      <c r="C539" s="222"/>
      <c r="D539" s="218"/>
      <c r="E539" s="218"/>
      <c r="F539" s="220"/>
      <c r="G539" s="218"/>
      <c r="H539" s="218"/>
      <c r="I539" s="218"/>
      <c r="J539" s="218"/>
      <c r="K539" s="220"/>
      <c r="L539" s="220"/>
      <c r="M539" s="220"/>
      <c r="N539" s="220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spans="1:26" ht="15.75">
      <c r="A540" s="218"/>
      <c r="B540" s="221"/>
      <c r="C540" s="222"/>
      <c r="D540" s="218"/>
      <c r="E540" s="218"/>
      <c r="F540" s="220"/>
      <c r="G540" s="218"/>
      <c r="H540" s="218"/>
      <c r="I540" s="218"/>
      <c r="J540" s="218"/>
      <c r="K540" s="220"/>
      <c r="L540" s="220"/>
      <c r="M540" s="220"/>
      <c r="N540" s="220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spans="1:26" ht="15.75">
      <c r="A541" s="218"/>
      <c r="B541" s="221"/>
      <c r="C541" s="222"/>
      <c r="D541" s="218"/>
      <c r="E541" s="218"/>
      <c r="F541" s="220"/>
      <c r="G541" s="218"/>
      <c r="H541" s="218"/>
      <c r="I541" s="218"/>
      <c r="J541" s="218"/>
      <c r="K541" s="220"/>
      <c r="L541" s="220"/>
      <c r="M541" s="220"/>
      <c r="N541" s="220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spans="1:26" ht="15.75">
      <c r="A542" s="218"/>
      <c r="B542" s="221"/>
      <c r="C542" s="222"/>
      <c r="D542" s="218"/>
      <c r="E542" s="218"/>
      <c r="F542" s="220"/>
      <c r="G542" s="218"/>
      <c r="H542" s="218"/>
      <c r="I542" s="218"/>
      <c r="J542" s="218"/>
      <c r="K542" s="220"/>
      <c r="L542" s="220"/>
      <c r="M542" s="220"/>
      <c r="N542" s="220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spans="1:26" ht="15.75">
      <c r="A543" s="218"/>
      <c r="B543" s="221"/>
      <c r="C543" s="222"/>
      <c r="D543" s="218"/>
      <c r="E543" s="218"/>
      <c r="F543" s="220"/>
      <c r="G543" s="218"/>
      <c r="H543" s="218"/>
      <c r="I543" s="218"/>
      <c r="J543" s="218"/>
      <c r="K543" s="220"/>
      <c r="L543" s="220"/>
      <c r="M543" s="220"/>
      <c r="N543" s="220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spans="1:26" ht="15.75">
      <c r="A544" s="218"/>
      <c r="B544" s="221"/>
      <c r="C544" s="222"/>
      <c r="D544" s="218"/>
      <c r="E544" s="218"/>
      <c r="F544" s="220"/>
      <c r="G544" s="218"/>
      <c r="H544" s="218"/>
      <c r="I544" s="218"/>
      <c r="J544" s="218"/>
      <c r="K544" s="220"/>
      <c r="L544" s="220"/>
      <c r="M544" s="220"/>
      <c r="N544" s="220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spans="1:26" ht="15.75">
      <c r="A545" s="218"/>
      <c r="B545" s="221"/>
      <c r="C545" s="222"/>
      <c r="D545" s="218"/>
      <c r="E545" s="218"/>
      <c r="F545" s="220"/>
      <c r="G545" s="218"/>
      <c r="H545" s="218"/>
      <c r="I545" s="218"/>
      <c r="J545" s="218"/>
      <c r="K545" s="220"/>
      <c r="L545" s="220"/>
      <c r="M545" s="220"/>
      <c r="N545" s="220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spans="1:26" ht="15.75">
      <c r="A546" s="218"/>
      <c r="B546" s="221"/>
      <c r="C546" s="222"/>
      <c r="D546" s="218"/>
      <c r="E546" s="218"/>
      <c r="F546" s="220"/>
      <c r="G546" s="218"/>
      <c r="H546" s="218"/>
      <c r="I546" s="218"/>
      <c r="J546" s="218"/>
      <c r="K546" s="220"/>
      <c r="L546" s="220"/>
      <c r="M546" s="220"/>
      <c r="N546" s="220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spans="1:26" ht="15.75">
      <c r="A547" s="218"/>
      <c r="B547" s="221"/>
      <c r="C547" s="222"/>
      <c r="D547" s="218"/>
      <c r="E547" s="218"/>
      <c r="F547" s="220"/>
      <c r="G547" s="218"/>
      <c r="H547" s="218"/>
      <c r="I547" s="218"/>
      <c r="J547" s="218"/>
      <c r="K547" s="220"/>
      <c r="L547" s="220"/>
      <c r="M547" s="220"/>
      <c r="N547" s="220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spans="1:26" ht="15.75">
      <c r="A548" s="218"/>
      <c r="B548" s="221"/>
      <c r="C548" s="222"/>
      <c r="D548" s="218"/>
      <c r="E548" s="218"/>
      <c r="F548" s="220"/>
      <c r="G548" s="218"/>
      <c r="H548" s="218"/>
      <c r="I548" s="218"/>
      <c r="J548" s="218"/>
      <c r="K548" s="220"/>
      <c r="L548" s="220"/>
      <c r="M548" s="220"/>
      <c r="N548" s="220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spans="1:26" ht="15.75">
      <c r="A549" s="218"/>
      <c r="B549" s="221"/>
      <c r="C549" s="222"/>
      <c r="D549" s="218"/>
      <c r="E549" s="218"/>
      <c r="F549" s="220"/>
      <c r="G549" s="218"/>
      <c r="H549" s="218"/>
      <c r="I549" s="218"/>
      <c r="J549" s="218"/>
      <c r="K549" s="220"/>
      <c r="L549" s="220"/>
      <c r="M549" s="220"/>
      <c r="N549" s="220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spans="1:26" ht="15.75">
      <c r="A550" s="218"/>
      <c r="B550" s="221"/>
      <c r="C550" s="222"/>
      <c r="D550" s="218"/>
      <c r="E550" s="218"/>
      <c r="F550" s="220"/>
      <c r="G550" s="218"/>
      <c r="H550" s="218"/>
      <c r="I550" s="218"/>
      <c r="J550" s="218"/>
      <c r="K550" s="220"/>
      <c r="L550" s="220"/>
      <c r="M550" s="220"/>
      <c r="N550" s="220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spans="1:26" ht="15.75">
      <c r="A551" s="218"/>
      <c r="B551" s="221"/>
      <c r="C551" s="222"/>
      <c r="D551" s="218"/>
      <c r="E551" s="218"/>
      <c r="F551" s="220"/>
      <c r="G551" s="218"/>
      <c r="H551" s="218"/>
      <c r="I551" s="218"/>
      <c r="J551" s="218"/>
      <c r="K551" s="220"/>
      <c r="L551" s="220"/>
      <c r="M551" s="220"/>
      <c r="N551" s="220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spans="1:26" ht="15.75">
      <c r="A552" s="218"/>
      <c r="B552" s="221"/>
      <c r="C552" s="222"/>
      <c r="D552" s="218"/>
      <c r="E552" s="218"/>
      <c r="F552" s="220"/>
      <c r="G552" s="218"/>
      <c r="H552" s="218"/>
      <c r="I552" s="218"/>
      <c r="J552" s="218"/>
      <c r="K552" s="220"/>
      <c r="L552" s="220"/>
      <c r="M552" s="220"/>
      <c r="N552" s="220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spans="1:26" ht="15.75">
      <c r="A553" s="218"/>
      <c r="B553" s="221"/>
      <c r="C553" s="222"/>
      <c r="D553" s="218"/>
      <c r="E553" s="218"/>
      <c r="F553" s="220"/>
      <c r="G553" s="218"/>
      <c r="H553" s="218"/>
      <c r="I553" s="218"/>
      <c r="J553" s="218"/>
      <c r="K553" s="220"/>
      <c r="L553" s="220"/>
      <c r="M553" s="220"/>
      <c r="N553" s="220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spans="1:26" ht="15.75">
      <c r="A554" s="218"/>
      <c r="B554" s="221"/>
      <c r="C554" s="222"/>
      <c r="D554" s="218"/>
      <c r="E554" s="218"/>
      <c r="F554" s="220"/>
      <c r="G554" s="218"/>
      <c r="H554" s="218"/>
      <c r="I554" s="218"/>
      <c r="J554" s="218"/>
      <c r="K554" s="220"/>
      <c r="L554" s="220"/>
      <c r="M554" s="220"/>
      <c r="N554" s="220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spans="1:26" ht="15.75">
      <c r="A555" s="218"/>
      <c r="B555" s="221"/>
      <c r="C555" s="222"/>
      <c r="D555" s="218"/>
      <c r="E555" s="218"/>
      <c r="F555" s="220"/>
      <c r="G555" s="218"/>
      <c r="H555" s="218"/>
      <c r="I555" s="218"/>
      <c r="J555" s="218"/>
      <c r="K555" s="220"/>
      <c r="L555" s="220"/>
      <c r="M555" s="220"/>
      <c r="N555" s="220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spans="1:26" ht="15.75">
      <c r="A556" s="218"/>
      <c r="B556" s="221"/>
      <c r="C556" s="222"/>
      <c r="D556" s="218"/>
      <c r="E556" s="218"/>
      <c r="F556" s="220"/>
      <c r="G556" s="218"/>
      <c r="H556" s="218"/>
      <c r="I556" s="218"/>
      <c r="J556" s="218"/>
      <c r="K556" s="220"/>
      <c r="L556" s="220"/>
      <c r="M556" s="220"/>
      <c r="N556" s="220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spans="1:26" ht="15.75">
      <c r="A557" s="218"/>
      <c r="B557" s="221"/>
      <c r="C557" s="222"/>
      <c r="D557" s="218"/>
      <c r="E557" s="218"/>
      <c r="F557" s="220"/>
      <c r="G557" s="218"/>
      <c r="H557" s="218"/>
      <c r="I557" s="218"/>
      <c r="J557" s="218"/>
      <c r="K557" s="220"/>
      <c r="L557" s="220"/>
      <c r="M557" s="220"/>
      <c r="N557" s="220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spans="1:26" ht="15.75">
      <c r="A558" s="218"/>
      <c r="B558" s="221"/>
      <c r="C558" s="222"/>
      <c r="D558" s="218"/>
      <c r="E558" s="218"/>
      <c r="F558" s="220"/>
      <c r="G558" s="218"/>
      <c r="H558" s="218"/>
      <c r="I558" s="218"/>
      <c r="J558" s="218"/>
      <c r="K558" s="220"/>
      <c r="L558" s="220"/>
      <c r="M558" s="220"/>
      <c r="N558" s="220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spans="1:26" ht="15.75">
      <c r="A559" s="218"/>
      <c r="B559" s="221"/>
      <c r="C559" s="222"/>
      <c r="D559" s="218"/>
      <c r="E559" s="218"/>
      <c r="F559" s="220"/>
      <c r="G559" s="218"/>
      <c r="H559" s="218"/>
      <c r="I559" s="218"/>
      <c r="J559" s="218"/>
      <c r="K559" s="220"/>
      <c r="L559" s="220"/>
      <c r="M559" s="220"/>
      <c r="N559" s="220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spans="1:26" ht="15.75">
      <c r="A560" s="218"/>
      <c r="B560" s="221"/>
      <c r="C560" s="222"/>
      <c r="D560" s="218"/>
      <c r="E560" s="218"/>
      <c r="F560" s="220"/>
      <c r="G560" s="218"/>
      <c r="H560" s="218"/>
      <c r="I560" s="218"/>
      <c r="J560" s="218"/>
      <c r="K560" s="220"/>
      <c r="L560" s="220"/>
      <c r="M560" s="220"/>
      <c r="N560" s="220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spans="1:26" ht="15.75">
      <c r="A561" s="218"/>
      <c r="B561" s="221"/>
      <c r="C561" s="222"/>
      <c r="D561" s="218"/>
      <c r="E561" s="218"/>
      <c r="F561" s="220"/>
      <c r="G561" s="218"/>
      <c r="H561" s="218"/>
      <c r="I561" s="218"/>
      <c r="J561" s="218"/>
      <c r="K561" s="220"/>
      <c r="L561" s="220"/>
      <c r="M561" s="220"/>
      <c r="N561" s="220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spans="1:26" ht="15.75">
      <c r="A562" s="218"/>
      <c r="B562" s="221"/>
      <c r="C562" s="222"/>
      <c r="D562" s="218"/>
      <c r="E562" s="218"/>
      <c r="F562" s="220"/>
      <c r="G562" s="218"/>
      <c r="H562" s="218"/>
      <c r="I562" s="218"/>
      <c r="J562" s="218"/>
      <c r="K562" s="220"/>
      <c r="L562" s="220"/>
      <c r="M562" s="220"/>
      <c r="N562" s="220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spans="1:26" ht="15.75">
      <c r="A563" s="218"/>
      <c r="B563" s="221"/>
      <c r="C563" s="222"/>
      <c r="D563" s="218"/>
      <c r="E563" s="218"/>
      <c r="F563" s="220"/>
      <c r="G563" s="218"/>
      <c r="H563" s="218"/>
      <c r="I563" s="218"/>
      <c r="J563" s="218"/>
      <c r="K563" s="220"/>
      <c r="L563" s="220"/>
      <c r="M563" s="220"/>
      <c r="N563" s="220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spans="1:26" ht="15.75">
      <c r="A564" s="218"/>
      <c r="B564" s="221"/>
      <c r="C564" s="222"/>
      <c r="D564" s="218"/>
      <c r="E564" s="218"/>
      <c r="F564" s="220"/>
      <c r="G564" s="218"/>
      <c r="H564" s="218"/>
      <c r="I564" s="218"/>
      <c r="J564" s="218"/>
      <c r="K564" s="220"/>
      <c r="L564" s="220"/>
      <c r="M564" s="220"/>
      <c r="N564" s="220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spans="1:26" ht="15.75">
      <c r="A565" s="218"/>
      <c r="B565" s="221"/>
      <c r="C565" s="222"/>
      <c r="D565" s="218"/>
      <c r="E565" s="218"/>
      <c r="F565" s="220"/>
      <c r="G565" s="218"/>
      <c r="H565" s="218"/>
      <c r="I565" s="218"/>
      <c r="J565" s="218"/>
      <c r="K565" s="220"/>
      <c r="L565" s="220"/>
      <c r="M565" s="220"/>
      <c r="N565" s="220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spans="1:26" ht="15.75">
      <c r="A566" s="218"/>
      <c r="B566" s="221"/>
      <c r="C566" s="222"/>
      <c r="D566" s="218"/>
      <c r="E566" s="218"/>
      <c r="F566" s="220"/>
      <c r="G566" s="218"/>
      <c r="H566" s="218"/>
      <c r="I566" s="218"/>
      <c r="J566" s="218"/>
      <c r="K566" s="220"/>
      <c r="L566" s="220"/>
      <c r="M566" s="220"/>
      <c r="N566" s="220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spans="1:26" ht="15.75">
      <c r="A567" s="218"/>
      <c r="B567" s="221"/>
      <c r="C567" s="222"/>
      <c r="D567" s="218"/>
      <c r="E567" s="218"/>
      <c r="F567" s="220"/>
      <c r="G567" s="218"/>
      <c r="H567" s="218"/>
      <c r="I567" s="218"/>
      <c r="J567" s="218"/>
      <c r="K567" s="220"/>
      <c r="L567" s="220"/>
      <c r="M567" s="220"/>
      <c r="N567" s="220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spans="1:26" ht="15.75">
      <c r="A568" s="218"/>
      <c r="B568" s="221"/>
      <c r="C568" s="222"/>
      <c r="D568" s="218"/>
      <c r="E568" s="218"/>
      <c r="F568" s="220"/>
      <c r="G568" s="218"/>
      <c r="H568" s="218"/>
      <c r="I568" s="218"/>
      <c r="J568" s="218"/>
      <c r="K568" s="220"/>
      <c r="L568" s="220"/>
      <c r="M568" s="220"/>
      <c r="N568" s="220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spans="1:26" ht="15.75">
      <c r="A569" s="218"/>
      <c r="B569" s="221"/>
      <c r="C569" s="222"/>
      <c r="D569" s="218"/>
      <c r="E569" s="218"/>
      <c r="F569" s="220"/>
      <c r="G569" s="218"/>
      <c r="H569" s="218"/>
      <c r="I569" s="218"/>
      <c r="J569" s="218"/>
      <c r="K569" s="220"/>
      <c r="L569" s="220"/>
      <c r="M569" s="220"/>
      <c r="N569" s="220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spans="1:26" ht="15.75">
      <c r="A570" s="218"/>
      <c r="B570" s="221"/>
      <c r="C570" s="222"/>
      <c r="D570" s="218"/>
      <c r="E570" s="218"/>
      <c r="F570" s="220"/>
      <c r="G570" s="218"/>
      <c r="H570" s="218"/>
      <c r="I570" s="218"/>
      <c r="J570" s="218"/>
      <c r="K570" s="220"/>
      <c r="L570" s="220"/>
      <c r="M570" s="220"/>
      <c r="N570" s="220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spans="1:26" ht="15.75">
      <c r="A571" s="218"/>
      <c r="B571" s="221"/>
      <c r="C571" s="222"/>
      <c r="D571" s="218"/>
      <c r="E571" s="218"/>
      <c r="F571" s="220"/>
      <c r="G571" s="218"/>
      <c r="H571" s="218"/>
      <c r="I571" s="218"/>
      <c r="J571" s="218"/>
      <c r="K571" s="220"/>
      <c r="L571" s="220"/>
      <c r="M571" s="220"/>
      <c r="N571" s="220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spans="1:26" ht="15.75">
      <c r="A572" s="218"/>
      <c r="B572" s="221"/>
      <c r="C572" s="222"/>
      <c r="D572" s="218"/>
      <c r="E572" s="218"/>
      <c r="F572" s="220"/>
      <c r="G572" s="218"/>
      <c r="H572" s="218"/>
      <c r="I572" s="218"/>
      <c r="J572" s="218"/>
      <c r="K572" s="220"/>
      <c r="L572" s="220"/>
      <c r="M572" s="220"/>
      <c r="N572" s="220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spans="1:26" ht="15.75">
      <c r="A573" s="218"/>
      <c r="B573" s="221"/>
      <c r="C573" s="222"/>
      <c r="D573" s="218"/>
      <c r="E573" s="218"/>
      <c r="F573" s="220"/>
      <c r="G573" s="218"/>
      <c r="H573" s="218"/>
      <c r="I573" s="218"/>
      <c r="J573" s="218"/>
      <c r="K573" s="220"/>
      <c r="L573" s="220"/>
      <c r="M573" s="220"/>
      <c r="N573" s="220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spans="1:26" ht="15.75">
      <c r="A574" s="218"/>
      <c r="B574" s="221"/>
      <c r="C574" s="222"/>
      <c r="D574" s="218"/>
      <c r="E574" s="218"/>
      <c r="F574" s="220"/>
      <c r="G574" s="218"/>
      <c r="H574" s="218"/>
      <c r="I574" s="218"/>
      <c r="J574" s="218"/>
      <c r="K574" s="220"/>
      <c r="L574" s="220"/>
      <c r="M574" s="220"/>
      <c r="N574" s="220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spans="1:26" ht="15.75">
      <c r="A575" s="218"/>
      <c r="B575" s="221"/>
      <c r="C575" s="222"/>
      <c r="D575" s="218"/>
      <c r="E575" s="218"/>
      <c r="F575" s="220"/>
      <c r="G575" s="218"/>
      <c r="H575" s="218"/>
      <c r="I575" s="218"/>
      <c r="J575" s="218"/>
      <c r="K575" s="220"/>
      <c r="L575" s="220"/>
      <c r="M575" s="220"/>
      <c r="N575" s="220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spans="1:26" ht="15.75">
      <c r="A576" s="218"/>
      <c r="B576" s="221"/>
      <c r="C576" s="222"/>
      <c r="D576" s="218"/>
      <c r="E576" s="218"/>
      <c r="F576" s="220"/>
      <c r="G576" s="218"/>
      <c r="H576" s="218"/>
      <c r="I576" s="218"/>
      <c r="J576" s="218"/>
      <c r="K576" s="220"/>
      <c r="L576" s="220"/>
      <c r="M576" s="220"/>
      <c r="N576" s="220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spans="1:26" ht="15.75">
      <c r="A577" s="218"/>
      <c r="B577" s="221"/>
      <c r="C577" s="222"/>
      <c r="D577" s="218"/>
      <c r="E577" s="218"/>
      <c r="F577" s="220"/>
      <c r="G577" s="218"/>
      <c r="H577" s="218"/>
      <c r="I577" s="218"/>
      <c r="J577" s="218"/>
      <c r="K577" s="220"/>
      <c r="L577" s="220"/>
      <c r="M577" s="220"/>
      <c r="N577" s="220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spans="1:26" ht="15.75">
      <c r="A578" s="218"/>
      <c r="B578" s="221"/>
      <c r="C578" s="222"/>
      <c r="D578" s="218"/>
      <c r="E578" s="218"/>
      <c r="F578" s="220"/>
      <c r="G578" s="218"/>
      <c r="H578" s="218"/>
      <c r="I578" s="218"/>
      <c r="J578" s="218"/>
      <c r="K578" s="220"/>
      <c r="L578" s="220"/>
      <c r="M578" s="220"/>
      <c r="N578" s="220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spans="1:26" ht="15.75">
      <c r="A579" s="218"/>
      <c r="B579" s="221"/>
      <c r="C579" s="222"/>
      <c r="D579" s="218"/>
      <c r="E579" s="218"/>
      <c r="F579" s="220"/>
      <c r="G579" s="218"/>
      <c r="H579" s="218"/>
      <c r="I579" s="218"/>
      <c r="J579" s="218"/>
      <c r="K579" s="220"/>
      <c r="L579" s="220"/>
      <c r="M579" s="220"/>
      <c r="N579" s="220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spans="1:26" ht="15.75">
      <c r="A580" s="218"/>
      <c r="B580" s="221"/>
      <c r="C580" s="222"/>
      <c r="D580" s="218"/>
      <c r="E580" s="218"/>
      <c r="F580" s="220"/>
      <c r="G580" s="218"/>
      <c r="H580" s="218"/>
      <c r="I580" s="218"/>
      <c r="J580" s="218"/>
      <c r="K580" s="220"/>
      <c r="L580" s="220"/>
      <c r="M580" s="220"/>
      <c r="N580" s="220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spans="1:26" ht="15.75">
      <c r="A581" s="218"/>
      <c r="B581" s="221"/>
      <c r="C581" s="222"/>
      <c r="D581" s="218"/>
      <c r="E581" s="218"/>
      <c r="F581" s="220"/>
      <c r="G581" s="218"/>
      <c r="H581" s="218"/>
      <c r="I581" s="218"/>
      <c r="J581" s="218"/>
      <c r="K581" s="220"/>
      <c r="L581" s="220"/>
      <c r="M581" s="220"/>
      <c r="N581" s="220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spans="1:26" ht="15.75">
      <c r="A582" s="218"/>
      <c r="B582" s="221"/>
      <c r="C582" s="222"/>
      <c r="D582" s="218"/>
      <c r="E582" s="218"/>
      <c r="F582" s="220"/>
      <c r="G582" s="218"/>
      <c r="H582" s="218"/>
      <c r="I582" s="218"/>
      <c r="J582" s="218"/>
      <c r="K582" s="220"/>
      <c r="L582" s="220"/>
      <c r="M582" s="220"/>
      <c r="N582" s="220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spans="1:26" ht="15.75">
      <c r="A583" s="218"/>
      <c r="B583" s="221"/>
      <c r="C583" s="222"/>
      <c r="D583" s="218"/>
      <c r="E583" s="218"/>
      <c r="F583" s="220"/>
      <c r="G583" s="218"/>
      <c r="H583" s="218"/>
      <c r="I583" s="218"/>
      <c r="J583" s="218"/>
      <c r="K583" s="220"/>
      <c r="L583" s="220"/>
      <c r="M583" s="220"/>
      <c r="N583" s="220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spans="1:26" ht="15.75">
      <c r="A584" s="218"/>
      <c r="B584" s="221"/>
      <c r="C584" s="222"/>
      <c r="D584" s="218"/>
      <c r="E584" s="218"/>
      <c r="F584" s="220"/>
      <c r="G584" s="218"/>
      <c r="H584" s="218"/>
      <c r="I584" s="218"/>
      <c r="J584" s="218"/>
      <c r="K584" s="220"/>
      <c r="L584" s="220"/>
      <c r="M584" s="220"/>
      <c r="N584" s="220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spans="1:26" ht="15.75">
      <c r="A585" s="218"/>
      <c r="B585" s="221"/>
      <c r="C585" s="222"/>
      <c r="D585" s="218"/>
      <c r="E585" s="218"/>
      <c r="F585" s="220"/>
      <c r="G585" s="218"/>
      <c r="H585" s="218"/>
      <c r="I585" s="218"/>
      <c r="J585" s="218"/>
      <c r="K585" s="220"/>
      <c r="L585" s="220"/>
      <c r="M585" s="220"/>
      <c r="N585" s="220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spans="1:26" ht="15.75">
      <c r="A586" s="218"/>
      <c r="B586" s="221"/>
      <c r="C586" s="222"/>
      <c r="D586" s="218"/>
      <c r="E586" s="218"/>
      <c r="F586" s="220"/>
      <c r="G586" s="218"/>
      <c r="H586" s="218"/>
      <c r="I586" s="218"/>
      <c r="J586" s="218"/>
      <c r="K586" s="220"/>
      <c r="L586" s="220"/>
      <c r="M586" s="220"/>
      <c r="N586" s="220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spans="1:26" ht="15.75">
      <c r="A587" s="218"/>
      <c r="B587" s="221"/>
      <c r="C587" s="222"/>
      <c r="D587" s="218"/>
      <c r="E587" s="218"/>
      <c r="F587" s="220"/>
      <c r="G587" s="218"/>
      <c r="H587" s="218"/>
      <c r="I587" s="218"/>
      <c r="J587" s="218"/>
      <c r="K587" s="220"/>
      <c r="L587" s="220"/>
      <c r="M587" s="220"/>
      <c r="N587" s="220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spans="1:26" ht="15.75">
      <c r="A588" s="218"/>
      <c r="B588" s="221"/>
      <c r="C588" s="222"/>
      <c r="D588" s="218"/>
      <c r="E588" s="218"/>
      <c r="F588" s="220"/>
      <c r="G588" s="218"/>
      <c r="H588" s="218"/>
      <c r="I588" s="218"/>
      <c r="J588" s="218"/>
      <c r="K588" s="220"/>
      <c r="L588" s="220"/>
      <c r="M588" s="220"/>
      <c r="N588" s="220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spans="1:26" ht="15.75">
      <c r="A589" s="218"/>
      <c r="B589" s="221"/>
      <c r="C589" s="222"/>
      <c r="D589" s="218"/>
      <c r="E589" s="218"/>
      <c r="F589" s="220"/>
      <c r="G589" s="218"/>
      <c r="H589" s="218"/>
      <c r="I589" s="218"/>
      <c r="J589" s="218"/>
      <c r="K589" s="220"/>
      <c r="L589" s="220"/>
      <c r="M589" s="220"/>
      <c r="N589" s="220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spans="1:26" ht="15.75">
      <c r="A590" s="218"/>
      <c r="B590" s="221"/>
      <c r="C590" s="222"/>
      <c r="D590" s="218"/>
      <c r="E590" s="218"/>
      <c r="F590" s="220"/>
      <c r="G590" s="218"/>
      <c r="H590" s="218"/>
      <c r="I590" s="218"/>
      <c r="J590" s="218"/>
      <c r="K590" s="220"/>
      <c r="L590" s="220"/>
      <c r="M590" s="220"/>
      <c r="N590" s="220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spans="1:26" ht="15.75">
      <c r="A591" s="218"/>
      <c r="B591" s="221"/>
      <c r="C591" s="222"/>
      <c r="D591" s="218"/>
      <c r="E591" s="218"/>
      <c r="F591" s="220"/>
      <c r="G591" s="218"/>
      <c r="H591" s="218"/>
      <c r="I591" s="218"/>
      <c r="J591" s="218"/>
      <c r="K591" s="220"/>
      <c r="L591" s="220"/>
      <c r="M591" s="220"/>
      <c r="N591" s="220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spans="1:26" ht="15.75">
      <c r="A592" s="218"/>
      <c r="B592" s="221"/>
      <c r="C592" s="222"/>
      <c r="D592" s="218"/>
      <c r="E592" s="218"/>
      <c r="F592" s="220"/>
      <c r="G592" s="218"/>
      <c r="H592" s="218"/>
      <c r="I592" s="218"/>
      <c r="J592" s="218"/>
      <c r="K592" s="220"/>
      <c r="L592" s="220"/>
      <c r="M592" s="220"/>
      <c r="N592" s="220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spans="1:26" ht="15.75">
      <c r="A593" s="218"/>
      <c r="B593" s="221"/>
      <c r="C593" s="222"/>
      <c r="D593" s="218"/>
      <c r="E593" s="218"/>
      <c r="F593" s="220"/>
      <c r="G593" s="218"/>
      <c r="H593" s="218"/>
      <c r="I593" s="218"/>
      <c r="J593" s="218"/>
      <c r="K593" s="220"/>
      <c r="L593" s="220"/>
      <c r="M593" s="220"/>
      <c r="N593" s="220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spans="1:26" ht="15.75">
      <c r="A594" s="218"/>
      <c r="B594" s="221"/>
      <c r="C594" s="222"/>
      <c r="D594" s="218"/>
      <c r="E594" s="218"/>
      <c r="F594" s="220"/>
      <c r="G594" s="218"/>
      <c r="H594" s="218"/>
      <c r="I594" s="218"/>
      <c r="J594" s="218"/>
      <c r="K594" s="220"/>
      <c r="L594" s="220"/>
      <c r="M594" s="220"/>
      <c r="N594" s="220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spans="1:26" ht="15.75">
      <c r="A595" s="218"/>
      <c r="B595" s="221"/>
      <c r="C595" s="222"/>
      <c r="D595" s="218"/>
      <c r="E595" s="218"/>
      <c r="F595" s="220"/>
      <c r="G595" s="218"/>
      <c r="H595" s="218"/>
      <c r="I595" s="218"/>
      <c r="J595" s="218"/>
      <c r="K595" s="220"/>
      <c r="L595" s="220"/>
      <c r="M595" s="220"/>
      <c r="N595" s="220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spans="1:26" ht="15.75">
      <c r="A596" s="218"/>
      <c r="B596" s="221"/>
      <c r="C596" s="222"/>
      <c r="D596" s="218"/>
      <c r="E596" s="218"/>
      <c r="F596" s="220"/>
      <c r="G596" s="218"/>
      <c r="H596" s="218"/>
      <c r="I596" s="218"/>
      <c r="J596" s="218"/>
      <c r="K596" s="220"/>
      <c r="L596" s="220"/>
      <c r="M596" s="220"/>
      <c r="N596" s="220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spans="1:26" ht="15.75">
      <c r="A597" s="218"/>
      <c r="B597" s="221"/>
      <c r="C597" s="222"/>
      <c r="D597" s="218"/>
      <c r="E597" s="218"/>
      <c r="F597" s="220"/>
      <c r="G597" s="218"/>
      <c r="H597" s="218"/>
      <c r="I597" s="218"/>
      <c r="J597" s="218"/>
      <c r="K597" s="220"/>
      <c r="L597" s="220"/>
      <c r="M597" s="220"/>
      <c r="N597" s="220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spans="1:26" ht="15.75">
      <c r="A598" s="218"/>
      <c r="B598" s="221"/>
      <c r="C598" s="222"/>
      <c r="D598" s="218"/>
      <c r="E598" s="218"/>
      <c r="F598" s="220"/>
      <c r="G598" s="218"/>
      <c r="H598" s="218"/>
      <c r="I598" s="218"/>
      <c r="J598" s="218"/>
      <c r="K598" s="220"/>
      <c r="L598" s="220"/>
      <c r="M598" s="220"/>
      <c r="N598" s="220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spans="1:26" ht="15.75">
      <c r="A599" s="218"/>
      <c r="B599" s="221"/>
      <c r="C599" s="222"/>
      <c r="D599" s="218"/>
      <c r="E599" s="218"/>
      <c r="F599" s="220"/>
      <c r="G599" s="218"/>
      <c r="H599" s="218"/>
      <c r="I599" s="218"/>
      <c r="J599" s="218"/>
      <c r="K599" s="220"/>
      <c r="L599" s="220"/>
      <c r="M599" s="220"/>
      <c r="N599" s="220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spans="1:26" ht="15.75">
      <c r="A600" s="218"/>
      <c r="B600" s="221"/>
      <c r="C600" s="222"/>
      <c r="D600" s="218"/>
      <c r="E600" s="218"/>
      <c r="F600" s="220"/>
      <c r="G600" s="218"/>
      <c r="H600" s="218"/>
      <c r="I600" s="218"/>
      <c r="J600" s="218"/>
      <c r="K600" s="220"/>
      <c r="L600" s="220"/>
      <c r="M600" s="220"/>
      <c r="N600" s="220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spans="1:26" ht="15.75">
      <c r="A601" s="218"/>
      <c r="B601" s="221"/>
      <c r="C601" s="222"/>
      <c r="D601" s="218"/>
      <c r="E601" s="218"/>
      <c r="F601" s="220"/>
      <c r="G601" s="218"/>
      <c r="H601" s="218"/>
      <c r="I601" s="218"/>
      <c r="J601" s="218"/>
      <c r="K601" s="220"/>
      <c r="L601" s="220"/>
      <c r="M601" s="220"/>
      <c r="N601" s="220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spans="1:26" ht="15.75">
      <c r="A602" s="218"/>
      <c r="B602" s="221"/>
      <c r="C602" s="222"/>
      <c r="D602" s="218"/>
      <c r="E602" s="218"/>
      <c r="F602" s="220"/>
      <c r="G602" s="218"/>
      <c r="H602" s="218"/>
      <c r="I602" s="218"/>
      <c r="J602" s="218"/>
      <c r="K602" s="220"/>
      <c r="L602" s="220"/>
      <c r="M602" s="220"/>
      <c r="N602" s="220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spans="1:26" ht="15.75">
      <c r="A603" s="218"/>
      <c r="B603" s="221"/>
      <c r="C603" s="222"/>
      <c r="D603" s="218"/>
      <c r="E603" s="218"/>
      <c r="F603" s="220"/>
      <c r="G603" s="218"/>
      <c r="H603" s="218"/>
      <c r="I603" s="218"/>
      <c r="J603" s="218"/>
      <c r="K603" s="220"/>
      <c r="L603" s="220"/>
      <c r="M603" s="220"/>
      <c r="N603" s="220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spans="1:26" ht="15.75">
      <c r="A604" s="218"/>
      <c r="B604" s="221"/>
      <c r="C604" s="222"/>
      <c r="D604" s="218"/>
      <c r="E604" s="218"/>
      <c r="F604" s="220"/>
      <c r="G604" s="218"/>
      <c r="H604" s="218"/>
      <c r="I604" s="218"/>
      <c r="J604" s="218"/>
      <c r="K604" s="220"/>
      <c r="L604" s="220"/>
      <c r="M604" s="220"/>
      <c r="N604" s="220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spans="1:26" ht="15.75">
      <c r="A605" s="218"/>
      <c r="B605" s="221"/>
      <c r="C605" s="222"/>
      <c r="D605" s="218"/>
      <c r="E605" s="218"/>
      <c r="F605" s="220"/>
      <c r="G605" s="218"/>
      <c r="H605" s="218"/>
      <c r="I605" s="218"/>
      <c r="J605" s="218"/>
      <c r="K605" s="220"/>
      <c r="L605" s="220"/>
      <c r="M605" s="220"/>
      <c r="N605" s="220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spans="1:26" ht="15.75">
      <c r="A606" s="218"/>
      <c r="B606" s="221"/>
      <c r="C606" s="222"/>
      <c r="D606" s="218"/>
      <c r="E606" s="218"/>
      <c r="F606" s="220"/>
      <c r="G606" s="218"/>
      <c r="H606" s="218"/>
      <c r="I606" s="218"/>
      <c r="J606" s="218"/>
      <c r="K606" s="220"/>
      <c r="L606" s="220"/>
      <c r="M606" s="220"/>
      <c r="N606" s="220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spans="1:26" ht="15.75">
      <c r="A607" s="218"/>
      <c r="B607" s="221"/>
      <c r="C607" s="222"/>
      <c r="D607" s="218"/>
      <c r="E607" s="218"/>
      <c r="F607" s="220"/>
      <c r="G607" s="218"/>
      <c r="H607" s="218"/>
      <c r="I607" s="218"/>
      <c r="J607" s="218"/>
      <c r="K607" s="220"/>
      <c r="L607" s="220"/>
      <c r="M607" s="220"/>
      <c r="N607" s="220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spans="1:26" ht="15.75">
      <c r="A608" s="218"/>
      <c r="B608" s="221"/>
      <c r="C608" s="222"/>
      <c r="D608" s="218"/>
      <c r="E608" s="218"/>
      <c r="F608" s="220"/>
      <c r="G608" s="218"/>
      <c r="H608" s="218"/>
      <c r="I608" s="218"/>
      <c r="J608" s="218"/>
      <c r="K608" s="220"/>
      <c r="L608" s="220"/>
      <c r="M608" s="220"/>
      <c r="N608" s="220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spans="1:26" ht="15.75">
      <c r="A609" s="218"/>
      <c r="B609" s="221"/>
      <c r="C609" s="222"/>
      <c r="D609" s="218"/>
      <c r="E609" s="218"/>
      <c r="F609" s="220"/>
      <c r="G609" s="218"/>
      <c r="H609" s="218"/>
      <c r="I609" s="218"/>
      <c r="J609" s="218"/>
      <c r="K609" s="220"/>
      <c r="L609" s="220"/>
      <c r="M609" s="220"/>
      <c r="N609" s="220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spans="1:26" ht="15.75">
      <c r="A610" s="218"/>
      <c r="B610" s="221"/>
      <c r="C610" s="222"/>
      <c r="D610" s="218"/>
      <c r="E610" s="218"/>
      <c r="F610" s="220"/>
      <c r="G610" s="218"/>
      <c r="H610" s="218"/>
      <c r="I610" s="218"/>
      <c r="J610" s="218"/>
      <c r="K610" s="220"/>
      <c r="L610" s="220"/>
      <c r="M610" s="220"/>
      <c r="N610" s="220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spans="1:26" ht="15.75">
      <c r="A611" s="218"/>
      <c r="B611" s="221"/>
      <c r="C611" s="222"/>
      <c r="D611" s="218"/>
      <c r="E611" s="218"/>
      <c r="F611" s="220"/>
      <c r="G611" s="218"/>
      <c r="H611" s="218"/>
      <c r="I611" s="218"/>
      <c r="J611" s="218"/>
      <c r="K611" s="220"/>
      <c r="L611" s="220"/>
      <c r="M611" s="220"/>
      <c r="N611" s="220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spans="1:26" ht="15.75">
      <c r="A612" s="218"/>
      <c r="B612" s="221"/>
      <c r="C612" s="222"/>
      <c r="D612" s="218"/>
      <c r="E612" s="218"/>
      <c r="F612" s="220"/>
      <c r="G612" s="218"/>
      <c r="H612" s="218"/>
      <c r="I612" s="218"/>
      <c r="J612" s="218"/>
      <c r="K612" s="220"/>
      <c r="L612" s="220"/>
      <c r="M612" s="220"/>
      <c r="N612" s="220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spans="1:26" ht="15.75">
      <c r="A613" s="218"/>
      <c r="B613" s="221"/>
      <c r="C613" s="222"/>
      <c r="D613" s="218"/>
      <c r="E613" s="218"/>
      <c r="F613" s="220"/>
      <c r="G613" s="218"/>
      <c r="H613" s="218"/>
      <c r="I613" s="218"/>
      <c r="J613" s="218"/>
      <c r="K613" s="220"/>
      <c r="L613" s="220"/>
      <c r="M613" s="220"/>
      <c r="N613" s="220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spans="1:26" ht="15.75">
      <c r="A614" s="218"/>
      <c r="B614" s="221"/>
      <c r="C614" s="222"/>
      <c r="D614" s="218"/>
      <c r="E614" s="218"/>
      <c r="F614" s="220"/>
      <c r="G614" s="218"/>
      <c r="H614" s="218"/>
      <c r="I614" s="218"/>
      <c r="J614" s="218"/>
      <c r="K614" s="220"/>
      <c r="L614" s="220"/>
      <c r="M614" s="220"/>
      <c r="N614" s="220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spans="1:26" ht="15.75">
      <c r="A615" s="218"/>
      <c r="B615" s="221"/>
      <c r="C615" s="222"/>
      <c r="D615" s="218"/>
      <c r="E615" s="218"/>
      <c r="F615" s="220"/>
      <c r="G615" s="218"/>
      <c r="H615" s="218"/>
      <c r="I615" s="218"/>
      <c r="J615" s="218"/>
      <c r="K615" s="220"/>
      <c r="L615" s="220"/>
      <c r="M615" s="220"/>
      <c r="N615" s="220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spans="1:26" ht="15.75">
      <c r="A616" s="218"/>
      <c r="B616" s="221"/>
      <c r="C616" s="222"/>
      <c r="D616" s="218"/>
      <c r="E616" s="218"/>
      <c r="F616" s="220"/>
      <c r="G616" s="218"/>
      <c r="H616" s="218"/>
      <c r="I616" s="218"/>
      <c r="J616" s="218"/>
      <c r="K616" s="220"/>
      <c r="L616" s="220"/>
      <c r="M616" s="220"/>
      <c r="N616" s="220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spans="1:26" ht="15.75">
      <c r="A617" s="218"/>
      <c r="B617" s="221"/>
      <c r="C617" s="222"/>
      <c r="D617" s="218"/>
      <c r="E617" s="218"/>
      <c r="F617" s="220"/>
      <c r="G617" s="218"/>
      <c r="H617" s="218"/>
      <c r="I617" s="218"/>
      <c r="J617" s="218"/>
      <c r="K617" s="220"/>
      <c r="L617" s="220"/>
      <c r="M617" s="220"/>
      <c r="N617" s="220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spans="1:26" ht="15.75">
      <c r="A618" s="218"/>
      <c r="B618" s="221"/>
      <c r="C618" s="222"/>
      <c r="D618" s="218"/>
      <c r="E618" s="218"/>
      <c r="F618" s="220"/>
      <c r="G618" s="218"/>
      <c r="H618" s="218"/>
      <c r="I618" s="218"/>
      <c r="J618" s="218"/>
      <c r="K618" s="220"/>
      <c r="L618" s="220"/>
      <c r="M618" s="220"/>
      <c r="N618" s="220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spans="1:26" ht="15.75">
      <c r="A619" s="218"/>
      <c r="B619" s="221"/>
      <c r="C619" s="222"/>
      <c r="D619" s="218"/>
      <c r="E619" s="218"/>
      <c r="F619" s="220"/>
      <c r="G619" s="218"/>
      <c r="H619" s="218"/>
      <c r="I619" s="218"/>
      <c r="J619" s="218"/>
      <c r="K619" s="220"/>
      <c r="L619" s="220"/>
      <c r="M619" s="220"/>
      <c r="N619" s="220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spans="1:26" ht="15.75">
      <c r="A620" s="218"/>
      <c r="B620" s="221"/>
      <c r="C620" s="222"/>
      <c r="D620" s="218"/>
      <c r="E620" s="218"/>
      <c r="F620" s="220"/>
      <c r="G620" s="218"/>
      <c r="H620" s="218"/>
      <c r="I620" s="218"/>
      <c r="J620" s="218"/>
      <c r="K620" s="220"/>
      <c r="L620" s="220"/>
      <c r="M620" s="220"/>
      <c r="N620" s="220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spans="1:26" ht="15.75">
      <c r="A621" s="218"/>
      <c r="B621" s="221"/>
      <c r="C621" s="222"/>
      <c r="D621" s="218"/>
      <c r="E621" s="218"/>
      <c r="F621" s="220"/>
      <c r="G621" s="218"/>
      <c r="H621" s="218"/>
      <c r="I621" s="218"/>
      <c r="J621" s="218"/>
      <c r="K621" s="220"/>
      <c r="L621" s="220"/>
      <c r="M621" s="220"/>
      <c r="N621" s="220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spans="1:26" ht="15.75">
      <c r="A622" s="218"/>
      <c r="B622" s="221"/>
      <c r="C622" s="222"/>
      <c r="D622" s="218"/>
      <c r="E622" s="218"/>
      <c r="F622" s="220"/>
      <c r="G622" s="218"/>
      <c r="H622" s="218"/>
      <c r="I622" s="218"/>
      <c r="J622" s="218"/>
      <c r="K622" s="220"/>
      <c r="L622" s="220"/>
      <c r="M622" s="220"/>
      <c r="N622" s="220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spans="1:26" ht="15.75">
      <c r="A623" s="218"/>
      <c r="B623" s="221"/>
      <c r="C623" s="222"/>
      <c r="D623" s="218"/>
      <c r="E623" s="218"/>
      <c r="F623" s="220"/>
      <c r="G623" s="218"/>
      <c r="H623" s="218"/>
      <c r="I623" s="218"/>
      <c r="J623" s="218"/>
      <c r="K623" s="220"/>
      <c r="L623" s="220"/>
      <c r="M623" s="220"/>
      <c r="N623" s="220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spans="1:26" ht="15.75">
      <c r="A624" s="218"/>
      <c r="B624" s="221"/>
      <c r="C624" s="222"/>
      <c r="D624" s="218"/>
      <c r="E624" s="218"/>
      <c r="F624" s="220"/>
      <c r="G624" s="218"/>
      <c r="H624" s="218"/>
      <c r="I624" s="218"/>
      <c r="J624" s="218"/>
      <c r="K624" s="220"/>
      <c r="L624" s="220"/>
      <c r="M624" s="220"/>
      <c r="N624" s="220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spans="1:26" ht="15.75">
      <c r="A625" s="218"/>
      <c r="B625" s="221"/>
      <c r="C625" s="222"/>
      <c r="D625" s="218"/>
      <c r="E625" s="218"/>
      <c r="F625" s="220"/>
      <c r="G625" s="218"/>
      <c r="H625" s="218"/>
      <c r="I625" s="218"/>
      <c r="J625" s="218"/>
      <c r="K625" s="220"/>
      <c r="L625" s="220"/>
      <c r="M625" s="220"/>
      <c r="N625" s="220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spans="1:26" ht="15.75">
      <c r="A626" s="218"/>
      <c r="B626" s="221"/>
      <c r="C626" s="222"/>
      <c r="D626" s="218"/>
      <c r="E626" s="218"/>
      <c r="F626" s="220"/>
      <c r="G626" s="218"/>
      <c r="H626" s="218"/>
      <c r="I626" s="218"/>
      <c r="J626" s="218"/>
      <c r="K626" s="220"/>
      <c r="L626" s="220"/>
      <c r="M626" s="220"/>
      <c r="N626" s="220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spans="1:26" ht="15.75">
      <c r="A627" s="218"/>
      <c r="B627" s="221"/>
      <c r="C627" s="222"/>
      <c r="D627" s="218"/>
      <c r="E627" s="218"/>
      <c r="F627" s="220"/>
      <c r="G627" s="218"/>
      <c r="H627" s="218"/>
      <c r="I627" s="218"/>
      <c r="J627" s="218"/>
      <c r="K627" s="220"/>
      <c r="L627" s="220"/>
      <c r="M627" s="220"/>
      <c r="N627" s="220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spans="1:26" ht="15.75">
      <c r="A628" s="218"/>
      <c r="B628" s="221"/>
      <c r="C628" s="222"/>
      <c r="D628" s="218"/>
      <c r="E628" s="218"/>
      <c r="F628" s="220"/>
      <c r="G628" s="218"/>
      <c r="H628" s="218"/>
      <c r="I628" s="218"/>
      <c r="J628" s="218"/>
      <c r="K628" s="220"/>
      <c r="L628" s="220"/>
      <c r="M628" s="220"/>
      <c r="N628" s="220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spans="1:26" ht="15.75">
      <c r="A629" s="218"/>
      <c r="B629" s="221"/>
      <c r="C629" s="222"/>
      <c r="D629" s="218"/>
      <c r="E629" s="218"/>
      <c r="F629" s="220"/>
      <c r="G629" s="218"/>
      <c r="H629" s="218"/>
      <c r="I629" s="218"/>
      <c r="J629" s="218"/>
      <c r="K629" s="220"/>
      <c r="L629" s="220"/>
      <c r="M629" s="220"/>
      <c r="N629" s="220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spans="1:26" ht="15.75">
      <c r="A630" s="218"/>
      <c r="B630" s="221"/>
      <c r="C630" s="222"/>
      <c r="D630" s="218"/>
      <c r="E630" s="218"/>
      <c r="F630" s="220"/>
      <c r="G630" s="218"/>
      <c r="H630" s="218"/>
      <c r="I630" s="218"/>
      <c r="J630" s="218"/>
      <c r="K630" s="220"/>
      <c r="L630" s="220"/>
      <c r="M630" s="220"/>
      <c r="N630" s="220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spans="1:26" ht="15.75">
      <c r="A631" s="218"/>
      <c r="B631" s="221"/>
      <c r="C631" s="222"/>
      <c r="D631" s="218"/>
      <c r="E631" s="218"/>
      <c r="F631" s="220"/>
      <c r="G631" s="218"/>
      <c r="H631" s="218"/>
      <c r="I631" s="218"/>
      <c r="J631" s="218"/>
      <c r="K631" s="220"/>
      <c r="L631" s="220"/>
      <c r="M631" s="220"/>
      <c r="N631" s="220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spans="1:26" ht="15.75">
      <c r="A632" s="218"/>
      <c r="B632" s="221"/>
      <c r="C632" s="222"/>
      <c r="D632" s="218"/>
      <c r="E632" s="218"/>
      <c r="F632" s="220"/>
      <c r="G632" s="218"/>
      <c r="H632" s="218"/>
      <c r="I632" s="218"/>
      <c r="J632" s="218"/>
      <c r="K632" s="220"/>
      <c r="L632" s="220"/>
      <c r="M632" s="220"/>
      <c r="N632" s="220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spans="1:26" ht="15.75">
      <c r="A633" s="218"/>
      <c r="B633" s="221"/>
      <c r="C633" s="222"/>
      <c r="D633" s="218"/>
      <c r="E633" s="218"/>
      <c r="F633" s="220"/>
      <c r="G633" s="218"/>
      <c r="H633" s="218"/>
      <c r="I633" s="218"/>
      <c r="J633" s="218"/>
      <c r="K633" s="220"/>
      <c r="L633" s="220"/>
      <c r="M633" s="220"/>
      <c r="N633" s="220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spans="1:26" ht="15.75">
      <c r="A634" s="218"/>
      <c r="B634" s="221"/>
      <c r="C634" s="222"/>
      <c r="D634" s="218"/>
      <c r="E634" s="218"/>
      <c r="F634" s="220"/>
      <c r="G634" s="218"/>
      <c r="H634" s="218"/>
      <c r="I634" s="218"/>
      <c r="J634" s="218"/>
      <c r="K634" s="220"/>
      <c r="L634" s="220"/>
      <c r="M634" s="220"/>
      <c r="N634" s="220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spans="1:26" ht="15.75">
      <c r="A635" s="218"/>
      <c r="B635" s="221"/>
      <c r="C635" s="222"/>
      <c r="D635" s="218"/>
      <c r="E635" s="218"/>
      <c r="F635" s="220"/>
      <c r="G635" s="218"/>
      <c r="H635" s="218"/>
      <c r="I635" s="218"/>
      <c r="J635" s="218"/>
      <c r="K635" s="220"/>
      <c r="L635" s="220"/>
      <c r="M635" s="220"/>
      <c r="N635" s="220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spans="1:26" ht="15.75">
      <c r="A636" s="218"/>
      <c r="B636" s="221"/>
      <c r="C636" s="222"/>
      <c r="D636" s="218"/>
      <c r="E636" s="218"/>
      <c r="F636" s="220"/>
      <c r="G636" s="218"/>
      <c r="H636" s="218"/>
      <c r="I636" s="218"/>
      <c r="J636" s="218"/>
      <c r="K636" s="220"/>
      <c r="L636" s="220"/>
      <c r="M636" s="220"/>
      <c r="N636" s="220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spans="1:26" ht="15.75">
      <c r="A637" s="218"/>
      <c r="B637" s="221"/>
      <c r="C637" s="222"/>
      <c r="D637" s="218"/>
      <c r="E637" s="218"/>
      <c r="F637" s="220"/>
      <c r="G637" s="218"/>
      <c r="H637" s="218"/>
      <c r="I637" s="218"/>
      <c r="J637" s="218"/>
      <c r="K637" s="220"/>
      <c r="L637" s="220"/>
      <c r="M637" s="220"/>
      <c r="N637" s="220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spans="1:26" ht="15.75">
      <c r="A638" s="218"/>
      <c r="B638" s="221"/>
      <c r="C638" s="222"/>
      <c r="D638" s="218"/>
      <c r="E638" s="218"/>
      <c r="F638" s="220"/>
      <c r="G638" s="218"/>
      <c r="H638" s="218"/>
      <c r="I638" s="218"/>
      <c r="J638" s="218"/>
      <c r="K638" s="220"/>
      <c r="L638" s="220"/>
      <c r="M638" s="220"/>
      <c r="N638" s="220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spans="1:26" ht="15.75">
      <c r="A639" s="218"/>
      <c r="B639" s="221"/>
      <c r="C639" s="222"/>
      <c r="D639" s="218"/>
      <c r="E639" s="218"/>
      <c r="F639" s="220"/>
      <c r="G639" s="218"/>
      <c r="H639" s="218"/>
      <c r="I639" s="218"/>
      <c r="J639" s="218"/>
      <c r="K639" s="220"/>
      <c r="L639" s="220"/>
      <c r="M639" s="220"/>
      <c r="N639" s="220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spans="1:26" ht="15.75">
      <c r="A640" s="218"/>
      <c r="B640" s="221"/>
      <c r="C640" s="222"/>
      <c r="D640" s="218"/>
      <c r="E640" s="218"/>
      <c r="F640" s="220"/>
      <c r="G640" s="218"/>
      <c r="H640" s="218"/>
      <c r="I640" s="218"/>
      <c r="J640" s="218"/>
      <c r="K640" s="220"/>
      <c r="L640" s="220"/>
      <c r="M640" s="220"/>
      <c r="N640" s="220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spans="1:26" ht="15.75">
      <c r="A641" s="218"/>
      <c r="B641" s="221"/>
      <c r="C641" s="222"/>
      <c r="D641" s="218"/>
      <c r="E641" s="218"/>
      <c r="F641" s="220"/>
      <c r="G641" s="218"/>
      <c r="H641" s="218"/>
      <c r="I641" s="218"/>
      <c r="J641" s="218"/>
      <c r="K641" s="220"/>
      <c r="L641" s="220"/>
      <c r="M641" s="220"/>
      <c r="N641" s="220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spans="1:26" ht="15.75">
      <c r="A642" s="218"/>
      <c r="B642" s="221"/>
      <c r="C642" s="222"/>
      <c r="D642" s="218"/>
      <c r="E642" s="218"/>
      <c r="F642" s="220"/>
      <c r="G642" s="218"/>
      <c r="H642" s="218"/>
      <c r="I642" s="218"/>
      <c r="J642" s="218"/>
      <c r="K642" s="220"/>
      <c r="L642" s="220"/>
      <c r="M642" s="220"/>
      <c r="N642" s="220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spans="1:26" ht="15.75">
      <c r="A643" s="218"/>
      <c r="B643" s="221"/>
      <c r="C643" s="222"/>
      <c r="D643" s="218"/>
      <c r="E643" s="218"/>
      <c r="F643" s="220"/>
      <c r="G643" s="218"/>
      <c r="H643" s="218"/>
      <c r="I643" s="218"/>
      <c r="J643" s="218"/>
      <c r="K643" s="220"/>
      <c r="L643" s="220"/>
      <c r="M643" s="220"/>
      <c r="N643" s="220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spans="1:26" ht="15.75">
      <c r="A644" s="218"/>
      <c r="B644" s="221"/>
      <c r="C644" s="222"/>
      <c r="D644" s="218"/>
      <c r="E644" s="218"/>
      <c r="F644" s="220"/>
      <c r="G644" s="218"/>
      <c r="H644" s="218"/>
      <c r="I644" s="218"/>
      <c r="J644" s="218"/>
      <c r="K644" s="220"/>
      <c r="L644" s="220"/>
      <c r="M644" s="220"/>
      <c r="N644" s="220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spans="1:26" ht="15.75">
      <c r="A645" s="218"/>
      <c r="B645" s="221"/>
      <c r="C645" s="222"/>
      <c r="D645" s="218"/>
      <c r="E645" s="218"/>
      <c r="F645" s="220"/>
      <c r="G645" s="218"/>
      <c r="H645" s="218"/>
      <c r="I645" s="218"/>
      <c r="J645" s="218"/>
      <c r="K645" s="220"/>
      <c r="L645" s="220"/>
      <c r="M645" s="220"/>
      <c r="N645" s="220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spans="1:26" ht="15.75">
      <c r="A646" s="218"/>
      <c r="B646" s="221"/>
      <c r="C646" s="222"/>
      <c r="D646" s="218"/>
      <c r="E646" s="218"/>
      <c r="F646" s="220"/>
      <c r="G646" s="218"/>
      <c r="H646" s="218"/>
      <c r="I646" s="218"/>
      <c r="J646" s="218"/>
      <c r="K646" s="220"/>
      <c r="L646" s="220"/>
      <c r="M646" s="220"/>
      <c r="N646" s="220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spans="1:26" ht="15.75">
      <c r="A647" s="218"/>
      <c r="B647" s="221"/>
      <c r="C647" s="222"/>
      <c r="D647" s="218"/>
      <c r="E647" s="218"/>
      <c r="F647" s="220"/>
      <c r="G647" s="218"/>
      <c r="H647" s="218"/>
      <c r="I647" s="218"/>
      <c r="J647" s="218"/>
      <c r="K647" s="220"/>
      <c r="L647" s="220"/>
      <c r="M647" s="220"/>
      <c r="N647" s="220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spans="1:26" ht="15.75">
      <c r="A648" s="218"/>
      <c r="B648" s="221"/>
      <c r="C648" s="222"/>
      <c r="D648" s="218"/>
      <c r="E648" s="218"/>
      <c r="F648" s="220"/>
      <c r="G648" s="218"/>
      <c r="H648" s="218"/>
      <c r="I648" s="218"/>
      <c r="J648" s="218"/>
      <c r="K648" s="220"/>
      <c r="L648" s="220"/>
      <c r="M648" s="220"/>
      <c r="N648" s="220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spans="1:26" ht="15.75">
      <c r="A649" s="218"/>
      <c r="B649" s="221"/>
      <c r="C649" s="222"/>
      <c r="D649" s="218"/>
      <c r="E649" s="218"/>
      <c r="F649" s="220"/>
      <c r="G649" s="218"/>
      <c r="H649" s="218"/>
      <c r="I649" s="218"/>
      <c r="J649" s="218"/>
      <c r="K649" s="220"/>
      <c r="L649" s="220"/>
      <c r="M649" s="220"/>
      <c r="N649" s="220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spans="1:26" ht="15.75">
      <c r="A650" s="218"/>
      <c r="B650" s="221"/>
      <c r="C650" s="222"/>
      <c r="D650" s="218"/>
      <c r="E650" s="218"/>
      <c r="F650" s="220"/>
      <c r="G650" s="218"/>
      <c r="H650" s="218"/>
      <c r="I650" s="218"/>
      <c r="J650" s="218"/>
      <c r="K650" s="220"/>
      <c r="L650" s="220"/>
      <c r="M650" s="220"/>
      <c r="N650" s="220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spans="1:26" ht="15.75">
      <c r="A651" s="218"/>
      <c r="B651" s="221"/>
      <c r="C651" s="222"/>
      <c r="D651" s="218"/>
      <c r="E651" s="218"/>
      <c r="F651" s="220"/>
      <c r="G651" s="218"/>
      <c r="H651" s="218"/>
      <c r="I651" s="218"/>
      <c r="J651" s="218"/>
      <c r="K651" s="220"/>
      <c r="L651" s="220"/>
      <c r="M651" s="220"/>
      <c r="N651" s="220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spans="1:26" ht="15.75">
      <c r="A652" s="218"/>
      <c r="B652" s="221"/>
      <c r="C652" s="222"/>
      <c r="D652" s="218"/>
      <c r="E652" s="218"/>
      <c r="F652" s="220"/>
      <c r="G652" s="218"/>
      <c r="H652" s="218"/>
      <c r="I652" s="218"/>
      <c r="J652" s="218"/>
      <c r="K652" s="220"/>
      <c r="L652" s="220"/>
      <c r="M652" s="220"/>
      <c r="N652" s="220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spans="1:26" ht="15.75">
      <c r="A653" s="218"/>
      <c r="B653" s="221"/>
      <c r="C653" s="222"/>
      <c r="D653" s="218"/>
      <c r="E653" s="218"/>
      <c r="F653" s="220"/>
      <c r="G653" s="218"/>
      <c r="H653" s="218"/>
      <c r="I653" s="218"/>
      <c r="J653" s="218"/>
      <c r="K653" s="220"/>
      <c r="L653" s="220"/>
      <c r="M653" s="220"/>
      <c r="N653" s="220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spans="1:26" ht="15.75">
      <c r="A654" s="218"/>
      <c r="B654" s="221"/>
      <c r="C654" s="222"/>
      <c r="D654" s="218"/>
      <c r="E654" s="218"/>
      <c r="F654" s="220"/>
      <c r="G654" s="218"/>
      <c r="H654" s="218"/>
      <c r="I654" s="218"/>
      <c r="J654" s="218"/>
      <c r="K654" s="220"/>
      <c r="L654" s="220"/>
      <c r="M654" s="220"/>
      <c r="N654" s="220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spans="1:26" ht="15.75">
      <c r="A655" s="218"/>
      <c r="B655" s="221"/>
      <c r="C655" s="222"/>
      <c r="D655" s="218"/>
      <c r="E655" s="218"/>
      <c r="F655" s="220"/>
      <c r="G655" s="218"/>
      <c r="H655" s="218"/>
      <c r="I655" s="218"/>
      <c r="J655" s="218"/>
      <c r="K655" s="220"/>
      <c r="L655" s="220"/>
      <c r="M655" s="220"/>
      <c r="N655" s="220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spans="1:26" ht="15.75">
      <c r="A656" s="218"/>
      <c r="B656" s="221"/>
      <c r="C656" s="222"/>
      <c r="D656" s="218"/>
      <c r="E656" s="218"/>
      <c r="F656" s="220"/>
      <c r="G656" s="218"/>
      <c r="H656" s="218"/>
      <c r="I656" s="218"/>
      <c r="J656" s="218"/>
      <c r="K656" s="220"/>
      <c r="L656" s="220"/>
      <c r="M656" s="220"/>
      <c r="N656" s="220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spans="1:26" ht="15.75">
      <c r="A657" s="218"/>
      <c r="B657" s="221"/>
      <c r="C657" s="222"/>
      <c r="D657" s="218"/>
      <c r="E657" s="218"/>
      <c r="F657" s="220"/>
      <c r="G657" s="218"/>
      <c r="H657" s="218"/>
      <c r="I657" s="218"/>
      <c r="J657" s="218"/>
      <c r="K657" s="220"/>
      <c r="L657" s="220"/>
      <c r="M657" s="220"/>
      <c r="N657" s="220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spans="1:26" ht="15.75">
      <c r="A658" s="218"/>
      <c r="B658" s="221"/>
      <c r="C658" s="222"/>
      <c r="D658" s="218"/>
      <c r="E658" s="218"/>
      <c r="F658" s="220"/>
      <c r="G658" s="218"/>
      <c r="H658" s="218"/>
      <c r="I658" s="218"/>
      <c r="J658" s="218"/>
      <c r="K658" s="220"/>
      <c r="L658" s="220"/>
      <c r="M658" s="220"/>
      <c r="N658" s="220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spans="1:26" ht="15.75">
      <c r="A659" s="218"/>
      <c r="B659" s="221"/>
      <c r="C659" s="222"/>
      <c r="D659" s="218"/>
      <c r="E659" s="218"/>
      <c r="F659" s="220"/>
      <c r="G659" s="218"/>
      <c r="H659" s="218"/>
      <c r="I659" s="218"/>
      <c r="J659" s="218"/>
      <c r="K659" s="220"/>
      <c r="L659" s="220"/>
      <c r="M659" s="220"/>
      <c r="N659" s="220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spans="1:26" ht="15.75">
      <c r="A660" s="218"/>
      <c r="B660" s="221"/>
      <c r="C660" s="222"/>
      <c r="D660" s="218"/>
      <c r="E660" s="218"/>
      <c r="F660" s="220"/>
      <c r="G660" s="218"/>
      <c r="H660" s="218"/>
      <c r="I660" s="218"/>
      <c r="J660" s="218"/>
      <c r="K660" s="220"/>
      <c r="L660" s="220"/>
      <c r="M660" s="220"/>
      <c r="N660" s="220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spans="1:26" ht="15.75">
      <c r="A661" s="218"/>
      <c r="B661" s="221"/>
      <c r="C661" s="222"/>
      <c r="D661" s="218"/>
      <c r="E661" s="218"/>
      <c r="F661" s="220"/>
      <c r="G661" s="218"/>
      <c r="H661" s="218"/>
      <c r="I661" s="218"/>
      <c r="J661" s="218"/>
      <c r="K661" s="220"/>
      <c r="L661" s="220"/>
      <c r="M661" s="220"/>
      <c r="N661" s="220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spans="1:26" ht="15.75">
      <c r="A662" s="218"/>
      <c r="B662" s="221"/>
      <c r="C662" s="222"/>
      <c r="D662" s="218"/>
      <c r="E662" s="218"/>
      <c r="F662" s="220"/>
      <c r="G662" s="218"/>
      <c r="H662" s="218"/>
      <c r="I662" s="218"/>
      <c r="J662" s="218"/>
      <c r="K662" s="220"/>
      <c r="L662" s="220"/>
      <c r="M662" s="220"/>
      <c r="N662" s="220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spans="1:26" ht="15.75">
      <c r="A663" s="218"/>
      <c r="B663" s="221"/>
      <c r="C663" s="222"/>
      <c r="D663" s="218"/>
      <c r="E663" s="218"/>
      <c r="F663" s="220"/>
      <c r="G663" s="218"/>
      <c r="H663" s="218"/>
      <c r="I663" s="218"/>
      <c r="J663" s="218"/>
      <c r="K663" s="220"/>
      <c r="L663" s="220"/>
      <c r="M663" s="220"/>
      <c r="N663" s="220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spans="1:26" ht="15.75">
      <c r="A664" s="218"/>
      <c r="B664" s="221"/>
      <c r="C664" s="222"/>
      <c r="D664" s="218"/>
      <c r="E664" s="218"/>
      <c r="F664" s="220"/>
      <c r="G664" s="218"/>
      <c r="H664" s="218"/>
      <c r="I664" s="218"/>
      <c r="J664" s="218"/>
      <c r="K664" s="220"/>
      <c r="L664" s="220"/>
      <c r="M664" s="220"/>
      <c r="N664" s="220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spans="1:26" ht="15.75">
      <c r="A665" s="218"/>
      <c r="B665" s="221"/>
      <c r="C665" s="222"/>
      <c r="D665" s="218"/>
      <c r="E665" s="218"/>
      <c r="F665" s="220"/>
      <c r="G665" s="218"/>
      <c r="H665" s="218"/>
      <c r="I665" s="218"/>
      <c r="J665" s="218"/>
      <c r="K665" s="220"/>
      <c r="L665" s="220"/>
      <c r="M665" s="220"/>
      <c r="N665" s="220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spans="1:26" ht="15.75">
      <c r="A666" s="218"/>
      <c r="B666" s="221"/>
      <c r="C666" s="222"/>
      <c r="D666" s="218"/>
      <c r="E666" s="218"/>
      <c r="F666" s="220"/>
      <c r="G666" s="218"/>
      <c r="H666" s="218"/>
      <c r="I666" s="218"/>
      <c r="J666" s="218"/>
      <c r="K666" s="220"/>
      <c r="L666" s="220"/>
      <c r="M666" s="220"/>
      <c r="N666" s="220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spans="1:26" ht="15.75">
      <c r="A667" s="218"/>
      <c r="B667" s="221"/>
      <c r="C667" s="222"/>
      <c r="D667" s="218"/>
      <c r="E667" s="218"/>
      <c r="F667" s="220"/>
      <c r="G667" s="218"/>
      <c r="H667" s="218"/>
      <c r="I667" s="218"/>
      <c r="J667" s="218"/>
      <c r="K667" s="220"/>
      <c r="L667" s="220"/>
      <c r="M667" s="220"/>
      <c r="N667" s="220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spans="1:26" ht="15.75">
      <c r="A668" s="218"/>
      <c r="B668" s="221"/>
      <c r="C668" s="222"/>
      <c r="D668" s="218"/>
      <c r="E668" s="218"/>
      <c r="F668" s="220"/>
      <c r="G668" s="218"/>
      <c r="H668" s="218"/>
      <c r="I668" s="218"/>
      <c r="J668" s="218"/>
      <c r="K668" s="220"/>
      <c r="L668" s="220"/>
      <c r="M668" s="220"/>
      <c r="N668" s="220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spans="1:26" ht="15.75">
      <c r="A669" s="218"/>
      <c r="B669" s="221"/>
      <c r="C669" s="222"/>
      <c r="D669" s="218"/>
      <c r="E669" s="218"/>
      <c r="F669" s="220"/>
      <c r="G669" s="218"/>
      <c r="H669" s="218"/>
      <c r="I669" s="218"/>
      <c r="J669" s="218"/>
      <c r="K669" s="220"/>
      <c r="L669" s="220"/>
      <c r="M669" s="220"/>
      <c r="N669" s="220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spans="1:26" ht="15.75">
      <c r="A670" s="218"/>
      <c r="B670" s="221"/>
      <c r="C670" s="222"/>
      <c r="D670" s="218"/>
      <c r="E670" s="218"/>
      <c r="F670" s="220"/>
      <c r="G670" s="218"/>
      <c r="H670" s="218"/>
      <c r="I670" s="218"/>
      <c r="J670" s="218"/>
      <c r="K670" s="220"/>
      <c r="L670" s="220"/>
      <c r="M670" s="220"/>
      <c r="N670" s="220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spans="1:26" ht="15.75">
      <c r="A671" s="218"/>
      <c r="B671" s="221"/>
      <c r="C671" s="222"/>
      <c r="D671" s="218"/>
      <c r="E671" s="218"/>
      <c r="F671" s="220"/>
      <c r="G671" s="218"/>
      <c r="H671" s="218"/>
      <c r="I671" s="218"/>
      <c r="J671" s="218"/>
      <c r="K671" s="220"/>
      <c r="L671" s="220"/>
      <c r="M671" s="220"/>
      <c r="N671" s="220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spans="1:26" ht="15.75">
      <c r="A672" s="218"/>
      <c r="B672" s="221"/>
      <c r="C672" s="222"/>
      <c r="D672" s="218"/>
      <c r="E672" s="218"/>
      <c r="F672" s="220"/>
      <c r="G672" s="218"/>
      <c r="H672" s="218"/>
      <c r="I672" s="218"/>
      <c r="J672" s="218"/>
      <c r="K672" s="220"/>
      <c r="L672" s="220"/>
      <c r="M672" s="220"/>
      <c r="N672" s="220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spans="1:26" ht="15.75">
      <c r="A673" s="218"/>
      <c r="B673" s="221"/>
      <c r="C673" s="222"/>
      <c r="D673" s="218"/>
      <c r="E673" s="218"/>
      <c r="F673" s="220"/>
      <c r="G673" s="218"/>
      <c r="H673" s="218"/>
      <c r="I673" s="218"/>
      <c r="J673" s="218"/>
      <c r="K673" s="220"/>
      <c r="L673" s="220"/>
      <c r="M673" s="220"/>
      <c r="N673" s="220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spans="1:26" ht="15.75">
      <c r="A674" s="218"/>
      <c r="B674" s="221"/>
      <c r="C674" s="222"/>
      <c r="D674" s="218"/>
      <c r="E674" s="218"/>
      <c r="F674" s="220"/>
      <c r="G674" s="218"/>
      <c r="H674" s="218"/>
      <c r="I674" s="218"/>
      <c r="J674" s="218"/>
      <c r="K674" s="220"/>
      <c r="L674" s="220"/>
      <c r="M674" s="220"/>
      <c r="N674" s="220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spans="1:26" ht="15.75">
      <c r="A675" s="218"/>
      <c r="B675" s="221"/>
      <c r="C675" s="222"/>
      <c r="D675" s="218"/>
      <c r="E675" s="218"/>
      <c r="F675" s="220"/>
      <c r="G675" s="218"/>
      <c r="H675" s="218"/>
      <c r="I675" s="218"/>
      <c r="J675" s="218"/>
      <c r="K675" s="220"/>
      <c r="L675" s="220"/>
      <c r="M675" s="220"/>
      <c r="N675" s="220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spans="1:26" ht="15.75">
      <c r="A676" s="218"/>
      <c r="B676" s="221"/>
      <c r="C676" s="222"/>
      <c r="D676" s="218"/>
      <c r="E676" s="218"/>
      <c r="F676" s="220"/>
      <c r="G676" s="218"/>
      <c r="H676" s="218"/>
      <c r="I676" s="218"/>
      <c r="J676" s="218"/>
      <c r="K676" s="220"/>
      <c r="L676" s="220"/>
      <c r="M676" s="220"/>
      <c r="N676" s="220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spans="1:26" ht="15.75">
      <c r="A677" s="218"/>
      <c r="B677" s="221"/>
      <c r="C677" s="222"/>
      <c r="D677" s="218"/>
      <c r="E677" s="218"/>
      <c r="F677" s="220"/>
      <c r="G677" s="218"/>
      <c r="H677" s="218"/>
      <c r="I677" s="218"/>
      <c r="J677" s="218"/>
      <c r="K677" s="220"/>
      <c r="L677" s="220"/>
      <c r="M677" s="220"/>
      <c r="N677" s="220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spans="1:26" ht="15.75">
      <c r="A678" s="218"/>
      <c r="B678" s="221"/>
      <c r="C678" s="222"/>
      <c r="D678" s="218"/>
      <c r="E678" s="218"/>
      <c r="F678" s="220"/>
      <c r="G678" s="218"/>
      <c r="H678" s="218"/>
      <c r="I678" s="218"/>
      <c r="J678" s="218"/>
      <c r="K678" s="220"/>
      <c r="L678" s="220"/>
      <c r="M678" s="220"/>
      <c r="N678" s="220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spans="1:26" ht="15.75">
      <c r="A679" s="218"/>
      <c r="B679" s="221"/>
      <c r="C679" s="222"/>
      <c r="D679" s="218"/>
      <c r="E679" s="218"/>
      <c r="F679" s="220"/>
      <c r="G679" s="218"/>
      <c r="H679" s="218"/>
      <c r="I679" s="218"/>
      <c r="J679" s="218"/>
      <c r="K679" s="220"/>
      <c r="L679" s="220"/>
      <c r="M679" s="220"/>
      <c r="N679" s="220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spans="1:26" ht="15.75">
      <c r="A680" s="218"/>
      <c r="B680" s="221"/>
      <c r="C680" s="222"/>
      <c r="D680" s="218"/>
      <c r="E680" s="218"/>
      <c r="F680" s="220"/>
      <c r="G680" s="218"/>
      <c r="H680" s="218"/>
      <c r="I680" s="218"/>
      <c r="J680" s="218"/>
      <c r="K680" s="220"/>
      <c r="L680" s="220"/>
      <c r="M680" s="220"/>
      <c r="N680" s="220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spans="1:26" ht="15.75">
      <c r="A681" s="218"/>
      <c r="B681" s="221"/>
      <c r="C681" s="222"/>
      <c r="D681" s="218"/>
      <c r="E681" s="218"/>
      <c r="F681" s="220"/>
      <c r="G681" s="218"/>
      <c r="H681" s="218"/>
      <c r="I681" s="218"/>
      <c r="J681" s="218"/>
      <c r="K681" s="220"/>
      <c r="L681" s="220"/>
      <c r="M681" s="220"/>
      <c r="N681" s="220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spans="1:26" ht="15.75">
      <c r="A682" s="218"/>
      <c r="B682" s="221"/>
      <c r="C682" s="222"/>
      <c r="D682" s="218"/>
      <c r="E682" s="218"/>
      <c r="F682" s="220"/>
      <c r="G682" s="218"/>
      <c r="H682" s="218"/>
      <c r="I682" s="218"/>
      <c r="J682" s="218"/>
      <c r="K682" s="220"/>
      <c r="L682" s="220"/>
      <c r="M682" s="220"/>
      <c r="N682" s="220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spans="1:26" ht="15.75">
      <c r="A683" s="218"/>
      <c r="B683" s="221"/>
      <c r="C683" s="222"/>
      <c r="D683" s="218"/>
      <c r="E683" s="218"/>
      <c r="F683" s="220"/>
      <c r="G683" s="218"/>
      <c r="H683" s="218"/>
      <c r="I683" s="218"/>
      <c r="J683" s="218"/>
      <c r="K683" s="220"/>
      <c r="L683" s="220"/>
      <c r="M683" s="220"/>
      <c r="N683" s="220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spans="1:26" ht="15.75">
      <c r="A684" s="218"/>
      <c r="B684" s="221"/>
      <c r="C684" s="222"/>
      <c r="D684" s="218"/>
      <c r="E684" s="218"/>
      <c r="F684" s="220"/>
      <c r="G684" s="218"/>
      <c r="H684" s="218"/>
      <c r="I684" s="218"/>
      <c r="J684" s="218"/>
      <c r="K684" s="220"/>
      <c r="L684" s="220"/>
      <c r="M684" s="220"/>
      <c r="N684" s="220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spans="1:26" ht="15.75">
      <c r="A685" s="218"/>
      <c r="B685" s="221"/>
      <c r="C685" s="222"/>
      <c r="D685" s="218"/>
      <c r="E685" s="218"/>
      <c r="F685" s="220"/>
      <c r="G685" s="218"/>
      <c r="H685" s="218"/>
      <c r="I685" s="218"/>
      <c r="J685" s="218"/>
      <c r="K685" s="220"/>
      <c r="L685" s="220"/>
      <c r="M685" s="220"/>
      <c r="N685" s="220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spans="1:26" ht="15.75">
      <c r="A686" s="218"/>
      <c r="B686" s="221"/>
      <c r="C686" s="222"/>
      <c r="D686" s="218"/>
      <c r="E686" s="218"/>
      <c r="F686" s="220"/>
      <c r="G686" s="218"/>
      <c r="H686" s="218"/>
      <c r="I686" s="218"/>
      <c r="J686" s="218"/>
      <c r="K686" s="220"/>
      <c r="L686" s="220"/>
      <c r="M686" s="220"/>
      <c r="N686" s="220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spans="1:26" ht="15.75">
      <c r="A687" s="218"/>
      <c r="B687" s="221"/>
      <c r="C687" s="222"/>
      <c r="D687" s="218"/>
      <c r="E687" s="218"/>
      <c r="F687" s="220"/>
      <c r="G687" s="218"/>
      <c r="H687" s="218"/>
      <c r="I687" s="218"/>
      <c r="J687" s="218"/>
      <c r="K687" s="220"/>
      <c r="L687" s="220"/>
      <c r="M687" s="220"/>
      <c r="N687" s="220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spans="1:26" ht="15.75">
      <c r="A688" s="218"/>
      <c r="B688" s="221"/>
      <c r="C688" s="222"/>
      <c r="D688" s="218"/>
      <c r="E688" s="218"/>
      <c r="F688" s="220"/>
      <c r="G688" s="218"/>
      <c r="H688" s="218"/>
      <c r="I688" s="218"/>
      <c r="J688" s="218"/>
      <c r="K688" s="220"/>
      <c r="L688" s="220"/>
      <c r="M688" s="220"/>
      <c r="N688" s="220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spans="1:26" ht="15.75">
      <c r="A689" s="218"/>
      <c r="B689" s="221"/>
      <c r="C689" s="222"/>
      <c r="D689" s="218"/>
      <c r="E689" s="218"/>
      <c r="F689" s="220"/>
      <c r="G689" s="218"/>
      <c r="H689" s="218"/>
      <c r="I689" s="218"/>
      <c r="J689" s="218"/>
      <c r="K689" s="220"/>
      <c r="L689" s="220"/>
      <c r="M689" s="220"/>
      <c r="N689" s="220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spans="1:26" ht="15.75">
      <c r="A690" s="218"/>
      <c r="B690" s="221"/>
      <c r="C690" s="222"/>
      <c r="D690" s="218"/>
      <c r="E690" s="218"/>
      <c r="F690" s="220"/>
      <c r="G690" s="218"/>
      <c r="H690" s="218"/>
      <c r="I690" s="218"/>
      <c r="J690" s="218"/>
      <c r="K690" s="220"/>
      <c r="L690" s="220"/>
      <c r="M690" s="220"/>
      <c r="N690" s="220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spans="1:26" ht="15.75">
      <c r="A691" s="218"/>
      <c r="B691" s="221"/>
      <c r="C691" s="222"/>
      <c r="D691" s="218"/>
      <c r="E691" s="218"/>
      <c r="F691" s="220"/>
      <c r="G691" s="218"/>
      <c r="H691" s="218"/>
      <c r="I691" s="218"/>
      <c r="J691" s="218"/>
      <c r="K691" s="220"/>
      <c r="L691" s="220"/>
      <c r="M691" s="220"/>
      <c r="N691" s="220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spans="1:26" ht="15.75">
      <c r="A692" s="218"/>
      <c r="B692" s="221"/>
      <c r="C692" s="222"/>
      <c r="D692" s="218"/>
      <c r="E692" s="218"/>
      <c r="F692" s="220"/>
      <c r="G692" s="218"/>
      <c r="H692" s="218"/>
      <c r="I692" s="218"/>
      <c r="J692" s="218"/>
      <c r="K692" s="220"/>
      <c r="L692" s="220"/>
      <c r="M692" s="220"/>
      <c r="N692" s="220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spans="1:26" ht="15.75">
      <c r="A693" s="218"/>
      <c r="B693" s="221"/>
      <c r="C693" s="222"/>
      <c r="D693" s="218"/>
      <c r="E693" s="218"/>
      <c r="F693" s="220"/>
      <c r="G693" s="218"/>
      <c r="H693" s="218"/>
      <c r="I693" s="218"/>
      <c r="J693" s="218"/>
      <c r="K693" s="220"/>
      <c r="L693" s="220"/>
      <c r="M693" s="220"/>
      <c r="N693" s="220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spans="1:26" ht="15.75">
      <c r="A694" s="218"/>
      <c r="B694" s="221"/>
      <c r="C694" s="222"/>
      <c r="D694" s="218"/>
      <c r="E694" s="218"/>
      <c r="F694" s="220"/>
      <c r="G694" s="218"/>
      <c r="H694" s="218"/>
      <c r="I694" s="218"/>
      <c r="J694" s="218"/>
      <c r="K694" s="220"/>
      <c r="L694" s="220"/>
      <c r="M694" s="220"/>
      <c r="N694" s="220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spans="1:26" ht="15.75">
      <c r="A695" s="218"/>
      <c r="B695" s="221"/>
      <c r="C695" s="222"/>
      <c r="D695" s="218"/>
      <c r="E695" s="218"/>
      <c r="F695" s="220"/>
      <c r="G695" s="218"/>
      <c r="H695" s="218"/>
      <c r="I695" s="218"/>
      <c r="J695" s="218"/>
      <c r="K695" s="220"/>
      <c r="L695" s="220"/>
      <c r="M695" s="220"/>
      <c r="N695" s="220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spans="1:26" ht="15.75">
      <c r="A696" s="218"/>
      <c r="B696" s="221"/>
      <c r="C696" s="222"/>
      <c r="D696" s="218"/>
      <c r="E696" s="218"/>
      <c r="F696" s="220"/>
      <c r="G696" s="218"/>
      <c r="H696" s="218"/>
      <c r="I696" s="218"/>
      <c r="J696" s="218"/>
      <c r="K696" s="220"/>
      <c r="L696" s="220"/>
      <c r="M696" s="220"/>
      <c r="N696" s="220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spans="1:26" ht="15.75">
      <c r="A697" s="218"/>
      <c r="B697" s="221"/>
      <c r="C697" s="222"/>
      <c r="D697" s="218"/>
      <c r="E697" s="218"/>
      <c r="F697" s="220"/>
      <c r="G697" s="218"/>
      <c r="H697" s="218"/>
      <c r="I697" s="218"/>
      <c r="J697" s="218"/>
      <c r="K697" s="220"/>
      <c r="L697" s="220"/>
      <c r="M697" s="220"/>
      <c r="N697" s="220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spans="1:26" ht="15.75">
      <c r="A698" s="218"/>
      <c r="B698" s="221"/>
      <c r="C698" s="222"/>
      <c r="D698" s="218"/>
      <c r="E698" s="218"/>
      <c r="F698" s="220"/>
      <c r="G698" s="218"/>
      <c r="H698" s="218"/>
      <c r="I698" s="218"/>
      <c r="J698" s="218"/>
      <c r="K698" s="220"/>
      <c r="L698" s="220"/>
      <c r="M698" s="220"/>
      <c r="N698" s="220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spans="1:26" ht="15.75">
      <c r="A699" s="218"/>
      <c r="B699" s="221"/>
      <c r="C699" s="222"/>
      <c r="D699" s="218"/>
      <c r="E699" s="218"/>
      <c r="F699" s="220"/>
      <c r="G699" s="218"/>
      <c r="H699" s="218"/>
      <c r="I699" s="218"/>
      <c r="J699" s="218"/>
      <c r="K699" s="220"/>
      <c r="L699" s="220"/>
      <c r="M699" s="220"/>
      <c r="N699" s="220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spans="1:26" ht="15.75">
      <c r="A700" s="218"/>
      <c r="B700" s="221"/>
      <c r="C700" s="222"/>
      <c r="D700" s="218"/>
      <c r="E700" s="218"/>
      <c r="F700" s="220"/>
      <c r="G700" s="218"/>
      <c r="H700" s="218"/>
      <c r="I700" s="218"/>
      <c r="J700" s="218"/>
      <c r="K700" s="220"/>
      <c r="L700" s="220"/>
      <c r="M700" s="220"/>
      <c r="N700" s="220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spans="1:26" ht="15.75">
      <c r="A701" s="218"/>
      <c r="B701" s="221"/>
      <c r="C701" s="222"/>
      <c r="D701" s="218"/>
      <c r="E701" s="218"/>
      <c r="F701" s="220"/>
      <c r="G701" s="218"/>
      <c r="H701" s="218"/>
      <c r="I701" s="218"/>
      <c r="J701" s="218"/>
      <c r="K701" s="220"/>
      <c r="L701" s="220"/>
      <c r="M701" s="220"/>
      <c r="N701" s="220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spans="1:26" ht="15.75">
      <c r="A702" s="218"/>
      <c r="B702" s="221"/>
      <c r="C702" s="222"/>
      <c r="D702" s="218"/>
      <c r="E702" s="218"/>
      <c r="F702" s="220"/>
      <c r="G702" s="218"/>
      <c r="H702" s="218"/>
      <c r="I702" s="218"/>
      <c r="J702" s="218"/>
      <c r="K702" s="220"/>
      <c r="L702" s="220"/>
      <c r="M702" s="220"/>
      <c r="N702" s="220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spans="1:26" ht="15.75">
      <c r="A703" s="218"/>
      <c r="B703" s="221"/>
      <c r="C703" s="222"/>
      <c r="D703" s="218"/>
      <c r="E703" s="218"/>
      <c r="F703" s="220"/>
      <c r="G703" s="218"/>
      <c r="H703" s="218"/>
      <c r="I703" s="218"/>
      <c r="J703" s="218"/>
      <c r="K703" s="220"/>
      <c r="L703" s="220"/>
      <c r="M703" s="220"/>
      <c r="N703" s="220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spans="1:26" ht="15.75">
      <c r="A704" s="218"/>
      <c r="B704" s="221"/>
      <c r="C704" s="222"/>
      <c r="D704" s="218"/>
      <c r="E704" s="218"/>
      <c r="F704" s="220"/>
      <c r="G704" s="218"/>
      <c r="H704" s="218"/>
      <c r="I704" s="218"/>
      <c r="J704" s="218"/>
      <c r="K704" s="220"/>
      <c r="L704" s="220"/>
      <c r="M704" s="220"/>
      <c r="N704" s="220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spans="1:26" ht="15.75">
      <c r="A705" s="218"/>
      <c r="B705" s="221"/>
      <c r="C705" s="222"/>
      <c r="D705" s="218"/>
      <c r="E705" s="218"/>
      <c r="F705" s="220"/>
      <c r="G705" s="218"/>
      <c r="H705" s="218"/>
      <c r="I705" s="218"/>
      <c r="J705" s="218"/>
      <c r="K705" s="220"/>
      <c r="L705" s="220"/>
      <c r="M705" s="220"/>
      <c r="N705" s="220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spans="1:26" ht="15.75">
      <c r="A706" s="218"/>
      <c r="B706" s="221"/>
      <c r="C706" s="222"/>
      <c r="D706" s="218"/>
      <c r="E706" s="218"/>
      <c r="F706" s="220"/>
      <c r="G706" s="218"/>
      <c r="H706" s="218"/>
      <c r="I706" s="218"/>
      <c r="J706" s="218"/>
      <c r="K706" s="220"/>
      <c r="L706" s="220"/>
      <c r="M706" s="220"/>
      <c r="N706" s="220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spans="1:26" ht="15.75">
      <c r="A707" s="218"/>
      <c r="B707" s="221"/>
      <c r="C707" s="222"/>
      <c r="D707" s="218"/>
      <c r="E707" s="218"/>
      <c r="F707" s="220"/>
      <c r="G707" s="218"/>
      <c r="H707" s="218"/>
      <c r="I707" s="218"/>
      <c r="J707" s="218"/>
      <c r="K707" s="220"/>
      <c r="L707" s="220"/>
      <c r="M707" s="220"/>
      <c r="N707" s="220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spans="1:26" ht="15.75">
      <c r="A708" s="218"/>
      <c r="B708" s="221"/>
      <c r="C708" s="222"/>
      <c r="D708" s="218"/>
      <c r="E708" s="218"/>
      <c r="F708" s="220"/>
      <c r="G708" s="218"/>
      <c r="H708" s="218"/>
      <c r="I708" s="218"/>
      <c r="J708" s="218"/>
      <c r="K708" s="220"/>
      <c r="L708" s="220"/>
      <c r="M708" s="220"/>
      <c r="N708" s="220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spans="1:26" ht="15.75">
      <c r="A709" s="218"/>
      <c r="B709" s="221"/>
      <c r="C709" s="222"/>
      <c r="D709" s="218"/>
      <c r="E709" s="218"/>
      <c r="F709" s="220"/>
      <c r="G709" s="218"/>
      <c r="H709" s="218"/>
      <c r="I709" s="218"/>
      <c r="J709" s="218"/>
      <c r="K709" s="220"/>
      <c r="L709" s="220"/>
      <c r="M709" s="220"/>
      <c r="N709" s="220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spans="1:26" ht="15.75">
      <c r="A710" s="218"/>
      <c r="B710" s="221"/>
      <c r="C710" s="222"/>
      <c r="D710" s="218"/>
      <c r="E710" s="218"/>
      <c r="F710" s="220"/>
      <c r="G710" s="218"/>
      <c r="H710" s="218"/>
      <c r="I710" s="218"/>
      <c r="J710" s="218"/>
      <c r="K710" s="220"/>
      <c r="L710" s="220"/>
      <c r="M710" s="220"/>
      <c r="N710" s="220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spans="1:26" ht="15.75">
      <c r="A711" s="218"/>
      <c r="B711" s="221"/>
      <c r="C711" s="222"/>
      <c r="D711" s="218"/>
      <c r="E711" s="218"/>
      <c r="F711" s="220"/>
      <c r="G711" s="218"/>
      <c r="H711" s="218"/>
      <c r="I711" s="218"/>
      <c r="J711" s="218"/>
      <c r="K711" s="220"/>
      <c r="L711" s="220"/>
      <c r="M711" s="220"/>
      <c r="N711" s="220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spans="1:26" ht="15.75">
      <c r="A712" s="218"/>
      <c r="B712" s="221"/>
      <c r="C712" s="222"/>
      <c r="D712" s="218"/>
      <c r="E712" s="218"/>
      <c r="F712" s="220"/>
      <c r="G712" s="218"/>
      <c r="H712" s="218"/>
      <c r="I712" s="218"/>
      <c r="J712" s="218"/>
      <c r="K712" s="220"/>
      <c r="L712" s="220"/>
      <c r="M712" s="220"/>
      <c r="N712" s="220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spans="1:26" ht="15.75">
      <c r="A713" s="218"/>
      <c r="B713" s="221"/>
      <c r="C713" s="222"/>
      <c r="D713" s="218"/>
      <c r="E713" s="218"/>
      <c r="F713" s="220"/>
      <c r="G713" s="218"/>
      <c r="H713" s="218"/>
      <c r="I713" s="218"/>
      <c r="J713" s="218"/>
      <c r="K713" s="220"/>
      <c r="L713" s="220"/>
      <c r="M713" s="220"/>
      <c r="N713" s="220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spans="1:26" ht="15.75">
      <c r="A714" s="218"/>
      <c r="B714" s="221"/>
      <c r="C714" s="222"/>
      <c r="D714" s="218"/>
      <c r="E714" s="218"/>
      <c r="F714" s="220"/>
      <c r="G714" s="218"/>
      <c r="H714" s="218"/>
      <c r="I714" s="218"/>
      <c r="J714" s="218"/>
      <c r="K714" s="220"/>
      <c r="L714" s="220"/>
      <c r="M714" s="220"/>
      <c r="N714" s="220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spans="1:26" ht="15.75">
      <c r="A715" s="218"/>
      <c r="B715" s="221"/>
      <c r="C715" s="222"/>
      <c r="D715" s="218"/>
      <c r="E715" s="218"/>
      <c r="F715" s="220"/>
      <c r="G715" s="218"/>
      <c r="H715" s="218"/>
      <c r="I715" s="218"/>
      <c r="J715" s="218"/>
      <c r="K715" s="220"/>
      <c r="L715" s="220"/>
      <c r="M715" s="220"/>
      <c r="N715" s="220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spans="1:26" ht="15.75">
      <c r="A716" s="218"/>
      <c r="B716" s="221"/>
      <c r="C716" s="222"/>
      <c r="D716" s="218"/>
      <c r="E716" s="218"/>
      <c r="F716" s="220"/>
      <c r="G716" s="218"/>
      <c r="H716" s="218"/>
      <c r="I716" s="218"/>
      <c r="J716" s="218"/>
      <c r="K716" s="220"/>
      <c r="L716" s="220"/>
      <c r="M716" s="220"/>
      <c r="N716" s="220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spans="1:26" ht="15.75">
      <c r="A717" s="218"/>
      <c r="B717" s="221"/>
      <c r="C717" s="222"/>
      <c r="D717" s="218"/>
      <c r="E717" s="218"/>
      <c r="F717" s="220"/>
      <c r="G717" s="218"/>
      <c r="H717" s="218"/>
      <c r="I717" s="218"/>
      <c r="J717" s="218"/>
      <c r="K717" s="220"/>
      <c r="L717" s="220"/>
      <c r="M717" s="220"/>
      <c r="N717" s="220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spans="1:26" ht="15.75">
      <c r="A718" s="218"/>
      <c r="B718" s="221"/>
      <c r="C718" s="222"/>
      <c r="D718" s="218"/>
      <c r="E718" s="218"/>
      <c r="F718" s="220"/>
      <c r="G718" s="218"/>
      <c r="H718" s="218"/>
      <c r="I718" s="218"/>
      <c r="J718" s="218"/>
      <c r="K718" s="220"/>
      <c r="L718" s="220"/>
      <c r="M718" s="220"/>
      <c r="N718" s="220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spans="1:26" ht="15.75">
      <c r="A719" s="218"/>
      <c r="B719" s="221"/>
      <c r="C719" s="222"/>
      <c r="D719" s="218"/>
      <c r="E719" s="218"/>
      <c r="F719" s="220"/>
      <c r="G719" s="218"/>
      <c r="H719" s="218"/>
      <c r="I719" s="218"/>
      <c r="J719" s="218"/>
      <c r="K719" s="220"/>
      <c r="L719" s="220"/>
      <c r="M719" s="220"/>
      <c r="N719" s="220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spans="1:26" ht="15.75">
      <c r="A720" s="218"/>
      <c r="B720" s="221"/>
      <c r="C720" s="222"/>
      <c r="D720" s="218"/>
      <c r="E720" s="218"/>
      <c r="F720" s="220"/>
      <c r="G720" s="218"/>
      <c r="H720" s="218"/>
      <c r="I720" s="218"/>
      <c r="J720" s="218"/>
      <c r="K720" s="220"/>
      <c r="L720" s="220"/>
      <c r="M720" s="220"/>
      <c r="N720" s="220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spans="1:26" ht="15.75">
      <c r="A721" s="218"/>
      <c r="B721" s="221"/>
      <c r="C721" s="222"/>
      <c r="D721" s="218"/>
      <c r="E721" s="218"/>
      <c r="F721" s="220"/>
      <c r="G721" s="218"/>
      <c r="H721" s="218"/>
      <c r="I721" s="218"/>
      <c r="J721" s="218"/>
      <c r="K721" s="220"/>
      <c r="L721" s="220"/>
      <c r="M721" s="220"/>
      <c r="N721" s="220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spans="1:26" ht="15.75">
      <c r="A722" s="218"/>
      <c r="B722" s="221"/>
      <c r="C722" s="222"/>
      <c r="D722" s="218"/>
      <c r="E722" s="218"/>
      <c r="F722" s="220"/>
      <c r="G722" s="218"/>
      <c r="H722" s="218"/>
      <c r="I722" s="218"/>
      <c r="J722" s="218"/>
      <c r="K722" s="220"/>
      <c r="L722" s="220"/>
      <c r="M722" s="220"/>
      <c r="N722" s="220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spans="1:26" ht="15.75">
      <c r="A723" s="218"/>
      <c r="B723" s="221"/>
      <c r="C723" s="222"/>
      <c r="D723" s="218"/>
      <c r="E723" s="218"/>
      <c r="F723" s="220"/>
      <c r="G723" s="218"/>
      <c r="H723" s="218"/>
      <c r="I723" s="218"/>
      <c r="J723" s="218"/>
      <c r="K723" s="220"/>
      <c r="L723" s="220"/>
      <c r="M723" s="220"/>
      <c r="N723" s="220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spans="1:26" ht="15.75">
      <c r="A724" s="218"/>
      <c r="B724" s="221"/>
      <c r="C724" s="222"/>
      <c r="D724" s="218"/>
      <c r="E724" s="218"/>
      <c r="F724" s="220"/>
      <c r="G724" s="218"/>
      <c r="H724" s="218"/>
      <c r="I724" s="218"/>
      <c r="J724" s="218"/>
      <c r="K724" s="220"/>
      <c r="L724" s="220"/>
      <c r="M724" s="220"/>
      <c r="N724" s="220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spans="1:26" ht="15.75">
      <c r="A725" s="218"/>
      <c r="B725" s="221"/>
      <c r="C725" s="222"/>
      <c r="D725" s="218"/>
      <c r="E725" s="218"/>
      <c r="F725" s="220"/>
      <c r="G725" s="218"/>
      <c r="H725" s="218"/>
      <c r="I725" s="218"/>
      <c r="J725" s="218"/>
      <c r="K725" s="220"/>
      <c r="L725" s="220"/>
      <c r="M725" s="220"/>
      <c r="N725" s="220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spans="1:26" ht="15.75">
      <c r="A726" s="218"/>
      <c r="B726" s="221"/>
      <c r="C726" s="222"/>
      <c r="D726" s="218"/>
      <c r="E726" s="218"/>
      <c r="F726" s="220"/>
      <c r="G726" s="218"/>
      <c r="H726" s="218"/>
      <c r="I726" s="218"/>
      <c r="J726" s="218"/>
      <c r="K726" s="220"/>
      <c r="L726" s="220"/>
      <c r="M726" s="220"/>
      <c r="N726" s="220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spans="1:26" ht="15.75">
      <c r="A727" s="218"/>
      <c r="B727" s="221"/>
      <c r="C727" s="222"/>
      <c r="D727" s="218"/>
      <c r="E727" s="218"/>
      <c r="F727" s="220"/>
      <c r="G727" s="218"/>
      <c r="H727" s="218"/>
      <c r="I727" s="218"/>
      <c r="J727" s="218"/>
      <c r="K727" s="220"/>
      <c r="L727" s="220"/>
      <c r="M727" s="220"/>
      <c r="N727" s="220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spans="1:26" ht="15.75">
      <c r="A728" s="218"/>
      <c r="B728" s="221"/>
      <c r="C728" s="222"/>
      <c r="D728" s="218"/>
      <c r="E728" s="218"/>
      <c r="F728" s="220"/>
      <c r="G728" s="218"/>
      <c r="H728" s="218"/>
      <c r="I728" s="218"/>
      <c r="J728" s="218"/>
      <c r="K728" s="220"/>
      <c r="L728" s="220"/>
      <c r="M728" s="220"/>
      <c r="N728" s="220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spans="1:26" ht="15.75">
      <c r="A729" s="218"/>
      <c r="B729" s="221"/>
      <c r="C729" s="222"/>
      <c r="D729" s="218"/>
      <c r="E729" s="218"/>
      <c r="F729" s="220"/>
      <c r="G729" s="218"/>
      <c r="H729" s="218"/>
      <c r="I729" s="218"/>
      <c r="J729" s="218"/>
      <c r="K729" s="220"/>
      <c r="L729" s="220"/>
      <c r="M729" s="220"/>
      <c r="N729" s="220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spans="1:26" ht="15.75">
      <c r="A730" s="218"/>
      <c r="B730" s="221"/>
      <c r="C730" s="222"/>
      <c r="D730" s="218"/>
      <c r="E730" s="218"/>
      <c r="F730" s="220"/>
      <c r="G730" s="218"/>
      <c r="H730" s="218"/>
      <c r="I730" s="218"/>
      <c r="J730" s="218"/>
      <c r="K730" s="220"/>
      <c r="L730" s="220"/>
      <c r="M730" s="220"/>
      <c r="N730" s="220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spans="1:26" ht="15.75">
      <c r="A731" s="218"/>
      <c r="B731" s="221"/>
      <c r="C731" s="222"/>
      <c r="D731" s="218"/>
      <c r="E731" s="218"/>
      <c r="F731" s="220"/>
      <c r="G731" s="218"/>
      <c r="H731" s="218"/>
      <c r="I731" s="218"/>
      <c r="J731" s="218"/>
      <c r="K731" s="220"/>
      <c r="L731" s="220"/>
      <c r="M731" s="220"/>
      <c r="N731" s="220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spans="1:26" ht="15.75">
      <c r="A732" s="218"/>
      <c r="B732" s="221"/>
      <c r="C732" s="222"/>
      <c r="D732" s="218"/>
      <c r="E732" s="218"/>
      <c r="F732" s="220"/>
      <c r="G732" s="218"/>
      <c r="H732" s="218"/>
      <c r="I732" s="218"/>
      <c r="J732" s="218"/>
      <c r="K732" s="220"/>
      <c r="L732" s="220"/>
      <c r="M732" s="220"/>
      <c r="N732" s="220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spans="1:26" ht="15.75">
      <c r="A733" s="218"/>
      <c r="B733" s="221"/>
      <c r="C733" s="222"/>
      <c r="D733" s="218"/>
      <c r="E733" s="218"/>
      <c r="F733" s="220"/>
      <c r="G733" s="218"/>
      <c r="H733" s="218"/>
      <c r="I733" s="218"/>
      <c r="J733" s="218"/>
      <c r="K733" s="220"/>
      <c r="L733" s="220"/>
      <c r="M733" s="220"/>
      <c r="N733" s="220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spans="1:26" ht="15.75">
      <c r="A734" s="218"/>
      <c r="B734" s="221"/>
      <c r="C734" s="222"/>
      <c r="D734" s="218"/>
      <c r="E734" s="218"/>
      <c r="F734" s="220"/>
      <c r="G734" s="218"/>
      <c r="H734" s="218"/>
      <c r="I734" s="218"/>
      <c r="J734" s="218"/>
      <c r="K734" s="220"/>
      <c r="L734" s="220"/>
      <c r="M734" s="220"/>
      <c r="N734" s="220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spans="1:26" ht="15.75">
      <c r="A735" s="218"/>
      <c r="B735" s="221"/>
      <c r="C735" s="222"/>
      <c r="D735" s="218"/>
      <c r="E735" s="218"/>
      <c r="F735" s="220"/>
      <c r="G735" s="218"/>
      <c r="H735" s="218"/>
      <c r="I735" s="218"/>
      <c r="J735" s="218"/>
      <c r="K735" s="220"/>
      <c r="L735" s="220"/>
      <c r="M735" s="220"/>
      <c r="N735" s="220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spans="1:26" ht="15.75">
      <c r="A736" s="218"/>
      <c r="B736" s="221"/>
      <c r="C736" s="222"/>
      <c r="D736" s="218"/>
      <c r="E736" s="218"/>
      <c r="F736" s="220"/>
      <c r="G736" s="218"/>
      <c r="H736" s="218"/>
      <c r="I736" s="218"/>
      <c r="J736" s="218"/>
      <c r="K736" s="220"/>
      <c r="L736" s="220"/>
      <c r="M736" s="220"/>
      <c r="N736" s="220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spans="1:26" ht="15.75">
      <c r="A737" s="218"/>
      <c r="B737" s="221"/>
      <c r="C737" s="222"/>
      <c r="D737" s="218"/>
      <c r="E737" s="218"/>
      <c r="F737" s="220"/>
      <c r="G737" s="218"/>
      <c r="H737" s="218"/>
      <c r="I737" s="218"/>
      <c r="J737" s="218"/>
      <c r="K737" s="220"/>
      <c r="L737" s="220"/>
      <c r="M737" s="220"/>
      <c r="N737" s="220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spans="1:26" ht="15.75">
      <c r="A738" s="218"/>
      <c r="B738" s="221"/>
      <c r="C738" s="222"/>
      <c r="D738" s="218"/>
      <c r="E738" s="218"/>
      <c r="F738" s="220"/>
      <c r="G738" s="218"/>
      <c r="H738" s="218"/>
      <c r="I738" s="218"/>
      <c r="J738" s="218"/>
      <c r="K738" s="220"/>
      <c r="L738" s="220"/>
      <c r="M738" s="220"/>
      <c r="N738" s="220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spans="1:26" ht="15.75">
      <c r="A739" s="218"/>
      <c r="B739" s="221"/>
      <c r="C739" s="222"/>
      <c r="D739" s="218"/>
      <c r="E739" s="218"/>
      <c r="F739" s="220"/>
      <c r="G739" s="218"/>
      <c r="H739" s="218"/>
      <c r="I739" s="218"/>
      <c r="J739" s="218"/>
      <c r="K739" s="220"/>
      <c r="L739" s="220"/>
      <c r="M739" s="220"/>
      <c r="N739" s="220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spans="1:26" ht="15.75">
      <c r="A740" s="218"/>
      <c r="B740" s="221"/>
      <c r="C740" s="222"/>
      <c r="D740" s="218"/>
      <c r="E740" s="218"/>
      <c r="F740" s="220"/>
      <c r="G740" s="218"/>
      <c r="H740" s="218"/>
      <c r="I740" s="218"/>
      <c r="J740" s="218"/>
      <c r="K740" s="220"/>
      <c r="L740" s="220"/>
      <c r="M740" s="220"/>
      <c r="N740" s="220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spans="1:26" ht="15.75">
      <c r="A741" s="218"/>
      <c r="B741" s="221"/>
      <c r="C741" s="222"/>
      <c r="D741" s="218"/>
      <c r="E741" s="218"/>
      <c r="F741" s="220"/>
      <c r="G741" s="218"/>
      <c r="H741" s="218"/>
      <c r="I741" s="218"/>
      <c r="J741" s="218"/>
      <c r="K741" s="220"/>
      <c r="L741" s="220"/>
      <c r="M741" s="220"/>
      <c r="N741" s="220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spans="1:26" ht="15.75">
      <c r="A742" s="218"/>
      <c r="B742" s="221"/>
      <c r="C742" s="222"/>
      <c r="D742" s="218"/>
      <c r="E742" s="218"/>
      <c r="F742" s="220"/>
      <c r="G742" s="218"/>
      <c r="H742" s="218"/>
      <c r="I742" s="218"/>
      <c r="J742" s="218"/>
      <c r="K742" s="220"/>
      <c r="L742" s="220"/>
      <c r="M742" s="220"/>
      <c r="N742" s="220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spans="1:26" ht="15.75">
      <c r="A743" s="218"/>
      <c r="B743" s="221"/>
      <c r="C743" s="222"/>
      <c r="D743" s="218"/>
      <c r="E743" s="218"/>
      <c r="F743" s="220"/>
      <c r="G743" s="218"/>
      <c r="H743" s="218"/>
      <c r="I743" s="218"/>
      <c r="J743" s="218"/>
      <c r="K743" s="220"/>
      <c r="L743" s="220"/>
      <c r="M743" s="220"/>
      <c r="N743" s="220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spans="1:26" ht="15.75">
      <c r="A744" s="218"/>
      <c r="B744" s="221"/>
      <c r="C744" s="222"/>
      <c r="D744" s="218"/>
      <c r="E744" s="218"/>
      <c r="F744" s="220"/>
      <c r="G744" s="218"/>
      <c r="H744" s="218"/>
      <c r="I744" s="218"/>
      <c r="J744" s="218"/>
      <c r="K744" s="220"/>
      <c r="L744" s="220"/>
      <c r="M744" s="220"/>
      <c r="N744" s="220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spans="1:26" ht="15.75">
      <c r="A745" s="218"/>
      <c r="B745" s="221"/>
      <c r="C745" s="222"/>
      <c r="D745" s="218"/>
      <c r="E745" s="218"/>
      <c r="F745" s="220"/>
      <c r="G745" s="218"/>
      <c r="H745" s="218"/>
      <c r="I745" s="218"/>
      <c r="J745" s="218"/>
      <c r="K745" s="220"/>
      <c r="L745" s="220"/>
      <c r="M745" s="220"/>
      <c r="N745" s="220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spans="1:26" ht="15.75">
      <c r="A746" s="218"/>
      <c r="B746" s="221"/>
      <c r="C746" s="222"/>
      <c r="D746" s="218"/>
      <c r="E746" s="218"/>
      <c r="F746" s="220"/>
      <c r="G746" s="218"/>
      <c r="H746" s="218"/>
      <c r="I746" s="218"/>
      <c r="J746" s="218"/>
      <c r="K746" s="220"/>
      <c r="L746" s="220"/>
      <c r="M746" s="220"/>
      <c r="N746" s="220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spans="1:26" ht="15.75">
      <c r="A747" s="218"/>
      <c r="B747" s="221"/>
      <c r="C747" s="222"/>
      <c r="D747" s="218"/>
      <c r="E747" s="218"/>
      <c r="F747" s="220"/>
      <c r="G747" s="218"/>
      <c r="H747" s="218"/>
      <c r="I747" s="218"/>
      <c r="J747" s="218"/>
      <c r="K747" s="220"/>
      <c r="L747" s="220"/>
      <c r="M747" s="220"/>
      <c r="N747" s="220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spans="1:26" ht="15.75">
      <c r="A748" s="218"/>
      <c r="B748" s="221"/>
      <c r="C748" s="222"/>
      <c r="D748" s="218"/>
      <c r="E748" s="218"/>
      <c r="F748" s="220"/>
      <c r="G748" s="218"/>
      <c r="H748" s="218"/>
      <c r="I748" s="218"/>
      <c r="J748" s="218"/>
      <c r="K748" s="220"/>
      <c r="L748" s="220"/>
      <c r="M748" s="220"/>
      <c r="N748" s="220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spans="1:26" ht="15.75">
      <c r="A749" s="218"/>
      <c r="B749" s="221"/>
      <c r="C749" s="222"/>
      <c r="D749" s="218"/>
      <c r="E749" s="218"/>
      <c r="F749" s="220"/>
      <c r="G749" s="218"/>
      <c r="H749" s="218"/>
      <c r="I749" s="218"/>
      <c r="J749" s="218"/>
      <c r="K749" s="220"/>
      <c r="L749" s="220"/>
      <c r="M749" s="220"/>
      <c r="N749" s="220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spans="1:26" ht="15.75">
      <c r="A750" s="218"/>
      <c r="B750" s="221"/>
      <c r="C750" s="222"/>
      <c r="D750" s="218"/>
      <c r="E750" s="218"/>
      <c r="F750" s="220"/>
      <c r="G750" s="218"/>
      <c r="H750" s="218"/>
      <c r="I750" s="218"/>
      <c r="J750" s="218"/>
      <c r="K750" s="220"/>
      <c r="L750" s="220"/>
      <c r="M750" s="220"/>
      <c r="N750" s="220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spans="1:26" ht="15.75">
      <c r="A751" s="218"/>
      <c r="B751" s="221"/>
      <c r="C751" s="222"/>
      <c r="D751" s="218"/>
      <c r="E751" s="218"/>
      <c r="F751" s="220"/>
      <c r="G751" s="218"/>
      <c r="H751" s="218"/>
      <c r="I751" s="218"/>
      <c r="J751" s="218"/>
      <c r="K751" s="220"/>
      <c r="L751" s="220"/>
      <c r="M751" s="220"/>
      <c r="N751" s="220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spans="1:26" ht="15.75">
      <c r="A752" s="218"/>
      <c r="B752" s="221"/>
      <c r="C752" s="222"/>
      <c r="D752" s="218"/>
      <c r="E752" s="218"/>
      <c r="F752" s="220"/>
      <c r="G752" s="218"/>
      <c r="H752" s="218"/>
      <c r="I752" s="218"/>
      <c r="J752" s="218"/>
      <c r="K752" s="220"/>
      <c r="L752" s="220"/>
      <c r="M752" s="220"/>
      <c r="N752" s="220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spans="1:26" ht="15.75">
      <c r="A753" s="218"/>
      <c r="B753" s="221"/>
      <c r="C753" s="222"/>
      <c r="D753" s="218"/>
      <c r="E753" s="218"/>
      <c r="F753" s="220"/>
      <c r="G753" s="218"/>
      <c r="H753" s="218"/>
      <c r="I753" s="218"/>
      <c r="J753" s="218"/>
      <c r="K753" s="220"/>
      <c r="L753" s="220"/>
      <c r="M753" s="220"/>
      <c r="N753" s="220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spans="1:26" ht="15.75">
      <c r="A754" s="218"/>
      <c r="B754" s="221"/>
      <c r="C754" s="222"/>
      <c r="D754" s="218"/>
      <c r="E754" s="218"/>
      <c r="F754" s="220"/>
      <c r="G754" s="218"/>
      <c r="H754" s="218"/>
      <c r="I754" s="218"/>
      <c r="J754" s="218"/>
      <c r="K754" s="220"/>
      <c r="L754" s="220"/>
      <c r="M754" s="220"/>
      <c r="N754" s="220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spans="1:26" ht="15.75">
      <c r="A755" s="218"/>
      <c r="B755" s="221"/>
      <c r="C755" s="222"/>
      <c r="D755" s="218"/>
      <c r="E755" s="218"/>
      <c r="F755" s="220"/>
      <c r="G755" s="218"/>
      <c r="H755" s="218"/>
      <c r="I755" s="218"/>
      <c r="J755" s="218"/>
      <c r="K755" s="220"/>
      <c r="L755" s="220"/>
      <c r="M755" s="220"/>
      <c r="N755" s="220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spans="1:26" ht="15.75">
      <c r="A756" s="218"/>
      <c r="B756" s="221"/>
      <c r="C756" s="222"/>
      <c r="D756" s="218"/>
      <c r="E756" s="218"/>
      <c r="F756" s="220"/>
      <c r="G756" s="218"/>
      <c r="H756" s="218"/>
      <c r="I756" s="218"/>
      <c r="J756" s="218"/>
      <c r="K756" s="220"/>
      <c r="L756" s="220"/>
      <c r="M756" s="220"/>
      <c r="N756" s="220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spans="1:26" ht="15.75">
      <c r="A757" s="218"/>
      <c r="B757" s="221"/>
      <c r="C757" s="222"/>
      <c r="D757" s="218"/>
      <c r="E757" s="218"/>
      <c r="F757" s="220"/>
      <c r="G757" s="218"/>
      <c r="H757" s="218"/>
      <c r="I757" s="218"/>
      <c r="J757" s="218"/>
      <c r="K757" s="220"/>
      <c r="L757" s="220"/>
      <c r="M757" s="220"/>
      <c r="N757" s="220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spans="1:26" ht="15.75">
      <c r="A758" s="218"/>
      <c r="B758" s="221"/>
      <c r="C758" s="222"/>
      <c r="D758" s="218"/>
      <c r="E758" s="218"/>
      <c r="F758" s="220"/>
      <c r="G758" s="218"/>
      <c r="H758" s="218"/>
      <c r="I758" s="218"/>
      <c r="J758" s="218"/>
      <c r="K758" s="220"/>
      <c r="L758" s="220"/>
      <c r="M758" s="220"/>
      <c r="N758" s="220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spans="1:26" ht="15.75">
      <c r="A759" s="218"/>
      <c r="B759" s="221"/>
      <c r="C759" s="222"/>
      <c r="D759" s="218"/>
      <c r="E759" s="218"/>
      <c r="F759" s="220"/>
      <c r="G759" s="218"/>
      <c r="H759" s="218"/>
      <c r="I759" s="218"/>
      <c r="J759" s="218"/>
      <c r="K759" s="220"/>
      <c r="L759" s="220"/>
      <c r="M759" s="220"/>
      <c r="N759" s="220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spans="1:26" ht="15.75">
      <c r="A760" s="218"/>
      <c r="B760" s="221"/>
      <c r="C760" s="222"/>
      <c r="D760" s="218"/>
      <c r="E760" s="218"/>
      <c r="F760" s="220"/>
      <c r="G760" s="218"/>
      <c r="H760" s="218"/>
      <c r="I760" s="218"/>
      <c r="J760" s="218"/>
      <c r="K760" s="220"/>
      <c r="L760" s="220"/>
      <c r="M760" s="220"/>
      <c r="N760" s="220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spans="1:26" ht="15.75">
      <c r="A761" s="218"/>
      <c r="B761" s="221"/>
      <c r="C761" s="222"/>
      <c r="D761" s="218"/>
      <c r="E761" s="218"/>
      <c r="F761" s="220"/>
      <c r="G761" s="218"/>
      <c r="H761" s="218"/>
      <c r="I761" s="218"/>
      <c r="J761" s="218"/>
      <c r="K761" s="220"/>
      <c r="L761" s="220"/>
      <c r="M761" s="220"/>
      <c r="N761" s="220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spans="1:26" ht="15.75">
      <c r="A762" s="218"/>
      <c r="B762" s="221"/>
      <c r="C762" s="222"/>
      <c r="D762" s="218"/>
      <c r="E762" s="218"/>
      <c r="F762" s="220"/>
      <c r="G762" s="218"/>
      <c r="H762" s="218"/>
      <c r="I762" s="218"/>
      <c r="J762" s="218"/>
      <c r="K762" s="220"/>
      <c r="L762" s="220"/>
      <c r="M762" s="220"/>
      <c r="N762" s="220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spans="1:26" ht="15.75">
      <c r="A763" s="218"/>
      <c r="B763" s="221"/>
      <c r="C763" s="222"/>
      <c r="D763" s="218"/>
      <c r="E763" s="218"/>
      <c r="F763" s="220"/>
      <c r="G763" s="218"/>
      <c r="H763" s="218"/>
      <c r="I763" s="218"/>
      <c r="J763" s="218"/>
      <c r="K763" s="220"/>
      <c r="L763" s="220"/>
      <c r="M763" s="220"/>
      <c r="N763" s="220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spans="1:26" ht="15.75">
      <c r="A764" s="218"/>
      <c r="B764" s="221"/>
      <c r="C764" s="222"/>
      <c r="D764" s="218"/>
      <c r="E764" s="218"/>
      <c r="F764" s="220"/>
      <c r="G764" s="218"/>
      <c r="H764" s="218"/>
      <c r="I764" s="218"/>
      <c r="J764" s="218"/>
      <c r="K764" s="220"/>
      <c r="L764" s="220"/>
      <c r="M764" s="220"/>
      <c r="N764" s="220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spans="1:26" ht="15.75">
      <c r="A765" s="218"/>
      <c r="B765" s="221"/>
      <c r="C765" s="222"/>
      <c r="D765" s="218"/>
      <c r="E765" s="218"/>
      <c r="F765" s="220"/>
      <c r="G765" s="218"/>
      <c r="H765" s="218"/>
      <c r="I765" s="218"/>
      <c r="J765" s="218"/>
      <c r="K765" s="220"/>
      <c r="L765" s="220"/>
      <c r="M765" s="220"/>
      <c r="N765" s="220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spans="1:26" ht="15.75">
      <c r="A766" s="218"/>
      <c r="B766" s="221"/>
      <c r="C766" s="222"/>
      <c r="D766" s="218"/>
      <c r="E766" s="218"/>
      <c r="F766" s="220"/>
      <c r="G766" s="218"/>
      <c r="H766" s="218"/>
      <c r="I766" s="218"/>
      <c r="J766" s="218"/>
      <c r="K766" s="220"/>
      <c r="L766" s="220"/>
      <c r="M766" s="220"/>
      <c r="N766" s="220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spans="1:26" ht="15.75">
      <c r="A767" s="218"/>
      <c r="B767" s="221"/>
      <c r="C767" s="222"/>
      <c r="D767" s="218"/>
      <c r="E767" s="218"/>
      <c r="F767" s="220"/>
      <c r="G767" s="218"/>
      <c r="H767" s="218"/>
      <c r="I767" s="218"/>
      <c r="J767" s="218"/>
      <c r="K767" s="220"/>
      <c r="L767" s="220"/>
      <c r="M767" s="220"/>
      <c r="N767" s="220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spans="1:26" ht="15.75">
      <c r="A768" s="218"/>
      <c r="B768" s="221"/>
      <c r="C768" s="222"/>
      <c r="D768" s="218"/>
      <c r="E768" s="218"/>
      <c r="F768" s="220"/>
      <c r="G768" s="218"/>
      <c r="H768" s="218"/>
      <c r="I768" s="218"/>
      <c r="J768" s="218"/>
      <c r="K768" s="220"/>
      <c r="L768" s="220"/>
      <c r="M768" s="220"/>
      <c r="N768" s="220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spans="1:26" ht="15.75">
      <c r="A769" s="218"/>
      <c r="B769" s="221"/>
      <c r="C769" s="222"/>
      <c r="D769" s="218"/>
      <c r="E769" s="218"/>
      <c r="F769" s="220"/>
      <c r="G769" s="218"/>
      <c r="H769" s="218"/>
      <c r="I769" s="218"/>
      <c r="J769" s="218"/>
      <c r="K769" s="220"/>
      <c r="L769" s="220"/>
      <c r="M769" s="220"/>
      <c r="N769" s="220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spans="1:26" ht="15.75">
      <c r="A770" s="218"/>
      <c r="B770" s="221"/>
      <c r="C770" s="222"/>
      <c r="D770" s="218"/>
      <c r="E770" s="218"/>
      <c r="F770" s="220"/>
      <c r="G770" s="218"/>
      <c r="H770" s="218"/>
      <c r="I770" s="218"/>
      <c r="J770" s="218"/>
      <c r="K770" s="220"/>
      <c r="L770" s="220"/>
      <c r="M770" s="220"/>
      <c r="N770" s="220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spans="1:26" ht="15.75">
      <c r="A771" s="218"/>
      <c r="B771" s="221"/>
      <c r="C771" s="222"/>
      <c r="D771" s="218"/>
      <c r="E771" s="218"/>
      <c r="F771" s="220"/>
      <c r="G771" s="218"/>
      <c r="H771" s="218"/>
      <c r="I771" s="218"/>
      <c r="J771" s="218"/>
      <c r="K771" s="220"/>
      <c r="L771" s="220"/>
      <c r="M771" s="220"/>
      <c r="N771" s="220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spans="1:26" ht="15.75">
      <c r="A772" s="218"/>
      <c r="B772" s="221"/>
      <c r="C772" s="222"/>
      <c r="D772" s="218"/>
      <c r="E772" s="218"/>
      <c r="F772" s="220"/>
      <c r="G772" s="218"/>
      <c r="H772" s="218"/>
      <c r="I772" s="218"/>
      <c r="J772" s="218"/>
      <c r="K772" s="220"/>
      <c r="L772" s="220"/>
      <c r="M772" s="220"/>
      <c r="N772" s="220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spans="1:26" ht="15.75">
      <c r="A773" s="218"/>
      <c r="B773" s="221"/>
      <c r="C773" s="222"/>
      <c r="D773" s="218"/>
      <c r="E773" s="218"/>
      <c r="F773" s="220"/>
      <c r="G773" s="218"/>
      <c r="H773" s="218"/>
      <c r="I773" s="218"/>
      <c r="J773" s="218"/>
      <c r="K773" s="220"/>
      <c r="L773" s="220"/>
      <c r="M773" s="220"/>
      <c r="N773" s="220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spans="1:26" ht="15.75">
      <c r="A774" s="218"/>
      <c r="B774" s="221"/>
      <c r="C774" s="222"/>
      <c r="D774" s="218"/>
      <c r="E774" s="218"/>
      <c r="F774" s="220"/>
      <c r="G774" s="218"/>
      <c r="H774" s="218"/>
      <c r="I774" s="218"/>
      <c r="J774" s="218"/>
      <c r="K774" s="220"/>
      <c r="L774" s="220"/>
      <c r="M774" s="220"/>
      <c r="N774" s="220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spans="1:26" ht="15.75">
      <c r="A775" s="218"/>
      <c r="B775" s="221"/>
      <c r="C775" s="222"/>
      <c r="D775" s="218"/>
      <c r="E775" s="218"/>
      <c r="F775" s="220"/>
      <c r="G775" s="218"/>
      <c r="H775" s="218"/>
      <c r="I775" s="218"/>
      <c r="J775" s="218"/>
      <c r="K775" s="220"/>
      <c r="L775" s="220"/>
      <c r="M775" s="220"/>
      <c r="N775" s="220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spans="1:26" ht="15.75">
      <c r="A776" s="218"/>
      <c r="B776" s="221"/>
      <c r="C776" s="222"/>
      <c r="D776" s="218"/>
      <c r="E776" s="218"/>
      <c r="F776" s="220"/>
      <c r="G776" s="218"/>
      <c r="H776" s="218"/>
      <c r="I776" s="218"/>
      <c r="J776" s="218"/>
      <c r="K776" s="220"/>
      <c r="L776" s="220"/>
      <c r="M776" s="220"/>
      <c r="N776" s="220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spans="1:26" ht="15.75">
      <c r="A777" s="218"/>
      <c r="B777" s="221"/>
      <c r="C777" s="222"/>
      <c r="D777" s="218"/>
      <c r="E777" s="218"/>
      <c r="F777" s="220"/>
      <c r="G777" s="218"/>
      <c r="H777" s="218"/>
      <c r="I777" s="218"/>
      <c r="J777" s="218"/>
      <c r="K777" s="220"/>
      <c r="L777" s="220"/>
      <c r="M777" s="220"/>
      <c r="N777" s="220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spans="1:26" ht="15.75">
      <c r="A778" s="218"/>
      <c r="B778" s="221"/>
      <c r="C778" s="222"/>
      <c r="D778" s="218"/>
      <c r="E778" s="218"/>
      <c r="F778" s="220"/>
      <c r="G778" s="218"/>
      <c r="H778" s="218"/>
      <c r="I778" s="218"/>
      <c r="J778" s="218"/>
      <c r="K778" s="220"/>
      <c r="L778" s="220"/>
      <c r="M778" s="220"/>
      <c r="N778" s="220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spans="1:26" ht="15.75">
      <c r="A779" s="218"/>
      <c r="B779" s="221"/>
      <c r="C779" s="222"/>
      <c r="D779" s="218"/>
      <c r="E779" s="218"/>
      <c r="F779" s="220"/>
      <c r="G779" s="218"/>
      <c r="H779" s="218"/>
      <c r="I779" s="218"/>
      <c r="J779" s="218"/>
      <c r="K779" s="220"/>
      <c r="L779" s="220"/>
      <c r="M779" s="220"/>
      <c r="N779" s="220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spans="1:26" ht="15.75">
      <c r="A780" s="218"/>
      <c r="B780" s="221"/>
      <c r="C780" s="222"/>
      <c r="D780" s="218"/>
      <c r="E780" s="218"/>
      <c r="F780" s="220"/>
      <c r="G780" s="218"/>
      <c r="H780" s="218"/>
      <c r="I780" s="218"/>
      <c r="J780" s="218"/>
      <c r="K780" s="220"/>
      <c r="L780" s="220"/>
      <c r="M780" s="220"/>
      <c r="N780" s="220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spans="1:26" ht="15.75">
      <c r="A781" s="218"/>
      <c r="B781" s="221"/>
      <c r="C781" s="222"/>
      <c r="D781" s="218"/>
      <c r="E781" s="218"/>
      <c r="F781" s="220"/>
      <c r="G781" s="218"/>
      <c r="H781" s="218"/>
      <c r="I781" s="218"/>
      <c r="J781" s="218"/>
      <c r="K781" s="220"/>
      <c r="L781" s="220"/>
      <c r="M781" s="220"/>
      <c r="N781" s="220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spans="1:26" ht="15.75">
      <c r="A782" s="218"/>
      <c r="B782" s="221"/>
      <c r="C782" s="222"/>
      <c r="D782" s="218"/>
      <c r="E782" s="218"/>
      <c r="F782" s="220"/>
      <c r="G782" s="218"/>
      <c r="H782" s="218"/>
      <c r="I782" s="218"/>
      <c r="J782" s="218"/>
      <c r="K782" s="220"/>
      <c r="L782" s="220"/>
      <c r="M782" s="220"/>
      <c r="N782" s="220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spans="1:26" ht="15.75">
      <c r="A783" s="218"/>
      <c r="B783" s="221"/>
      <c r="C783" s="222"/>
      <c r="D783" s="218"/>
      <c r="E783" s="218"/>
      <c r="F783" s="220"/>
      <c r="G783" s="218"/>
      <c r="H783" s="218"/>
      <c r="I783" s="218"/>
      <c r="J783" s="218"/>
      <c r="K783" s="220"/>
      <c r="L783" s="220"/>
      <c r="M783" s="220"/>
      <c r="N783" s="220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spans="1:26" ht="15.75">
      <c r="A784" s="218"/>
      <c r="B784" s="221"/>
      <c r="C784" s="222"/>
      <c r="D784" s="218"/>
      <c r="E784" s="218"/>
      <c r="F784" s="220"/>
      <c r="G784" s="218"/>
      <c r="H784" s="218"/>
      <c r="I784" s="218"/>
      <c r="J784" s="218"/>
      <c r="K784" s="220"/>
      <c r="L784" s="220"/>
      <c r="M784" s="220"/>
      <c r="N784" s="220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spans="1:26" ht="15.75">
      <c r="A785" s="218"/>
      <c r="B785" s="221"/>
      <c r="C785" s="222"/>
      <c r="D785" s="218"/>
      <c r="E785" s="218"/>
      <c r="F785" s="220"/>
      <c r="G785" s="218"/>
      <c r="H785" s="218"/>
      <c r="I785" s="218"/>
      <c r="J785" s="218"/>
      <c r="K785" s="220"/>
      <c r="L785" s="220"/>
      <c r="M785" s="220"/>
      <c r="N785" s="220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spans="1:26" ht="15.75">
      <c r="A786" s="218"/>
      <c r="B786" s="221"/>
      <c r="C786" s="222"/>
      <c r="D786" s="218"/>
      <c r="E786" s="218"/>
      <c r="F786" s="220"/>
      <c r="G786" s="218"/>
      <c r="H786" s="218"/>
      <c r="I786" s="218"/>
      <c r="J786" s="218"/>
      <c r="K786" s="220"/>
      <c r="L786" s="220"/>
      <c r="M786" s="220"/>
      <c r="N786" s="220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spans="1:26" ht="15.75">
      <c r="A787" s="218"/>
      <c r="B787" s="221"/>
      <c r="C787" s="222"/>
      <c r="D787" s="218"/>
      <c r="E787" s="218"/>
      <c r="F787" s="220"/>
      <c r="G787" s="218"/>
      <c r="H787" s="218"/>
      <c r="I787" s="218"/>
      <c r="J787" s="218"/>
      <c r="K787" s="220"/>
      <c r="L787" s="220"/>
      <c r="M787" s="220"/>
      <c r="N787" s="220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spans="1:26" ht="15.75">
      <c r="A788" s="218"/>
      <c r="B788" s="221"/>
      <c r="C788" s="222"/>
      <c r="D788" s="218"/>
      <c r="E788" s="218"/>
      <c r="F788" s="220"/>
      <c r="G788" s="218"/>
      <c r="H788" s="218"/>
      <c r="I788" s="218"/>
      <c r="J788" s="218"/>
      <c r="K788" s="220"/>
      <c r="L788" s="220"/>
      <c r="M788" s="220"/>
      <c r="N788" s="220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spans="1:26" ht="15.75">
      <c r="A789" s="218"/>
      <c r="B789" s="221"/>
      <c r="C789" s="222"/>
      <c r="D789" s="218"/>
      <c r="E789" s="218"/>
      <c r="F789" s="220"/>
      <c r="G789" s="218"/>
      <c r="H789" s="218"/>
      <c r="I789" s="218"/>
      <c r="J789" s="218"/>
      <c r="K789" s="220"/>
      <c r="L789" s="220"/>
      <c r="M789" s="220"/>
      <c r="N789" s="220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spans="1:26" ht="15.75">
      <c r="A790" s="218"/>
      <c r="B790" s="221"/>
      <c r="C790" s="222"/>
      <c r="D790" s="218"/>
      <c r="E790" s="218"/>
      <c r="F790" s="220"/>
      <c r="G790" s="218"/>
      <c r="H790" s="218"/>
      <c r="I790" s="218"/>
      <c r="J790" s="218"/>
      <c r="K790" s="220"/>
      <c r="L790" s="220"/>
      <c r="M790" s="220"/>
      <c r="N790" s="220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spans="1:26" ht="15.75">
      <c r="A791" s="218"/>
      <c r="B791" s="221"/>
      <c r="C791" s="222"/>
      <c r="D791" s="218"/>
      <c r="E791" s="218"/>
      <c r="F791" s="220"/>
      <c r="G791" s="218"/>
      <c r="H791" s="218"/>
      <c r="I791" s="218"/>
      <c r="J791" s="218"/>
      <c r="K791" s="220"/>
      <c r="L791" s="220"/>
      <c r="M791" s="220"/>
      <c r="N791" s="220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spans="1:26" ht="15.75">
      <c r="A792" s="218"/>
      <c r="B792" s="221"/>
      <c r="C792" s="222"/>
      <c r="D792" s="218"/>
      <c r="E792" s="218"/>
      <c r="F792" s="220"/>
      <c r="G792" s="218"/>
      <c r="H792" s="218"/>
      <c r="I792" s="218"/>
      <c r="J792" s="218"/>
      <c r="K792" s="220"/>
      <c r="L792" s="220"/>
      <c r="M792" s="220"/>
      <c r="N792" s="220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spans="1:26" ht="15.75">
      <c r="A793" s="218"/>
      <c r="B793" s="221"/>
      <c r="C793" s="222"/>
      <c r="D793" s="218"/>
      <c r="E793" s="218"/>
      <c r="F793" s="220"/>
      <c r="G793" s="218"/>
      <c r="H793" s="218"/>
      <c r="I793" s="218"/>
      <c r="J793" s="218"/>
      <c r="K793" s="220"/>
      <c r="L793" s="220"/>
      <c r="M793" s="220"/>
      <c r="N793" s="220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spans="1:26" ht="15.75">
      <c r="A794" s="218"/>
      <c r="B794" s="221"/>
      <c r="C794" s="222"/>
      <c r="D794" s="218"/>
      <c r="E794" s="218"/>
      <c r="F794" s="220"/>
      <c r="G794" s="218"/>
      <c r="H794" s="218"/>
      <c r="I794" s="218"/>
      <c r="J794" s="218"/>
      <c r="K794" s="220"/>
      <c r="L794" s="220"/>
      <c r="M794" s="220"/>
      <c r="N794" s="220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spans="1:26" ht="15.75">
      <c r="A795" s="218"/>
      <c r="B795" s="221"/>
      <c r="C795" s="222"/>
      <c r="D795" s="218"/>
      <c r="E795" s="218"/>
      <c r="F795" s="220"/>
      <c r="G795" s="218"/>
      <c r="H795" s="218"/>
      <c r="I795" s="218"/>
      <c r="J795" s="218"/>
      <c r="K795" s="220"/>
      <c r="L795" s="220"/>
      <c r="M795" s="220"/>
      <c r="N795" s="220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spans="1:26" ht="15.75">
      <c r="A796" s="218"/>
      <c r="B796" s="221"/>
      <c r="C796" s="222"/>
      <c r="D796" s="218"/>
      <c r="E796" s="218"/>
      <c r="F796" s="220"/>
      <c r="G796" s="218"/>
      <c r="H796" s="218"/>
      <c r="I796" s="218"/>
      <c r="J796" s="218"/>
      <c r="K796" s="220"/>
      <c r="L796" s="220"/>
      <c r="M796" s="220"/>
      <c r="N796" s="220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spans="1:26" ht="15.75">
      <c r="A797" s="218"/>
      <c r="B797" s="221"/>
      <c r="C797" s="222"/>
      <c r="D797" s="218"/>
      <c r="E797" s="218"/>
      <c r="F797" s="220"/>
      <c r="G797" s="218"/>
      <c r="H797" s="218"/>
      <c r="I797" s="218"/>
      <c r="J797" s="218"/>
      <c r="K797" s="220"/>
      <c r="L797" s="220"/>
      <c r="M797" s="220"/>
      <c r="N797" s="220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spans="1:26" ht="15.75">
      <c r="A798" s="218"/>
      <c r="B798" s="221"/>
      <c r="C798" s="222"/>
      <c r="D798" s="218"/>
      <c r="E798" s="218"/>
      <c r="F798" s="220"/>
      <c r="G798" s="218"/>
      <c r="H798" s="218"/>
      <c r="I798" s="218"/>
      <c r="J798" s="218"/>
      <c r="K798" s="220"/>
      <c r="L798" s="220"/>
      <c r="M798" s="220"/>
      <c r="N798" s="220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spans="1:26" ht="15.75">
      <c r="A799" s="218"/>
      <c r="B799" s="221"/>
      <c r="C799" s="222"/>
      <c r="D799" s="218"/>
      <c r="E799" s="218"/>
      <c r="F799" s="220"/>
      <c r="G799" s="218"/>
      <c r="H799" s="218"/>
      <c r="I799" s="218"/>
      <c r="J799" s="218"/>
      <c r="K799" s="220"/>
      <c r="L799" s="220"/>
      <c r="M799" s="220"/>
      <c r="N799" s="220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spans="1:26" ht="15.75">
      <c r="A800" s="218"/>
      <c r="B800" s="221"/>
      <c r="C800" s="222"/>
      <c r="D800" s="218"/>
      <c r="E800" s="218"/>
      <c r="F800" s="220"/>
      <c r="G800" s="218"/>
      <c r="H800" s="218"/>
      <c r="I800" s="218"/>
      <c r="J800" s="218"/>
      <c r="K800" s="220"/>
      <c r="L800" s="220"/>
      <c r="M800" s="220"/>
      <c r="N800" s="220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spans="1:26" ht="15.75">
      <c r="A801" s="218"/>
      <c r="B801" s="221"/>
      <c r="C801" s="222"/>
      <c r="D801" s="218"/>
      <c r="E801" s="218"/>
      <c r="F801" s="220"/>
      <c r="G801" s="218"/>
      <c r="H801" s="218"/>
      <c r="I801" s="218"/>
      <c r="J801" s="218"/>
      <c r="K801" s="220"/>
      <c r="L801" s="220"/>
      <c r="M801" s="220"/>
      <c r="N801" s="220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spans="1:26" ht="15.75">
      <c r="A802" s="218"/>
      <c r="B802" s="221"/>
      <c r="C802" s="222"/>
      <c r="D802" s="218"/>
      <c r="E802" s="218"/>
      <c r="F802" s="220"/>
      <c r="G802" s="218"/>
      <c r="H802" s="218"/>
      <c r="I802" s="218"/>
      <c r="J802" s="218"/>
      <c r="K802" s="220"/>
      <c r="L802" s="220"/>
      <c r="M802" s="220"/>
      <c r="N802" s="220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spans="1:26" ht="15.75">
      <c r="A803" s="218"/>
      <c r="B803" s="221"/>
      <c r="C803" s="222"/>
      <c r="D803" s="218"/>
      <c r="E803" s="218"/>
      <c r="F803" s="220"/>
      <c r="G803" s="218"/>
      <c r="H803" s="218"/>
      <c r="I803" s="218"/>
      <c r="J803" s="218"/>
      <c r="K803" s="220"/>
      <c r="L803" s="220"/>
      <c r="M803" s="220"/>
      <c r="N803" s="220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spans="1:26" ht="15.75">
      <c r="A804" s="218"/>
      <c r="B804" s="221"/>
      <c r="C804" s="222"/>
      <c r="D804" s="218"/>
      <c r="E804" s="218"/>
      <c r="F804" s="220"/>
      <c r="G804" s="218"/>
      <c r="H804" s="218"/>
      <c r="I804" s="218"/>
      <c r="J804" s="218"/>
      <c r="K804" s="220"/>
      <c r="L804" s="220"/>
      <c r="M804" s="220"/>
      <c r="N804" s="220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spans="1:26" ht="15.75">
      <c r="A805" s="218"/>
      <c r="B805" s="221"/>
      <c r="C805" s="222"/>
      <c r="D805" s="218"/>
      <c r="E805" s="218"/>
      <c r="F805" s="220"/>
      <c r="G805" s="218"/>
      <c r="H805" s="218"/>
      <c r="I805" s="218"/>
      <c r="J805" s="218"/>
      <c r="K805" s="220"/>
      <c r="L805" s="220"/>
      <c r="M805" s="220"/>
      <c r="N805" s="220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spans="1:26" ht="15.75">
      <c r="A806" s="218"/>
      <c r="B806" s="221"/>
      <c r="C806" s="222"/>
      <c r="D806" s="218"/>
      <c r="E806" s="218"/>
      <c r="F806" s="220"/>
      <c r="G806" s="218"/>
      <c r="H806" s="218"/>
      <c r="I806" s="218"/>
      <c r="J806" s="218"/>
      <c r="K806" s="220"/>
      <c r="L806" s="220"/>
      <c r="M806" s="220"/>
      <c r="N806" s="220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spans="1:26" ht="15.75">
      <c r="A807" s="218"/>
      <c r="B807" s="221"/>
      <c r="C807" s="222"/>
      <c r="D807" s="218"/>
      <c r="E807" s="218"/>
      <c r="F807" s="220"/>
      <c r="G807" s="218"/>
      <c r="H807" s="218"/>
      <c r="I807" s="218"/>
      <c r="J807" s="218"/>
      <c r="K807" s="220"/>
      <c r="L807" s="220"/>
      <c r="M807" s="220"/>
      <c r="N807" s="220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spans="1:26" ht="15.75">
      <c r="A808" s="218"/>
      <c r="B808" s="221"/>
      <c r="C808" s="222"/>
      <c r="D808" s="218"/>
      <c r="E808" s="218"/>
      <c r="F808" s="220"/>
      <c r="G808" s="218"/>
      <c r="H808" s="218"/>
      <c r="I808" s="218"/>
      <c r="J808" s="218"/>
      <c r="K808" s="220"/>
      <c r="L808" s="220"/>
      <c r="M808" s="220"/>
      <c r="N808" s="220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spans="1:26" ht="15.75">
      <c r="A809" s="218"/>
      <c r="B809" s="221"/>
      <c r="C809" s="222"/>
      <c r="D809" s="218"/>
      <c r="E809" s="218"/>
      <c r="F809" s="220"/>
      <c r="G809" s="218"/>
      <c r="H809" s="218"/>
      <c r="I809" s="218"/>
      <c r="J809" s="218"/>
      <c r="K809" s="220"/>
      <c r="L809" s="220"/>
      <c r="M809" s="220"/>
      <c r="N809" s="220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spans="1:26" ht="15.75">
      <c r="A810" s="218"/>
      <c r="B810" s="221"/>
      <c r="C810" s="222"/>
      <c r="D810" s="218"/>
      <c r="E810" s="218"/>
      <c r="F810" s="220"/>
      <c r="G810" s="218"/>
      <c r="H810" s="218"/>
      <c r="I810" s="218"/>
      <c r="J810" s="218"/>
      <c r="K810" s="220"/>
      <c r="L810" s="220"/>
      <c r="M810" s="220"/>
      <c r="N810" s="220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spans="1:26" ht="15.75">
      <c r="A811" s="218"/>
      <c r="B811" s="221"/>
      <c r="C811" s="222"/>
      <c r="D811" s="218"/>
      <c r="E811" s="218"/>
      <c r="F811" s="220"/>
      <c r="G811" s="218"/>
      <c r="H811" s="218"/>
      <c r="I811" s="218"/>
      <c r="J811" s="218"/>
      <c r="K811" s="220"/>
      <c r="L811" s="220"/>
      <c r="M811" s="220"/>
      <c r="N811" s="220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spans="1:26" ht="15.75">
      <c r="A812" s="218"/>
      <c r="B812" s="221"/>
      <c r="C812" s="222"/>
      <c r="D812" s="218"/>
      <c r="E812" s="218"/>
      <c r="F812" s="220"/>
      <c r="G812" s="218"/>
      <c r="H812" s="218"/>
      <c r="I812" s="218"/>
      <c r="J812" s="218"/>
      <c r="K812" s="220"/>
      <c r="L812" s="220"/>
      <c r="M812" s="220"/>
      <c r="N812" s="220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spans="1:26" ht="15.75">
      <c r="A813" s="218"/>
      <c r="B813" s="221"/>
      <c r="C813" s="222"/>
      <c r="D813" s="218"/>
      <c r="E813" s="218"/>
      <c r="F813" s="220"/>
      <c r="G813" s="218"/>
      <c r="H813" s="218"/>
      <c r="I813" s="218"/>
      <c r="J813" s="218"/>
      <c r="K813" s="220"/>
      <c r="L813" s="220"/>
      <c r="M813" s="220"/>
      <c r="N813" s="220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spans="1:26" ht="15.75">
      <c r="A814" s="218"/>
      <c r="B814" s="221"/>
      <c r="C814" s="222"/>
      <c r="D814" s="218"/>
      <c r="E814" s="218"/>
      <c r="F814" s="220"/>
      <c r="G814" s="218"/>
      <c r="H814" s="218"/>
      <c r="I814" s="218"/>
      <c r="J814" s="218"/>
      <c r="K814" s="220"/>
      <c r="L814" s="220"/>
      <c r="M814" s="220"/>
      <c r="N814" s="220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spans="1:26" ht="15.75">
      <c r="A815" s="218"/>
      <c r="B815" s="221"/>
      <c r="C815" s="222"/>
      <c r="D815" s="218"/>
      <c r="E815" s="218"/>
      <c r="F815" s="220"/>
      <c r="G815" s="218"/>
      <c r="H815" s="218"/>
      <c r="I815" s="218"/>
      <c r="J815" s="218"/>
      <c r="K815" s="220"/>
      <c r="L815" s="220"/>
      <c r="M815" s="220"/>
      <c r="N815" s="220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spans="1:26" ht="15.75">
      <c r="A816" s="218"/>
      <c r="B816" s="221"/>
      <c r="C816" s="222"/>
      <c r="D816" s="218"/>
      <c r="E816" s="218"/>
      <c r="F816" s="220"/>
      <c r="G816" s="218"/>
      <c r="H816" s="218"/>
      <c r="I816" s="218"/>
      <c r="J816" s="218"/>
      <c r="K816" s="220"/>
      <c r="L816" s="220"/>
      <c r="M816" s="220"/>
      <c r="N816" s="220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spans="1:26" ht="15.75">
      <c r="A817" s="218"/>
      <c r="B817" s="221"/>
      <c r="C817" s="222"/>
      <c r="D817" s="218"/>
      <c r="E817" s="218"/>
      <c r="F817" s="220"/>
      <c r="G817" s="218"/>
      <c r="H817" s="218"/>
      <c r="I817" s="218"/>
      <c r="J817" s="218"/>
      <c r="K817" s="220"/>
      <c r="L817" s="220"/>
      <c r="M817" s="220"/>
      <c r="N817" s="220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spans="1:26" ht="15.75">
      <c r="A818" s="218"/>
      <c r="B818" s="221"/>
      <c r="C818" s="222"/>
      <c r="D818" s="218"/>
      <c r="E818" s="218"/>
      <c r="F818" s="220"/>
      <c r="G818" s="218"/>
      <c r="H818" s="218"/>
      <c r="I818" s="218"/>
      <c r="J818" s="218"/>
      <c r="K818" s="220"/>
      <c r="L818" s="220"/>
      <c r="M818" s="220"/>
      <c r="N818" s="220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spans="1:26" ht="15.75">
      <c r="A819" s="218"/>
      <c r="B819" s="221"/>
      <c r="C819" s="222"/>
      <c r="D819" s="218"/>
      <c r="E819" s="218"/>
      <c r="F819" s="220"/>
      <c r="G819" s="218"/>
      <c r="H819" s="218"/>
      <c r="I819" s="218"/>
      <c r="J819" s="218"/>
      <c r="K819" s="220"/>
      <c r="L819" s="220"/>
      <c r="M819" s="220"/>
      <c r="N819" s="220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spans="1:26" ht="15.75">
      <c r="A820" s="218"/>
      <c r="B820" s="221"/>
      <c r="C820" s="222"/>
      <c r="D820" s="218"/>
      <c r="E820" s="218"/>
      <c r="F820" s="220"/>
      <c r="G820" s="218"/>
      <c r="H820" s="218"/>
      <c r="I820" s="218"/>
      <c r="J820" s="218"/>
      <c r="K820" s="220"/>
      <c r="L820" s="220"/>
      <c r="M820" s="220"/>
      <c r="N820" s="220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spans="1:26" ht="15.75">
      <c r="A821" s="218"/>
      <c r="B821" s="221"/>
      <c r="C821" s="222"/>
      <c r="D821" s="218"/>
      <c r="E821" s="218"/>
      <c r="F821" s="220"/>
      <c r="G821" s="218"/>
      <c r="H821" s="218"/>
      <c r="I821" s="218"/>
      <c r="J821" s="218"/>
      <c r="K821" s="220"/>
      <c r="L821" s="220"/>
      <c r="M821" s="220"/>
      <c r="N821" s="220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spans="1:26" ht="15.75">
      <c r="A822" s="218"/>
      <c r="B822" s="221"/>
      <c r="C822" s="222"/>
      <c r="D822" s="218"/>
      <c r="E822" s="218"/>
      <c r="F822" s="220"/>
      <c r="G822" s="218"/>
      <c r="H822" s="218"/>
      <c r="I822" s="218"/>
      <c r="J822" s="218"/>
      <c r="K822" s="220"/>
      <c r="L822" s="220"/>
      <c r="M822" s="220"/>
      <c r="N822" s="220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spans="1:26" ht="15.75">
      <c r="A823" s="218"/>
      <c r="B823" s="221"/>
      <c r="C823" s="222"/>
      <c r="D823" s="218"/>
      <c r="E823" s="218"/>
      <c r="F823" s="220"/>
      <c r="G823" s="218"/>
      <c r="H823" s="218"/>
      <c r="I823" s="218"/>
      <c r="J823" s="218"/>
      <c r="K823" s="220"/>
      <c r="L823" s="220"/>
      <c r="M823" s="220"/>
      <c r="N823" s="220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spans="1:26" ht="15.75">
      <c r="A824" s="218"/>
      <c r="B824" s="221"/>
      <c r="C824" s="222"/>
      <c r="D824" s="218"/>
      <c r="E824" s="218"/>
      <c r="F824" s="220"/>
      <c r="G824" s="218"/>
      <c r="H824" s="218"/>
      <c r="I824" s="218"/>
      <c r="J824" s="218"/>
      <c r="K824" s="220"/>
      <c r="L824" s="220"/>
      <c r="M824" s="220"/>
      <c r="N824" s="220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spans="1:26" ht="15.75">
      <c r="A825" s="218"/>
      <c r="B825" s="221"/>
      <c r="C825" s="222"/>
      <c r="D825" s="218"/>
      <c r="E825" s="218"/>
      <c r="F825" s="220"/>
      <c r="G825" s="218"/>
      <c r="H825" s="218"/>
      <c r="I825" s="218"/>
      <c r="J825" s="218"/>
      <c r="K825" s="220"/>
      <c r="L825" s="220"/>
      <c r="M825" s="220"/>
      <c r="N825" s="220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spans="1:26" ht="15.75">
      <c r="A826" s="218"/>
      <c r="B826" s="221"/>
      <c r="C826" s="222"/>
      <c r="D826" s="218"/>
      <c r="E826" s="218"/>
      <c r="F826" s="220"/>
      <c r="G826" s="218"/>
      <c r="H826" s="218"/>
      <c r="I826" s="218"/>
      <c r="J826" s="218"/>
      <c r="K826" s="220"/>
      <c r="L826" s="220"/>
      <c r="M826" s="220"/>
      <c r="N826" s="220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spans="1:26" ht="15.75">
      <c r="A827" s="218"/>
      <c r="B827" s="221"/>
      <c r="C827" s="222"/>
      <c r="D827" s="218"/>
      <c r="E827" s="218"/>
      <c r="F827" s="220"/>
      <c r="G827" s="218"/>
      <c r="H827" s="218"/>
      <c r="I827" s="218"/>
      <c r="J827" s="218"/>
      <c r="K827" s="220"/>
      <c r="L827" s="220"/>
      <c r="M827" s="220"/>
      <c r="N827" s="220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spans="1:26" ht="15.75">
      <c r="A828" s="218"/>
      <c r="B828" s="221"/>
      <c r="C828" s="222"/>
      <c r="D828" s="218"/>
      <c r="E828" s="218"/>
      <c r="F828" s="220"/>
      <c r="G828" s="218"/>
      <c r="H828" s="218"/>
      <c r="I828" s="218"/>
      <c r="J828" s="218"/>
      <c r="K828" s="220"/>
      <c r="L828" s="220"/>
      <c r="M828" s="220"/>
      <c r="N828" s="220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spans="1:26" ht="15.75">
      <c r="A829" s="218"/>
      <c r="B829" s="221"/>
      <c r="C829" s="222"/>
      <c r="D829" s="218"/>
      <c r="E829" s="218"/>
      <c r="F829" s="220"/>
      <c r="G829" s="218"/>
      <c r="H829" s="218"/>
      <c r="I829" s="218"/>
      <c r="J829" s="218"/>
      <c r="K829" s="220"/>
      <c r="L829" s="220"/>
      <c r="M829" s="220"/>
      <c r="N829" s="220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spans="1:26" ht="15.75">
      <c r="A830" s="218"/>
      <c r="B830" s="221"/>
      <c r="C830" s="222"/>
      <c r="D830" s="218"/>
      <c r="E830" s="218"/>
      <c r="F830" s="220"/>
      <c r="G830" s="218"/>
      <c r="H830" s="218"/>
      <c r="I830" s="218"/>
      <c r="J830" s="218"/>
      <c r="K830" s="220"/>
      <c r="L830" s="220"/>
      <c r="M830" s="220"/>
      <c r="N830" s="220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spans="1:26" ht="15.75">
      <c r="A831" s="218"/>
      <c r="B831" s="221"/>
      <c r="C831" s="222"/>
      <c r="D831" s="218"/>
      <c r="E831" s="218"/>
      <c r="F831" s="220"/>
      <c r="G831" s="218"/>
      <c r="H831" s="218"/>
      <c r="I831" s="218"/>
      <c r="J831" s="218"/>
      <c r="K831" s="220"/>
      <c r="L831" s="220"/>
      <c r="M831" s="220"/>
      <c r="N831" s="220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spans="1:26" ht="15.75">
      <c r="A832" s="218"/>
      <c r="B832" s="221"/>
      <c r="C832" s="222"/>
      <c r="D832" s="218"/>
      <c r="E832" s="218"/>
      <c r="F832" s="220"/>
      <c r="G832" s="218"/>
      <c r="H832" s="218"/>
      <c r="I832" s="218"/>
      <c r="J832" s="218"/>
      <c r="K832" s="220"/>
      <c r="L832" s="220"/>
      <c r="M832" s="220"/>
      <c r="N832" s="220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spans="1:26" ht="15.75">
      <c r="A833" s="218"/>
      <c r="B833" s="221"/>
      <c r="C833" s="222"/>
      <c r="D833" s="218"/>
      <c r="E833" s="218"/>
      <c r="F833" s="220"/>
      <c r="G833" s="218"/>
      <c r="H833" s="218"/>
      <c r="I833" s="218"/>
      <c r="J833" s="218"/>
      <c r="K833" s="220"/>
      <c r="L833" s="220"/>
      <c r="M833" s="220"/>
      <c r="N833" s="220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spans="1:26" ht="15.75">
      <c r="A834" s="218"/>
      <c r="B834" s="221"/>
      <c r="C834" s="222"/>
      <c r="D834" s="218"/>
      <c r="E834" s="218"/>
      <c r="F834" s="220"/>
      <c r="G834" s="218"/>
      <c r="H834" s="218"/>
      <c r="I834" s="218"/>
      <c r="J834" s="218"/>
      <c r="K834" s="220"/>
      <c r="L834" s="220"/>
      <c r="M834" s="220"/>
      <c r="N834" s="220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spans="1:26" ht="15.75">
      <c r="A835" s="218"/>
      <c r="B835" s="221"/>
      <c r="C835" s="222"/>
      <c r="D835" s="218"/>
      <c r="E835" s="218"/>
      <c r="F835" s="220"/>
      <c r="G835" s="218"/>
      <c r="H835" s="218"/>
      <c r="I835" s="218"/>
      <c r="J835" s="218"/>
      <c r="K835" s="220"/>
      <c r="L835" s="220"/>
      <c r="M835" s="220"/>
      <c r="N835" s="220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spans="1:26" ht="15.75">
      <c r="A836" s="218"/>
      <c r="B836" s="221"/>
      <c r="C836" s="222"/>
      <c r="D836" s="218"/>
      <c r="E836" s="218"/>
      <c r="F836" s="220"/>
      <c r="G836" s="218"/>
      <c r="H836" s="218"/>
      <c r="I836" s="218"/>
      <c r="J836" s="218"/>
      <c r="K836" s="220"/>
      <c r="L836" s="220"/>
      <c r="M836" s="220"/>
      <c r="N836" s="220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spans="1:26" ht="15.75">
      <c r="A837" s="218"/>
      <c r="B837" s="221"/>
      <c r="C837" s="222"/>
      <c r="D837" s="218"/>
      <c r="E837" s="218"/>
      <c r="F837" s="220"/>
      <c r="G837" s="218"/>
      <c r="H837" s="218"/>
      <c r="I837" s="218"/>
      <c r="J837" s="218"/>
      <c r="K837" s="220"/>
      <c r="L837" s="220"/>
      <c r="M837" s="220"/>
      <c r="N837" s="220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spans="1:26" ht="15.75">
      <c r="A838" s="218"/>
      <c r="B838" s="221"/>
      <c r="C838" s="222"/>
      <c r="D838" s="218"/>
      <c r="E838" s="218"/>
      <c r="F838" s="220"/>
      <c r="G838" s="218"/>
      <c r="H838" s="218"/>
      <c r="I838" s="218"/>
      <c r="J838" s="218"/>
      <c r="K838" s="220"/>
      <c r="L838" s="220"/>
      <c r="M838" s="220"/>
      <c r="N838" s="220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spans="1:26" ht="15.75">
      <c r="A839" s="218"/>
      <c r="B839" s="221"/>
      <c r="C839" s="222"/>
      <c r="D839" s="218"/>
      <c r="E839" s="218"/>
      <c r="F839" s="220"/>
      <c r="G839" s="218"/>
      <c r="H839" s="218"/>
      <c r="I839" s="218"/>
      <c r="J839" s="218"/>
      <c r="K839" s="220"/>
      <c r="L839" s="220"/>
      <c r="M839" s="220"/>
      <c r="N839" s="220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spans="1:26" ht="15.75">
      <c r="A840" s="218"/>
      <c r="B840" s="221"/>
      <c r="C840" s="222"/>
      <c r="D840" s="218"/>
      <c r="E840" s="218"/>
      <c r="F840" s="220"/>
      <c r="G840" s="218"/>
      <c r="H840" s="218"/>
      <c r="I840" s="218"/>
      <c r="J840" s="218"/>
      <c r="K840" s="220"/>
      <c r="L840" s="220"/>
      <c r="M840" s="220"/>
      <c r="N840" s="220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spans="1:26" ht="15.75">
      <c r="A841" s="218"/>
      <c r="B841" s="221"/>
      <c r="C841" s="222"/>
      <c r="D841" s="218"/>
      <c r="E841" s="218"/>
      <c r="F841" s="220"/>
      <c r="G841" s="218"/>
      <c r="H841" s="218"/>
      <c r="I841" s="218"/>
      <c r="J841" s="218"/>
      <c r="K841" s="220"/>
      <c r="L841" s="220"/>
      <c r="M841" s="220"/>
      <c r="N841" s="220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spans="1:26" ht="15.75">
      <c r="A842" s="218"/>
      <c r="B842" s="221"/>
      <c r="C842" s="222"/>
      <c r="D842" s="218"/>
      <c r="E842" s="218"/>
      <c r="F842" s="220"/>
      <c r="G842" s="218"/>
      <c r="H842" s="218"/>
      <c r="I842" s="218"/>
      <c r="J842" s="218"/>
      <c r="K842" s="220"/>
      <c r="L842" s="220"/>
      <c r="M842" s="220"/>
      <c r="N842" s="220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spans="1:26" ht="15.75">
      <c r="A843" s="218"/>
      <c r="B843" s="221"/>
      <c r="C843" s="222"/>
      <c r="D843" s="218"/>
      <c r="E843" s="218"/>
      <c r="F843" s="220"/>
      <c r="G843" s="218"/>
      <c r="H843" s="218"/>
      <c r="I843" s="218"/>
      <c r="J843" s="218"/>
      <c r="K843" s="220"/>
      <c r="L843" s="220"/>
      <c r="M843" s="220"/>
      <c r="N843" s="220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spans="1:26" ht="15.75">
      <c r="A844" s="218"/>
      <c r="B844" s="221"/>
      <c r="C844" s="222"/>
      <c r="D844" s="218"/>
      <c r="E844" s="218"/>
      <c r="F844" s="220"/>
      <c r="G844" s="218"/>
      <c r="H844" s="218"/>
      <c r="I844" s="218"/>
      <c r="J844" s="218"/>
      <c r="K844" s="220"/>
      <c r="L844" s="220"/>
      <c r="M844" s="220"/>
      <c r="N844" s="220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spans="1:26" ht="15.75">
      <c r="A845" s="218"/>
      <c r="B845" s="221"/>
      <c r="C845" s="222"/>
      <c r="D845" s="218"/>
      <c r="E845" s="218"/>
      <c r="F845" s="220"/>
      <c r="G845" s="218"/>
      <c r="H845" s="218"/>
      <c r="I845" s="218"/>
      <c r="J845" s="218"/>
      <c r="K845" s="220"/>
      <c r="L845" s="220"/>
      <c r="M845" s="220"/>
      <c r="N845" s="220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spans="1:26" ht="15.75">
      <c r="A846" s="218"/>
      <c r="B846" s="221"/>
      <c r="C846" s="222"/>
      <c r="D846" s="218"/>
      <c r="E846" s="218"/>
      <c r="F846" s="220"/>
      <c r="G846" s="218"/>
      <c r="H846" s="218"/>
      <c r="I846" s="218"/>
      <c r="J846" s="218"/>
      <c r="K846" s="220"/>
      <c r="L846" s="220"/>
      <c r="M846" s="220"/>
      <c r="N846" s="220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spans="1:26" ht="15.75">
      <c r="A847" s="218"/>
      <c r="B847" s="221"/>
      <c r="C847" s="222"/>
      <c r="D847" s="218"/>
      <c r="E847" s="218"/>
      <c r="F847" s="220"/>
      <c r="G847" s="218"/>
      <c r="H847" s="218"/>
      <c r="I847" s="218"/>
      <c r="J847" s="218"/>
      <c r="K847" s="220"/>
      <c r="L847" s="220"/>
      <c r="M847" s="220"/>
      <c r="N847" s="220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spans="1:26" ht="15.75">
      <c r="A848" s="218"/>
      <c r="B848" s="221"/>
      <c r="C848" s="222"/>
      <c r="D848" s="218"/>
      <c r="E848" s="218"/>
      <c r="F848" s="220"/>
      <c r="G848" s="218"/>
      <c r="H848" s="218"/>
      <c r="I848" s="218"/>
      <c r="J848" s="218"/>
      <c r="K848" s="220"/>
      <c r="L848" s="220"/>
      <c r="M848" s="220"/>
      <c r="N848" s="220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spans="1:26" ht="15.75">
      <c r="A849" s="218"/>
      <c r="B849" s="221"/>
      <c r="C849" s="222"/>
      <c r="D849" s="218"/>
      <c r="E849" s="218"/>
      <c r="F849" s="220"/>
      <c r="G849" s="218"/>
      <c r="H849" s="218"/>
      <c r="I849" s="218"/>
      <c r="J849" s="218"/>
      <c r="K849" s="220"/>
      <c r="L849" s="220"/>
      <c r="M849" s="220"/>
      <c r="N849" s="220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spans="1:26" ht="15.75">
      <c r="A850" s="218"/>
      <c r="B850" s="221"/>
      <c r="C850" s="222"/>
      <c r="D850" s="218"/>
      <c r="E850" s="218"/>
      <c r="F850" s="220"/>
      <c r="G850" s="218"/>
      <c r="H850" s="218"/>
      <c r="I850" s="218"/>
      <c r="J850" s="218"/>
      <c r="K850" s="220"/>
      <c r="L850" s="220"/>
      <c r="M850" s="220"/>
      <c r="N850" s="220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spans="1:26" ht="15.75">
      <c r="A851" s="218"/>
      <c r="B851" s="221"/>
      <c r="C851" s="222"/>
      <c r="D851" s="218"/>
      <c r="E851" s="218"/>
      <c r="F851" s="220"/>
      <c r="G851" s="218"/>
      <c r="H851" s="218"/>
      <c r="I851" s="218"/>
      <c r="J851" s="218"/>
      <c r="K851" s="220"/>
      <c r="L851" s="220"/>
      <c r="M851" s="220"/>
      <c r="N851" s="220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spans="1:26" ht="15.75">
      <c r="A852" s="218"/>
      <c r="B852" s="221"/>
      <c r="C852" s="222"/>
      <c r="D852" s="218"/>
      <c r="E852" s="218"/>
      <c r="F852" s="220"/>
      <c r="G852" s="218"/>
      <c r="H852" s="218"/>
      <c r="I852" s="218"/>
      <c r="J852" s="218"/>
      <c r="K852" s="220"/>
      <c r="L852" s="220"/>
      <c r="M852" s="220"/>
      <c r="N852" s="220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spans="1:26" ht="15.75">
      <c r="A853" s="218"/>
      <c r="B853" s="221"/>
      <c r="C853" s="222"/>
      <c r="D853" s="218"/>
      <c r="E853" s="218"/>
      <c r="F853" s="220"/>
      <c r="G853" s="218"/>
      <c r="H853" s="218"/>
      <c r="I853" s="218"/>
      <c r="J853" s="218"/>
      <c r="K853" s="220"/>
      <c r="L853" s="220"/>
      <c r="M853" s="220"/>
      <c r="N853" s="220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spans="1:26" ht="15.75">
      <c r="A854" s="218"/>
      <c r="B854" s="221"/>
      <c r="C854" s="222"/>
      <c r="D854" s="218"/>
      <c r="E854" s="218"/>
      <c r="F854" s="220"/>
      <c r="G854" s="218"/>
      <c r="H854" s="218"/>
      <c r="I854" s="218"/>
      <c r="J854" s="218"/>
      <c r="K854" s="220"/>
      <c r="L854" s="220"/>
      <c r="M854" s="220"/>
      <c r="N854" s="220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spans="1:26" ht="15.75">
      <c r="A855" s="218"/>
      <c r="B855" s="221"/>
      <c r="C855" s="222"/>
      <c r="D855" s="218"/>
      <c r="E855" s="218"/>
      <c r="F855" s="220"/>
      <c r="G855" s="218"/>
      <c r="H855" s="218"/>
      <c r="I855" s="218"/>
      <c r="J855" s="218"/>
      <c r="K855" s="220"/>
      <c r="L855" s="220"/>
      <c r="M855" s="220"/>
      <c r="N855" s="220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spans="1:26" ht="15.75">
      <c r="A856" s="218"/>
      <c r="B856" s="221"/>
      <c r="C856" s="222"/>
      <c r="D856" s="218"/>
      <c r="E856" s="218"/>
      <c r="F856" s="220"/>
      <c r="G856" s="218"/>
      <c r="H856" s="218"/>
      <c r="I856" s="218"/>
      <c r="J856" s="218"/>
      <c r="K856" s="220"/>
      <c r="L856" s="220"/>
      <c r="M856" s="220"/>
      <c r="N856" s="220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spans="1:26" ht="15.75">
      <c r="A857" s="218"/>
      <c r="B857" s="221"/>
      <c r="C857" s="222"/>
      <c r="D857" s="218"/>
      <c r="E857" s="218"/>
      <c r="F857" s="220"/>
      <c r="G857" s="218"/>
      <c r="H857" s="218"/>
      <c r="I857" s="218"/>
      <c r="J857" s="218"/>
      <c r="K857" s="220"/>
      <c r="L857" s="220"/>
      <c r="M857" s="220"/>
      <c r="N857" s="220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spans="1:26" ht="15.75">
      <c r="A858" s="218"/>
      <c r="B858" s="221"/>
      <c r="C858" s="222"/>
      <c r="D858" s="218"/>
      <c r="E858" s="218"/>
      <c r="F858" s="220"/>
      <c r="G858" s="218"/>
      <c r="H858" s="218"/>
      <c r="I858" s="218"/>
      <c r="J858" s="218"/>
      <c r="K858" s="220"/>
      <c r="L858" s="220"/>
      <c r="M858" s="220"/>
      <c r="N858" s="220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spans="1:26" ht="15.75">
      <c r="A859" s="218"/>
      <c r="B859" s="221"/>
      <c r="C859" s="222"/>
      <c r="D859" s="218"/>
      <c r="E859" s="218"/>
      <c r="F859" s="220"/>
      <c r="G859" s="218"/>
      <c r="H859" s="218"/>
      <c r="I859" s="218"/>
      <c r="J859" s="218"/>
      <c r="K859" s="220"/>
      <c r="L859" s="220"/>
      <c r="M859" s="220"/>
      <c r="N859" s="220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spans="1:26" ht="15.75">
      <c r="A860" s="218"/>
      <c r="B860" s="221"/>
      <c r="C860" s="222"/>
      <c r="D860" s="218"/>
      <c r="E860" s="218"/>
      <c r="F860" s="220"/>
      <c r="G860" s="218"/>
      <c r="H860" s="218"/>
      <c r="I860" s="218"/>
      <c r="J860" s="218"/>
      <c r="K860" s="220"/>
      <c r="L860" s="220"/>
      <c r="M860" s="220"/>
      <c r="N860" s="220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spans="1:26" ht="15.75">
      <c r="A861" s="218"/>
      <c r="B861" s="221"/>
      <c r="C861" s="222"/>
      <c r="D861" s="218"/>
      <c r="E861" s="218"/>
      <c r="F861" s="220"/>
      <c r="G861" s="218"/>
      <c r="H861" s="218"/>
      <c r="I861" s="218"/>
      <c r="J861" s="218"/>
      <c r="K861" s="220"/>
      <c r="L861" s="220"/>
      <c r="M861" s="220"/>
      <c r="N861" s="220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spans="1:26" ht="15.75">
      <c r="A862" s="218"/>
      <c r="B862" s="221"/>
      <c r="C862" s="222"/>
      <c r="D862" s="218"/>
      <c r="E862" s="218"/>
      <c r="F862" s="220"/>
      <c r="G862" s="218"/>
      <c r="H862" s="218"/>
      <c r="I862" s="218"/>
      <c r="J862" s="218"/>
      <c r="K862" s="220"/>
      <c r="L862" s="220"/>
      <c r="M862" s="220"/>
      <c r="N862" s="220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spans="1:26" ht="15.75">
      <c r="A863" s="218"/>
      <c r="B863" s="221"/>
      <c r="C863" s="222"/>
      <c r="D863" s="218"/>
      <c r="E863" s="218"/>
      <c r="F863" s="220"/>
      <c r="G863" s="218"/>
      <c r="H863" s="218"/>
      <c r="I863" s="218"/>
      <c r="J863" s="218"/>
      <c r="K863" s="220"/>
      <c r="L863" s="220"/>
      <c r="M863" s="220"/>
      <c r="N863" s="220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spans="1:26" ht="15.75">
      <c r="A864" s="218"/>
      <c r="B864" s="221"/>
      <c r="C864" s="222"/>
      <c r="D864" s="218"/>
      <c r="E864" s="218"/>
      <c r="F864" s="220"/>
      <c r="G864" s="218"/>
      <c r="H864" s="218"/>
      <c r="I864" s="218"/>
      <c r="J864" s="218"/>
      <c r="K864" s="220"/>
      <c r="L864" s="220"/>
      <c r="M864" s="220"/>
      <c r="N864" s="220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spans="1:26" ht="15.75">
      <c r="A865" s="218"/>
      <c r="B865" s="221"/>
      <c r="C865" s="222"/>
      <c r="D865" s="218"/>
      <c r="E865" s="218"/>
      <c r="F865" s="220"/>
      <c r="G865" s="218"/>
      <c r="H865" s="218"/>
      <c r="I865" s="218"/>
      <c r="J865" s="218"/>
      <c r="K865" s="220"/>
      <c r="L865" s="220"/>
      <c r="M865" s="220"/>
      <c r="N865" s="220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spans="1:26" ht="15.75">
      <c r="A866" s="218"/>
      <c r="B866" s="221"/>
      <c r="C866" s="222"/>
      <c r="D866" s="218"/>
      <c r="E866" s="218"/>
      <c r="F866" s="220"/>
      <c r="G866" s="218"/>
      <c r="H866" s="218"/>
      <c r="I866" s="218"/>
      <c r="J866" s="218"/>
      <c r="K866" s="220"/>
      <c r="L866" s="220"/>
      <c r="M866" s="220"/>
      <c r="N866" s="220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spans="1:26" ht="15.75">
      <c r="A867" s="218"/>
      <c r="B867" s="221"/>
      <c r="C867" s="222"/>
      <c r="D867" s="218"/>
      <c r="E867" s="218"/>
      <c r="F867" s="220"/>
      <c r="G867" s="218"/>
      <c r="H867" s="218"/>
      <c r="I867" s="218"/>
      <c r="J867" s="218"/>
      <c r="K867" s="220"/>
      <c r="L867" s="220"/>
      <c r="M867" s="220"/>
      <c r="N867" s="220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spans="1:26" ht="15.75">
      <c r="A868" s="218"/>
      <c r="B868" s="221"/>
      <c r="C868" s="222"/>
      <c r="D868" s="218"/>
      <c r="E868" s="218"/>
      <c r="F868" s="220"/>
      <c r="G868" s="218"/>
      <c r="H868" s="218"/>
      <c r="I868" s="218"/>
      <c r="J868" s="218"/>
      <c r="K868" s="220"/>
      <c r="L868" s="220"/>
      <c r="M868" s="220"/>
      <c r="N868" s="220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spans="1:26" ht="15.75">
      <c r="A869" s="218"/>
      <c r="B869" s="221"/>
      <c r="C869" s="222"/>
      <c r="D869" s="218"/>
      <c r="E869" s="218"/>
      <c r="F869" s="220"/>
      <c r="G869" s="218"/>
      <c r="H869" s="218"/>
      <c r="I869" s="218"/>
      <c r="J869" s="218"/>
      <c r="K869" s="220"/>
      <c r="L869" s="220"/>
      <c r="M869" s="220"/>
      <c r="N869" s="220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spans="1:26" ht="15.75">
      <c r="A870" s="218"/>
      <c r="B870" s="221"/>
      <c r="C870" s="222"/>
      <c r="D870" s="218"/>
      <c r="E870" s="218"/>
      <c r="F870" s="220"/>
      <c r="G870" s="218"/>
      <c r="H870" s="218"/>
      <c r="I870" s="218"/>
      <c r="J870" s="218"/>
      <c r="K870" s="220"/>
      <c r="L870" s="220"/>
      <c r="M870" s="220"/>
      <c r="N870" s="220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spans="1:26" ht="15.75">
      <c r="A871" s="218"/>
      <c r="B871" s="221"/>
      <c r="C871" s="222"/>
      <c r="D871" s="218"/>
      <c r="E871" s="218"/>
      <c r="F871" s="220"/>
      <c r="G871" s="218"/>
      <c r="H871" s="218"/>
      <c r="I871" s="218"/>
      <c r="J871" s="218"/>
      <c r="K871" s="220"/>
      <c r="L871" s="220"/>
      <c r="M871" s="220"/>
      <c r="N871" s="220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spans="1:26" ht="15.75">
      <c r="A872" s="218"/>
      <c r="B872" s="221"/>
      <c r="C872" s="222"/>
      <c r="D872" s="218"/>
      <c r="E872" s="218"/>
      <c r="F872" s="220"/>
      <c r="G872" s="218"/>
      <c r="H872" s="218"/>
      <c r="I872" s="218"/>
      <c r="J872" s="218"/>
      <c r="K872" s="220"/>
      <c r="L872" s="220"/>
      <c r="M872" s="220"/>
      <c r="N872" s="220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spans="1:26" ht="15.75">
      <c r="A873" s="218"/>
      <c r="B873" s="221"/>
      <c r="C873" s="222"/>
      <c r="D873" s="218"/>
      <c r="E873" s="218"/>
      <c r="F873" s="220"/>
      <c r="G873" s="218"/>
      <c r="H873" s="218"/>
      <c r="I873" s="218"/>
      <c r="J873" s="218"/>
      <c r="K873" s="220"/>
      <c r="L873" s="220"/>
      <c r="M873" s="220"/>
      <c r="N873" s="220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spans="1:26" ht="15.75">
      <c r="A874" s="218"/>
      <c r="B874" s="221"/>
      <c r="C874" s="222"/>
      <c r="D874" s="218"/>
      <c r="E874" s="218"/>
      <c r="F874" s="220"/>
      <c r="G874" s="218"/>
      <c r="H874" s="218"/>
      <c r="I874" s="218"/>
      <c r="J874" s="218"/>
      <c r="K874" s="220"/>
      <c r="L874" s="220"/>
      <c r="M874" s="220"/>
      <c r="N874" s="220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spans="1:26" ht="15.75">
      <c r="A875" s="218"/>
      <c r="B875" s="221"/>
      <c r="C875" s="222"/>
      <c r="D875" s="218"/>
      <c r="E875" s="218"/>
      <c r="F875" s="220"/>
      <c r="G875" s="218"/>
      <c r="H875" s="218"/>
      <c r="I875" s="218"/>
      <c r="J875" s="218"/>
      <c r="K875" s="220"/>
      <c r="L875" s="220"/>
      <c r="M875" s="220"/>
      <c r="N875" s="220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spans="1:26" ht="15.75">
      <c r="A876" s="218"/>
      <c r="B876" s="221"/>
      <c r="C876" s="222"/>
      <c r="D876" s="218"/>
      <c r="E876" s="218"/>
      <c r="F876" s="220"/>
      <c r="G876" s="218"/>
      <c r="H876" s="218"/>
      <c r="I876" s="218"/>
      <c r="J876" s="218"/>
      <c r="K876" s="220"/>
      <c r="L876" s="220"/>
      <c r="M876" s="220"/>
      <c r="N876" s="220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spans="1:26" ht="15.75">
      <c r="A877" s="218"/>
      <c r="B877" s="221"/>
      <c r="C877" s="222"/>
      <c r="D877" s="218"/>
      <c r="E877" s="218"/>
      <c r="F877" s="220"/>
      <c r="G877" s="218"/>
      <c r="H877" s="218"/>
      <c r="I877" s="218"/>
      <c r="J877" s="218"/>
      <c r="K877" s="220"/>
      <c r="L877" s="220"/>
      <c r="M877" s="220"/>
      <c r="N877" s="220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spans="1:26" ht="15.75">
      <c r="A878" s="218"/>
      <c r="B878" s="221"/>
      <c r="C878" s="222"/>
      <c r="D878" s="218"/>
      <c r="E878" s="218"/>
      <c r="F878" s="220"/>
      <c r="G878" s="218"/>
      <c r="H878" s="218"/>
      <c r="I878" s="218"/>
      <c r="J878" s="218"/>
      <c r="K878" s="220"/>
      <c r="L878" s="220"/>
      <c r="M878" s="220"/>
      <c r="N878" s="220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spans="1:26" ht="15.75">
      <c r="A879" s="218"/>
      <c r="B879" s="221"/>
      <c r="C879" s="222"/>
      <c r="D879" s="218"/>
      <c r="E879" s="218"/>
      <c r="F879" s="220"/>
      <c r="G879" s="218"/>
      <c r="H879" s="218"/>
      <c r="I879" s="218"/>
      <c r="J879" s="218"/>
      <c r="K879" s="220"/>
      <c r="L879" s="220"/>
      <c r="M879" s="220"/>
      <c r="N879" s="220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spans="1:26" ht="15.75">
      <c r="A880" s="218"/>
      <c r="B880" s="221"/>
      <c r="C880" s="222"/>
      <c r="D880" s="218"/>
      <c r="E880" s="218"/>
      <c r="F880" s="220"/>
      <c r="G880" s="218"/>
      <c r="H880" s="218"/>
      <c r="I880" s="218"/>
      <c r="J880" s="218"/>
      <c r="K880" s="220"/>
      <c r="L880" s="220"/>
      <c r="M880" s="220"/>
      <c r="N880" s="220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spans="1:26" ht="15.75">
      <c r="A881" s="218"/>
      <c r="B881" s="221"/>
      <c r="C881" s="222"/>
      <c r="D881" s="218"/>
      <c r="E881" s="218"/>
      <c r="F881" s="220"/>
      <c r="G881" s="218"/>
      <c r="H881" s="218"/>
      <c r="I881" s="218"/>
      <c r="J881" s="218"/>
      <c r="K881" s="220"/>
      <c r="L881" s="220"/>
      <c r="M881" s="220"/>
      <c r="N881" s="220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spans="1:26" ht="15.75">
      <c r="A882" s="218"/>
      <c r="B882" s="221"/>
      <c r="C882" s="222"/>
      <c r="D882" s="218"/>
      <c r="E882" s="218"/>
      <c r="F882" s="220"/>
      <c r="G882" s="218"/>
      <c r="H882" s="218"/>
      <c r="I882" s="218"/>
      <c r="J882" s="218"/>
      <c r="K882" s="220"/>
      <c r="L882" s="220"/>
      <c r="M882" s="220"/>
      <c r="N882" s="220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spans="1:26" ht="15.75">
      <c r="A883" s="218"/>
      <c r="B883" s="221"/>
      <c r="C883" s="222"/>
      <c r="D883" s="218"/>
      <c r="E883" s="218"/>
      <c r="F883" s="220"/>
      <c r="G883" s="218"/>
      <c r="H883" s="218"/>
      <c r="I883" s="218"/>
      <c r="J883" s="218"/>
      <c r="K883" s="220"/>
      <c r="L883" s="220"/>
      <c r="M883" s="220"/>
      <c r="N883" s="220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spans="1:26" ht="15.75">
      <c r="A884" s="218"/>
      <c r="B884" s="221"/>
      <c r="C884" s="222"/>
      <c r="D884" s="218"/>
      <c r="E884" s="218"/>
      <c r="F884" s="220"/>
      <c r="G884" s="218"/>
      <c r="H884" s="218"/>
      <c r="I884" s="218"/>
      <c r="J884" s="218"/>
      <c r="K884" s="220"/>
      <c r="L884" s="220"/>
      <c r="M884" s="220"/>
      <c r="N884" s="220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spans="1:26" ht="15.75">
      <c r="A885" s="218"/>
      <c r="B885" s="221"/>
      <c r="C885" s="222"/>
      <c r="D885" s="218"/>
      <c r="E885" s="218"/>
      <c r="F885" s="220"/>
      <c r="G885" s="218"/>
      <c r="H885" s="218"/>
      <c r="I885" s="218"/>
      <c r="J885" s="218"/>
      <c r="K885" s="220"/>
      <c r="L885" s="220"/>
      <c r="M885" s="220"/>
      <c r="N885" s="220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spans="1:26" ht="15.75">
      <c r="A886" s="218"/>
      <c r="B886" s="221"/>
      <c r="C886" s="222"/>
      <c r="D886" s="218"/>
      <c r="E886" s="218"/>
      <c r="F886" s="220"/>
      <c r="G886" s="218"/>
      <c r="H886" s="218"/>
      <c r="I886" s="218"/>
      <c r="J886" s="218"/>
      <c r="K886" s="220"/>
      <c r="L886" s="220"/>
      <c r="M886" s="220"/>
      <c r="N886" s="220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spans="1:26" ht="15.75">
      <c r="A887" s="218"/>
      <c r="B887" s="221"/>
      <c r="C887" s="222"/>
      <c r="D887" s="218"/>
      <c r="E887" s="218"/>
      <c r="F887" s="220"/>
      <c r="G887" s="218"/>
      <c r="H887" s="218"/>
      <c r="I887" s="218"/>
      <c r="J887" s="218"/>
      <c r="K887" s="220"/>
      <c r="L887" s="220"/>
      <c r="M887" s="220"/>
      <c r="N887" s="220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spans="1:26" ht="15.75">
      <c r="A888" s="218"/>
      <c r="B888" s="221"/>
      <c r="C888" s="222"/>
      <c r="D888" s="218"/>
      <c r="E888" s="218"/>
      <c r="F888" s="220"/>
      <c r="G888" s="218"/>
      <c r="H888" s="218"/>
      <c r="I888" s="218"/>
      <c r="J888" s="218"/>
      <c r="K888" s="220"/>
      <c r="L888" s="220"/>
      <c r="M888" s="220"/>
      <c r="N888" s="220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spans="1:26" ht="15.75">
      <c r="A889" s="218"/>
      <c r="B889" s="221"/>
      <c r="C889" s="222"/>
      <c r="D889" s="218"/>
      <c r="E889" s="218"/>
      <c r="F889" s="220"/>
      <c r="G889" s="218"/>
      <c r="H889" s="218"/>
      <c r="I889" s="218"/>
      <c r="J889" s="218"/>
      <c r="K889" s="220"/>
      <c r="L889" s="220"/>
      <c r="M889" s="220"/>
      <c r="N889" s="220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spans="1:26" ht="15.75">
      <c r="A890" s="218"/>
      <c r="B890" s="221"/>
      <c r="C890" s="222"/>
      <c r="D890" s="218"/>
      <c r="E890" s="218"/>
      <c r="F890" s="220"/>
      <c r="G890" s="218"/>
      <c r="H890" s="218"/>
      <c r="I890" s="218"/>
      <c r="J890" s="218"/>
      <c r="K890" s="220"/>
      <c r="L890" s="220"/>
      <c r="M890" s="220"/>
      <c r="N890" s="220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spans="1:26" ht="15.75">
      <c r="A891" s="218"/>
      <c r="B891" s="221"/>
      <c r="C891" s="222"/>
      <c r="D891" s="218"/>
      <c r="E891" s="218"/>
      <c r="F891" s="220"/>
      <c r="G891" s="218"/>
      <c r="H891" s="218"/>
      <c r="I891" s="218"/>
      <c r="J891" s="218"/>
      <c r="K891" s="220"/>
      <c r="L891" s="220"/>
      <c r="M891" s="220"/>
      <c r="N891" s="220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spans="1:26" ht="15.75">
      <c r="A892" s="218"/>
      <c r="B892" s="221"/>
      <c r="C892" s="222"/>
      <c r="D892" s="218"/>
      <c r="E892" s="218"/>
      <c r="F892" s="220"/>
      <c r="G892" s="218"/>
      <c r="H892" s="218"/>
      <c r="I892" s="218"/>
      <c r="J892" s="218"/>
      <c r="K892" s="220"/>
      <c r="L892" s="220"/>
      <c r="M892" s="220"/>
      <c r="N892" s="220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spans="1:26" ht="15.75">
      <c r="A893" s="218"/>
      <c r="B893" s="221"/>
      <c r="C893" s="222"/>
      <c r="D893" s="218"/>
      <c r="E893" s="218"/>
      <c r="F893" s="220"/>
      <c r="G893" s="218"/>
      <c r="H893" s="218"/>
      <c r="I893" s="218"/>
      <c r="J893" s="218"/>
      <c r="K893" s="220"/>
      <c r="L893" s="220"/>
      <c r="M893" s="220"/>
      <c r="N893" s="220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spans="1:26" ht="15.75">
      <c r="A894" s="218"/>
      <c r="B894" s="221"/>
      <c r="C894" s="222"/>
      <c r="D894" s="218"/>
      <c r="E894" s="218"/>
      <c r="F894" s="220"/>
      <c r="G894" s="218"/>
      <c r="H894" s="218"/>
      <c r="I894" s="218"/>
      <c r="J894" s="218"/>
      <c r="K894" s="220"/>
      <c r="L894" s="220"/>
      <c r="M894" s="220"/>
      <c r="N894" s="220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spans="1:26" ht="15.75">
      <c r="A895" s="218"/>
      <c r="B895" s="221"/>
      <c r="C895" s="222"/>
      <c r="D895" s="218"/>
      <c r="E895" s="218"/>
      <c r="F895" s="220"/>
      <c r="G895" s="218"/>
      <c r="H895" s="218"/>
      <c r="I895" s="218"/>
      <c r="J895" s="218"/>
      <c r="K895" s="220"/>
      <c r="L895" s="220"/>
      <c r="M895" s="220"/>
      <c r="N895" s="220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spans="1:26" ht="15.75">
      <c r="A896" s="218"/>
      <c r="B896" s="221"/>
      <c r="C896" s="222"/>
      <c r="D896" s="218"/>
      <c r="E896" s="218"/>
      <c r="F896" s="220"/>
      <c r="G896" s="218"/>
      <c r="H896" s="218"/>
      <c r="I896" s="218"/>
      <c r="J896" s="218"/>
      <c r="K896" s="220"/>
      <c r="L896" s="220"/>
      <c r="M896" s="220"/>
      <c r="N896" s="220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spans="1:26" ht="15.75">
      <c r="A897" s="218"/>
      <c r="B897" s="221"/>
      <c r="C897" s="222"/>
      <c r="D897" s="218"/>
      <c r="E897" s="218"/>
      <c r="F897" s="220"/>
      <c r="G897" s="218"/>
      <c r="H897" s="218"/>
      <c r="I897" s="218"/>
      <c r="J897" s="218"/>
      <c r="K897" s="220"/>
      <c r="L897" s="220"/>
      <c r="M897" s="220"/>
      <c r="N897" s="220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spans="1:26" ht="15.75">
      <c r="A898" s="218"/>
      <c r="B898" s="221"/>
      <c r="C898" s="222"/>
      <c r="D898" s="218"/>
      <c r="E898" s="218"/>
      <c r="F898" s="220"/>
      <c r="G898" s="218"/>
      <c r="H898" s="218"/>
      <c r="I898" s="218"/>
      <c r="J898" s="218"/>
      <c r="K898" s="220"/>
      <c r="L898" s="220"/>
      <c r="M898" s="220"/>
      <c r="N898" s="220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spans="1:26" ht="15.75">
      <c r="A899" s="218"/>
      <c r="B899" s="221"/>
      <c r="C899" s="222"/>
      <c r="D899" s="218"/>
      <c r="E899" s="218"/>
      <c r="F899" s="220"/>
      <c r="G899" s="218"/>
      <c r="H899" s="218"/>
      <c r="I899" s="218"/>
      <c r="J899" s="218"/>
      <c r="K899" s="220"/>
      <c r="L899" s="220"/>
      <c r="M899" s="220"/>
      <c r="N899" s="220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spans="1:26" ht="15.75">
      <c r="A900" s="218"/>
      <c r="B900" s="221"/>
      <c r="C900" s="222"/>
      <c r="D900" s="218"/>
      <c r="E900" s="218"/>
      <c r="F900" s="220"/>
      <c r="G900" s="218"/>
      <c r="H900" s="218"/>
      <c r="I900" s="218"/>
      <c r="J900" s="218"/>
      <c r="K900" s="220"/>
      <c r="L900" s="220"/>
      <c r="M900" s="220"/>
      <c r="N900" s="220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spans="1:26" ht="15.75">
      <c r="A901" s="218"/>
      <c r="B901" s="221"/>
      <c r="C901" s="222"/>
      <c r="D901" s="218"/>
      <c r="E901" s="218"/>
      <c r="F901" s="220"/>
      <c r="G901" s="218"/>
      <c r="H901" s="218"/>
      <c r="I901" s="218"/>
      <c r="J901" s="218"/>
      <c r="K901" s="220"/>
      <c r="L901" s="220"/>
      <c r="M901" s="220"/>
      <c r="N901" s="220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spans="1:26" ht="15.75">
      <c r="A902" s="218"/>
      <c r="B902" s="221"/>
      <c r="C902" s="222"/>
      <c r="D902" s="218"/>
      <c r="E902" s="218"/>
      <c r="F902" s="220"/>
      <c r="G902" s="218"/>
      <c r="H902" s="218"/>
      <c r="I902" s="218"/>
      <c r="J902" s="218"/>
      <c r="K902" s="220"/>
      <c r="L902" s="220"/>
      <c r="M902" s="220"/>
      <c r="N902" s="220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spans="1:26" ht="15.75">
      <c r="A903" s="218"/>
      <c r="B903" s="221"/>
      <c r="C903" s="222"/>
      <c r="D903" s="218"/>
      <c r="E903" s="218"/>
      <c r="F903" s="220"/>
      <c r="G903" s="218"/>
      <c r="H903" s="218"/>
      <c r="I903" s="218"/>
      <c r="J903" s="218"/>
      <c r="K903" s="220"/>
      <c r="L903" s="220"/>
      <c r="M903" s="220"/>
      <c r="N903" s="220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spans="1:26" ht="15.75">
      <c r="A904" s="218"/>
      <c r="B904" s="221"/>
      <c r="C904" s="222"/>
      <c r="D904" s="218"/>
      <c r="E904" s="218"/>
      <c r="F904" s="220"/>
      <c r="G904" s="218"/>
      <c r="H904" s="218"/>
      <c r="I904" s="218"/>
      <c r="J904" s="218"/>
      <c r="K904" s="220"/>
      <c r="L904" s="220"/>
      <c r="M904" s="220"/>
      <c r="N904" s="220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spans="1:26" ht="15.75">
      <c r="A905" s="218"/>
      <c r="B905" s="221"/>
      <c r="C905" s="222"/>
      <c r="D905" s="218"/>
      <c r="E905" s="218"/>
      <c r="F905" s="220"/>
      <c r="G905" s="218"/>
      <c r="H905" s="218"/>
      <c r="I905" s="218"/>
      <c r="J905" s="218"/>
      <c r="K905" s="220"/>
      <c r="L905" s="220"/>
      <c r="M905" s="220"/>
      <c r="N905" s="220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spans="1:26" ht="15.75">
      <c r="A906" s="218"/>
      <c r="B906" s="221"/>
      <c r="C906" s="222"/>
      <c r="D906" s="218"/>
      <c r="E906" s="218"/>
      <c r="F906" s="220"/>
      <c r="G906" s="218"/>
      <c r="H906" s="218"/>
      <c r="I906" s="218"/>
      <c r="J906" s="218"/>
      <c r="K906" s="220"/>
      <c r="L906" s="220"/>
      <c r="M906" s="220"/>
      <c r="N906" s="220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spans="1:26" ht="15.75">
      <c r="A907" s="218"/>
      <c r="B907" s="221"/>
      <c r="C907" s="222"/>
      <c r="D907" s="218"/>
      <c r="E907" s="218"/>
      <c r="F907" s="220"/>
      <c r="G907" s="218"/>
      <c r="H907" s="218"/>
      <c r="I907" s="218"/>
      <c r="J907" s="218"/>
      <c r="K907" s="220"/>
      <c r="L907" s="220"/>
      <c r="M907" s="220"/>
      <c r="N907" s="220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spans="1:26" ht="15.75">
      <c r="A908" s="218"/>
      <c r="B908" s="221"/>
      <c r="C908" s="222"/>
      <c r="D908" s="218"/>
      <c r="E908" s="218"/>
      <c r="F908" s="220"/>
      <c r="G908" s="218"/>
      <c r="H908" s="218"/>
      <c r="I908" s="218"/>
      <c r="J908" s="218"/>
      <c r="K908" s="220"/>
      <c r="L908" s="220"/>
      <c r="M908" s="220"/>
      <c r="N908" s="220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spans="1:26" ht="15.75">
      <c r="A909" s="218"/>
      <c r="B909" s="221"/>
      <c r="C909" s="222"/>
      <c r="D909" s="218"/>
      <c r="E909" s="218"/>
      <c r="F909" s="220"/>
      <c r="G909" s="218"/>
      <c r="H909" s="218"/>
      <c r="I909" s="218"/>
      <c r="J909" s="218"/>
      <c r="K909" s="220"/>
      <c r="L909" s="220"/>
      <c r="M909" s="220"/>
      <c r="N909" s="220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spans="1:26" ht="15.75">
      <c r="A910" s="218"/>
      <c r="B910" s="221"/>
      <c r="C910" s="222"/>
      <c r="D910" s="218"/>
      <c r="E910" s="218"/>
      <c r="F910" s="220"/>
      <c r="G910" s="218"/>
      <c r="H910" s="218"/>
      <c r="I910" s="218"/>
      <c r="J910" s="218"/>
      <c r="K910" s="220"/>
      <c r="L910" s="220"/>
      <c r="M910" s="220"/>
      <c r="N910" s="220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spans="1:26" ht="15.75">
      <c r="A911" s="218"/>
      <c r="B911" s="221"/>
      <c r="C911" s="222"/>
      <c r="D911" s="218"/>
      <c r="E911" s="218"/>
      <c r="F911" s="220"/>
      <c r="G911" s="218"/>
      <c r="H911" s="218"/>
      <c r="I911" s="218"/>
      <c r="J911" s="218"/>
      <c r="K911" s="220"/>
      <c r="L911" s="220"/>
      <c r="M911" s="220"/>
      <c r="N911" s="220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spans="1:26" ht="15.75">
      <c r="A912" s="218"/>
      <c r="B912" s="221"/>
      <c r="C912" s="222"/>
      <c r="D912" s="218"/>
      <c r="E912" s="218"/>
      <c r="F912" s="220"/>
      <c r="G912" s="218"/>
      <c r="H912" s="218"/>
      <c r="I912" s="218"/>
      <c r="J912" s="218"/>
      <c r="K912" s="220"/>
      <c r="L912" s="220"/>
      <c r="M912" s="220"/>
      <c r="N912" s="220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spans="1:26" ht="15.75">
      <c r="A913" s="218"/>
      <c r="B913" s="221"/>
      <c r="C913" s="222"/>
      <c r="D913" s="218"/>
      <c r="E913" s="218"/>
      <c r="F913" s="220"/>
      <c r="G913" s="218"/>
      <c r="H913" s="218"/>
      <c r="I913" s="218"/>
      <c r="J913" s="218"/>
      <c r="K913" s="220"/>
      <c r="L913" s="220"/>
      <c r="M913" s="220"/>
      <c r="N913" s="220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spans="1:26" ht="15.75">
      <c r="A914" s="218"/>
      <c r="B914" s="221"/>
      <c r="C914" s="222"/>
      <c r="D914" s="218"/>
      <c r="E914" s="218"/>
      <c r="F914" s="220"/>
      <c r="G914" s="218"/>
      <c r="H914" s="218"/>
      <c r="I914" s="218"/>
      <c r="J914" s="218"/>
      <c r="K914" s="220"/>
      <c r="L914" s="220"/>
      <c r="M914" s="220"/>
      <c r="N914" s="220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spans="1:26" ht="15.75">
      <c r="A915" s="218"/>
      <c r="B915" s="221"/>
      <c r="C915" s="222"/>
      <c r="D915" s="218"/>
      <c r="E915" s="218"/>
      <c r="F915" s="220"/>
      <c r="G915" s="218"/>
      <c r="H915" s="218"/>
      <c r="I915" s="218"/>
      <c r="J915" s="218"/>
      <c r="K915" s="220"/>
      <c r="L915" s="220"/>
      <c r="M915" s="220"/>
      <c r="N915" s="220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spans="1:26" ht="15.75">
      <c r="A916" s="218"/>
      <c r="B916" s="221"/>
      <c r="C916" s="222"/>
      <c r="D916" s="218"/>
      <c r="E916" s="218"/>
      <c r="F916" s="220"/>
      <c r="G916" s="218"/>
      <c r="H916" s="218"/>
      <c r="I916" s="218"/>
      <c r="J916" s="218"/>
      <c r="K916" s="220"/>
      <c r="L916" s="220"/>
      <c r="M916" s="220"/>
      <c r="N916" s="220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spans="1:26" ht="15.75">
      <c r="A917" s="218"/>
      <c r="B917" s="221"/>
      <c r="C917" s="222"/>
      <c r="D917" s="218"/>
      <c r="E917" s="218"/>
      <c r="F917" s="220"/>
      <c r="G917" s="218"/>
      <c r="H917" s="218"/>
      <c r="I917" s="218"/>
      <c r="J917" s="218"/>
      <c r="K917" s="220"/>
      <c r="L917" s="220"/>
      <c r="M917" s="220"/>
      <c r="N917" s="220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spans="1:26" ht="15.75">
      <c r="A918" s="218"/>
      <c r="B918" s="221"/>
      <c r="C918" s="222"/>
      <c r="D918" s="218"/>
      <c r="E918" s="218"/>
      <c r="F918" s="220"/>
      <c r="G918" s="218"/>
      <c r="H918" s="218"/>
      <c r="I918" s="218"/>
      <c r="J918" s="218"/>
      <c r="K918" s="220"/>
      <c r="L918" s="220"/>
      <c r="M918" s="220"/>
      <c r="N918" s="220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spans="1:26" ht="15.75">
      <c r="A919" s="218"/>
      <c r="B919" s="221"/>
      <c r="C919" s="222"/>
      <c r="D919" s="218"/>
      <c r="E919" s="218"/>
      <c r="F919" s="220"/>
      <c r="G919" s="218"/>
      <c r="H919" s="218"/>
      <c r="I919" s="218"/>
      <c r="J919" s="218"/>
      <c r="K919" s="220"/>
      <c r="L919" s="220"/>
      <c r="M919" s="220"/>
      <c r="N919" s="220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spans="1:26" ht="15.75">
      <c r="A920" s="218"/>
      <c r="B920" s="221"/>
      <c r="C920" s="222"/>
      <c r="D920" s="218"/>
      <c r="E920" s="218"/>
      <c r="F920" s="220"/>
      <c r="G920" s="218"/>
      <c r="H920" s="218"/>
      <c r="I920" s="218"/>
      <c r="J920" s="218"/>
      <c r="K920" s="220"/>
      <c r="L920" s="220"/>
      <c r="M920" s="220"/>
      <c r="N920" s="220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spans="1:26" ht="15.75">
      <c r="A921" s="218"/>
      <c r="B921" s="221"/>
      <c r="C921" s="222"/>
      <c r="D921" s="218"/>
      <c r="E921" s="218"/>
      <c r="F921" s="220"/>
      <c r="G921" s="218"/>
      <c r="H921" s="218"/>
      <c r="I921" s="218"/>
      <c r="J921" s="218"/>
      <c r="K921" s="220"/>
      <c r="L921" s="220"/>
      <c r="M921" s="220"/>
      <c r="N921" s="220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spans="1:26" ht="15.75">
      <c r="A922" s="218"/>
      <c r="B922" s="221"/>
      <c r="C922" s="222"/>
      <c r="D922" s="218"/>
      <c r="E922" s="218"/>
      <c r="F922" s="220"/>
      <c r="G922" s="218"/>
      <c r="H922" s="218"/>
      <c r="I922" s="218"/>
      <c r="J922" s="218"/>
      <c r="K922" s="220"/>
      <c r="L922" s="220"/>
      <c r="M922" s="220"/>
      <c r="N922" s="220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spans="1:26" ht="15.75">
      <c r="A923" s="218"/>
      <c r="B923" s="221"/>
      <c r="C923" s="222"/>
      <c r="D923" s="218"/>
      <c r="E923" s="218"/>
      <c r="F923" s="220"/>
      <c r="G923" s="218"/>
      <c r="H923" s="218"/>
      <c r="I923" s="218"/>
      <c r="J923" s="218"/>
      <c r="K923" s="220"/>
      <c r="L923" s="220"/>
      <c r="M923" s="220"/>
      <c r="N923" s="220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spans="1:26" ht="15.75">
      <c r="A924" s="218"/>
      <c r="B924" s="221"/>
      <c r="C924" s="222"/>
      <c r="D924" s="218"/>
      <c r="E924" s="218"/>
      <c r="F924" s="220"/>
      <c r="G924" s="218"/>
      <c r="H924" s="218"/>
      <c r="I924" s="218"/>
      <c r="J924" s="218"/>
      <c r="K924" s="220"/>
      <c r="L924" s="220"/>
      <c r="M924" s="220"/>
      <c r="N924" s="220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spans="1:26" ht="15.75">
      <c r="A925" s="218"/>
      <c r="B925" s="221"/>
      <c r="C925" s="222"/>
      <c r="D925" s="218"/>
      <c r="E925" s="218"/>
      <c r="F925" s="220"/>
      <c r="G925" s="218"/>
      <c r="H925" s="218"/>
      <c r="I925" s="218"/>
      <c r="J925" s="218"/>
      <c r="K925" s="220"/>
      <c r="L925" s="220"/>
      <c r="M925" s="220"/>
      <c r="N925" s="220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spans="1:26" ht="15.75">
      <c r="A926" s="218"/>
      <c r="B926" s="221"/>
      <c r="C926" s="222"/>
      <c r="D926" s="218"/>
      <c r="E926" s="218"/>
      <c r="F926" s="220"/>
      <c r="G926" s="218"/>
      <c r="H926" s="218"/>
      <c r="I926" s="218"/>
      <c r="J926" s="218"/>
      <c r="K926" s="220"/>
      <c r="L926" s="220"/>
      <c r="M926" s="220"/>
      <c r="N926" s="220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spans="1:26" ht="15.75">
      <c r="A927" s="218"/>
      <c r="B927" s="221"/>
      <c r="C927" s="222"/>
      <c r="D927" s="218"/>
      <c r="E927" s="218"/>
      <c r="F927" s="220"/>
      <c r="G927" s="218"/>
      <c r="H927" s="218"/>
      <c r="I927" s="218"/>
      <c r="J927" s="218"/>
      <c r="K927" s="220"/>
      <c r="L927" s="220"/>
      <c r="M927" s="220"/>
      <c r="N927" s="220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spans="1:26" ht="15.75">
      <c r="A928" s="218"/>
      <c r="B928" s="221"/>
      <c r="C928" s="222"/>
      <c r="D928" s="218"/>
      <c r="E928" s="218"/>
      <c r="F928" s="220"/>
      <c r="G928" s="218"/>
      <c r="H928" s="218"/>
      <c r="I928" s="218"/>
      <c r="J928" s="218"/>
      <c r="K928" s="220"/>
      <c r="L928" s="220"/>
      <c r="M928" s="220"/>
      <c r="N928" s="220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spans="1:26" ht="15.75">
      <c r="A929" s="218"/>
      <c r="B929" s="221"/>
      <c r="C929" s="222"/>
      <c r="D929" s="218"/>
      <c r="E929" s="218"/>
      <c r="F929" s="220"/>
      <c r="G929" s="218"/>
      <c r="H929" s="218"/>
      <c r="I929" s="218"/>
      <c r="J929" s="218"/>
      <c r="K929" s="220"/>
      <c r="L929" s="220"/>
      <c r="M929" s="220"/>
      <c r="N929" s="220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spans="1:26" ht="15.75">
      <c r="A930" s="218"/>
      <c r="B930" s="221"/>
      <c r="C930" s="222"/>
      <c r="D930" s="218"/>
      <c r="E930" s="218"/>
      <c r="F930" s="220"/>
      <c r="G930" s="218"/>
      <c r="H930" s="218"/>
      <c r="I930" s="218"/>
      <c r="J930" s="218"/>
      <c r="K930" s="220"/>
      <c r="L930" s="220"/>
      <c r="M930" s="220"/>
      <c r="N930" s="220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spans="1:26" ht="15.75">
      <c r="A931" s="218"/>
      <c r="B931" s="221"/>
      <c r="C931" s="222"/>
      <c r="D931" s="218"/>
      <c r="E931" s="218"/>
      <c r="F931" s="220"/>
      <c r="G931" s="218"/>
      <c r="H931" s="218"/>
      <c r="I931" s="218"/>
      <c r="J931" s="218"/>
      <c r="K931" s="220"/>
      <c r="L931" s="220"/>
      <c r="M931" s="220"/>
      <c r="N931" s="220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spans="1:26" ht="15.75">
      <c r="A932" s="218"/>
      <c r="B932" s="221"/>
      <c r="C932" s="222"/>
      <c r="D932" s="218"/>
      <c r="E932" s="218"/>
      <c r="F932" s="220"/>
      <c r="G932" s="218"/>
      <c r="H932" s="218"/>
      <c r="I932" s="218"/>
      <c r="J932" s="218"/>
      <c r="K932" s="220"/>
      <c r="L932" s="220"/>
      <c r="M932" s="220"/>
      <c r="N932" s="220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spans="1:26" ht="15.75">
      <c r="A933" s="218"/>
      <c r="B933" s="221"/>
      <c r="C933" s="222"/>
      <c r="D933" s="218"/>
      <c r="E933" s="218"/>
      <c r="F933" s="220"/>
      <c r="G933" s="218"/>
      <c r="H933" s="218"/>
      <c r="I933" s="218"/>
      <c r="J933" s="218"/>
      <c r="K933" s="220"/>
      <c r="L933" s="220"/>
      <c r="M933" s="220"/>
      <c r="N933" s="220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spans="1:26" ht="15.75">
      <c r="A934" s="218"/>
      <c r="B934" s="221"/>
      <c r="C934" s="222"/>
      <c r="D934" s="218"/>
      <c r="E934" s="218"/>
      <c r="F934" s="220"/>
      <c r="G934" s="218"/>
      <c r="H934" s="218"/>
      <c r="I934" s="218"/>
      <c r="J934" s="218"/>
      <c r="K934" s="220"/>
      <c r="L934" s="220"/>
      <c r="M934" s="220"/>
      <c r="N934" s="220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spans="1:26" ht="15.75">
      <c r="A935" s="218"/>
      <c r="B935" s="221"/>
      <c r="C935" s="222"/>
      <c r="D935" s="218"/>
      <c r="E935" s="218"/>
      <c r="F935" s="220"/>
      <c r="G935" s="218"/>
      <c r="H935" s="218"/>
      <c r="I935" s="218"/>
      <c r="J935" s="218"/>
      <c r="K935" s="220"/>
      <c r="L935" s="220"/>
      <c r="M935" s="220"/>
      <c r="N935" s="220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spans="1:26" ht="15.75">
      <c r="A936" s="218"/>
      <c r="B936" s="221"/>
      <c r="C936" s="222"/>
      <c r="D936" s="218"/>
      <c r="E936" s="218"/>
      <c r="F936" s="220"/>
      <c r="G936" s="218"/>
      <c r="H936" s="218"/>
      <c r="I936" s="218"/>
      <c r="J936" s="218"/>
      <c r="K936" s="220"/>
      <c r="L936" s="220"/>
      <c r="M936" s="220"/>
      <c r="N936" s="220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spans="1:26" ht="15.75">
      <c r="A937" s="218"/>
      <c r="B937" s="221"/>
      <c r="C937" s="222"/>
      <c r="D937" s="218"/>
      <c r="E937" s="218"/>
      <c r="F937" s="220"/>
      <c r="G937" s="218"/>
      <c r="H937" s="218"/>
      <c r="I937" s="218"/>
      <c r="J937" s="218"/>
      <c r="K937" s="220"/>
      <c r="L937" s="220"/>
      <c r="M937" s="220"/>
      <c r="N937" s="220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spans="1:26" ht="15.75">
      <c r="A938" s="218"/>
      <c r="B938" s="221"/>
      <c r="C938" s="222"/>
      <c r="D938" s="218"/>
      <c r="E938" s="218"/>
      <c r="F938" s="220"/>
      <c r="G938" s="218"/>
      <c r="H938" s="218"/>
      <c r="I938" s="218"/>
      <c r="J938" s="218"/>
      <c r="K938" s="220"/>
      <c r="L938" s="220"/>
      <c r="M938" s="220"/>
      <c r="N938" s="220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spans="1:26" ht="15.75">
      <c r="A939" s="218"/>
      <c r="B939" s="221"/>
      <c r="C939" s="222"/>
      <c r="D939" s="218"/>
      <c r="E939" s="218"/>
      <c r="F939" s="220"/>
      <c r="G939" s="218"/>
      <c r="H939" s="218"/>
      <c r="I939" s="218"/>
      <c r="J939" s="218"/>
      <c r="K939" s="220"/>
      <c r="L939" s="220"/>
      <c r="M939" s="220"/>
      <c r="N939" s="220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spans="1:26" ht="15.75">
      <c r="A940" s="218"/>
      <c r="B940" s="221"/>
      <c r="C940" s="222"/>
      <c r="D940" s="218"/>
      <c r="E940" s="218"/>
      <c r="F940" s="220"/>
      <c r="G940" s="218"/>
      <c r="H940" s="218"/>
      <c r="I940" s="218"/>
      <c r="J940" s="218"/>
      <c r="K940" s="220"/>
      <c r="L940" s="220"/>
      <c r="M940" s="220"/>
      <c r="N940" s="220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spans="1:26" ht="15.75">
      <c r="A941" s="218"/>
      <c r="B941" s="221"/>
      <c r="C941" s="222"/>
      <c r="D941" s="218"/>
      <c r="E941" s="218"/>
      <c r="F941" s="220"/>
      <c r="G941" s="218"/>
      <c r="H941" s="218"/>
      <c r="I941" s="218"/>
      <c r="J941" s="218"/>
      <c r="K941" s="220"/>
      <c r="L941" s="220"/>
      <c r="M941" s="220"/>
      <c r="N941" s="220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spans="1:26" ht="15.75">
      <c r="A942" s="218"/>
      <c r="B942" s="221"/>
      <c r="C942" s="222"/>
      <c r="D942" s="218"/>
      <c r="E942" s="218"/>
      <c r="F942" s="220"/>
      <c r="G942" s="218"/>
      <c r="H942" s="218"/>
      <c r="I942" s="218"/>
      <c r="J942" s="218"/>
      <c r="K942" s="220"/>
      <c r="L942" s="220"/>
      <c r="M942" s="220"/>
      <c r="N942" s="220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spans="1:26" ht="15.75">
      <c r="A943" s="218"/>
      <c r="B943" s="221"/>
      <c r="C943" s="222"/>
      <c r="D943" s="218"/>
      <c r="E943" s="218"/>
      <c r="F943" s="220"/>
      <c r="G943" s="218"/>
      <c r="H943" s="218"/>
      <c r="I943" s="218"/>
      <c r="J943" s="218"/>
      <c r="K943" s="220"/>
      <c r="L943" s="220"/>
      <c r="M943" s="220"/>
      <c r="N943" s="220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spans="1:26" ht="15.75">
      <c r="A944" s="218"/>
      <c r="B944" s="221"/>
      <c r="C944" s="222"/>
      <c r="D944" s="218"/>
      <c r="E944" s="218"/>
      <c r="F944" s="220"/>
      <c r="G944" s="218"/>
      <c r="H944" s="218"/>
      <c r="I944" s="218"/>
      <c r="J944" s="218"/>
      <c r="K944" s="220"/>
      <c r="L944" s="220"/>
      <c r="M944" s="220"/>
      <c r="N944" s="220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spans="1:26" ht="15.75">
      <c r="A945" s="218"/>
      <c r="B945" s="221"/>
      <c r="C945" s="222"/>
      <c r="D945" s="218"/>
      <c r="E945" s="218"/>
      <c r="F945" s="220"/>
      <c r="G945" s="218"/>
      <c r="H945" s="218"/>
      <c r="I945" s="218"/>
      <c r="J945" s="218"/>
      <c r="K945" s="220"/>
      <c r="L945" s="220"/>
      <c r="M945" s="220"/>
      <c r="N945" s="220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spans="1:26" ht="15.75">
      <c r="A946" s="218"/>
      <c r="B946" s="221"/>
      <c r="C946" s="222"/>
      <c r="D946" s="218"/>
      <c r="E946" s="218"/>
      <c r="F946" s="220"/>
      <c r="G946" s="218"/>
      <c r="H946" s="218"/>
      <c r="I946" s="218"/>
      <c r="J946" s="218"/>
      <c r="K946" s="220"/>
      <c r="L946" s="220"/>
      <c r="M946" s="220"/>
      <c r="N946" s="220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spans="1:26" ht="15.75">
      <c r="A947" s="218"/>
      <c r="B947" s="221"/>
      <c r="C947" s="222"/>
      <c r="D947" s="218"/>
      <c r="E947" s="218"/>
      <c r="F947" s="220"/>
      <c r="G947" s="218"/>
      <c r="H947" s="218"/>
      <c r="I947" s="218"/>
      <c r="J947" s="218"/>
      <c r="K947" s="220"/>
      <c r="L947" s="220"/>
      <c r="M947" s="220"/>
      <c r="N947" s="220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spans="1:26" ht="15.75">
      <c r="A948" s="218"/>
      <c r="B948" s="221"/>
      <c r="C948" s="222"/>
      <c r="D948" s="218"/>
      <c r="E948" s="218"/>
      <c r="F948" s="220"/>
      <c r="G948" s="218"/>
      <c r="H948" s="218"/>
      <c r="I948" s="218"/>
      <c r="J948" s="218"/>
      <c r="K948" s="220"/>
      <c r="L948" s="220"/>
      <c r="M948" s="220"/>
      <c r="N948" s="220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spans="1:26" ht="15.75">
      <c r="A949" s="218"/>
      <c r="B949" s="221"/>
      <c r="C949" s="222"/>
      <c r="D949" s="218"/>
      <c r="E949" s="218"/>
      <c r="F949" s="220"/>
      <c r="G949" s="218"/>
      <c r="H949" s="218"/>
      <c r="I949" s="218"/>
      <c r="J949" s="218"/>
      <c r="K949" s="220"/>
      <c r="L949" s="220"/>
      <c r="M949" s="220"/>
      <c r="N949" s="220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spans="1:26" ht="15.75">
      <c r="A950" s="218"/>
      <c r="B950" s="221"/>
      <c r="C950" s="222"/>
      <c r="D950" s="218"/>
      <c r="E950" s="218"/>
      <c r="F950" s="220"/>
      <c r="G950" s="218"/>
      <c r="H950" s="218"/>
      <c r="I950" s="218"/>
      <c r="J950" s="218"/>
      <c r="K950" s="220"/>
      <c r="L950" s="220"/>
      <c r="M950" s="220"/>
      <c r="N950" s="220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spans="1:26" ht="15.75">
      <c r="A951" s="218"/>
      <c r="B951" s="221"/>
      <c r="C951" s="222"/>
      <c r="D951" s="218"/>
      <c r="E951" s="218"/>
      <c r="F951" s="220"/>
      <c r="G951" s="218"/>
      <c r="H951" s="218"/>
      <c r="I951" s="218"/>
      <c r="J951" s="218"/>
      <c r="K951" s="220"/>
      <c r="L951" s="220"/>
      <c r="M951" s="220"/>
      <c r="N951" s="220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spans="1:26" ht="15.75">
      <c r="A952" s="218"/>
      <c r="B952" s="221"/>
      <c r="C952" s="222"/>
      <c r="D952" s="218"/>
      <c r="E952" s="218"/>
      <c r="F952" s="220"/>
      <c r="G952" s="218"/>
      <c r="H952" s="218"/>
      <c r="I952" s="218"/>
      <c r="J952" s="218"/>
      <c r="K952" s="220"/>
      <c r="L952" s="220"/>
      <c r="M952" s="220"/>
      <c r="N952" s="220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spans="1:26" ht="15.75">
      <c r="A953" s="218"/>
      <c r="B953" s="221"/>
      <c r="C953" s="222"/>
      <c r="D953" s="218"/>
      <c r="E953" s="218"/>
      <c r="F953" s="220"/>
      <c r="G953" s="218"/>
      <c r="H953" s="218"/>
      <c r="I953" s="218"/>
      <c r="J953" s="218"/>
      <c r="K953" s="220"/>
      <c r="L953" s="220"/>
      <c r="M953" s="220"/>
      <c r="N953" s="220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spans="1:26" ht="15.75">
      <c r="A954" s="218"/>
      <c r="B954" s="221"/>
      <c r="C954" s="222"/>
      <c r="D954" s="218"/>
      <c r="E954" s="218"/>
      <c r="F954" s="220"/>
      <c r="G954" s="218"/>
      <c r="H954" s="218"/>
      <c r="I954" s="218"/>
      <c r="J954" s="218"/>
      <c r="K954" s="220"/>
      <c r="L954" s="220"/>
      <c r="M954" s="220"/>
      <c r="N954" s="220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spans="1:26" ht="15.75">
      <c r="A955" s="218"/>
      <c r="B955" s="221"/>
      <c r="C955" s="222"/>
      <c r="D955" s="218"/>
      <c r="E955" s="218"/>
      <c r="F955" s="220"/>
      <c r="G955" s="218"/>
      <c r="H955" s="218"/>
      <c r="I955" s="218"/>
      <c r="J955" s="218"/>
      <c r="K955" s="220"/>
      <c r="L955" s="220"/>
      <c r="M955" s="220"/>
      <c r="N955" s="220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spans="1:26" ht="15.75">
      <c r="A956" s="218"/>
      <c r="B956" s="221"/>
      <c r="C956" s="222"/>
      <c r="D956" s="218"/>
      <c r="E956" s="218"/>
      <c r="F956" s="220"/>
      <c r="G956" s="218"/>
      <c r="H956" s="218"/>
      <c r="I956" s="218"/>
      <c r="J956" s="218"/>
      <c r="K956" s="220"/>
      <c r="L956" s="220"/>
      <c r="M956" s="220"/>
      <c r="N956" s="220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spans="1:26" ht="15.75">
      <c r="A957" s="218"/>
      <c r="B957" s="221"/>
      <c r="C957" s="222"/>
      <c r="D957" s="218"/>
      <c r="E957" s="218"/>
      <c r="F957" s="220"/>
      <c r="G957" s="218"/>
      <c r="H957" s="218"/>
      <c r="I957" s="218"/>
      <c r="J957" s="218"/>
      <c r="K957" s="220"/>
      <c r="L957" s="220"/>
      <c r="M957" s="220"/>
      <c r="N957" s="220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spans="1:26" ht="15.75">
      <c r="A958" s="218"/>
      <c r="B958" s="221"/>
      <c r="C958" s="222"/>
      <c r="D958" s="218"/>
      <c r="E958" s="218"/>
      <c r="F958" s="220"/>
      <c r="G958" s="218"/>
      <c r="H958" s="218"/>
      <c r="I958" s="218"/>
      <c r="J958" s="218"/>
      <c r="K958" s="220"/>
      <c r="L958" s="220"/>
      <c r="M958" s="220"/>
      <c r="N958" s="220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spans="1:26" ht="15.75">
      <c r="A959" s="218"/>
      <c r="B959" s="221"/>
      <c r="C959" s="222"/>
      <c r="D959" s="218"/>
      <c r="E959" s="218"/>
      <c r="F959" s="220"/>
      <c r="G959" s="218"/>
      <c r="H959" s="218"/>
      <c r="I959" s="218"/>
      <c r="J959" s="218"/>
      <c r="K959" s="220"/>
      <c r="L959" s="220"/>
      <c r="M959" s="220"/>
      <c r="N959" s="220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spans="1:26" ht="15.75">
      <c r="A960" s="218"/>
      <c r="B960" s="221"/>
      <c r="C960" s="222"/>
      <c r="D960" s="218"/>
      <c r="E960" s="218"/>
      <c r="F960" s="220"/>
      <c r="G960" s="218"/>
      <c r="H960" s="218"/>
      <c r="I960" s="218"/>
      <c r="J960" s="218"/>
      <c r="K960" s="220"/>
      <c r="L960" s="220"/>
      <c r="M960" s="220"/>
      <c r="N960" s="220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spans="1:26" ht="15.75">
      <c r="A961" s="218"/>
      <c r="B961" s="221"/>
      <c r="C961" s="222"/>
      <c r="D961" s="218"/>
      <c r="E961" s="218"/>
      <c r="F961" s="220"/>
      <c r="G961" s="218"/>
      <c r="H961" s="218"/>
      <c r="I961" s="218"/>
      <c r="J961" s="218"/>
      <c r="K961" s="220"/>
      <c r="L961" s="220"/>
      <c r="M961" s="220"/>
      <c r="N961" s="220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spans="1:26" ht="15.75">
      <c r="A962" s="218"/>
      <c r="B962" s="221"/>
      <c r="C962" s="222"/>
      <c r="D962" s="218"/>
      <c r="E962" s="218"/>
      <c r="F962" s="220"/>
      <c r="G962" s="218"/>
      <c r="H962" s="218"/>
      <c r="I962" s="218"/>
      <c r="J962" s="218"/>
      <c r="K962" s="220"/>
      <c r="L962" s="220"/>
      <c r="M962" s="220"/>
      <c r="N962" s="220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spans="1:26" ht="15.75">
      <c r="A963" s="218"/>
      <c r="B963" s="221"/>
      <c r="C963" s="222"/>
      <c r="D963" s="218"/>
      <c r="E963" s="218"/>
      <c r="F963" s="220"/>
      <c r="G963" s="218"/>
      <c r="H963" s="218"/>
      <c r="I963" s="218"/>
      <c r="J963" s="218"/>
      <c r="K963" s="220"/>
      <c r="L963" s="220"/>
      <c r="M963" s="220"/>
      <c r="N963" s="220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spans="1:26" ht="15.75">
      <c r="A964" s="218"/>
      <c r="B964" s="221"/>
      <c r="C964" s="222"/>
      <c r="D964" s="218"/>
      <c r="E964" s="218"/>
      <c r="F964" s="220"/>
      <c r="G964" s="218"/>
      <c r="H964" s="218"/>
      <c r="I964" s="218"/>
      <c r="J964" s="218"/>
      <c r="K964" s="220"/>
      <c r="L964" s="220"/>
      <c r="M964" s="220"/>
      <c r="N964" s="220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spans="1:26" ht="15.75">
      <c r="A965" s="218"/>
      <c r="B965" s="221"/>
      <c r="C965" s="222"/>
      <c r="D965" s="218"/>
      <c r="E965" s="218"/>
      <c r="F965" s="220"/>
      <c r="G965" s="218"/>
      <c r="H965" s="218"/>
      <c r="I965" s="218"/>
      <c r="J965" s="218"/>
      <c r="K965" s="220"/>
      <c r="L965" s="220"/>
      <c r="M965" s="220"/>
      <c r="N965" s="220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spans="1:26" ht="15.75">
      <c r="A966" s="218"/>
      <c r="B966" s="221"/>
      <c r="C966" s="222"/>
      <c r="D966" s="218"/>
      <c r="E966" s="218"/>
      <c r="F966" s="220"/>
      <c r="G966" s="218"/>
      <c r="H966" s="218"/>
      <c r="I966" s="218"/>
      <c r="J966" s="218"/>
      <c r="K966" s="220"/>
      <c r="L966" s="220"/>
      <c r="M966" s="220"/>
      <c r="N966" s="220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spans="1:26" ht="15.75">
      <c r="A967" s="218"/>
      <c r="B967" s="221"/>
      <c r="C967" s="222"/>
      <c r="D967" s="218"/>
      <c r="E967" s="218"/>
      <c r="F967" s="220"/>
      <c r="G967" s="218"/>
      <c r="H967" s="218"/>
      <c r="I967" s="218"/>
      <c r="J967" s="218"/>
      <c r="K967" s="220"/>
      <c r="L967" s="220"/>
      <c r="M967" s="220"/>
      <c r="N967" s="220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spans="1:26" ht="15.75">
      <c r="A968" s="218"/>
      <c r="B968" s="221"/>
      <c r="C968" s="222"/>
      <c r="D968" s="218"/>
      <c r="E968" s="218"/>
      <c r="F968" s="220"/>
      <c r="G968" s="218"/>
      <c r="H968" s="218"/>
      <c r="I968" s="218"/>
      <c r="J968" s="218"/>
      <c r="K968" s="220"/>
      <c r="L968" s="220"/>
      <c r="M968" s="220"/>
      <c r="N968" s="220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spans="1:26" ht="15.75">
      <c r="A969" s="218"/>
      <c r="B969" s="221"/>
      <c r="C969" s="222"/>
      <c r="D969" s="218"/>
      <c r="E969" s="218"/>
      <c r="F969" s="220"/>
      <c r="G969" s="218"/>
      <c r="H969" s="218"/>
      <c r="I969" s="218"/>
      <c r="J969" s="218"/>
      <c r="K969" s="220"/>
      <c r="L969" s="220"/>
      <c r="M969" s="220"/>
      <c r="N969" s="220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spans="1:26" ht="15.75">
      <c r="A970" s="218"/>
      <c r="B970" s="221"/>
      <c r="C970" s="222"/>
      <c r="D970" s="218"/>
      <c r="E970" s="218"/>
      <c r="F970" s="220"/>
      <c r="G970" s="218"/>
      <c r="H970" s="218"/>
      <c r="I970" s="218"/>
      <c r="J970" s="218"/>
      <c r="K970" s="220"/>
      <c r="L970" s="220"/>
      <c r="M970" s="220"/>
      <c r="N970" s="220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spans="1:26" ht="15.75">
      <c r="A971" s="218"/>
      <c r="B971" s="221"/>
      <c r="C971" s="222"/>
      <c r="D971" s="218"/>
      <c r="E971" s="218"/>
      <c r="F971" s="220"/>
      <c r="G971" s="218"/>
      <c r="H971" s="218"/>
      <c r="I971" s="218"/>
      <c r="J971" s="218"/>
      <c r="K971" s="220"/>
      <c r="L971" s="220"/>
      <c r="M971" s="220"/>
      <c r="N971" s="220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spans="1:26" ht="15.75">
      <c r="A972" s="218"/>
      <c r="B972" s="221"/>
      <c r="C972" s="222"/>
      <c r="D972" s="218"/>
      <c r="E972" s="218"/>
      <c r="F972" s="220"/>
      <c r="G972" s="218"/>
      <c r="H972" s="218"/>
      <c r="I972" s="218"/>
      <c r="J972" s="218"/>
      <c r="K972" s="220"/>
      <c r="L972" s="220"/>
      <c r="M972" s="220"/>
      <c r="N972" s="220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spans="1:26" ht="15.75">
      <c r="A973" s="218"/>
      <c r="B973" s="221"/>
      <c r="C973" s="222"/>
      <c r="D973" s="218"/>
      <c r="E973" s="218"/>
      <c r="F973" s="220"/>
      <c r="G973" s="218"/>
      <c r="H973" s="218"/>
      <c r="I973" s="218"/>
      <c r="J973" s="218"/>
      <c r="K973" s="220"/>
      <c r="L973" s="220"/>
      <c r="M973" s="220"/>
      <c r="N973" s="220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spans="1:26" ht="15.75">
      <c r="A974" s="218"/>
      <c r="B974" s="221"/>
      <c r="C974" s="222"/>
      <c r="D974" s="218"/>
      <c r="E974" s="218"/>
      <c r="F974" s="220"/>
      <c r="G974" s="218"/>
      <c r="H974" s="218"/>
      <c r="I974" s="218"/>
      <c r="J974" s="218"/>
      <c r="K974" s="220"/>
      <c r="L974" s="220"/>
      <c r="M974" s="220"/>
      <c r="N974" s="220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spans="1:26" ht="15.75">
      <c r="A975" s="218"/>
      <c r="B975" s="221"/>
      <c r="C975" s="222"/>
      <c r="D975" s="218"/>
      <c r="E975" s="218"/>
      <c r="F975" s="220"/>
      <c r="G975" s="218"/>
      <c r="H975" s="218"/>
      <c r="I975" s="218"/>
      <c r="J975" s="218"/>
      <c r="K975" s="220"/>
      <c r="L975" s="220"/>
      <c r="M975" s="220"/>
      <c r="N975" s="220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spans="1:26" ht="15.75">
      <c r="A976" s="218"/>
      <c r="B976" s="221"/>
      <c r="C976" s="222"/>
      <c r="D976" s="218"/>
      <c r="E976" s="218"/>
      <c r="F976" s="220"/>
      <c r="G976" s="218"/>
      <c r="H976" s="218"/>
      <c r="I976" s="218"/>
      <c r="J976" s="218"/>
      <c r="K976" s="220"/>
      <c r="L976" s="220"/>
      <c r="M976" s="220"/>
      <c r="N976" s="220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spans="1:26" ht="15.75">
      <c r="A977" s="218"/>
      <c r="B977" s="221"/>
      <c r="C977" s="222"/>
      <c r="D977" s="218"/>
      <c r="E977" s="218"/>
      <c r="F977" s="220"/>
      <c r="G977" s="218"/>
      <c r="H977" s="218"/>
      <c r="I977" s="218"/>
      <c r="J977" s="218"/>
      <c r="K977" s="220"/>
      <c r="L977" s="220"/>
      <c r="M977" s="220"/>
      <c r="N977" s="220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spans="1:26" ht="15.75">
      <c r="A978" s="218"/>
      <c r="B978" s="221"/>
      <c r="C978" s="222"/>
      <c r="D978" s="218"/>
      <c r="E978" s="218"/>
      <c r="F978" s="220"/>
      <c r="G978" s="218"/>
      <c r="H978" s="218"/>
      <c r="I978" s="218"/>
      <c r="J978" s="218"/>
      <c r="K978" s="220"/>
      <c r="L978" s="220"/>
      <c r="M978" s="220"/>
      <c r="N978" s="220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spans="1:26" ht="15.75">
      <c r="A979" s="218"/>
      <c r="B979" s="221"/>
      <c r="C979" s="222"/>
      <c r="D979" s="218"/>
      <c r="E979" s="218"/>
      <c r="F979" s="220"/>
      <c r="G979" s="218"/>
      <c r="H979" s="218"/>
      <c r="I979" s="218"/>
      <c r="J979" s="218"/>
      <c r="K979" s="220"/>
      <c r="L979" s="220"/>
      <c r="M979" s="220"/>
      <c r="N979" s="220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spans="1:26" ht="15.75">
      <c r="A980" s="218"/>
      <c r="B980" s="221"/>
      <c r="C980" s="222"/>
      <c r="D980" s="218"/>
      <c r="E980" s="218"/>
      <c r="F980" s="220"/>
      <c r="G980" s="218"/>
      <c r="H980" s="218"/>
      <c r="I980" s="218"/>
      <c r="J980" s="218"/>
      <c r="K980" s="220"/>
      <c r="L980" s="220"/>
      <c r="M980" s="220"/>
      <c r="N980" s="220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spans="1:26" ht="15.75">
      <c r="A981" s="218"/>
      <c r="B981" s="221"/>
      <c r="C981" s="222"/>
      <c r="D981" s="218"/>
      <c r="E981" s="218"/>
      <c r="F981" s="220"/>
      <c r="G981" s="218"/>
      <c r="H981" s="218"/>
      <c r="I981" s="218"/>
      <c r="J981" s="218"/>
      <c r="K981" s="220"/>
      <c r="L981" s="220"/>
      <c r="M981" s="220"/>
      <c r="N981" s="220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spans="1:26" ht="15.75">
      <c r="A982" s="218"/>
      <c r="B982" s="221"/>
      <c r="C982" s="222"/>
      <c r="D982" s="218"/>
      <c r="E982" s="218"/>
      <c r="F982" s="220"/>
      <c r="G982" s="218"/>
      <c r="H982" s="218"/>
      <c r="I982" s="218"/>
      <c r="J982" s="218"/>
      <c r="K982" s="220"/>
      <c r="L982" s="220"/>
      <c r="M982" s="220"/>
      <c r="N982" s="220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spans="1:26" ht="15.75">
      <c r="A983" s="218"/>
      <c r="B983" s="221"/>
      <c r="C983" s="222"/>
      <c r="D983" s="218"/>
      <c r="E983" s="218"/>
      <c r="F983" s="220"/>
      <c r="G983" s="218"/>
      <c r="H983" s="218"/>
      <c r="I983" s="218"/>
      <c r="J983" s="218"/>
      <c r="K983" s="220"/>
      <c r="L983" s="220"/>
      <c r="M983" s="220"/>
      <c r="N983" s="220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spans="1:26" ht="15.75">
      <c r="A984" s="218"/>
      <c r="B984" s="221"/>
      <c r="C984" s="222"/>
      <c r="D984" s="218"/>
      <c r="E984" s="218"/>
      <c r="F984" s="220"/>
      <c r="G984" s="218"/>
      <c r="H984" s="218"/>
      <c r="I984" s="218"/>
      <c r="J984" s="218"/>
      <c r="K984" s="220"/>
      <c r="L984" s="220"/>
      <c r="M984" s="220"/>
      <c r="N984" s="220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spans="1:26" ht="15.75">
      <c r="A985" s="218"/>
      <c r="B985" s="221"/>
      <c r="C985" s="222"/>
      <c r="D985" s="218"/>
      <c r="E985" s="218"/>
      <c r="F985" s="220"/>
      <c r="G985" s="218"/>
      <c r="H985" s="218"/>
      <c r="I985" s="218"/>
      <c r="J985" s="218"/>
      <c r="K985" s="220"/>
      <c r="L985" s="220"/>
      <c r="M985" s="220"/>
      <c r="N985" s="220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spans="1:26" ht="15.75">
      <c r="A986" s="218"/>
      <c r="B986" s="221"/>
      <c r="C986" s="222"/>
      <c r="D986" s="218"/>
      <c r="E986" s="218"/>
      <c r="F986" s="220"/>
      <c r="G986" s="218"/>
      <c r="H986" s="218"/>
      <c r="I986" s="218"/>
      <c r="J986" s="218"/>
      <c r="K986" s="220"/>
      <c r="L986" s="220"/>
      <c r="M986" s="220"/>
      <c r="N986" s="220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spans="1:26" ht="15.75">
      <c r="A987" s="218"/>
      <c r="B987" s="221"/>
      <c r="C987" s="222"/>
      <c r="D987" s="218"/>
      <c r="E987" s="218"/>
      <c r="F987" s="220"/>
      <c r="G987" s="218"/>
      <c r="H987" s="218"/>
      <c r="I987" s="218"/>
      <c r="J987" s="218"/>
      <c r="K987" s="220"/>
      <c r="L987" s="220"/>
      <c r="M987" s="220"/>
      <c r="N987" s="220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spans="1:26" ht="15.75">
      <c r="A988" s="218"/>
      <c r="B988" s="221"/>
      <c r="C988" s="222"/>
      <c r="D988" s="218"/>
      <c r="E988" s="218"/>
      <c r="F988" s="220"/>
      <c r="G988" s="218"/>
      <c r="H988" s="218"/>
      <c r="I988" s="218"/>
      <c r="J988" s="218"/>
      <c r="K988" s="220"/>
      <c r="L988" s="220"/>
      <c r="M988" s="220"/>
      <c r="N988" s="220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spans="1:26" ht="15.75">
      <c r="A989" s="218"/>
      <c r="B989" s="221"/>
      <c r="C989" s="222"/>
      <c r="D989" s="218"/>
      <c r="E989" s="218"/>
      <c r="F989" s="220"/>
      <c r="G989" s="218"/>
      <c r="H989" s="218"/>
      <c r="I989" s="218"/>
      <c r="J989" s="218"/>
      <c r="K989" s="220"/>
      <c r="L989" s="220"/>
      <c r="M989" s="220"/>
      <c r="N989" s="220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spans="1:26" ht="15.75">
      <c r="A990" s="218"/>
      <c r="B990" s="221"/>
      <c r="C990" s="222"/>
      <c r="D990" s="218"/>
      <c r="E990" s="218"/>
      <c r="F990" s="220"/>
      <c r="G990" s="218"/>
      <c r="H990" s="218"/>
      <c r="I990" s="218"/>
      <c r="J990" s="218"/>
      <c r="K990" s="220"/>
      <c r="L990" s="220"/>
      <c r="M990" s="220"/>
      <c r="N990" s="220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spans="1:26" ht="15.75">
      <c r="A991" s="218"/>
      <c r="B991" s="221"/>
      <c r="C991" s="222"/>
      <c r="D991" s="218"/>
      <c r="E991" s="218"/>
      <c r="F991" s="220"/>
      <c r="G991" s="218"/>
      <c r="H991" s="218"/>
      <c r="I991" s="218"/>
      <c r="J991" s="218"/>
      <c r="K991" s="220"/>
      <c r="L991" s="220"/>
      <c r="M991" s="220"/>
      <c r="N991" s="220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spans="1:26" ht="15.75">
      <c r="A992" s="218"/>
      <c r="B992" s="221"/>
      <c r="C992" s="222"/>
      <c r="D992" s="218"/>
      <c r="E992" s="218"/>
      <c r="F992" s="220"/>
      <c r="G992" s="218"/>
      <c r="H992" s="218"/>
      <c r="I992" s="218"/>
      <c r="J992" s="218"/>
      <c r="K992" s="220"/>
      <c r="L992" s="220"/>
      <c r="M992" s="220"/>
      <c r="N992" s="220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spans="1:26" ht="15.75">
      <c r="A993" s="218"/>
      <c r="B993" s="221"/>
      <c r="C993" s="222"/>
      <c r="D993" s="218"/>
      <c r="E993" s="218"/>
      <c r="F993" s="220"/>
      <c r="G993" s="218"/>
      <c r="H993" s="218"/>
      <c r="I993" s="218"/>
      <c r="J993" s="218"/>
      <c r="K993" s="220"/>
      <c r="L993" s="220"/>
      <c r="M993" s="220"/>
      <c r="N993" s="220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spans="1:26" ht="15.75">
      <c r="A994" s="218"/>
      <c r="B994" s="221"/>
      <c r="C994" s="222"/>
      <c r="D994" s="218"/>
      <c r="E994" s="218"/>
      <c r="F994" s="220"/>
      <c r="G994" s="218"/>
      <c r="H994" s="218"/>
      <c r="I994" s="218"/>
      <c r="J994" s="218"/>
      <c r="K994" s="220"/>
      <c r="L994" s="220"/>
      <c r="M994" s="220"/>
      <c r="N994" s="220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spans="1:26" ht="15.75">
      <c r="A995" s="218"/>
      <c r="B995" s="221"/>
      <c r="C995" s="222"/>
      <c r="D995" s="218"/>
      <c r="E995" s="218"/>
      <c r="F995" s="220"/>
      <c r="G995" s="218"/>
      <c r="H995" s="218"/>
      <c r="I995" s="218"/>
      <c r="J995" s="218"/>
      <c r="K995" s="220"/>
      <c r="L995" s="220"/>
      <c r="M995" s="220"/>
      <c r="N995" s="220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spans="1:26" ht="15.75">
      <c r="A996" s="218"/>
      <c r="B996" s="221"/>
      <c r="C996" s="222"/>
      <c r="D996" s="218"/>
      <c r="E996" s="218"/>
      <c r="F996" s="220"/>
      <c r="G996" s="218"/>
      <c r="H996" s="218"/>
      <c r="I996" s="218"/>
      <c r="J996" s="218"/>
      <c r="K996" s="220"/>
      <c r="L996" s="220"/>
      <c r="M996" s="220"/>
      <c r="N996" s="220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spans="1:26" ht="15.75">
      <c r="A997" s="218"/>
      <c r="B997" s="221"/>
      <c r="C997" s="222"/>
      <c r="D997" s="218"/>
      <c r="E997" s="218"/>
      <c r="F997" s="220"/>
      <c r="G997" s="218"/>
      <c r="H997" s="218"/>
      <c r="I997" s="218"/>
      <c r="J997" s="218"/>
      <c r="K997" s="220"/>
      <c r="L997" s="220"/>
      <c r="M997" s="220"/>
      <c r="N997" s="220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spans="1:26" ht="15.75">
      <c r="A998" s="218"/>
      <c r="B998" s="221"/>
      <c r="C998" s="222"/>
      <c r="D998" s="218"/>
      <c r="E998" s="218"/>
      <c r="F998" s="220"/>
      <c r="G998" s="218"/>
      <c r="H998" s="218"/>
      <c r="I998" s="218"/>
      <c r="J998" s="218"/>
      <c r="K998" s="220"/>
      <c r="L998" s="220"/>
      <c r="M998" s="220"/>
      <c r="N998" s="220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spans="1:26" ht="15.75">
      <c r="A999" s="218"/>
      <c r="B999" s="221"/>
      <c r="C999" s="222"/>
      <c r="D999" s="218"/>
      <c r="E999" s="218"/>
      <c r="F999" s="220"/>
      <c r="G999" s="218"/>
      <c r="H999" s="218"/>
      <c r="I999" s="218"/>
      <c r="J999" s="218"/>
      <c r="K999" s="220"/>
      <c r="L999" s="220"/>
      <c r="M999" s="220"/>
      <c r="N999" s="220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spans="1:26" ht="15.75">
      <c r="A1000" s="218"/>
      <c r="B1000" s="221"/>
      <c r="C1000" s="222"/>
      <c r="D1000" s="218"/>
      <c r="E1000" s="218"/>
      <c r="F1000" s="220"/>
      <c r="G1000" s="218"/>
      <c r="H1000" s="218"/>
      <c r="I1000" s="218"/>
      <c r="J1000" s="218"/>
      <c r="K1000" s="220"/>
      <c r="L1000" s="220"/>
      <c r="M1000" s="220"/>
      <c r="N1000" s="220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mergeCells count="1">
    <mergeCell ref="H2:M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U87"/>
  <sheetViews>
    <sheetView workbookViewId="0">
      <selection sqref="A1:U87"/>
    </sheetView>
  </sheetViews>
  <sheetFormatPr defaultRowHeight="15"/>
  <sheetData>
    <row r="2" spans="2:21" ht="15.75">
      <c r="B2" s="308"/>
      <c r="C2" s="308"/>
      <c r="D2" s="308"/>
      <c r="E2" s="308"/>
      <c r="F2" s="308"/>
      <c r="G2" s="309" t="s">
        <v>0</v>
      </c>
      <c r="H2" s="307" t="s">
        <v>421</v>
      </c>
      <c r="I2" s="306"/>
      <c r="J2" s="306"/>
      <c r="K2" s="306"/>
      <c r="L2" s="306"/>
      <c r="M2" s="306"/>
      <c r="N2" s="311"/>
      <c r="O2" s="308"/>
      <c r="P2" s="308"/>
      <c r="Q2" s="308"/>
      <c r="R2" s="308"/>
      <c r="S2" s="308"/>
      <c r="T2" s="308"/>
      <c r="U2" s="308"/>
    </row>
    <row r="4" spans="2:21" ht="18">
      <c r="B4" s="341" t="s">
        <v>2</v>
      </c>
      <c r="C4" s="308"/>
      <c r="D4" s="308"/>
      <c r="E4" s="308"/>
      <c r="F4" s="308"/>
      <c r="G4" s="309"/>
      <c r="H4" s="309"/>
      <c r="I4" s="309"/>
      <c r="J4" s="309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</row>
    <row r="5" spans="2:21" ht="15.75">
      <c r="B5" s="308"/>
      <c r="C5" s="342"/>
      <c r="D5" s="308"/>
      <c r="E5" s="308"/>
      <c r="F5" s="308"/>
      <c r="G5" s="309"/>
      <c r="H5" s="309"/>
      <c r="I5" s="309"/>
      <c r="J5" s="309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</row>
    <row r="6" spans="2:21" ht="18.75" thickBot="1">
      <c r="B6" s="308"/>
      <c r="C6" s="343" t="s">
        <v>3</v>
      </c>
      <c r="D6" s="313" t="s">
        <v>4</v>
      </c>
      <c r="E6" s="314"/>
      <c r="F6" s="313" t="s">
        <v>5</v>
      </c>
      <c r="G6" s="314"/>
      <c r="H6" s="314"/>
      <c r="I6" s="314"/>
      <c r="J6" s="313" t="s">
        <v>6</v>
      </c>
      <c r="K6" s="313"/>
      <c r="L6" s="313" t="s">
        <v>7</v>
      </c>
      <c r="M6" s="313" t="s">
        <v>8</v>
      </c>
      <c r="N6" s="313"/>
      <c r="O6" s="327" t="s">
        <v>9</v>
      </c>
      <c r="P6" s="308"/>
      <c r="Q6" s="308"/>
      <c r="R6" s="308"/>
      <c r="S6" s="308"/>
      <c r="T6" s="308"/>
      <c r="U6" s="308"/>
    </row>
    <row r="7" spans="2:21" ht="16.5" thickBot="1">
      <c r="B7" s="340">
        <v>1</v>
      </c>
      <c r="C7" s="344" t="s">
        <v>10</v>
      </c>
      <c r="D7" s="331" t="s">
        <v>11</v>
      </c>
      <c r="E7" s="332" t="s">
        <v>12</v>
      </c>
      <c r="F7" s="331" t="s">
        <v>13</v>
      </c>
      <c r="G7" s="338" t="s">
        <v>14</v>
      </c>
      <c r="H7" s="339"/>
      <c r="I7" s="333">
        <v>2</v>
      </c>
      <c r="J7" s="331" t="s">
        <v>13</v>
      </c>
      <c r="K7" s="333">
        <v>0</v>
      </c>
      <c r="L7" s="334"/>
      <c r="M7" s="335"/>
      <c r="N7" s="322"/>
      <c r="O7" s="336" t="s">
        <v>15</v>
      </c>
      <c r="P7" s="337" t="s">
        <v>16</v>
      </c>
      <c r="Q7" s="337" t="s">
        <v>17</v>
      </c>
      <c r="R7" s="337" t="s">
        <v>18</v>
      </c>
      <c r="S7" s="337" t="s">
        <v>19</v>
      </c>
      <c r="T7" s="337" t="s">
        <v>20</v>
      </c>
      <c r="U7" s="337" t="s">
        <v>21</v>
      </c>
    </row>
    <row r="8" spans="2:21" ht="15.75">
      <c r="B8" s="340">
        <v>2</v>
      </c>
      <c r="C8" s="344" t="s">
        <v>22</v>
      </c>
      <c r="D8" s="331" t="s">
        <v>11</v>
      </c>
      <c r="E8" s="332" t="s">
        <v>23</v>
      </c>
      <c r="F8" s="331" t="s">
        <v>13</v>
      </c>
      <c r="G8" s="338" t="s">
        <v>24</v>
      </c>
      <c r="H8" s="339"/>
      <c r="I8" s="333">
        <v>2</v>
      </c>
      <c r="J8" s="331" t="s">
        <v>13</v>
      </c>
      <c r="K8" s="333">
        <v>1</v>
      </c>
      <c r="L8" s="334"/>
      <c r="M8" s="335"/>
      <c r="N8" s="322"/>
      <c r="O8" s="323">
        <v>1</v>
      </c>
      <c r="P8" s="325" t="s">
        <v>12</v>
      </c>
      <c r="Q8" s="325" t="s">
        <v>25</v>
      </c>
      <c r="R8" s="325" t="s">
        <v>26</v>
      </c>
      <c r="S8" s="325" t="s">
        <v>168</v>
      </c>
      <c r="T8" s="325" t="s">
        <v>28</v>
      </c>
      <c r="U8" s="325" t="s">
        <v>29</v>
      </c>
    </row>
    <row r="9" spans="2:21" ht="15.75">
      <c r="B9" s="340">
        <v>3</v>
      </c>
      <c r="C9" s="344" t="s">
        <v>30</v>
      </c>
      <c r="D9" s="331" t="s">
        <v>31</v>
      </c>
      <c r="E9" s="332" t="s">
        <v>32</v>
      </c>
      <c r="F9" s="331" t="s">
        <v>13</v>
      </c>
      <c r="G9" s="338" t="s">
        <v>33</v>
      </c>
      <c r="H9" s="339"/>
      <c r="I9" s="333">
        <v>2</v>
      </c>
      <c r="J9" s="331" t="s">
        <v>13</v>
      </c>
      <c r="K9" s="333">
        <v>0</v>
      </c>
      <c r="L9" s="334"/>
      <c r="M9" s="335"/>
      <c r="N9" s="322"/>
      <c r="O9" s="324">
        <v>2</v>
      </c>
      <c r="P9" s="326" t="s">
        <v>23</v>
      </c>
      <c r="Q9" s="326" t="s">
        <v>32</v>
      </c>
      <c r="R9" s="326" t="s">
        <v>422</v>
      </c>
      <c r="S9" s="326" t="s">
        <v>27</v>
      </c>
      <c r="T9" s="326" t="s">
        <v>42</v>
      </c>
      <c r="U9" s="326" t="s">
        <v>43</v>
      </c>
    </row>
    <row r="10" spans="2:21" ht="15.75">
      <c r="B10" s="340">
        <v>4</v>
      </c>
      <c r="C10" s="344" t="s">
        <v>38</v>
      </c>
      <c r="D10" s="331" t="s">
        <v>39</v>
      </c>
      <c r="E10" s="332" t="s">
        <v>35</v>
      </c>
      <c r="F10" s="331" t="s">
        <v>13</v>
      </c>
      <c r="G10" s="338" t="s">
        <v>40</v>
      </c>
      <c r="H10" s="339"/>
      <c r="I10" s="333">
        <v>1</v>
      </c>
      <c r="J10" s="331" t="s">
        <v>13</v>
      </c>
      <c r="K10" s="333">
        <v>1</v>
      </c>
      <c r="L10" s="334"/>
      <c r="M10" s="335"/>
      <c r="N10" s="322"/>
      <c r="O10" s="324">
        <v>3</v>
      </c>
      <c r="P10" s="326" t="s">
        <v>169</v>
      </c>
      <c r="Q10" s="326" t="s">
        <v>33</v>
      </c>
      <c r="R10" s="326" t="s">
        <v>34</v>
      </c>
      <c r="S10" s="326" t="s">
        <v>40</v>
      </c>
      <c r="T10" s="326" t="s">
        <v>36</v>
      </c>
      <c r="U10" s="326" t="s">
        <v>37</v>
      </c>
    </row>
    <row r="11" spans="2:21" ht="15.75">
      <c r="B11" s="340">
        <v>5</v>
      </c>
      <c r="C11" s="344" t="s">
        <v>44</v>
      </c>
      <c r="D11" s="331" t="s">
        <v>45</v>
      </c>
      <c r="E11" s="332" t="s">
        <v>46</v>
      </c>
      <c r="F11" s="331" t="s">
        <v>13</v>
      </c>
      <c r="G11" s="338" t="s">
        <v>34</v>
      </c>
      <c r="H11" s="339"/>
      <c r="I11" s="333">
        <v>0</v>
      </c>
      <c r="J11" s="331" t="s">
        <v>13</v>
      </c>
      <c r="K11" s="333">
        <v>2</v>
      </c>
      <c r="L11" s="334"/>
      <c r="M11" s="335"/>
      <c r="N11" s="322"/>
      <c r="O11" s="324">
        <v>4</v>
      </c>
      <c r="P11" s="326" t="s">
        <v>14</v>
      </c>
      <c r="Q11" s="326" t="s">
        <v>47</v>
      </c>
      <c r="R11" s="326" t="s">
        <v>46</v>
      </c>
      <c r="S11" s="326" t="s">
        <v>48</v>
      </c>
      <c r="T11" s="326" t="s">
        <v>159</v>
      </c>
      <c r="U11" s="326" t="s">
        <v>50</v>
      </c>
    </row>
    <row r="12" spans="2:21" ht="16.5" thickBot="1">
      <c r="B12" s="340">
        <v>6</v>
      </c>
      <c r="C12" s="344" t="s">
        <v>51</v>
      </c>
      <c r="D12" s="331" t="s">
        <v>39</v>
      </c>
      <c r="E12" s="332" t="s">
        <v>48</v>
      </c>
      <c r="F12" s="331" t="s">
        <v>13</v>
      </c>
      <c r="G12" s="338" t="s">
        <v>27</v>
      </c>
      <c r="H12" s="339"/>
      <c r="I12" s="333">
        <v>1</v>
      </c>
      <c r="J12" s="331" t="s">
        <v>13</v>
      </c>
      <c r="K12" s="333">
        <v>2</v>
      </c>
      <c r="L12" s="334"/>
      <c r="M12" s="335"/>
      <c r="N12" s="322"/>
      <c r="O12" s="308"/>
      <c r="P12" s="308"/>
      <c r="Q12" s="308"/>
      <c r="R12" s="308"/>
      <c r="S12" s="308"/>
      <c r="T12" s="308"/>
      <c r="U12" s="308"/>
    </row>
    <row r="13" spans="2:21" ht="16.5" thickBot="1">
      <c r="B13" s="340">
        <v>7</v>
      </c>
      <c r="C13" s="344" t="s">
        <v>52</v>
      </c>
      <c r="D13" s="331" t="s">
        <v>45</v>
      </c>
      <c r="E13" s="332" t="s">
        <v>26</v>
      </c>
      <c r="F13" s="331" t="s">
        <v>13</v>
      </c>
      <c r="G13" s="338" t="s">
        <v>41</v>
      </c>
      <c r="H13" s="339"/>
      <c r="I13" s="333">
        <v>2</v>
      </c>
      <c r="J13" s="331" t="s">
        <v>13</v>
      </c>
      <c r="K13" s="333">
        <v>0</v>
      </c>
      <c r="L13" s="334"/>
      <c r="M13" s="335"/>
      <c r="N13" s="322"/>
      <c r="O13" s="336" t="s">
        <v>15</v>
      </c>
      <c r="P13" s="337" t="s">
        <v>53</v>
      </c>
      <c r="Q13" s="337" t="s">
        <v>54</v>
      </c>
      <c r="R13" s="337" t="s">
        <v>55</v>
      </c>
      <c r="S13" s="337" t="s">
        <v>56</v>
      </c>
      <c r="T13" s="337" t="s">
        <v>57</v>
      </c>
      <c r="U13" s="337" t="s">
        <v>58</v>
      </c>
    </row>
    <row r="14" spans="2:21" ht="15.75">
      <c r="B14" s="340">
        <v>8</v>
      </c>
      <c r="C14" s="344" t="s">
        <v>59</v>
      </c>
      <c r="D14" s="331" t="s">
        <v>31</v>
      </c>
      <c r="E14" s="332" t="s">
        <v>47</v>
      </c>
      <c r="F14" s="331" t="s">
        <v>13</v>
      </c>
      <c r="G14" s="338" t="s">
        <v>25</v>
      </c>
      <c r="H14" s="339"/>
      <c r="I14" s="333">
        <v>0</v>
      </c>
      <c r="J14" s="331" t="s">
        <v>13</v>
      </c>
      <c r="K14" s="333">
        <v>2</v>
      </c>
      <c r="L14" s="334"/>
      <c r="M14" s="335"/>
      <c r="N14" s="322"/>
      <c r="O14" s="323">
        <v>1</v>
      </c>
      <c r="P14" s="325" t="s">
        <v>60</v>
      </c>
      <c r="Q14" s="325" t="s">
        <v>61</v>
      </c>
      <c r="R14" s="325" t="s">
        <v>62</v>
      </c>
      <c r="S14" s="325" t="s">
        <v>63</v>
      </c>
      <c r="T14" s="325" t="s">
        <v>64</v>
      </c>
      <c r="U14" s="325" t="s">
        <v>65</v>
      </c>
    </row>
    <row r="15" spans="2:21" ht="15.75">
      <c r="B15" s="340">
        <v>9</v>
      </c>
      <c r="C15" s="344" t="s">
        <v>66</v>
      </c>
      <c r="D15" s="331" t="s">
        <v>67</v>
      </c>
      <c r="E15" s="332" t="s">
        <v>42</v>
      </c>
      <c r="F15" s="331" t="s">
        <v>13</v>
      </c>
      <c r="G15" s="338" t="s">
        <v>36</v>
      </c>
      <c r="H15" s="339"/>
      <c r="I15" s="333">
        <v>1</v>
      </c>
      <c r="J15" s="331" t="s">
        <v>13</v>
      </c>
      <c r="K15" s="333">
        <v>0</v>
      </c>
      <c r="L15" s="334"/>
      <c r="M15" s="335"/>
      <c r="N15" s="322"/>
      <c r="O15" s="324">
        <v>2</v>
      </c>
      <c r="P15" s="326" t="s">
        <v>68</v>
      </c>
      <c r="Q15" s="326" t="s">
        <v>69</v>
      </c>
      <c r="R15" s="326" t="s">
        <v>70</v>
      </c>
      <c r="S15" s="326" t="s">
        <v>78</v>
      </c>
      <c r="T15" s="326" t="s">
        <v>72</v>
      </c>
      <c r="U15" s="326" t="s">
        <v>80</v>
      </c>
    </row>
    <row r="16" spans="2:21" ht="15.75">
      <c r="B16" s="340">
        <v>10</v>
      </c>
      <c r="C16" s="344" t="s">
        <v>74</v>
      </c>
      <c r="D16" s="331" t="s">
        <v>67</v>
      </c>
      <c r="E16" s="332" t="s">
        <v>28</v>
      </c>
      <c r="F16" s="331" t="s">
        <v>13</v>
      </c>
      <c r="G16" s="338" t="s">
        <v>49</v>
      </c>
      <c r="H16" s="339"/>
      <c r="I16" s="333">
        <v>6</v>
      </c>
      <c r="J16" s="331" t="s">
        <v>13</v>
      </c>
      <c r="K16" s="333">
        <v>0</v>
      </c>
      <c r="L16" s="334"/>
      <c r="M16" s="335"/>
      <c r="N16" s="322"/>
      <c r="O16" s="324">
        <v>3</v>
      </c>
      <c r="P16" s="326" t="s">
        <v>75</v>
      </c>
      <c r="Q16" s="326" t="s">
        <v>84</v>
      </c>
      <c r="R16" s="326" t="s">
        <v>77</v>
      </c>
      <c r="S16" s="326" t="s">
        <v>71</v>
      </c>
      <c r="T16" s="326" t="s">
        <v>87</v>
      </c>
      <c r="U16" s="326" t="s">
        <v>73</v>
      </c>
    </row>
    <row r="17" spans="2:21" ht="15.75">
      <c r="B17" s="340">
        <v>11</v>
      </c>
      <c r="C17" s="344" t="s">
        <v>81</v>
      </c>
      <c r="D17" s="331" t="s">
        <v>82</v>
      </c>
      <c r="E17" s="332" t="s">
        <v>29</v>
      </c>
      <c r="F17" s="331" t="s">
        <v>13</v>
      </c>
      <c r="G17" s="338" t="s">
        <v>43</v>
      </c>
      <c r="H17" s="339"/>
      <c r="I17" s="333">
        <v>3</v>
      </c>
      <c r="J17" s="331" t="s">
        <v>13</v>
      </c>
      <c r="K17" s="333">
        <v>1</v>
      </c>
      <c r="L17" s="334"/>
      <c r="M17" s="335"/>
      <c r="N17" s="322"/>
      <c r="O17" s="324">
        <v>4</v>
      </c>
      <c r="P17" s="326" t="s">
        <v>83</v>
      </c>
      <c r="Q17" s="326" t="s">
        <v>76</v>
      </c>
      <c r="R17" s="326" t="s">
        <v>85</v>
      </c>
      <c r="S17" s="326" t="s">
        <v>86</v>
      </c>
      <c r="T17" s="326" t="s">
        <v>79</v>
      </c>
      <c r="U17" s="326" t="s">
        <v>88</v>
      </c>
    </row>
    <row r="18" spans="2:21" ht="15.75">
      <c r="B18" s="340">
        <v>12</v>
      </c>
      <c r="C18" s="344" t="s">
        <v>89</v>
      </c>
      <c r="D18" s="331" t="s">
        <v>82</v>
      </c>
      <c r="E18" s="332" t="s">
        <v>37</v>
      </c>
      <c r="F18" s="331" t="s">
        <v>13</v>
      </c>
      <c r="G18" s="338" t="s">
        <v>50</v>
      </c>
      <c r="H18" s="339"/>
      <c r="I18" s="333">
        <v>1</v>
      </c>
      <c r="J18" s="331" t="s">
        <v>13</v>
      </c>
      <c r="K18" s="333">
        <v>0</v>
      </c>
      <c r="L18" s="334"/>
      <c r="M18" s="335"/>
      <c r="N18" s="322"/>
      <c r="O18" s="308"/>
      <c r="P18" s="328"/>
      <c r="Q18" s="328"/>
      <c r="R18" s="328"/>
      <c r="S18" s="328"/>
      <c r="T18" s="328"/>
      <c r="U18" s="328"/>
    </row>
    <row r="19" spans="2:21" ht="15.75">
      <c r="B19" s="340">
        <v>13</v>
      </c>
      <c r="C19" s="344" t="s">
        <v>90</v>
      </c>
      <c r="D19" s="331" t="s">
        <v>91</v>
      </c>
      <c r="E19" s="332" t="s">
        <v>84</v>
      </c>
      <c r="F19" s="331" t="s">
        <v>13</v>
      </c>
      <c r="G19" s="338" t="s">
        <v>69</v>
      </c>
      <c r="H19" s="339"/>
      <c r="I19" s="333">
        <v>0</v>
      </c>
      <c r="J19" s="331" t="s">
        <v>13</v>
      </c>
      <c r="K19" s="333">
        <v>3</v>
      </c>
      <c r="L19" s="334"/>
      <c r="M19" s="335"/>
      <c r="N19" s="322"/>
      <c r="O19" s="308"/>
      <c r="P19" s="308"/>
      <c r="Q19" s="308"/>
      <c r="R19" s="308"/>
      <c r="S19" s="308"/>
      <c r="T19" s="308"/>
      <c r="U19" s="308"/>
    </row>
    <row r="20" spans="2:21" ht="16.5" thickBot="1">
      <c r="B20" s="340">
        <v>14</v>
      </c>
      <c r="C20" s="344" t="s">
        <v>92</v>
      </c>
      <c r="D20" s="331" t="s">
        <v>91</v>
      </c>
      <c r="E20" s="332" t="s">
        <v>61</v>
      </c>
      <c r="F20" s="331" t="s">
        <v>13</v>
      </c>
      <c r="G20" s="338" t="s">
        <v>76</v>
      </c>
      <c r="H20" s="339"/>
      <c r="I20" s="333">
        <v>6</v>
      </c>
      <c r="J20" s="331" t="s">
        <v>13</v>
      </c>
      <c r="K20" s="333">
        <v>0</v>
      </c>
      <c r="L20" s="334"/>
      <c r="M20" s="335"/>
      <c r="N20" s="322"/>
      <c r="O20" s="320" t="s">
        <v>93</v>
      </c>
      <c r="P20" s="308"/>
      <c r="Q20" s="308"/>
      <c r="R20" s="308"/>
      <c r="S20" s="308"/>
      <c r="T20" s="308"/>
      <c r="U20" s="308"/>
    </row>
    <row r="21" spans="2:21" ht="16.5" thickBot="1">
      <c r="B21" s="340">
        <v>15</v>
      </c>
      <c r="C21" s="344" t="s">
        <v>94</v>
      </c>
      <c r="D21" s="331" t="s">
        <v>95</v>
      </c>
      <c r="E21" s="332" t="s">
        <v>83</v>
      </c>
      <c r="F21" s="331" t="s">
        <v>13</v>
      </c>
      <c r="G21" s="338" t="s">
        <v>75</v>
      </c>
      <c r="H21" s="339"/>
      <c r="I21" s="333">
        <v>1</v>
      </c>
      <c r="J21" s="331" t="s">
        <v>13</v>
      </c>
      <c r="K21" s="333">
        <v>1</v>
      </c>
      <c r="L21" s="334"/>
      <c r="M21" s="335"/>
      <c r="N21" s="322"/>
      <c r="O21" s="308"/>
      <c r="P21" s="336" t="s">
        <v>16</v>
      </c>
      <c r="Q21" s="337" t="s">
        <v>17</v>
      </c>
      <c r="R21" s="337" t="s">
        <v>18</v>
      </c>
      <c r="S21" s="337" t="s">
        <v>19</v>
      </c>
      <c r="T21" s="337" t="s">
        <v>20</v>
      </c>
      <c r="U21" s="337" t="s">
        <v>21</v>
      </c>
    </row>
    <row r="22" spans="2:21" ht="15.75">
      <c r="B22" s="340">
        <v>16</v>
      </c>
      <c r="C22" s="344" t="s">
        <v>96</v>
      </c>
      <c r="D22" s="331" t="s">
        <v>95</v>
      </c>
      <c r="E22" s="332" t="s">
        <v>60</v>
      </c>
      <c r="F22" s="331" t="s">
        <v>13</v>
      </c>
      <c r="G22" s="338" t="s">
        <v>68</v>
      </c>
      <c r="H22" s="339"/>
      <c r="I22" s="333">
        <v>2</v>
      </c>
      <c r="J22" s="331" t="s">
        <v>13</v>
      </c>
      <c r="K22" s="333">
        <v>0</v>
      </c>
      <c r="L22" s="334"/>
      <c r="M22" s="335"/>
      <c r="N22" s="322"/>
      <c r="O22" s="308"/>
      <c r="P22" s="329" t="s">
        <v>12</v>
      </c>
      <c r="Q22" s="329" t="s">
        <v>32</v>
      </c>
      <c r="R22" s="329" t="s">
        <v>46</v>
      </c>
      <c r="S22" s="329" t="s">
        <v>35</v>
      </c>
      <c r="T22" s="329" t="s">
        <v>42</v>
      </c>
      <c r="U22" s="329" t="s">
        <v>29</v>
      </c>
    </row>
    <row r="23" spans="2:21" ht="15.75">
      <c r="B23" s="340">
        <v>17</v>
      </c>
      <c r="C23" s="344" t="s">
        <v>97</v>
      </c>
      <c r="D23" s="331" t="s">
        <v>98</v>
      </c>
      <c r="E23" s="332" t="s">
        <v>62</v>
      </c>
      <c r="F23" s="331" t="s">
        <v>13</v>
      </c>
      <c r="G23" s="338" t="s">
        <v>77</v>
      </c>
      <c r="H23" s="339"/>
      <c r="I23" s="333">
        <v>4</v>
      </c>
      <c r="J23" s="331" t="s">
        <v>13</v>
      </c>
      <c r="K23" s="333">
        <v>0</v>
      </c>
      <c r="L23" s="334"/>
      <c r="M23" s="335"/>
      <c r="N23" s="322"/>
      <c r="O23" s="308"/>
      <c r="P23" s="328" t="s">
        <v>14</v>
      </c>
      <c r="Q23" s="328" t="s">
        <v>33</v>
      </c>
      <c r="R23" s="328" t="s">
        <v>34</v>
      </c>
      <c r="S23" s="328" t="s">
        <v>40</v>
      </c>
      <c r="T23" s="328" t="s">
        <v>36</v>
      </c>
      <c r="U23" s="328" t="s">
        <v>43</v>
      </c>
    </row>
    <row r="24" spans="2:21" ht="15.75">
      <c r="B24" s="340">
        <v>18</v>
      </c>
      <c r="C24" s="344" t="s">
        <v>99</v>
      </c>
      <c r="D24" s="331" t="s">
        <v>98</v>
      </c>
      <c r="E24" s="332" t="s">
        <v>85</v>
      </c>
      <c r="F24" s="331" t="s">
        <v>13</v>
      </c>
      <c r="G24" s="338" t="s">
        <v>70</v>
      </c>
      <c r="H24" s="339"/>
      <c r="I24" s="333">
        <v>0</v>
      </c>
      <c r="J24" s="331" t="s">
        <v>13</v>
      </c>
      <c r="K24" s="333">
        <v>2</v>
      </c>
      <c r="L24" s="334"/>
      <c r="M24" s="335"/>
      <c r="N24" s="322"/>
      <c r="O24" s="308"/>
      <c r="P24" s="328" t="s">
        <v>23</v>
      </c>
      <c r="Q24" s="328" t="s">
        <v>47</v>
      </c>
      <c r="R24" s="328" t="s">
        <v>26</v>
      </c>
      <c r="S24" s="328" t="s">
        <v>48</v>
      </c>
      <c r="T24" s="328" t="s">
        <v>28</v>
      </c>
      <c r="U24" s="328" t="s">
        <v>37</v>
      </c>
    </row>
    <row r="25" spans="2:21" ht="15.75">
      <c r="B25" s="340">
        <v>19</v>
      </c>
      <c r="C25" s="344" t="s">
        <v>100</v>
      </c>
      <c r="D25" s="331" t="s">
        <v>101</v>
      </c>
      <c r="E25" s="332" t="s">
        <v>63</v>
      </c>
      <c r="F25" s="331" t="s">
        <v>13</v>
      </c>
      <c r="G25" s="338" t="s">
        <v>78</v>
      </c>
      <c r="H25" s="339"/>
      <c r="I25" s="333">
        <v>3</v>
      </c>
      <c r="J25" s="331" t="s">
        <v>13</v>
      </c>
      <c r="K25" s="333">
        <v>0</v>
      </c>
      <c r="L25" s="334"/>
      <c r="M25" s="335"/>
      <c r="N25" s="322"/>
      <c r="O25" s="308"/>
      <c r="P25" s="328" t="s">
        <v>24</v>
      </c>
      <c r="Q25" s="328" t="s">
        <v>25</v>
      </c>
      <c r="R25" s="328" t="s">
        <v>41</v>
      </c>
      <c r="S25" s="328" t="s">
        <v>27</v>
      </c>
      <c r="T25" s="328" t="s">
        <v>49</v>
      </c>
      <c r="U25" s="328" t="s">
        <v>50</v>
      </c>
    </row>
    <row r="26" spans="2:21" ht="16.5" thickBot="1">
      <c r="B26" s="340">
        <v>20</v>
      </c>
      <c r="C26" s="344" t="s">
        <v>102</v>
      </c>
      <c r="D26" s="331" t="s">
        <v>101</v>
      </c>
      <c r="E26" s="332" t="s">
        <v>71</v>
      </c>
      <c r="F26" s="331" t="s">
        <v>13</v>
      </c>
      <c r="G26" s="338" t="s">
        <v>86</v>
      </c>
      <c r="H26" s="339"/>
      <c r="I26" s="333">
        <v>2</v>
      </c>
      <c r="J26" s="331" t="s">
        <v>13</v>
      </c>
      <c r="K26" s="333">
        <v>0</v>
      </c>
      <c r="L26" s="334"/>
      <c r="M26" s="335"/>
      <c r="N26" s="322"/>
      <c r="O26" s="308"/>
      <c r="P26" s="308"/>
      <c r="Q26" s="308"/>
      <c r="R26" s="308"/>
      <c r="S26" s="308"/>
      <c r="T26" s="308"/>
      <c r="U26" s="308"/>
    </row>
    <row r="27" spans="2:21" ht="16.5" thickBot="1">
      <c r="B27" s="340">
        <v>21</v>
      </c>
      <c r="C27" s="344" t="s">
        <v>103</v>
      </c>
      <c r="D27" s="331" t="s">
        <v>104</v>
      </c>
      <c r="E27" s="332" t="s">
        <v>80</v>
      </c>
      <c r="F27" s="331" t="s">
        <v>13</v>
      </c>
      <c r="G27" s="338" t="s">
        <v>88</v>
      </c>
      <c r="H27" s="339"/>
      <c r="I27" s="333">
        <v>2</v>
      </c>
      <c r="J27" s="331" t="s">
        <v>13</v>
      </c>
      <c r="K27" s="333">
        <v>1</v>
      </c>
      <c r="L27" s="334"/>
      <c r="M27" s="335"/>
      <c r="N27" s="322"/>
      <c r="O27" s="308"/>
      <c r="P27" s="336" t="s">
        <v>53</v>
      </c>
      <c r="Q27" s="337" t="s">
        <v>54</v>
      </c>
      <c r="R27" s="337" t="s">
        <v>55</v>
      </c>
      <c r="S27" s="337" t="s">
        <v>56</v>
      </c>
      <c r="T27" s="337" t="s">
        <v>57</v>
      </c>
      <c r="U27" s="337" t="s">
        <v>58</v>
      </c>
    </row>
    <row r="28" spans="2:21" ht="15.75">
      <c r="B28" s="340">
        <v>22</v>
      </c>
      <c r="C28" s="344" t="s">
        <v>105</v>
      </c>
      <c r="D28" s="331" t="s">
        <v>104</v>
      </c>
      <c r="E28" s="332" t="s">
        <v>65</v>
      </c>
      <c r="F28" s="331" t="s">
        <v>13</v>
      </c>
      <c r="G28" s="338" t="s">
        <v>73</v>
      </c>
      <c r="H28" s="339"/>
      <c r="I28" s="333">
        <v>4</v>
      </c>
      <c r="J28" s="331" t="s">
        <v>13</v>
      </c>
      <c r="K28" s="333">
        <v>1</v>
      </c>
      <c r="L28" s="334"/>
      <c r="M28" s="335"/>
      <c r="N28" s="322"/>
      <c r="O28" s="308"/>
      <c r="P28" s="329" t="s">
        <v>83</v>
      </c>
      <c r="Q28" s="329" t="s">
        <v>84</v>
      </c>
      <c r="R28" s="329" t="s">
        <v>62</v>
      </c>
      <c r="S28" s="329" t="s">
        <v>63</v>
      </c>
      <c r="T28" s="329" t="s">
        <v>64</v>
      </c>
      <c r="U28" s="329" t="s">
        <v>80</v>
      </c>
    </row>
    <row r="29" spans="2:21" ht="15.75">
      <c r="B29" s="340">
        <v>23</v>
      </c>
      <c r="C29" s="344" t="s">
        <v>106</v>
      </c>
      <c r="D29" s="331" t="s">
        <v>107</v>
      </c>
      <c r="E29" s="332" t="s">
        <v>64</v>
      </c>
      <c r="F29" s="331" t="s">
        <v>13</v>
      </c>
      <c r="G29" s="338" t="s">
        <v>87</v>
      </c>
      <c r="H29" s="339"/>
      <c r="I29" s="333">
        <v>3</v>
      </c>
      <c r="J29" s="331" t="s">
        <v>13</v>
      </c>
      <c r="K29" s="333">
        <v>0</v>
      </c>
      <c r="L29" s="334"/>
      <c r="M29" s="335"/>
      <c r="N29" s="322"/>
      <c r="O29" s="308"/>
      <c r="P29" s="328" t="s">
        <v>75</v>
      </c>
      <c r="Q29" s="328" t="s">
        <v>69</v>
      </c>
      <c r="R29" s="328" t="s">
        <v>77</v>
      </c>
      <c r="S29" s="328" t="s">
        <v>78</v>
      </c>
      <c r="T29" s="328" t="s">
        <v>87</v>
      </c>
      <c r="U29" s="328" t="s">
        <v>88</v>
      </c>
    </row>
    <row r="30" spans="2:21" ht="15.75">
      <c r="B30" s="340">
        <v>24</v>
      </c>
      <c r="C30" s="344" t="s">
        <v>108</v>
      </c>
      <c r="D30" s="331" t="s">
        <v>107</v>
      </c>
      <c r="E30" s="332" t="s">
        <v>79</v>
      </c>
      <c r="F30" s="331" t="s">
        <v>13</v>
      </c>
      <c r="G30" s="338" t="s">
        <v>72</v>
      </c>
      <c r="H30" s="339"/>
      <c r="I30" s="333">
        <v>0</v>
      </c>
      <c r="J30" s="331" t="s">
        <v>13</v>
      </c>
      <c r="K30" s="333">
        <v>2</v>
      </c>
      <c r="L30" s="334"/>
      <c r="M30" s="335"/>
      <c r="N30" s="322"/>
      <c r="O30" s="308"/>
      <c r="P30" s="328" t="s">
        <v>60</v>
      </c>
      <c r="Q30" s="328" t="s">
        <v>61</v>
      </c>
      <c r="R30" s="328" t="s">
        <v>85</v>
      </c>
      <c r="S30" s="328" t="s">
        <v>71</v>
      </c>
      <c r="T30" s="328" t="s">
        <v>79</v>
      </c>
      <c r="U30" s="328" t="s">
        <v>65</v>
      </c>
    </row>
    <row r="31" spans="2:21" ht="15.75">
      <c r="B31" s="340">
        <v>25</v>
      </c>
      <c r="C31" s="344" t="s">
        <v>109</v>
      </c>
      <c r="D31" s="331" t="s">
        <v>11</v>
      </c>
      <c r="E31" s="332" t="s">
        <v>24</v>
      </c>
      <c r="F31" s="331" t="s">
        <v>13</v>
      </c>
      <c r="G31" s="338" t="s">
        <v>14</v>
      </c>
      <c r="H31" s="339"/>
      <c r="I31" s="333">
        <v>1</v>
      </c>
      <c r="J31" s="331" t="s">
        <v>13</v>
      </c>
      <c r="K31" s="333">
        <v>1</v>
      </c>
      <c r="L31" s="334"/>
      <c r="M31" s="335"/>
      <c r="N31" s="322"/>
      <c r="O31" s="308"/>
      <c r="P31" s="328" t="s">
        <v>68</v>
      </c>
      <c r="Q31" s="328" t="s">
        <v>76</v>
      </c>
      <c r="R31" s="328" t="s">
        <v>70</v>
      </c>
      <c r="S31" s="328" t="s">
        <v>86</v>
      </c>
      <c r="T31" s="328" t="s">
        <v>72</v>
      </c>
      <c r="U31" s="328" t="s">
        <v>73</v>
      </c>
    </row>
    <row r="32" spans="2:21" ht="15.75">
      <c r="B32" s="340">
        <v>26</v>
      </c>
      <c r="C32" s="344" t="s">
        <v>110</v>
      </c>
      <c r="D32" s="331" t="s">
        <v>31</v>
      </c>
      <c r="E32" s="332" t="s">
        <v>25</v>
      </c>
      <c r="F32" s="331" t="s">
        <v>13</v>
      </c>
      <c r="G32" s="338" t="s">
        <v>33</v>
      </c>
      <c r="H32" s="339"/>
      <c r="I32" s="333">
        <v>1</v>
      </c>
      <c r="J32" s="331" t="s">
        <v>13</v>
      </c>
      <c r="K32" s="333">
        <v>0</v>
      </c>
      <c r="L32" s="334"/>
      <c r="M32" s="335"/>
      <c r="N32" s="322"/>
      <c r="O32" s="308"/>
      <c r="P32" s="308"/>
      <c r="Q32" s="308"/>
      <c r="R32" s="308"/>
      <c r="S32" s="308"/>
      <c r="T32" s="308"/>
      <c r="U32" s="308"/>
    </row>
    <row r="33" spans="2:14" ht="15.75">
      <c r="B33" s="340">
        <v>27</v>
      </c>
      <c r="C33" s="344" t="s">
        <v>111</v>
      </c>
      <c r="D33" s="331" t="s">
        <v>31</v>
      </c>
      <c r="E33" s="332" t="s">
        <v>32</v>
      </c>
      <c r="F33" s="331" t="s">
        <v>13</v>
      </c>
      <c r="G33" s="338" t="s">
        <v>47</v>
      </c>
      <c r="H33" s="339"/>
      <c r="I33" s="333">
        <v>2</v>
      </c>
      <c r="J33" s="331" t="s">
        <v>13</v>
      </c>
      <c r="K33" s="333">
        <v>0</v>
      </c>
      <c r="L33" s="334"/>
      <c r="M33" s="335"/>
      <c r="N33" s="322"/>
    </row>
    <row r="34" spans="2:14" ht="15.75">
      <c r="B34" s="340">
        <v>28</v>
      </c>
      <c r="C34" s="344" t="s">
        <v>112</v>
      </c>
      <c r="D34" s="331" t="s">
        <v>11</v>
      </c>
      <c r="E34" s="332" t="s">
        <v>12</v>
      </c>
      <c r="F34" s="331" t="s">
        <v>13</v>
      </c>
      <c r="G34" s="338" t="s">
        <v>23</v>
      </c>
      <c r="H34" s="339"/>
      <c r="I34" s="333">
        <v>1</v>
      </c>
      <c r="J34" s="331" t="s">
        <v>13</v>
      </c>
      <c r="K34" s="333">
        <v>2</v>
      </c>
      <c r="L34" s="334"/>
      <c r="M34" s="335"/>
      <c r="N34" s="322"/>
    </row>
    <row r="35" spans="2:14" ht="15.75">
      <c r="B35" s="340">
        <v>29</v>
      </c>
      <c r="C35" s="344" t="s">
        <v>113</v>
      </c>
      <c r="D35" s="331" t="s">
        <v>45</v>
      </c>
      <c r="E35" s="332" t="s">
        <v>26</v>
      </c>
      <c r="F35" s="331" t="s">
        <v>13</v>
      </c>
      <c r="G35" s="338" t="s">
        <v>46</v>
      </c>
      <c r="H35" s="339"/>
      <c r="I35" s="333">
        <v>5</v>
      </c>
      <c r="J35" s="331" t="s">
        <v>13</v>
      </c>
      <c r="K35" s="333">
        <v>0</v>
      </c>
      <c r="L35" s="334"/>
      <c r="M35" s="335"/>
      <c r="N35" s="322"/>
    </row>
    <row r="36" spans="2:14" ht="15.75">
      <c r="B36" s="340">
        <v>30</v>
      </c>
      <c r="C36" s="344" t="s">
        <v>114</v>
      </c>
      <c r="D36" s="331" t="s">
        <v>45</v>
      </c>
      <c r="E36" s="332" t="s">
        <v>34</v>
      </c>
      <c r="F36" s="331" t="s">
        <v>13</v>
      </c>
      <c r="G36" s="338" t="s">
        <v>41</v>
      </c>
      <c r="H36" s="339"/>
      <c r="I36" s="333">
        <v>1</v>
      </c>
      <c r="J36" s="331" t="s">
        <v>13</v>
      </c>
      <c r="K36" s="333">
        <v>3</v>
      </c>
      <c r="L36" s="334"/>
      <c r="M36" s="335"/>
      <c r="N36" s="322"/>
    </row>
    <row r="37" spans="2:14" ht="15.75">
      <c r="B37" s="340">
        <v>31</v>
      </c>
      <c r="C37" s="344" t="s">
        <v>115</v>
      </c>
      <c r="D37" s="331" t="s">
        <v>39</v>
      </c>
      <c r="E37" s="332" t="s">
        <v>27</v>
      </c>
      <c r="F37" s="331" t="s">
        <v>13</v>
      </c>
      <c r="G37" s="338" t="s">
        <v>40</v>
      </c>
      <c r="H37" s="339"/>
      <c r="I37" s="333">
        <v>1</v>
      </c>
      <c r="J37" s="331" t="s">
        <v>13</v>
      </c>
      <c r="K37" s="333">
        <v>1</v>
      </c>
      <c r="L37" s="334"/>
      <c r="M37" s="335"/>
      <c r="N37" s="322"/>
    </row>
    <row r="38" spans="2:14" ht="15.75">
      <c r="B38" s="340">
        <v>32</v>
      </c>
      <c r="C38" s="344" t="s">
        <v>116</v>
      </c>
      <c r="D38" s="331" t="s">
        <v>39</v>
      </c>
      <c r="E38" s="332" t="s">
        <v>35</v>
      </c>
      <c r="F38" s="331" t="s">
        <v>13</v>
      </c>
      <c r="G38" s="338" t="s">
        <v>48</v>
      </c>
      <c r="H38" s="339"/>
      <c r="I38" s="333">
        <v>2</v>
      </c>
      <c r="J38" s="331" t="s">
        <v>13</v>
      </c>
      <c r="K38" s="333">
        <v>1</v>
      </c>
      <c r="L38" s="334"/>
      <c r="M38" s="335"/>
      <c r="N38" s="322"/>
    </row>
    <row r="39" spans="2:14" ht="15.75">
      <c r="B39" s="340">
        <v>33</v>
      </c>
      <c r="C39" s="344" t="s">
        <v>117</v>
      </c>
      <c r="D39" s="331" t="s">
        <v>67</v>
      </c>
      <c r="E39" s="332" t="s">
        <v>28</v>
      </c>
      <c r="F39" s="331" t="s">
        <v>13</v>
      </c>
      <c r="G39" s="338" t="s">
        <v>42</v>
      </c>
      <c r="H39" s="339"/>
      <c r="I39" s="333">
        <v>4</v>
      </c>
      <c r="J39" s="331" t="s">
        <v>13</v>
      </c>
      <c r="K39" s="333">
        <v>0</v>
      </c>
      <c r="L39" s="334"/>
      <c r="M39" s="335"/>
      <c r="N39" s="322"/>
    </row>
    <row r="40" spans="2:14" ht="15.75">
      <c r="B40" s="340">
        <v>34</v>
      </c>
      <c r="C40" s="344" t="s">
        <v>118</v>
      </c>
      <c r="D40" s="331" t="s">
        <v>67</v>
      </c>
      <c r="E40" s="332" t="s">
        <v>36</v>
      </c>
      <c r="F40" s="331" t="s">
        <v>13</v>
      </c>
      <c r="G40" s="338" t="s">
        <v>49</v>
      </c>
      <c r="H40" s="339"/>
      <c r="I40" s="333">
        <v>2</v>
      </c>
      <c r="J40" s="331" t="s">
        <v>13</v>
      </c>
      <c r="K40" s="333">
        <v>0</v>
      </c>
      <c r="L40" s="334"/>
      <c r="M40" s="335"/>
      <c r="N40" s="322"/>
    </row>
    <row r="41" spans="2:14" ht="15.75">
      <c r="B41" s="340">
        <v>35</v>
      </c>
      <c r="C41" s="344" t="s">
        <v>119</v>
      </c>
      <c r="D41" s="331" t="s">
        <v>82</v>
      </c>
      <c r="E41" s="332" t="s">
        <v>29</v>
      </c>
      <c r="F41" s="331" t="s">
        <v>13</v>
      </c>
      <c r="G41" s="338" t="s">
        <v>37</v>
      </c>
      <c r="H41" s="339"/>
      <c r="I41" s="333">
        <v>3</v>
      </c>
      <c r="J41" s="331" t="s">
        <v>13</v>
      </c>
      <c r="K41" s="333">
        <v>1</v>
      </c>
      <c r="L41" s="334"/>
      <c r="M41" s="335"/>
      <c r="N41" s="322"/>
    </row>
    <row r="42" spans="2:14" ht="15.75">
      <c r="B42" s="340">
        <v>36</v>
      </c>
      <c r="C42" s="344" t="s">
        <v>120</v>
      </c>
      <c r="D42" s="331" t="s">
        <v>82</v>
      </c>
      <c r="E42" s="332" t="s">
        <v>50</v>
      </c>
      <c r="F42" s="331" t="s">
        <v>13</v>
      </c>
      <c r="G42" s="338" t="s">
        <v>43</v>
      </c>
      <c r="H42" s="339"/>
      <c r="I42" s="333">
        <v>0</v>
      </c>
      <c r="J42" s="331" t="s">
        <v>13</v>
      </c>
      <c r="K42" s="333">
        <v>2</v>
      </c>
      <c r="L42" s="334"/>
      <c r="M42" s="335"/>
      <c r="N42" s="322"/>
    </row>
    <row r="43" spans="2:14" ht="15.75">
      <c r="B43" s="340">
        <v>37</v>
      </c>
      <c r="C43" s="344" t="s">
        <v>121</v>
      </c>
      <c r="D43" s="331" t="s">
        <v>91</v>
      </c>
      <c r="E43" s="332" t="s">
        <v>69</v>
      </c>
      <c r="F43" s="331" t="s">
        <v>13</v>
      </c>
      <c r="G43" s="338" t="s">
        <v>76</v>
      </c>
      <c r="H43" s="339"/>
      <c r="I43" s="333">
        <v>4</v>
      </c>
      <c r="J43" s="331" t="s">
        <v>13</v>
      </c>
      <c r="K43" s="333">
        <v>0</v>
      </c>
      <c r="L43" s="334"/>
      <c r="M43" s="335"/>
      <c r="N43" s="308"/>
    </row>
    <row r="44" spans="2:14" ht="15.75">
      <c r="B44" s="340">
        <v>38</v>
      </c>
      <c r="C44" s="344" t="s">
        <v>122</v>
      </c>
      <c r="D44" s="331" t="s">
        <v>91</v>
      </c>
      <c r="E44" s="332" t="s">
        <v>61</v>
      </c>
      <c r="F44" s="331" t="s">
        <v>13</v>
      </c>
      <c r="G44" s="338" t="s">
        <v>84</v>
      </c>
      <c r="H44" s="339"/>
      <c r="I44" s="333">
        <v>5</v>
      </c>
      <c r="J44" s="331" t="s">
        <v>13</v>
      </c>
      <c r="K44" s="333">
        <v>0</v>
      </c>
      <c r="L44" s="334"/>
      <c r="M44" s="335"/>
      <c r="N44" s="308"/>
    </row>
    <row r="45" spans="2:14" ht="15.75">
      <c r="B45" s="340">
        <v>39</v>
      </c>
      <c r="C45" s="344" t="s">
        <v>123</v>
      </c>
      <c r="D45" s="331" t="s">
        <v>95</v>
      </c>
      <c r="E45" s="332" t="s">
        <v>60</v>
      </c>
      <c r="F45" s="331" t="s">
        <v>13</v>
      </c>
      <c r="G45" s="338" t="s">
        <v>83</v>
      </c>
      <c r="H45" s="339"/>
      <c r="I45" s="333">
        <v>3</v>
      </c>
      <c r="J45" s="331" t="s">
        <v>13</v>
      </c>
      <c r="K45" s="333">
        <v>0</v>
      </c>
      <c r="L45" s="334"/>
      <c r="M45" s="335"/>
      <c r="N45" s="308"/>
    </row>
    <row r="46" spans="2:14" ht="15.75">
      <c r="B46" s="340">
        <v>40</v>
      </c>
      <c r="C46" s="344" t="s">
        <v>124</v>
      </c>
      <c r="D46" s="331" t="s">
        <v>95</v>
      </c>
      <c r="E46" s="332" t="s">
        <v>75</v>
      </c>
      <c r="F46" s="331" t="s">
        <v>13</v>
      </c>
      <c r="G46" s="338" t="s">
        <v>68</v>
      </c>
      <c r="H46" s="339"/>
      <c r="I46" s="333">
        <v>0</v>
      </c>
      <c r="J46" s="331" t="s">
        <v>13</v>
      </c>
      <c r="K46" s="333">
        <v>1</v>
      </c>
      <c r="L46" s="334"/>
      <c r="M46" s="335"/>
      <c r="N46" s="308"/>
    </row>
    <row r="47" spans="2:14" ht="15.75">
      <c r="B47" s="340">
        <v>41</v>
      </c>
      <c r="C47" s="344" t="s">
        <v>125</v>
      </c>
      <c r="D47" s="331" t="s">
        <v>98</v>
      </c>
      <c r="E47" s="332" t="s">
        <v>70</v>
      </c>
      <c r="F47" s="331" t="s">
        <v>13</v>
      </c>
      <c r="G47" s="338" t="s">
        <v>77</v>
      </c>
      <c r="H47" s="339"/>
      <c r="I47" s="333">
        <v>1</v>
      </c>
      <c r="J47" s="331" t="s">
        <v>13</v>
      </c>
      <c r="K47" s="333">
        <v>1</v>
      </c>
      <c r="L47" s="334"/>
      <c r="M47" s="335"/>
      <c r="N47" s="308"/>
    </row>
    <row r="48" spans="2:14" ht="15.75">
      <c r="B48" s="340">
        <v>42</v>
      </c>
      <c r="C48" s="344" t="s">
        <v>126</v>
      </c>
      <c r="D48" s="331" t="s">
        <v>98</v>
      </c>
      <c r="E48" s="332" t="s">
        <v>62</v>
      </c>
      <c r="F48" s="331" t="s">
        <v>13</v>
      </c>
      <c r="G48" s="338" t="s">
        <v>85</v>
      </c>
      <c r="H48" s="339"/>
      <c r="I48" s="333">
        <v>5</v>
      </c>
      <c r="J48" s="331" t="s">
        <v>13</v>
      </c>
      <c r="K48" s="333">
        <v>0</v>
      </c>
      <c r="L48" s="334"/>
      <c r="M48" s="335"/>
      <c r="N48" s="308"/>
    </row>
    <row r="49" spans="2:13" ht="15.75">
      <c r="B49" s="340">
        <v>43</v>
      </c>
      <c r="C49" s="344" t="s">
        <v>127</v>
      </c>
      <c r="D49" s="331" t="s">
        <v>101</v>
      </c>
      <c r="E49" s="332" t="s">
        <v>63</v>
      </c>
      <c r="F49" s="331" t="s">
        <v>13</v>
      </c>
      <c r="G49" s="338" t="s">
        <v>71</v>
      </c>
      <c r="H49" s="339"/>
      <c r="I49" s="333">
        <v>4</v>
      </c>
      <c r="J49" s="331" t="s">
        <v>13</v>
      </c>
      <c r="K49" s="333">
        <v>1</v>
      </c>
      <c r="L49" s="334"/>
      <c r="M49" s="335"/>
    </row>
    <row r="50" spans="2:13" ht="15.75">
      <c r="B50" s="340">
        <v>44</v>
      </c>
      <c r="C50" s="344" t="s">
        <v>128</v>
      </c>
      <c r="D50" s="331" t="s">
        <v>101</v>
      </c>
      <c r="E50" s="332" t="s">
        <v>86</v>
      </c>
      <c r="F50" s="331" t="s">
        <v>13</v>
      </c>
      <c r="G50" s="338" t="s">
        <v>78</v>
      </c>
      <c r="H50" s="339"/>
      <c r="I50" s="333">
        <v>0</v>
      </c>
      <c r="J50" s="331" t="s">
        <v>13</v>
      </c>
      <c r="K50" s="333">
        <v>2</v>
      </c>
      <c r="L50" s="334"/>
      <c r="M50" s="335"/>
    </row>
    <row r="51" spans="2:13" ht="15.75">
      <c r="B51" s="340">
        <v>45</v>
      </c>
      <c r="C51" s="344" t="s">
        <v>129</v>
      </c>
      <c r="D51" s="331" t="s">
        <v>104</v>
      </c>
      <c r="E51" s="332" t="s">
        <v>65</v>
      </c>
      <c r="F51" s="331" t="s">
        <v>13</v>
      </c>
      <c r="G51" s="338" t="s">
        <v>80</v>
      </c>
      <c r="H51" s="339"/>
      <c r="I51" s="333">
        <v>4</v>
      </c>
      <c r="J51" s="331" t="s">
        <v>13</v>
      </c>
      <c r="K51" s="333">
        <v>0</v>
      </c>
      <c r="L51" s="334"/>
      <c r="M51" s="335"/>
    </row>
    <row r="52" spans="2:13" ht="15.75">
      <c r="B52" s="340">
        <v>46</v>
      </c>
      <c r="C52" s="344" t="s">
        <v>130</v>
      </c>
      <c r="D52" s="331" t="s">
        <v>104</v>
      </c>
      <c r="E52" s="332" t="s">
        <v>88</v>
      </c>
      <c r="F52" s="331" t="s">
        <v>13</v>
      </c>
      <c r="G52" s="338" t="s">
        <v>73</v>
      </c>
      <c r="H52" s="339"/>
      <c r="I52" s="333">
        <v>0</v>
      </c>
      <c r="J52" s="331" t="s">
        <v>13</v>
      </c>
      <c r="K52" s="333">
        <v>2</v>
      </c>
      <c r="L52" s="334"/>
      <c r="M52" s="335"/>
    </row>
    <row r="53" spans="2:13" ht="15.75">
      <c r="B53" s="340">
        <v>47</v>
      </c>
      <c r="C53" s="344" t="s">
        <v>131</v>
      </c>
      <c r="D53" s="331" t="s">
        <v>107</v>
      </c>
      <c r="E53" s="332" t="s">
        <v>64</v>
      </c>
      <c r="F53" s="331" t="s">
        <v>13</v>
      </c>
      <c r="G53" s="338" t="s">
        <v>79</v>
      </c>
      <c r="H53" s="339"/>
      <c r="I53" s="333">
        <v>3</v>
      </c>
      <c r="J53" s="331" t="s">
        <v>13</v>
      </c>
      <c r="K53" s="333">
        <v>0</v>
      </c>
      <c r="L53" s="334"/>
      <c r="M53" s="335"/>
    </row>
    <row r="54" spans="2:13" ht="15.75">
      <c r="B54" s="340">
        <v>48</v>
      </c>
      <c r="C54" s="344" t="s">
        <v>132</v>
      </c>
      <c r="D54" s="331" t="s">
        <v>107</v>
      </c>
      <c r="E54" s="332" t="s">
        <v>72</v>
      </c>
      <c r="F54" s="331" t="s">
        <v>13</v>
      </c>
      <c r="G54" s="338" t="s">
        <v>87</v>
      </c>
      <c r="H54" s="339"/>
      <c r="I54" s="333">
        <v>2</v>
      </c>
      <c r="J54" s="331" t="s">
        <v>13</v>
      </c>
      <c r="K54" s="333">
        <v>1</v>
      </c>
      <c r="L54" s="334"/>
      <c r="M54" s="335"/>
    </row>
    <row r="55" spans="2:13" ht="15.75">
      <c r="B55" s="340">
        <v>49</v>
      </c>
      <c r="C55" s="344" t="s">
        <v>133</v>
      </c>
      <c r="D55" s="331" t="s">
        <v>45</v>
      </c>
      <c r="E55" s="332" t="s">
        <v>34</v>
      </c>
      <c r="F55" s="331" t="s">
        <v>13</v>
      </c>
      <c r="G55" s="338" t="s">
        <v>26</v>
      </c>
      <c r="H55" s="339"/>
      <c r="I55" s="333">
        <v>0</v>
      </c>
      <c r="J55" s="331" t="s">
        <v>13</v>
      </c>
      <c r="K55" s="333">
        <v>4</v>
      </c>
      <c r="L55" s="334"/>
      <c r="M55" s="335"/>
    </row>
    <row r="56" spans="2:13" ht="15.75">
      <c r="B56" s="340">
        <v>50</v>
      </c>
      <c r="C56" s="344" t="s">
        <v>133</v>
      </c>
      <c r="D56" s="331" t="s">
        <v>45</v>
      </c>
      <c r="E56" s="332" t="s">
        <v>41</v>
      </c>
      <c r="F56" s="331" t="s">
        <v>13</v>
      </c>
      <c r="G56" s="338" t="s">
        <v>46</v>
      </c>
      <c r="H56" s="339"/>
      <c r="I56" s="333">
        <v>4</v>
      </c>
      <c r="J56" s="331" t="s">
        <v>13</v>
      </c>
      <c r="K56" s="333">
        <v>0</v>
      </c>
      <c r="L56" s="334"/>
      <c r="M56" s="335"/>
    </row>
    <row r="57" spans="2:13" ht="15.75">
      <c r="B57" s="340">
        <v>51</v>
      </c>
      <c r="C57" s="344" t="s">
        <v>134</v>
      </c>
      <c r="D57" s="331" t="s">
        <v>31</v>
      </c>
      <c r="E57" s="332" t="s">
        <v>25</v>
      </c>
      <c r="F57" s="331" t="s">
        <v>13</v>
      </c>
      <c r="G57" s="338" t="s">
        <v>32</v>
      </c>
      <c r="H57" s="339"/>
      <c r="I57" s="333">
        <v>1</v>
      </c>
      <c r="J57" s="331" t="s">
        <v>13</v>
      </c>
      <c r="K57" s="333">
        <v>1</v>
      </c>
      <c r="L57" s="334"/>
      <c r="M57" s="335"/>
    </row>
    <row r="58" spans="2:13" ht="15.75">
      <c r="B58" s="340">
        <v>52</v>
      </c>
      <c r="C58" s="344" t="s">
        <v>134</v>
      </c>
      <c r="D58" s="331" t="s">
        <v>31</v>
      </c>
      <c r="E58" s="332" t="s">
        <v>33</v>
      </c>
      <c r="F58" s="331" t="s">
        <v>13</v>
      </c>
      <c r="G58" s="338" t="s">
        <v>47</v>
      </c>
      <c r="H58" s="339"/>
      <c r="I58" s="333">
        <v>2</v>
      </c>
      <c r="J58" s="331" t="s">
        <v>13</v>
      </c>
      <c r="K58" s="333">
        <v>0</v>
      </c>
      <c r="L58" s="334"/>
      <c r="M58" s="335"/>
    </row>
    <row r="59" spans="2:13" ht="15.75">
      <c r="B59" s="340">
        <v>53</v>
      </c>
      <c r="C59" s="344" t="s">
        <v>135</v>
      </c>
      <c r="D59" s="331" t="s">
        <v>11</v>
      </c>
      <c r="E59" s="332" t="s">
        <v>24</v>
      </c>
      <c r="F59" s="331" t="s">
        <v>13</v>
      </c>
      <c r="G59" s="338" t="s">
        <v>12</v>
      </c>
      <c r="H59" s="339"/>
      <c r="I59" s="333">
        <v>0</v>
      </c>
      <c r="J59" s="331" t="s">
        <v>13</v>
      </c>
      <c r="K59" s="333">
        <v>2</v>
      </c>
      <c r="L59" s="334"/>
      <c r="M59" s="335"/>
    </row>
    <row r="60" spans="2:13" ht="15.75">
      <c r="B60" s="340">
        <v>54</v>
      </c>
      <c r="C60" s="344" t="s">
        <v>135</v>
      </c>
      <c r="D60" s="331" t="s">
        <v>11</v>
      </c>
      <c r="E60" s="332" t="s">
        <v>14</v>
      </c>
      <c r="F60" s="331" t="s">
        <v>13</v>
      </c>
      <c r="G60" s="338" t="s">
        <v>23</v>
      </c>
      <c r="H60" s="339"/>
      <c r="I60" s="333">
        <v>1</v>
      </c>
      <c r="J60" s="331" t="s">
        <v>13</v>
      </c>
      <c r="K60" s="333">
        <v>2</v>
      </c>
      <c r="L60" s="334"/>
      <c r="M60" s="335"/>
    </row>
    <row r="61" spans="2:13" ht="15.75">
      <c r="B61" s="340">
        <v>55</v>
      </c>
      <c r="C61" s="344" t="s">
        <v>136</v>
      </c>
      <c r="D61" s="331" t="s">
        <v>67</v>
      </c>
      <c r="E61" s="332" t="s">
        <v>49</v>
      </c>
      <c r="F61" s="331" t="s">
        <v>13</v>
      </c>
      <c r="G61" s="338" t="s">
        <v>42</v>
      </c>
      <c r="H61" s="339"/>
      <c r="I61" s="333">
        <v>0</v>
      </c>
      <c r="J61" s="331" t="s">
        <v>13</v>
      </c>
      <c r="K61" s="333">
        <v>2</v>
      </c>
      <c r="L61" s="334"/>
      <c r="M61" s="335"/>
    </row>
    <row r="62" spans="2:13" ht="15.75">
      <c r="B62" s="340">
        <v>56</v>
      </c>
      <c r="C62" s="344" t="s">
        <v>136</v>
      </c>
      <c r="D62" s="331" t="s">
        <v>67</v>
      </c>
      <c r="E62" s="332" t="s">
        <v>36</v>
      </c>
      <c r="F62" s="331" t="s">
        <v>13</v>
      </c>
      <c r="G62" s="338" t="s">
        <v>28</v>
      </c>
      <c r="H62" s="339"/>
      <c r="I62" s="333">
        <v>0</v>
      </c>
      <c r="J62" s="331" t="s">
        <v>13</v>
      </c>
      <c r="K62" s="333">
        <v>4</v>
      </c>
      <c r="L62" s="334"/>
      <c r="M62" s="335"/>
    </row>
    <row r="63" spans="2:13" ht="15.75">
      <c r="B63" s="340">
        <v>57</v>
      </c>
      <c r="C63" s="344" t="s">
        <v>137</v>
      </c>
      <c r="D63" s="331" t="s">
        <v>82</v>
      </c>
      <c r="E63" s="332" t="s">
        <v>43</v>
      </c>
      <c r="F63" s="331" t="s">
        <v>13</v>
      </c>
      <c r="G63" s="338" t="s">
        <v>37</v>
      </c>
      <c r="H63" s="339"/>
      <c r="I63" s="333">
        <v>2</v>
      </c>
      <c r="J63" s="331" t="s">
        <v>13</v>
      </c>
      <c r="K63" s="333">
        <v>2</v>
      </c>
      <c r="L63" s="334"/>
      <c r="M63" s="335"/>
    </row>
    <row r="64" spans="2:13" ht="15.75">
      <c r="B64" s="340">
        <v>58</v>
      </c>
      <c r="C64" s="344" t="s">
        <v>137</v>
      </c>
      <c r="D64" s="331" t="s">
        <v>82</v>
      </c>
      <c r="E64" s="332" t="s">
        <v>50</v>
      </c>
      <c r="F64" s="331" t="s">
        <v>13</v>
      </c>
      <c r="G64" s="338" t="s">
        <v>29</v>
      </c>
      <c r="H64" s="339"/>
      <c r="I64" s="333">
        <v>0</v>
      </c>
      <c r="J64" s="331" t="s">
        <v>13</v>
      </c>
      <c r="K64" s="333">
        <v>3</v>
      </c>
      <c r="L64" s="334"/>
      <c r="M64" s="335"/>
    </row>
    <row r="65" spans="2:14" ht="15.75">
      <c r="B65" s="340">
        <v>59</v>
      </c>
      <c r="C65" s="344" t="s">
        <v>138</v>
      </c>
      <c r="D65" s="331" t="s">
        <v>39</v>
      </c>
      <c r="E65" s="332" t="s">
        <v>27</v>
      </c>
      <c r="F65" s="331" t="s">
        <v>13</v>
      </c>
      <c r="G65" s="338" t="s">
        <v>35</v>
      </c>
      <c r="H65" s="339"/>
      <c r="I65" s="333">
        <v>1</v>
      </c>
      <c r="J65" s="331" t="s">
        <v>13</v>
      </c>
      <c r="K65" s="333">
        <v>2</v>
      </c>
      <c r="L65" s="334"/>
      <c r="M65" s="335"/>
      <c r="N65" s="308"/>
    </row>
    <row r="66" spans="2:14" ht="15.75">
      <c r="B66" s="340">
        <v>60</v>
      </c>
      <c r="C66" s="344" t="s">
        <v>138</v>
      </c>
      <c r="D66" s="331" t="s">
        <v>39</v>
      </c>
      <c r="E66" s="332" t="s">
        <v>40</v>
      </c>
      <c r="F66" s="331" t="s">
        <v>13</v>
      </c>
      <c r="G66" s="338" t="s">
        <v>48</v>
      </c>
      <c r="H66" s="339"/>
      <c r="I66" s="333">
        <v>2</v>
      </c>
      <c r="J66" s="331" t="s">
        <v>13</v>
      </c>
      <c r="K66" s="333">
        <v>1</v>
      </c>
      <c r="L66" s="334"/>
      <c r="M66" s="335"/>
      <c r="N66" s="308"/>
    </row>
    <row r="67" spans="2:14" ht="15.75">
      <c r="B67" s="340">
        <v>61</v>
      </c>
      <c r="C67" s="344" t="s">
        <v>139</v>
      </c>
      <c r="D67" s="331" t="s">
        <v>98</v>
      </c>
      <c r="E67" s="332" t="s">
        <v>70</v>
      </c>
      <c r="F67" s="331" t="s">
        <v>13</v>
      </c>
      <c r="G67" s="338" t="s">
        <v>62</v>
      </c>
      <c r="H67" s="339"/>
      <c r="I67" s="333">
        <v>0</v>
      </c>
      <c r="J67" s="331" t="s">
        <v>13</v>
      </c>
      <c r="K67" s="333">
        <v>2</v>
      </c>
      <c r="L67" s="334"/>
      <c r="M67" s="335"/>
      <c r="N67" s="308"/>
    </row>
    <row r="68" spans="2:14" ht="15.75">
      <c r="B68" s="340">
        <v>62</v>
      </c>
      <c r="C68" s="344" t="s">
        <v>139</v>
      </c>
      <c r="D68" s="331" t="s">
        <v>98</v>
      </c>
      <c r="E68" s="332" t="s">
        <v>77</v>
      </c>
      <c r="F68" s="331" t="s">
        <v>13</v>
      </c>
      <c r="G68" s="338" t="s">
        <v>85</v>
      </c>
      <c r="H68" s="339"/>
      <c r="I68" s="333">
        <v>1</v>
      </c>
      <c r="J68" s="331" t="s">
        <v>13</v>
      </c>
      <c r="K68" s="333">
        <v>0</v>
      </c>
      <c r="L68" s="334"/>
      <c r="M68" s="335"/>
      <c r="N68" s="308"/>
    </row>
    <row r="69" spans="2:14" ht="15.75">
      <c r="B69" s="340">
        <v>63</v>
      </c>
      <c r="C69" s="344" t="s">
        <v>140</v>
      </c>
      <c r="D69" s="331" t="s">
        <v>95</v>
      </c>
      <c r="E69" s="332" t="s">
        <v>68</v>
      </c>
      <c r="F69" s="331" t="s">
        <v>13</v>
      </c>
      <c r="G69" s="338" t="s">
        <v>83</v>
      </c>
      <c r="H69" s="339"/>
      <c r="I69" s="333">
        <v>2</v>
      </c>
      <c r="J69" s="331" t="s">
        <v>13</v>
      </c>
      <c r="K69" s="333">
        <v>0</v>
      </c>
      <c r="L69" s="334"/>
      <c r="M69" s="335"/>
      <c r="N69" s="308"/>
    </row>
    <row r="70" spans="2:14" ht="15.75">
      <c r="B70" s="340">
        <v>64</v>
      </c>
      <c r="C70" s="344" t="s">
        <v>140</v>
      </c>
      <c r="D70" s="331" t="s">
        <v>95</v>
      </c>
      <c r="E70" s="332" t="s">
        <v>75</v>
      </c>
      <c r="F70" s="331" t="s">
        <v>13</v>
      </c>
      <c r="G70" s="338" t="s">
        <v>60</v>
      </c>
      <c r="H70" s="339"/>
      <c r="I70" s="333">
        <v>0</v>
      </c>
      <c r="J70" s="331" t="s">
        <v>13</v>
      </c>
      <c r="K70" s="333">
        <v>2</v>
      </c>
      <c r="L70" s="334"/>
      <c r="M70" s="335"/>
      <c r="N70" s="308"/>
    </row>
    <row r="71" spans="2:14" ht="15.75">
      <c r="B71" s="340">
        <v>65</v>
      </c>
      <c r="C71" s="344" t="s">
        <v>141</v>
      </c>
      <c r="D71" s="331" t="s">
        <v>91</v>
      </c>
      <c r="E71" s="332" t="s">
        <v>76</v>
      </c>
      <c r="F71" s="331" t="s">
        <v>13</v>
      </c>
      <c r="G71" s="338" t="s">
        <v>84</v>
      </c>
      <c r="H71" s="339"/>
      <c r="I71" s="333">
        <v>0</v>
      </c>
      <c r="J71" s="331" t="s">
        <v>13</v>
      </c>
      <c r="K71" s="333">
        <v>1</v>
      </c>
      <c r="L71" s="334"/>
      <c r="M71" s="335"/>
      <c r="N71" s="308"/>
    </row>
    <row r="72" spans="2:14" ht="15.75">
      <c r="B72" s="340">
        <v>66</v>
      </c>
      <c r="C72" s="344" t="s">
        <v>141</v>
      </c>
      <c r="D72" s="331" t="s">
        <v>91</v>
      </c>
      <c r="E72" s="332" t="s">
        <v>69</v>
      </c>
      <c r="F72" s="331" t="s">
        <v>13</v>
      </c>
      <c r="G72" s="338" t="s">
        <v>61</v>
      </c>
      <c r="H72" s="339"/>
      <c r="I72" s="333">
        <v>1</v>
      </c>
      <c r="J72" s="331" t="s">
        <v>13</v>
      </c>
      <c r="K72" s="333">
        <v>2</v>
      </c>
      <c r="L72" s="334"/>
      <c r="M72" s="335"/>
      <c r="N72" s="308"/>
    </row>
    <row r="73" spans="2:14" ht="15.75">
      <c r="B73" s="340">
        <v>67</v>
      </c>
      <c r="C73" s="344" t="s">
        <v>142</v>
      </c>
      <c r="D73" s="331" t="s">
        <v>104</v>
      </c>
      <c r="E73" s="332" t="s">
        <v>88</v>
      </c>
      <c r="F73" s="331" t="s">
        <v>13</v>
      </c>
      <c r="G73" s="338" t="s">
        <v>65</v>
      </c>
      <c r="H73" s="339"/>
      <c r="I73" s="333">
        <v>0</v>
      </c>
      <c r="J73" s="331" t="s">
        <v>13</v>
      </c>
      <c r="K73" s="333">
        <v>3</v>
      </c>
      <c r="L73" s="334"/>
      <c r="M73" s="335"/>
      <c r="N73" s="308"/>
    </row>
    <row r="74" spans="2:14" ht="15.75">
      <c r="B74" s="340">
        <v>68</v>
      </c>
      <c r="C74" s="344" t="s">
        <v>142</v>
      </c>
      <c r="D74" s="331" t="s">
        <v>104</v>
      </c>
      <c r="E74" s="332" t="s">
        <v>73</v>
      </c>
      <c r="F74" s="331" t="s">
        <v>13</v>
      </c>
      <c r="G74" s="338" t="s">
        <v>80</v>
      </c>
      <c r="H74" s="339"/>
      <c r="I74" s="333">
        <v>3</v>
      </c>
      <c r="J74" s="331" t="s">
        <v>13</v>
      </c>
      <c r="K74" s="333">
        <v>2</v>
      </c>
      <c r="L74" s="334"/>
      <c r="M74" s="335"/>
      <c r="N74" s="308"/>
    </row>
    <row r="75" spans="2:14" ht="15.75">
      <c r="B75" s="340">
        <v>69</v>
      </c>
      <c r="C75" s="344" t="s">
        <v>143</v>
      </c>
      <c r="D75" s="331" t="s">
        <v>101</v>
      </c>
      <c r="E75" s="332" t="s">
        <v>78</v>
      </c>
      <c r="F75" s="331" t="s">
        <v>13</v>
      </c>
      <c r="G75" s="338" t="s">
        <v>71</v>
      </c>
      <c r="H75" s="339"/>
      <c r="I75" s="333">
        <v>1</v>
      </c>
      <c r="J75" s="331" t="s">
        <v>13</v>
      </c>
      <c r="K75" s="333">
        <v>1</v>
      </c>
      <c r="L75" s="334"/>
      <c r="M75" s="335"/>
      <c r="N75" s="308"/>
    </row>
    <row r="76" spans="2:14" ht="15.75">
      <c r="B76" s="340">
        <v>70</v>
      </c>
      <c r="C76" s="344" t="s">
        <v>143</v>
      </c>
      <c r="D76" s="331" t="s">
        <v>101</v>
      </c>
      <c r="E76" s="332" t="s">
        <v>86</v>
      </c>
      <c r="F76" s="331" t="s">
        <v>13</v>
      </c>
      <c r="G76" s="338" t="s">
        <v>63</v>
      </c>
      <c r="H76" s="339"/>
      <c r="I76" s="333">
        <v>0</v>
      </c>
      <c r="J76" s="331" t="s">
        <v>13</v>
      </c>
      <c r="K76" s="333">
        <v>4</v>
      </c>
      <c r="L76" s="334"/>
      <c r="M76" s="335"/>
      <c r="N76" s="308"/>
    </row>
    <row r="77" spans="2:14" ht="15.75">
      <c r="B77" s="340">
        <v>71</v>
      </c>
      <c r="C77" s="344" t="s">
        <v>144</v>
      </c>
      <c r="D77" s="331" t="s">
        <v>107</v>
      </c>
      <c r="E77" s="332" t="s">
        <v>72</v>
      </c>
      <c r="F77" s="331" t="s">
        <v>13</v>
      </c>
      <c r="G77" s="338" t="s">
        <v>64</v>
      </c>
      <c r="H77" s="339"/>
      <c r="I77" s="333">
        <v>1</v>
      </c>
      <c r="J77" s="331" t="s">
        <v>13</v>
      </c>
      <c r="K77" s="333">
        <v>2</v>
      </c>
      <c r="L77" s="334"/>
      <c r="M77" s="335"/>
      <c r="N77" s="308"/>
    </row>
    <row r="78" spans="2:14" ht="15.75">
      <c r="B78" s="340">
        <v>72</v>
      </c>
      <c r="C78" s="344" t="s">
        <v>144</v>
      </c>
      <c r="D78" s="331" t="s">
        <v>107</v>
      </c>
      <c r="E78" s="332" t="s">
        <v>87</v>
      </c>
      <c r="F78" s="331" t="s">
        <v>13</v>
      </c>
      <c r="G78" s="338" t="s">
        <v>79</v>
      </c>
      <c r="H78" s="339"/>
      <c r="I78" s="333">
        <v>1</v>
      </c>
      <c r="J78" s="331" t="s">
        <v>13</v>
      </c>
      <c r="K78" s="333">
        <v>0</v>
      </c>
      <c r="L78" s="334"/>
      <c r="M78" s="335"/>
      <c r="N78" s="308"/>
    </row>
    <row r="79" spans="2:14" ht="15.75">
      <c r="B79" s="308"/>
      <c r="C79" s="308"/>
      <c r="D79" s="309" t="s">
        <v>145</v>
      </c>
      <c r="E79" s="317" t="s">
        <v>26</v>
      </c>
      <c r="F79" s="330" t="s">
        <v>13</v>
      </c>
      <c r="G79" s="317" t="s">
        <v>63</v>
      </c>
      <c r="H79" s="308"/>
      <c r="I79" s="308"/>
      <c r="J79" s="308"/>
      <c r="K79" s="308"/>
      <c r="L79" s="321"/>
      <c r="M79" s="321"/>
      <c r="N79" s="322"/>
    </row>
    <row r="80" spans="2:14" ht="15.75">
      <c r="B80" s="308"/>
      <c r="C80" s="345"/>
      <c r="D80" s="309" t="s">
        <v>146</v>
      </c>
      <c r="E80" s="318" t="s">
        <v>62</v>
      </c>
      <c r="F80" s="330" t="s">
        <v>13</v>
      </c>
      <c r="G80" s="318" t="s">
        <v>61</v>
      </c>
      <c r="H80" s="308"/>
      <c r="I80" s="308"/>
      <c r="J80" s="308"/>
      <c r="K80" s="308"/>
      <c r="L80" s="316"/>
      <c r="M80" s="316"/>
      <c r="N80" s="322"/>
    </row>
    <row r="81" spans="1:14" ht="15.75">
      <c r="A81" s="308"/>
      <c r="B81" s="308"/>
      <c r="C81" s="345"/>
      <c r="D81" s="308"/>
      <c r="E81" s="308"/>
      <c r="F81" s="311"/>
      <c r="G81" s="308"/>
      <c r="H81" s="308"/>
      <c r="I81" s="308"/>
      <c r="J81" s="308"/>
      <c r="K81" s="311"/>
      <c r="L81" s="311"/>
      <c r="M81" s="311"/>
      <c r="N81" s="322"/>
    </row>
    <row r="82" spans="1:14" ht="15.75">
      <c r="A82" s="308"/>
      <c r="B82" s="308"/>
      <c r="C82" s="345"/>
      <c r="D82" s="308"/>
      <c r="E82" s="308"/>
      <c r="F82" s="311"/>
      <c r="G82" s="308"/>
      <c r="H82" s="308"/>
      <c r="I82" s="308"/>
      <c r="J82" s="308"/>
      <c r="K82" s="311"/>
      <c r="L82" s="319" t="s">
        <v>147</v>
      </c>
      <c r="M82" s="315"/>
      <c r="N82" s="322"/>
    </row>
    <row r="83" spans="1:14" ht="15.75">
      <c r="A83" s="308"/>
      <c r="B83" s="308"/>
      <c r="C83" s="345"/>
      <c r="D83" s="308"/>
      <c r="E83" s="308"/>
      <c r="F83" s="311"/>
      <c r="G83" s="308"/>
      <c r="H83" s="308"/>
      <c r="I83" s="308"/>
      <c r="J83" s="308"/>
      <c r="K83" s="311"/>
      <c r="L83" s="311"/>
      <c r="M83" s="311"/>
      <c r="N83" s="322"/>
    </row>
    <row r="84" spans="1:14" ht="15.75">
      <c r="A84" s="309"/>
      <c r="B84" s="308"/>
      <c r="C84" s="345"/>
      <c r="D84" s="308"/>
      <c r="E84" s="308"/>
      <c r="F84" s="311"/>
      <c r="G84" s="312"/>
      <c r="H84" s="308"/>
      <c r="I84" s="308"/>
      <c r="J84" s="308"/>
      <c r="K84" s="311"/>
      <c r="L84" s="308"/>
      <c r="M84" s="308"/>
      <c r="N84" s="308"/>
    </row>
    <row r="85" spans="1:14" ht="15.75">
      <c r="A85" s="309"/>
      <c r="B85" s="308"/>
      <c r="C85" s="345"/>
      <c r="D85" s="308"/>
      <c r="E85" s="308"/>
      <c r="F85" s="311"/>
      <c r="G85" s="312"/>
      <c r="H85" s="308"/>
      <c r="I85" s="308"/>
      <c r="J85" s="308"/>
      <c r="K85" s="311"/>
      <c r="L85" s="308"/>
      <c r="M85" s="308"/>
      <c r="N85" s="308"/>
    </row>
    <row r="86" spans="1:14" ht="15.75">
      <c r="A86" s="309"/>
      <c r="B86" s="310"/>
      <c r="C86" s="346"/>
      <c r="D86" s="308"/>
      <c r="E86" s="308"/>
      <c r="F86" s="311"/>
      <c r="G86" s="312"/>
      <c r="H86" s="308"/>
      <c r="I86" s="308"/>
      <c r="J86" s="308"/>
      <c r="K86" s="311"/>
      <c r="L86" s="308"/>
      <c r="M86" s="308"/>
      <c r="N86" s="308"/>
    </row>
    <row r="87" spans="1:14" ht="15.75">
      <c r="A87" s="309"/>
      <c r="B87" s="310"/>
      <c r="C87" s="346"/>
      <c r="D87" s="308"/>
      <c r="E87" s="308"/>
      <c r="F87" s="311"/>
      <c r="G87" s="312"/>
      <c r="H87" s="308"/>
      <c r="I87" s="308"/>
      <c r="J87" s="308"/>
      <c r="K87" s="311"/>
      <c r="L87" s="308"/>
      <c r="M87" s="308"/>
      <c r="N87" s="308"/>
    </row>
  </sheetData>
  <mergeCells count="1">
    <mergeCell ref="H2:M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U87"/>
  <sheetViews>
    <sheetView workbookViewId="0">
      <selection sqref="A1:U87"/>
    </sheetView>
  </sheetViews>
  <sheetFormatPr defaultRowHeight="15"/>
  <sheetData>
    <row r="2" spans="2:21" ht="15.75">
      <c r="B2" s="347"/>
      <c r="C2" s="347"/>
      <c r="D2" s="347"/>
      <c r="E2" s="347"/>
      <c r="F2" s="347"/>
      <c r="G2" s="348" t="s">
        <v>0</v>
      </c>
      <c r="H2" s="307" t="s">
        <v>423</v>
      </c>
      <c r="I2" s="306"/>
      <c r="J2" s="306"/>
      <c r="K2" s="306"/>
      <c r="L2" s="306"/>
      <c r="M2" s="306"/>
      <c r="N2" s="350"/>
      <c r="O2" s="347"/>
      <c r="P2" s="347"/>
      <c r="Q2" s="347"/>
      <c r="R2" s="347"/>
      <c r="S2" s="347"/>
      <c r="T2" s="347"/>
      <c r="U2" s="347"/>
    </row>
    <row r="4" spans="2:21" ht="18">
      <c r="B4" s="380" t="s">
        <v>2</v>
      </c>
      <c r="C4" s="347"/>
      <c r="D4" s="347"/>
      <c r="E4" s="347"/>
      <c r="F4" s="347"/>
      <c r="G4" s="348"/>
      <c r="H4" s="348"/>
      <c r="I4" s="348"/>
      <c r="J4" s="348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</row>
    <row r="5" spans="2:21" ht="15.75">
      <c r="B5" s="347"/>
      <c r="C5" s="381"/>
      <c r="D5" s="347"/>
      <c r="E5" s="347"/>
      <c r="F5" s="347"/>
      <c r="G5" s="348"/>
      <c r="H5" s="348"/>
      <c r="I5" s="348"/>
      <c r="J5" s="348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</row>
    <row r="6" spans="2:21" ht="18.75" thickBot="1">
      <c r="B6" s="347"/>
      <c r="C6" s="382" t="s">
        <v>3</v>
      </c>
      <c r="D6" s="352" t="s">
        <v>4</v>
      </c>
      <c r="E6" s="353"/>
      <c r="F6" s="352" t="s">
        <v>5</v>
      </c>
      <c r="G6" s="353"/>
      <c r="H6" s="353"/>
      <c r="I6" s="353"/>
      <c r="J6" s="352" t="s">
        <v>6</v>
      </c>
      <c r="K6" s="352"/>
      <c r="L6" s="352" t="s">
        <v>7</v>
      </c>
      <c r="M6" s="352" t="s">
        <v>8</v>
      </c>
      <c r="N6" s="352"/>
      <c r="O6" s="366" t="s">
        <v>9</v>
      </c>
      <c r="P6" s="347"/>
      <c r="Q6" s="347"/>
      <c r="R6" s="347"/>
      <c r="S6" s="347"/>
      <c r="T6" s="347"/>
      <c r="U6" s="347"/>
    </row>
    <row r="7" spans="2:21" ht="16.5" thickBot="1">
      <c r="B7" s="379">
        <v>1</v>
      </c>
      <c r="C7" s="383" t="s">
        <v>10</v>
      </c>
      <c r="D7" s="370" t="s">
        <v>11</v>
      </c>
      <c r="E7" s="371" t="s">
        <v>12</v>
      </c>
      <c r="F7" s="370" t="s">
        <v>13</v>
      </c>
      <c r="G7" s="377" t="s">
        <v>14</v>
      </c>
      <c r="H7" s="378"/>
      <c r="I7" s="372">
        <v>2</v>
      </c>
      <c r="J7" s="370" t="s">
        <v>13</v>
      </c>
      <c r="K7" s="372">
        <v>0</v>
      </c>
      <c r="L7" s="373"/>
      <c r="M7" s="374"/>
      <c r="N7" s="361"/>
      <c r="O7" s="375" t="s">
        <v>15</v>
      </c>
      <c r="P7" s="376" t="s">
        <v>16</v>
      </c>
      <c r="Q7" s="376" t="s">
        <v>17</v>
      </c>
      <c r="R7" s="376" t="s">
        <v>18</v>
      </c>
      <c r="S7" s="376" t="s">
        <v>19</v>
      </c>
      <c r="T7" s="376" t="s">
        <v>20</v>
      </c>
      <c r="U7" s="376" t="s">
        <v>21</v>
      </c>
    </row>
    <row r="8" spans="2:21" ht="15.75">
      <c r="B8" s="379">
        <v>2</v>
      </c>
      <c r="C8" s="383" t="s">
        <v>22</v>
      </c>
      <c r="D8" s="370" t="s">
        <v>11</v>
      </c>
      <c r="E8" s="371" t="s">
        <v>23</v>
      </c>
      <c r="F8" s="370" t="s">
        <v>13</v>
      </c>
      <c r="G8" s="377" t="s">
        <v>24</v>
      </c>
      <c r="H8" s="378"/>
      <c r="I8" s="372">
        <v>1</v>
      </c>
      <c r="J8" s="370" t="s">
        <v>13</v>
      </c>
      <c r="K8" s="372">
        <v>2</v>
      </c>
      <c r="L8" s="373"/>
      <c r="M8" s="374"/>
      <c r="N8" s="361"/>
      <c r="O8" s="362">
        <v>1</v>
      </c>
      <c r="P8" s="364" t="s">
        <v>12</v>
      </c>
      <c r="Q8" s="364" t="s">
        <v>25</v>
      </c>
      <c r="R8" s="364" t="s">
        <v>26</v>
      </c>
      <c r="S8" s="364" t="s">
        <v>168</v>
      </c>
      <c r="T8" s="364" t="s">
        <v>28</v>
      </c>
      <c r="U8" s="364" t="s">
        <v>29</v>
      </c>
    </row>
    <row r="9" spans="2:21" ht="15.75">
      <c r="B9" s="379">
        <v>3</v>
      </c>
      <c r="C9" s="383" t="s">
        <v>30</v>
      </c>
      <c r="D9" s="370" t="s">
        <v>31</v>
      </c>
      <c r="E9" s="371" t="s">
        <v>32</v>
      </c>
      <c r="F9" s="370" t="s">
        <v>13</v>
      </c>
      <c r="G9" s="377" t="s">
        <v>33</v>
      </c>
      <c r="H9" s="378"/>
      <c r="I9" s="372">
        <v>1</v>
      </c>
      <c r="J9" s="370" t="s">
        <v>13</v>
      </c>
      <c r="K9" s="372">
        <v>2</v>
      </c>
      <c r="L9" s="373"/>
      <c r="M9" s="374"/>
      <c r="N9" s="361"/>
      <c r="O9" s="363">
        <v>2</v>
      </c>
      <c r="P9" s="365" t="s">
        <v>23</v>
      </c>
      <c r="Q9" s="365" t="s">
        <v>32</v>
      </c>
      <c r="R9" s="365" t="s">
        <v>422</v>
      </c>
      <c r="S9" s="365" t="s">
        <v>27</v>
      </c>
      <c r="T9" s="365" t="s">
        <v>42</v>
      </c>
      <c r="U9" s="365" t="s">
        <v>43</v>
      </c>
    </row>
    <row r="10" spans="2:21" ht="15.75">
      <c r="B10" s="379">
        <v>4</v>
      </c>
      <c r="C10" s="383" t="s">
        <v>38</v>
      </c>
      <c r="D10" s="370" t="s">
        <v>39</v>
      </c>
      <c r="E10" s="371" t="s">
        <v>35</v>
      </c>
      <c r="F10" s="370" t="s">
        <v>13</v>
      </c>
      <c r="G10" s="377" t="s">
        <v>40</v>
      </c>
      <c r="H10" s="378"/>
      <c r="I10" s="372">
        <v>1</v>
      </c>
      <c r="J10" s="370" t="s">
        <v>13</v>
      </c>
      <c r="K10" s="372">
        <v>2</v>
      </c>
      <c r="L10" s="373"/>
      <c r="M10" s="374"/>
      <c r="N10" s="361"/>
      <c r="O10" s="363">
        <v>3</v>
      </c>
      <c r="P10" s="365" t="s">
        <v>169</v>
      </c>
      <c r="Q10" s="365" t="s">
        <v>33</v>
      </c>
      <c r="R10" s="365" t="s">
        <v>34</v>
      </c>
      <c r="S10" s="365" t="s">
        <v>40</v>
      </c>
      <c r="T10" s="365" t="s">
        <v>36</v>
      </c>
      <c r="U10" s="365" t="s">
        <v>37</v>
      </c>
    </row>
    <row r="11" spans="2:21" ht="15.75">
      <c r="B11" s="379">
        <v>5</v>
      </c>
      <c r="C11" s="383" t="s">
        <v>44</v>
      </c>
      <c r="D11" s="370" t="s">
        <v>45</v>
      </c>
      <c r="E11" s="371" t="s">
        <v>46</v>
      </c>
      <c r="F11" s="370" t="s">
        <v>13</v>
      </c>
      <c r="G11" s="377" t="s">
        <v>34</v>
      </c>
      <c r="H11" s="378"/>
      <c r="I11" s="372">
        <v>0</v>
      </c>
      <c r="J11" s="370" t="s">
        <v>13</v>
      </c>
      <c r="K11" s="372">
        <v>2</v>
      </c>
      <c r="L11" s="373"/>
      <c r="M11" s="374"/>
      <c r="N11" s="361"/>
      <c r="O11" s="363">
        <v>4</v>
      </c>
      <c r="P11" s="365" t="s">
        <v>14</v>
      </c>
      <c r="Q11" s="365" t="s">
        <v>47</v>
      </c>
      <c r="R11" s="365" t="s">
        <v>46</v>
      </c>
      <c r="S11" s="365" t="s">
        <v>48</v>
      </c>
      <c r="T11" s="365" t="s">
        <v>159</v>
      </c>
      <c r="U11" s="365" t="s">
        <v>50</v>
      </c>
    </row>
    <row r="12" spans="2:21" ht="16.5" thickBot="1">
      <c r="B12" s="379">
        <v>6</v>
      </c>
      <c r="C12" s="383" t="s">
        <v>51</v>
      </c>
      <c r="D12" s="370" t="s">
        <v>39</v>
      </c>
      <c r="E12" s="371" t="s">
        <v>48</v>
      </c>
      <c r="F12" s="370" t="s">
        <v>13</v>
      </c>
      <c r="G12" s="377" t="s">
        <v>27</v>
      </c>
      <c r="H12" s="378"/>
      <c r="I12" s="372">
        <v>0</v>
      </c>
      <c r="J12" s="370" t="s">
        <v>13</v>
      </c>
      <c r="K12" s="372">
        <v>1</v>
      </c>
      <c r="L12" s="373"/>
      <c r="M12" s="374"/>
      <c r="N12" s="361"/>
      <c r="O12" s="347"/>
      <c r="P12" s="347"/>
      <c r="Q12" s="347"/>
      <c r="R12" s="347"/>
      <c r="S12" s="347"/>
      <c r="T12" s="347"/>
      <c r="U12" s="347"/>
    </row>
    <row r="13" spans="2:21" ht="16.5" thickBot="1">
      <c r="B13" s="379">
        <v>7</v>
      </c>
      <c r="C13" s="383" t="s">
        <v>52</v>
      </c>
      <c r="D13" s="370" t="s">
        <v>45</v>
      </c>
      <c r="E13" s="371" t="s">
        <v>26</v>
      </c>
      <c r="F13" s="370" t="s">
        <v>13</v>
      </c>
      <c r="G13" s="377" t="s">
        <v>41</v>
      </c>
      <c r="H13" s="378"/>
      <c r="I13" s="372">
        <v>3</v>
      </c>
      <c r="J13" s="370" t="s">
        <v>13</v>
      </c>
      <c r="K13" s="372">
        <v>0</v>
      </c>
      <c r="L13" s="373"/>
      <c r="M13" s="374"/>
      <c r="N13" s="361"/>
      <c r="O13" s="375" t="s">
        <v>15</v>
      </c>
      <c r="P13" s="376" t="s">
        <v>53</v>
      </c>
      <c r="Q13" s="376" t="s">
        <v>54</v>
      </c>
      <c r="R13" s="376" t="s">
        <v>55</v>
      </c>
      <c r="S13" s="376" t="s">
        <v>56</v>
      </c>
      <c r="T13" s="376" t="s">
        <v>57</v>
      </c>
      <c r="U13" s="376" t="s">
        <v>58</v>
      </c>
    </row>
    <row r="14" spans="2:21" ht="15.75">
      <c r="B14" s="379">
        <v>8</v>
      </c>
      <c r="C14" s="383" t="s">
        <v>59</v>
      </c>
      <c r="D14" s="370" t="s">
        <v>31</v>
      </c>
      <c r="E14" s="371" t="s">
        <v>47</v>
      </c>
      <c r="F14" s="370" t="s">
        <v>13</v>
      </c>
      <c r="G14" s="377" t="s">
        <v>25</v>
      </c>
      <c r="H14" s="378"/>
      <c r="I14" s="372">
        <v>0</v>
      </c>
      <c r="J14" s="370" t="s">
        <v>13</v>
      </c>
      <c r="K14" s="372">
        <v>2</v>
      </c>
      <c r="L14" s="373"/>
      <c r="M14" s="374"/>
      <c r="N14" s="361"/>
      <c r="O14" s="362">
        <v>1</v>
      </c>
      <c r="P14" s="364" t="s">
        <v>60</v>
      </c>
      <c r="Q14" s="364" t="s">
        <v>61</v>
      </c>
      <c r="R14" s="364" t="s">
        <v>62</v>
      </c>
      <c r="S14" s="364" t="s">
        <v>63</v>
      </c>
      <c r="T14" s="364" t="s">
        <v>64</v>
      </c>
      <c r="U14" s="364" t="s">
        <v>65</v>
      </c>
    </row>
    <row r="15" spans="2:21" ht="15.75">
      <c r="B15" s="379">
        <v>9</v>
      </c>
      <c r="C15" s="383" t="s">
        <v>66</v>
      </c>
      <c r="D15" s="370" t="s">
        <v>67</v>
      </c>
      <c r="E15" s="371" t="s">
        <v>42</v>
      </c>
      <c r="F15" s="370" t="s">
        <v>13</v>
      </c>
      <c r="G15" s="377" t="s">
        <v>36</v>
      </c>
      <c r="H15" s="378"/>
      <c r="I15" s="372">
        <v>2</v>
      </c>
      <c r="J15" s="370" t="s">
        <v>13</v>
      </c>
      <c r="K15" s="372">
        <v>0</v>
      </c>
      <c r="L15" s="373"/>
      <c r="M15" s="374"/>
      <c r="N15" s="361"/>
      <c r="O15" s="363">
        <v>2</v>
      </c>
      <c r="P15" s="365" t="s">
        <v>68</v>
      </c>
      <c r="Q15" s="365" t="s">
        <v>69</v>
      </c>
      <c r="R15" s="365" t="s">
        <v>70</v>
      </c>
      <c r="S15" s="365" t="s">
        <v>78</v>
      </c>
      <c r="T15" s="365" t="s">
        <v>72</v>
      </c>
      <c r="U15" s="365" t="s">
        <v>80</v>
      </c>
    </row>
    <row r="16" spans="2:21" ht="15.75">
      <c r="B16" s="379">
        <v>10</v>
      </c>
      <c r="C16" s="383" t="s">
        <v>74</v>
      </c>
      <c r="D16" s="370" t="s">
        <v>67</v>
      </c>
      <c r="E16" s="371" t="s">
        <v>28</v>
      </c>
      <c r="F16" s="370" t="s">
        <v>13</v>
      </c>
      <c r="G16" s="377" t="s">
        <v>49</v>
      </c>
      <c r="H16" s="378"/>
      <c r="I16" s="372">
        <v>4</v>
      </c>
      <c r="J16" s="370" t="s">
        <v>13</v>
      </c>
      <c r="K16" s="372">
        <v>0</v>
      </c>
      <c r="L16" s="373"/>
      <c r="M16" s="374"/>
      <c r="N16" s="361"/>
      <c r="O16" s="363">
        <v>3</v>
      </c>
      <c r="P16" s="365" t="s">
        <v>75</v>
      </c>
      <c r="Q16" s="365" t="s">
        <v>84</v>
      </c>
      <c r="R16" s="365" t="s">
        <v>77</v>
      </c>
      <c r="S16" s="365" t="s">
        <v>71</v>
      </c>
      <c r="T16" s="365" t="s">
        <v>87</v>
      </c>
      <c r="U16" s="365" t="s">
        <v>73</v>
      </c>
    </row>
    <row r="17" spans="2:21" ht="15.75">
      <c r="B17" s="379">
        <v>11</v>
      </c>
      <c r="C17" s="383" t="s">
        <v>81</v>
      </c>
      <c r="D17" s="370" t="s">
        <v>82</v>
      </c>
      <c r="E17" s="371" t="s">
        <v>29</v>
      </c>
      <c r="F17" s="370" t="s">
        <v>13</v>
      </c>
      <c r="G17" s="377" t="s">
        <v>43</v>
      </c>
      <c r="H17" s="378"/>
      <c r="I17" s="372">
        <v>2</v>
      </c>
      <c r="J17" s="370" t="s">
        <v>13</v>
      </c>
      <c r="K17" s="372">
        <v>1</v>
      </c>
      <c r="L17" s="373"/>
      <c r="M17" s="374"/>
      <c r="N17" s="361"/>
      <c r="O17" s="363">
        <v>4</v>
      </c>
      <c r="P17" s="365" t="s">
        <v>83</v>
      </c>
      <c r="Q17" s="365" t="s">
        <v>76</v>
      </c>
      <c r="R17" s="365" t="s">
        <v>85</v>
      </c>
      <c r="S17" s="365" t="s">
        <v>86</v>
      </c>
      <c r="T17" s="365" t="s">
        <v>79</v>
      </c>
      <c r="U17" s="365" t="s">
        <v>88</v>
      </c>
    </row>
    <row r="18" spans="2:21" ht="15.75">
      <c r="B18" s="379">
        <v>12</v>
      </c>
      <c r="C18" s="383" t="s">
        <v>89</v>
      </c>
      <c r="D18" s="370" t="s">
        <v>82</v>
      </c>
      <c r="E18" s="371" t="s">
        <v>37</v>
      </c>
      <c r="F18" s="370" t="s">
        <v>13</v>
      </c>
      <c r="G18" s="377" t="s">
        <v>50</v>
      </c>
      <c r="H18" s="378"/>
      <c r="I18" s="372">
        <v>1</v>
      </c>
      <c r="J18" s="370" t="s">
        <v>13</v>
      </c>
      <c r="K18" s="372">
        <v>1</v>
      </c>
      <c r="L18" s="373"/>
      <c r="M18" s="374"/>
      <c r="N18" s="361"/>
      <c r="O18" s="347"/>
      <c r="P18" s="367"/>
      <c r="Q18" s="367"/>
      <c r="R18" s="367"/>
      <c r="S18" s="367"/>
      <c r="T18" s="367"/>
      <c r="U18" s="367"/>
    </row>
    <row r="19" spans="2:21" ht="15.75">
      <c r="B19" s="379">
        <v>13</v>
      </c>
      <c r="C19" s="383" t="s">
        <v>90</v>
      </c>
      <c r="D19" s="370" t="s">
        <v>91</v>
      </c>
      <c r="E19" s="371" t="s">
        <v>84</v>
      </c>
      <c r="F19" s="370" t="s">
        <v>13</v>
      </c>
      <c r="G19" s="377" t="s">
        <v>69</v>
      </c>
      <c r="H19" s="378"/>
      <c r="I19" s="372">
        <v>0</v>
      </c>
      <c r="J19" s="370" t="s">
        <v>13</v>
      </c>
      <c r="K19" s="372">
        <v>3</v>
      </c>
      <c r="L19" s="373"/>
      <c r="M19" s="374"/>
      <c r="N19" s="361"/>
      <c r="O19" s="347"/>
      <c r="P19" s="347"/>
      <c r="Q19" s="347"/>
      <c r="R19" s="347"/>
      <c r="S19" s="347"/>
      <c r="T19" s="347"/>
      <c r="U19" s="347"/>
    </row>
    <row r="20" spans="2:21" ht="16.5" thickBot="1">
      <c r="B20" s="379">
        <v>14</v>
      </c>
      <c r="C20" s="383" t="s">
        <v>92</v>
      </c>
      <c r="D20" s="370" t="s">
        <v>91</v>
      </c>
      <c r="E20" s="371" t="s">
        <v>61</v>
      </c>
      <c r="F20" s="370" t="s">
        <v>13</v>
      </c>
      <c r="G20" s="377" t="s">
        <v>76</v>
      </c>
      <c r="H20" s="378"/>
      <c r="I20" s="372">
        <v>3</v>
      </c>
      <c r="J20" s="370" t="s">
        <v>13</v>
      </c>
      <c r="K20" s="372">
        <v>0</v>
      </c>
      <c r="L20" s="373"/>
      <c r="M20" s="374"/>
      <c r="N20" s="361"/>
      <c r="O20" s="359" t="s">
        <v>93</v>
      </c>
      <c r="P20" s="347"/>
      <c r="Q20" s="347"/>
      <c r="R20" s="347"/>
      <c r="S20" s="347"/>
      <c r="T20" s="347"/>
      <c r="U20" s="347"/>
    </row>
    <row r="21" spans="2:21" ht="16.5" thickBot="1">
      <c r="B21" s="379">
        <v>15</v>
      </c>
      <c r="C21" s="383" t="s">
        <v>94</v>
      </c>
      <c r="D21" s="370" t="s">
        <v>95</v>
      </c>
      <c r="E21" s="371" t="s">
        <v>83</v>
      </c>
      <c r="F21" s="370" t="s">
        <v>13</v>
      </c>
      <c r="G21" s="377" t="s">
        <v>75</v>
      </c>
      <c r="H21" s="378"/>
      <c r="I21" s="372">
        <v>2</v>
      </c>
      <c r="J21" s="370" t="s">
        <v>13</v>
      </c>
      <c r="K21" s="372">
        <v>1</v>
      </c>
      <c r="L21" s="373"/>
      <c r="M21" s="374"/>
      <c r="N21" s="361"/>
      <c r="O21" s="347"/>
      <c r="P21" s="375" t="s">
        <v>16</v>
      </c>
      <c r="Q21" s="376" t="s">
        <v>17</v>
      </c>
      <c r="R21" s="376" t="s">
        <v>18</v>
      </c>
      <c r="S21" s="376" t="s">
        <v>19</v>
      </c>
      <c r="T21" s="376" t="s">
        <v>20</v>
      </c>
      <c r="U21" s="376" t="s">
        <v>21</v>
      </c>
    </row>
    <row r="22" spans="2:21" ht="15.75">
      <c r="B22" s="379">
        <v>16</v>
      </c>
      <c r="C22" s="383" t="s">
        <v>96</v>
      </c>
      <c r="D22" s="370" t="s">
        <v>95</v>
      </c>
      <c r="E22" s="371" t="s">
        <v>60</v>
      </c>
      <c r="F22" s="370" t="s">
        <v>13</v>
      </c>
      <c r="G22" s="377" t="s">
        <v>68</v>
      </c>
      <c r="H22" s="378"/>
      <c r="I22" s="372">
        <v>2</v>
      </c>
      <c r="J22" s="370" t="s">
        <v>13</v>
      </c>
      <c r="K22" s="372">
        <v>1</v>
      </c>
      <c r="L22" s="373"/>
      <c r="M22" s="374"/>
      <c r="N22" s="361"/>
      <c r="O22" s="347"/>
      <c r="P22" s="368" t="s">
        <v>12</v>
      </c>
      <c r="Q22" s="368" t="s">
        <v>32</v>
      </c>
      <c r="R22" s="368" t="s">
        <v>46</v>
      </c>
      <c r="S22" s="368" t="s">
        <v>35</v>
      </c>
      <c r="T22" s="368" t="s">
        <v>42</v>
      </c>
      <c r="U22" s="368" t="s">
        <v>29</v>
      </c>
    </row>
    <row r="23" spans="2:21" ht="15.75">
      <c r="B23" s="379">
        <v>17</v>
      </c>
      <c r="C23" s="383" t="s">
        <v>97</v>
      </c>
      <c r="D23" s="370" t="s">
        <v>98</v>
      </c>
      <c r="E23" s="371" t="s">
        <v>62</v>
      </c>
      <c r="F23" s="370" t="s">
        <v>13</v>
      </c>
      <c r="G23" s="377" t="s">
        <v>77</v>
      </c>
      <c r="H23" s="378"/>
      <c r="I23" s="372">
        <v>3</v>
      </c>
      <c r="J23" s="370" t="s">
        <v>13</v>
      </c>
      <c r="K23" s="372">
        <v>1</v>
      </c>
      <c r="L23" s="373"/>
      <c r="M23" s="374"/>
      <c r="N23" s="361"/>
      <c r="O23" s="347"/>
      <c r="P23" s="367" t="s">
        <v>14</v>
      </c>
      <c r="Q23" s="367" t="s">
        <v>33</v>
      </c>
      <c r="R23" s="367" t="s">
        <v>34</v>
      </c>
      <c r="S23" s="367" t="s">
        <v>40</v>
      </c>
      <c r="T23" s="367" t="s">
        <v>36</v>
      </c>
      <c r="U23" s="367" t="s">
        <v>43</v>
      </c>
    </row>
    <row r="24" spans="2:21" ht="15.75">
      <c r="B24" s="379">
        <v>18</v>
      </c>
      <c r="C24" s="383" t="s">
        <v>99</v>
      </c>
      <c r="D24" s="370" t="s">
        <v>98</v>
      </c>
      <c r="E24" s="371" t="s">
        <v>85</v>
      </c>
      <c r="F24" s="370" t="s">
        <v>13</v>
      </c>
      <c r="G24" s="377" t="s">
        <v>70</v>
      </c>
      <c r="H24" s="378"/>
      <c r="I24" s="372">
        <v>1</v>
      </c>
      <c r="J24" s="370" t="s">
        <v>13</v>
      </c>
      <c r="K24" s="372">
        <v>1</v>
      </c>
      <c r="L24" s="373"/>
      <c r="M24" s="374"/>
      <c r="N24" s="361"/>
      <c r="O24" s="347"/>
      <c r="P24" s="367" t="s">
        <v>23</v>
      </c>
      <c r="Q24" s="367" t="s">
        <v>47</v>
      </c>
      <c r="R24" s="367" t="s">
        <v>26</v>
      </c>
      <c r="S24" s="367" t="s">
        <v>48</v>
      </c>
      <c r="T24" s="367" t="s">
        <v>28</v>
      </c>
      <c r="U24" s="367" t="s">
        <v>37</v>
      </c>
    </row>
    <row r="25" spans="2:21" ht="15.75">
      <c r="B25" s="379">
        <v>19</v>
      </c>
      <c r="C25" s="383" t="s">
        <v>100</v>
      </c>
      <c r="D25" s="370" t="s">
        <v>101</v>
      </c>
      <c r="E25" s="371" t="s">
        <v>63</v>
      </c>
      <c r="F25" s="370" t="s">
        <v>13</v>
      </c>
      <c r="G25" s="377" t="s">
        <v>78</v>
      </c>
      <c r="H25" s="378"/>
      <c r="I25" s="372">
        <v>2</v>
      </c>
      <c r="J25" s="370" t="s">
        <v>13</v>
      </c>
      <c r="K25" s="372">
        <v>0</v>
      </c>
      <c r="L25" s="373"/>
      <c r="M25" s="374"/>
      <c r="N25" s="361"/>
      <c r="O25" s="347"/>
      <c r="P25" s="367" t="s">
        <v>24</v>
      </c>
      <c r="Q25" s="367" t="s">
        <v>25</v>
      </c>
      <c r="R25" s="367" t="s">
        <v>41</v>
      </c>
      <c r="S25" s="367" t="s">
        <v>27</v>
      </c>
      <c r="T25" s="367" t="s">
        <v>49</v>
      </c>
      <c r="U25" s="367" t="s">
        <v>50</v>
      </c>
    </row>
    <row r="26" spans="2:21" ht="16.5" thickBot="1">
      <c r="B26" s="379">
        <v>20</v>
      </c>
      <c r="C26" s="383" t="s">
        <v>102</v>
      </c>
      <c r="D26" s="370" t="s">
        <v>101</v>
      </c>
      <c r="E26" s="371" t="s">
        <v>71</v>
      </c>
      <c r="F26" s="370" t="s">
        <v>13</v>
      </c>
      <c r="G26" s="377" t="s">
        <v>86</v>
      </c>
      <c r="H26" s="378"/>
      <c r="I26" s="372">
        <v>2</v>
      </c>
      <c r="J26" s="370" t="s">
        <v>13</v>
      </c>
      <c r="K26" s="372">
        <v>0</v>
      </c>
      <c r="L26" s="373"/>
      <c r="M26" s="374"/>
      <c r="N26" s="361"/>
      <c r="O26" s="347"/>
      <c r="P26" s="347"/>
      <c r="Q26" s="347"/>
      <c r="R26" s="347"/>
      <c r="S26" s="347"/>
      <c r="T26" s="347"/>
      <c r="U26" s="347"/>
    </row>
    <row r="27" spans="2:21" ht="16.5" thickBot="1">
      <c r="B27" s="379">
        <v>21</v>
      </c>
      <c r="C27" s="383" t="s">
        <v>103</v>
      </c>
      <c r="D27" s="370" t="s">
        <v>104</v>
      </c>
      <c r="E27" s="371" t="s">
        <v>80</v>
      </c>
      <c r="F27" s="370" t="s">
        <v>13</v>
      </c>
      <c r="G27" s="377" t="s">
        <v>88</v>
      </c>
      <c r="H27" s="378"/>
      <c r="I27" s="372">
        <v>2</v>
      </c>
      <c r="J27" s="370" t="s">
        <v>13</v>
      </c>
      <c r="K27" s="372">
        <v>0</v>
      </c>
      <c r="L27" s="373"/>
      <c r="M27" s="374"/>
      <c r="N27" s="361"/>
      <c r="O27" s="347"/>
      <c r="P27" s="375" t="s">
        <v>53</v>
      </c>
      <c r="Q27" s="376" t="s">
        <v>54</v>
      </c>
      <c r="R27" s="376" t="s">
        <v>55</v>
      </c>
      <c r="S27" s="376" t="s">
        <v>56</v>
      </c>
      <c r="T27" s="376" t="s">
        <v>57</v>
      </c>
      <c r="U27" s="376" t="s">
        <v>58</v>
      </c>
    </row>
    <row r="28" spans="2:21" ht="15.75">
      <c r="B28" s="379">
        <v>22</v>
      </c>
      <c r="C28" s="383" t="s">
        <v>105</v>
      </c>
      <c r="D28" s="370" t="s">
        <v>104</v>
      </c>
      <c r="E28" s="371" t="s">
        <v>65</v>
      </c>
      <c r="F28" s="370" t="s">
        <v>13</v>
      </c>
      <c r="G28" s="377" t="s">
        <v>73</v>
      </c>
      <c r="H28" s="378"/>
      <c r="I28" s="372">
        <v>2</v>
      </c>
      <c r="J28" s="370" t="s">
        <v>13</v>
      </c>
      <c r="K28" s="372">
        <v>1</v>
      </c>
      <c r="L28" s="373"/>
      <c r="M28" s="374"/>
      <c r="N28" s="361"/>
      <c r="O28" s="347"/>
      <c r="P28" s="368" t="s">
        <v>83</v>
      </c>
      <c r="Q28" s="368" t="s">
        <v>84</v>
      </c>
      <c r="R28" s="368" t="s">
        <v>62</v>
      </c>
      <c r="S28" s="368" t="s">
        <v>63</v>
      </c>
      <c r="T28" s="368" t="s">
        <v>64</v>
      </c>
      <c r="U28" s="368" t="s">
        <v>80</v>
      </c>
    </row>
    <row r="29" spans="2:21" ht="15.75">
      <c r="B29" s="379">
        <v>23</v>
      </c>
      <c r="C29" s="383" t="s">
        <v>106</v>
      </c>
      <c r="D29" s="370" t="s">
        <v>107</v>
      </c>
      <c r="E29" s="371" t="s">
        <v>64</v>
      </c>
      <c r="F29" s="370" t="s">
        <v>13</v>
      </c>
      <c r="G29" s="377" t="s">
        <v>87</v>
      </c>
      <c r="H29" s="378"/>
      <c r="I29" s="372">
        <v>3</v>
      </c>
      <c r="J29" s="370" t="s">
        <v>13</v>
      </c>
      <c r="K29" s="372">
        <v>1</v>
      </c>
      <c r="L29" s="373"/>
      <c r="M29" s="374"/>
      <c r="N29" s="361"/>
      <c r="O29" s="347"/>
      <c r="P29" s="367" t="s">
        <v>75</v>
      </c>
      <c r="Q29" s="367" t="s">
        <v>69</v>
      </c>
      <c r="R29" s="367" t="s">
        <v>77</v>
      </c>
      <c r="S29" s="367" t="s">
        <v>78</v>
      </c>
      <c r="T29" s="367" t="s">
        <v>87</v>
      </c>
      <c r="U29" s="367" t="s">
        <v>88</v>
      </c>
    </row>
    <row r="30" spans="2:21" ht="15.75">
      <c r="B30" s="379">
        <v>24</v>
      </c>
      <c r="C30" s="383" t="s">
        <v>108</v>
      </c>
      <c r="D30" s="370" t="s">
        <v>107</v>
      </c>
      <c r="E30" s="371" t="s">
        <v>79</v>
      </c>
      <c r="F30" s="370" t="s">
        <v>13</v>
      </c>
      <c r="G30" s="377" t="s">
        <v>72</v>
      </c>
      <c r="H30" s="378"/>
      <c r="I30" s="372">
        <v>0</v>
      </c>
      <c r="J30" s="370" t="s">
        <v>13</v>
      </c>
      <c r="K30" s="372">
        <v>2</v>
      </c>
      <c r="L30" s="373"/>
      <c r="M30" s="374"/>
      <c r="N30" s="361"/>
      <c r="O30" s="347"/>
      <c r="P30" s="367" t="s">
        <v>60</v>
      </c>
      <c r="Q30" s="367" t="s">
        <v>61</v>
      </c>
      <c r="R30" s="367" t="s">
        <v>85</v>
      </c>
      <c r="S30" s="367" t="s">
        <v>71</v>
      </c>
      <c r="T30" s="367" t="s">
        <v>79</v>
      </c>
      <c r="U30" s="367" t="s">
        <v>65</v>
      </c>
    </row>
    <row r="31" spans="2:21" ht="15.75">
      <c r="B31" s="379">
        <v>25</v>
      </c>
      <c r="C31" s="383" t="s">
        <v>109</v>
      </c>
      <c r="D31" s="370" t="s">
        <v>11</v>
      </c>
      <c r="E31" s="371" t="s">
        <v>24</v>
      </c>
      <c r="F31" s="370" t="s">
        <v>13</v>
      </c>
      <c r="G31" s="377" t="s">
        <v>14</v>
      </c>
      <c r="H31" s="378"/>
      <c r="I31" s="372">
        <v>2</v>
      </c>
      <c r="J31" s="370" t="s">
        <v>13</v>
      </c>
      <c r="K31" s="372">
        <v>0</v>
      </c>
      <c r="L31" s="373"/>
      <c r="M31" s="374"/>
      <c r="N31" s="361"/>
      <c r="O31" s="347"/>
      <c r="P31" s="367" t="s">
        <v>68</v>
      </c>
      <c r="Q31" s="367" t="s">
        <v>76</v>
      </c>
      <c r="R31" s="367" t="s">
        <v>70</v>
      </c>
      <c r="S31" s="367" t="s">
        <v>86</v>
      </c>
      <c r="T31" s="367" t="s">
        <v>72</v>
      </c>
      <c r="U31" s="367" t="s">
        <v>73</v>
      </c>
    </row>
    <row r="32" spans="2:21" ht="15.75">
      <c r="B32" s="379">
        <v>26</v>
      </c>
      <c r="C32" s="383" t="s">
        <v>110</v>
      </c>
      <c r="D32" s="370" t="s">
        <v>31</v>
      </c>
      <c r="E32" s="371" t="s">
        <v>25</v>
      </c>
      <c r="F32" s="370" t="s">
        <v>13</v>
      </c>
      <c r="G32" s="377" t="s">
        <v>33</v>
      </c>
      <c r="H32" s="378"/>
      <c r="I32" s="372">
        <v>2</v>
      </c>
      <c r="J32" s="370" t="s">
        <v>13</v>
      </c>
      <c r="K32" s="372">
        <v>1</v>
      </c>
      <c r="L32" s="373"/>
      <c r="M32" s="374"/>
      <c r="N32" s="361"/>
      <c r="O32" s="347"/>
      <c r="P32" s="347"/>
      <c r="Q32" s="347"/>
      <c r="R32" s="347"/>
      <c r="S32" s="347"/>
      <c r="T32" s="347"/>
      <c r="U32" s="347"/>
    </row>
    <row r="33" spans="2:14" ht="15.75">
      <c r="B33" s="379">
        <v>27</v>
      </c>
      <c r="C33" s="383" t="s">
        <v>111</v>
      </c>
      <c r="D33" s="370" t="s">
        <v>31</v>
      </c>
      <c r="E33" s="371" t="s">
        <v>32</v>
      </c>
      <c r="F33" s="370" t="s">
        <v>13</v>
      </c>
      <c r="G33" s="377" t="s">
        <v>47</v>
      </c>
      <c r="H33" s="378"/>
      <c r="I33" s="372">
        <v>1</v>
      </c>
      <c r="J33" s="370" t="s">
        <v>13</v>
      </c>
      <c r="K33" s="372">
        <v>0</v>
      </c>
      <c r="L33" s="373"/>
      <c r="M33" s="374"/>
      <c r="N33" s="361"/>
    </row>
    <row r="34" spans="2:14" ht="15.75">
      <c r="B34" s="379">
        <v>28</v>
      </c>
      <c r="C34" s="383" t="s">
        <v>112</v>
      </c>
      <c r="D34" s="370" t="s">
        <v>11</v>
      </c>
      <c r="E34" s="371" t="s">
        <v>12</v>
      </c>
      <c r="F34" s="370" t="s">
        <v>13</v>
      </c>
      <c r="G34" s="377" t="s">
        <v>23</v>
      </c>
      <c r="H34" s="378"/>
      <c r="I34" s="372">
        <v>2</v>
      </c>
      <c r="J34" s="370" t="s">
        <v>13</v>
      </c>
      <c r="K34" s="372">
        <v>1</v>
      </c>
      <c r="L34" s="373"/>
      <c r="M34" s="374"/>
      <c r="N34" s="361"/>
    </row>
    <row r="35" spans="2:14" ht="15.75">
      <c r="B35" s="379">
        <v>29</v>
      </c>
      <c r="C35" s="383" t="s">
        <v>113</v>
      </c>
      <c r="D35" s="370" t="s">
        <v>45</v>
      </c>
      <c r="E35" s="371" t="s">
        <v>26</v>
      </c>
      <c r="F35" s="370" t="s">
        <v>13</v>
      </c>
      <c r="G35" s="377" t="s">
        <v>46</v>
      </c>
      <c r="H35" s="378"/>
      <c r="I35" s="372">
        <v>4</v>
      </c>
      <c r="J35" s="370" t="s">
        <v>13</v>
      </c>
      <c r="K35" s="372">
        <v>0</v>
      </c>
      <c r="L35" s="373"/>
      <c r="M35" s="374"/>
      <c r="N35" s="361"/>
    </row>
    <row r="36" spans="2:14" ht="15.75">
      <c r="B36" s="379">
        <v>30</v>
      </c>
      <c r="C36" s="383" t="s">
        <v>114</v>
      </c>
      <c r="D36" s="370" t="s">
        <v>45</v>
      </c>
      <c r="E36" s="371" t="s">
        <v>34</v>
      </c>
      <c r="F36" s="370" t="s">
        <v>13</v>
      </c>
      <c r="G36" s="377" t="s">
        <v>41</v>
      </c>
      <c r="H36" s="378"/>
      <c r="I36" s="372">
        <v>1</v>
      </c>
      <c r="J36" s="370" t="s">
        <v>13</v>
      </c>
      <c r="K36" s="372">
        <v>2</v>
      </c>
      <c r="L36" s="373"/>
      <c r="M36" s="374"/>
      <c r="N36" s="361"/>
    </row>
    <row r="37" spans="2:14" ht="15.75">
      <c r="B37" s="379">
        <v>31</v>
      </c>
      <c r="C37" s="383" t="s">
        <v>115</v>
      </c>
      <c r="D37" s="370" t="s">
        <v>39</v>
      </c>
      <c r="E37" s="371" t="s">
        <v>27</v>
      </c>
      <c r="F37" s="370" t="s">
        <v>13</v>
      </c>
      <c r="G37" s="377" t="s">
        <v>40</v>
      </c>
      <c r="H37" s="378"/>
      <c r="I37" s="372">
        <v>2</v>
      </c>
      <c r="J37" s="370" t="s">
        <v>13</v>
      </c>
      <c r="K37" s="372">
        <v>0</v>
      </c>
      <c r="L37" s="373"/>
      <c r="M37" s="374"/>
      <c r="N37" s="361"/>
    </row>
    <row r="38" spans="2:14" ht="15.75">
      <c r="B38" s="379">
        <v>32</v>
      </c>
      <c r="C38" s="383" t="s">
        <v>116</v>
      </c>
      <c r="D38" s="370" t="s">
        <v>39</v>
      </c>
      <c r="E38" s="371" t="s">
        <v>35</v>
      </c>
      <c r="F38" s="370" t="s">
        <v>13</v>
      </c>
      <c r="G38" s="377" t="s">
        <v>48</v>
      </c>
      <c r="H38" s="378"/>
      <c r="I38" s="372">
        <v>2</v>
      </c>
      <c r="J38" s="370" t="s">
        <v>13</v>
      </c>
      <c r="K38" s="372">
        <v>1</v>
      </c>
      <c r="L38" s="373"/>
      <c r="M38" s="374"/>
      <c r="N38" s="361"/>
    </row>
    <row r="39" spans="2:14" ht="15.75">
      <c r="B39" s="379">
        <v>33</v>
      </c>
      <c r="C39" s="383" t="s">
        <v>117</v>
      </c>
      <c r="D39" s="370" t="s">
        <v>67</v>
      </c>
      <c r="E39" s="371" t="s">
        <v>28</v>
      </c>
      <c r="F39" s="370" t="s">
        <v>13</v>
      </c>
      <c r="G39" s="377" t="s">
        <v>42</v>
      </c>
      <c r="H39" s="378"/>
      <c r="I39" s="372">
        <v>2</v>
      </c>
      <c r="J39" s="370" t="s">
        <v>13</v>
      </c>
      <c r="K39" s="372">
        <v>1</v>
      </c>
      <c r="L39" s="373"/>
      <c r="M39" s="374"/>
      <c r="N39" s="361"/>
    </row>
    <row r="40" spans="2:14" ht="15.75">
      <c r="B40" s="379">
        <v>34</v>
      </c>
      <c r="C40" s="383" t="s">
        <v>118</v>
      </c>
      <c r="D40" s="370" t="s">
        <v>67</v>
      </c>
      <c r="E40" s="371" t="s">
        <v>36</v>
      </c>
      <c r="F40" s="370" t="s">
        <v>13</v>
      </c>
      <c r="G40" s="377" t="s">
        <v>49</v>
      </c>
      <c r="H40" s="378"/>
      <c r="I40" s="372">
        <v>1</v>
      </c>
      <c r="J40" s="370" t="s">
        <v>13</v>
      </c>
      <c r="K40" s="372">
        <v>0</v>
      </c>
      <c r="L40" s="373"/>
      <c r="M40" s="374"/>
      <c r="N40" s="361"/>
    </row>
    <row r="41" spans="2:14" ht="15.75">
      <c r="B41" s="379">
        <v>35</v>
      </c>
      <c r="C41" s="383" t="s">
        <v>119</v>
      </c>
      <c r="D41" s="370" t="s">
        <v>82</v>
      </c>
      <c r="E41" s="371" t="s">
        <v>29</v>
      </c>
      <c r="F41" s="370" t="s">
        <v>13</v>
      </c>
      <c r="G41" s="377" t="s">
        <v>37</v>
      </c>
      <c r="H41" s="378"/>
      <c r="I41" s="372">
        <v>2</v>
      </c>
      <c r="J41" s="370" t="s">
        <v>13</v>
      </c>
      <c r="K41" s="372">
        <v>0</v>
      </c>
      <c r="L41" s="373"/>
      <c r="M41" s="374"/>
      <c r="N41" s="361"/>
    </row>
    <row r="42" spans="2:14" ht="15.75">
      <c r="B42" s="379">
        <v>36</v>
      </c>
      <c r="C42" s="383" t="s">
        <v>120</v>
      </c>
      <c r="D42" s="370" t="s">
        <v>82</v>
      </c>
      <c r="E42" s="371" t="s">
        <v>50</v>
      </c>
      <c r="F42" s="370" t="s">
        <v>13</v>
      </c>
      <c r="G42" s="377" t="s">
        <v>43</v>
      </c>
      <c r="H42" s="378"/>
      <c r="I42" s="372">
        <v>0</v>
      </c>
      <c r="J42" s="370" t="s">
        <v>13</v>
      </c>
      <c r="K42" s="372">
        <v>0</v>
      </c>
      <c r="L42" s="373"/>
      <c r="M42" s="374"/>
      <c r="N42" s="361"/>
    </row>
    <row r="43" spans="2:14" ht="15.75">
      <c r="B43" s="379">
        <v>37</v>
      </c>
      <c r="C43" s="383" t="s">
        <v>121</v>
      </c>
      <c r="D43" s="370" t="s">
        <v>91</v>
      </c>
      <c r="E43" s="371" t="s">
        <v>69</v>
      </c>
      <c r="F43" s="370" t="s">
        <v>13</v>
      </c>
      <c r="G43" s="377" t="s">
        <v>76</v>
      </c>
      <c r="H43" s="378"/>
      <c r="I43" s="372">
        <v>2</v>
      </c>
      <c r="J43" s="370" t="s">
        <v>13</v>
      </c>
      <c r="K43" s="372">
        <v>0</v>
      </c>
      <c r="L43" s="373"/>
      <c r="M43" s="374"/>
      <c r="N43" s="347"/>
    </row>
    <row r="44" spans="2:14" ht="15.75">
      <c r="B44" s="379">
        <v>38</v>
      </c>
      <c r="C44" s="383" t="s">
        <v>122</v>
      </c>
      <c r="D44" s="370" t="s">
        <v>91</v>
      </c>
      <c r="E44" s="371" t="s">
        <v>61</v>
      </c>
      <c r="F44" s="370" t="s">
        <v>13</v>
      </c>
      <c r="G44" s="377" t="s">
        <v>84</v>
      </c>
      <c r="H44" s="378"/>
      <c r="I44" s="372">
        <v>3</v>
      </c>
      <c r="J44" s="370" t="s">
        <v>13</v>
      </c>
      <c r="K44" s="372">
        <v>0</v>
      </c>
      <c r="L44" s="373"/>
      <c r="M44" s="374"/>
      <c r="N44" s="347"/>
    </row>
    <row r="45" spans="2:14" ht="15.75">
      <c r="B45" s="379">
        <v>39</v>
      </c>
      <c r="C45" s="383" t="s">
        <v>123</v>
      </c>
      <c r="D45" s="370" t="s">
        <v>95</v>
      </c>
      <c r="E45" s="371" t="s">
        <v>60</v>
      </c>
      <c r="F45" s="370" t="s">
        <v>13</v>
      </c>
      <c r="G45" s="377" t="s">
        <v>83</v>
      </c>
      <c r="H45" s="378"/>
      <c r="I45" s="372">
        <v>2</v>
      </c>
      <c r="J45" s="370" t="s">
        <v>13</v>
      </c>
      <c r="K45" s="372">
        <v>0</v>
      </c>
      <c r="L45" s="373"/>
      <c r="M45" s="374"/>
      <c r="N45" s="347"/>
    </row>
    <row r="46" spans="2:14" ht="15.75">
      <c r="B46" s="379">
        <v>40</v>
      </c>
      <c r="C46" s="383" t="s">
        <v>124</v>
      </c>
      <c r="D46" s="370" t="s">
        <v>95</v>
      </c>
      <c r="E46" s="371" t="s">
        <v>75</v>
      </c>
      <c r="F46" s="370" t="s">
        <v>13</v>
      </c>
      <c r="G46" s="377" t="s">
        <v>68</v>
      </c>
      <c r="H46" s="378"/>
      <c r="I46" s="372">
        <v>0</v>
      </c>
      <c r="J46" s="370" t="s">
        <v>13</v>
      </c>
      <c r="K46" s="372">
        <v>2</v>
      </c>
      <c r="L46" s="373"/>
      <c r="M46" s="374"/>
      <c r="N46" s="347"/>
    </row>
    <row r="47" spans="2:14" ht="15.75">
      <c r="B47" s="379">
        <v>41</v>
      </c>
      <c r="C47" s="383" t="s">
        <v>125</v>
      </c>
      <c r="D47" s="370" t="s">
        <v>98</v>
      </c>
      <c r="E47" s="371" t="s">
        <v>70</v>
      </c>
      <c r="F47" s="370" t="s">
        <v>13</v>
      </c>
      <c r="G47" s="377" t="s">
        <v>77</v>
      </c>
      <c r="H47" s="378"/>
      <c r="I47" s="372">
        <v>2</v>
      </c>
      <c r="J47" s="370" t="s">
        <v>13</v>
      </c>
      <c r="K47" s="372">
        <v>1</v>
      </c>
      <c r="L47" s="373"/>
      <c r="M47" s="374"/>
      <c r="N47" s="347"/>
    </row>
    <row r="48" spans="2:14" ht="15.75">
      <c r="B48" s="379">
        <v>42</v>
      </c>
      <c r="C48" s="383" t="s">
        <v>126</v>
      </c>
      <c r="D48" s="370" t="s">
        <v>98</v>
      </c>
      <c r="E48" s="371" t="s">
        <v>62</v>
      </c>
      <c r="F48" s="370" t="s">
        <v>13</v>
      </c>
      <c r="G48" s="377" t="s">
        <v>85</v>
      </c>
      <c r="H48" s="378"/>
      <c r="I48" s="372">
        <v>3</v>
      </c>
      <c r="J48" s="370" t="s">
        <v>13</v>
      </c>
      <c r="K48" s="372">
        <v>0</v>
      </c>
      <c r="L48" s="373"/>
      <c r="M48" s="374"/>
      <c r="N48" s="347"/>
    </row>
    <row r="49" spans="2:13" ht="15.75">
      <c r="B49" s="379">
        <v>43</v>
      </c>
      <c r="C49" s="383" t="s">
        <v>127</v>
      </c>
      <c r="D49" s="370" t="s">
        <v>101</v>
      </c>
      <c r="E49" s="371" t="s">
        <v>63</v>
      </c>
      <c r="F49" s="370" t="s">
        <v>13</v>
      </c>
      <c r="G49" s="377" t="s">
        <v>71</v>
      </c>
      <c r="H49" s="378"/>
      <c r="I49" s="372">
        <v>2</v>
      </c>
      <c r="J49" s="370" t="s">
        <v>13</v>
      </c>
      <c r="K49" s="372">
        <v>0</v>
      </c>
      <c r="L49" s="373"/>
      <c r="M49" s="374"/>
    </row>
    <row r="50" spans="2:13" ht="15.75">
      <c r="B50" s="379">
        <v>44</v>
      </c>
      <c r="C50" s="383" t="s">
        <v>128</v>
      </c>
      <c r="D50" s="370" t="s">
        <v>101</v>
      </c>
      <c r="E50" s="371" t="s">
        <v>86</v>
      </c>
      <c r="F50" s="370" t="s">
        <v>13</v>
      </c>
      <c r="G50" s="377" t="s">
        <v>78</v>
      </c>
      <c r="H50" s="378"/>
      <c r="I50" s="372">
        <v>0</v>
      </c>
      <c r="J50" s="370" t="s">
        <v>13</v>
      </c>
      <c r="K50" s="372">
        <v>1</v>
      </c>
      <c r="L50" s="373"/>
      <c r="M50" s="374"/>
    </row>
    <row r="51" spans="2:13" ht="15.75">
      <c r="B51" s="379">
        <v>45</v>
      </c>
      <c r="C51" s="383" t="s">
        <v>129</v>
      </c>
      <c r="D51" s="370" t="s">
        <v>104</v>
      </c>
      <c r="E51" s="371" t="s">
        <v>65</v>
      </c>
      <c r="F51" s="370" t="s">
        <v>13</v>
      </c>
      <c r="G51" s="377" t="s">
        <v>80</v>
      </c>
      <c r="H51" s="378"/>
      <c r="I51" s="372">
        <v>2</v>
      </c>
      <c r="J51" s="370" t="s">
        <v>13</v>
      </c>
      <c r="K51" s="372">
        <v>0</v>
      </c>
      <c r="L51" s="373"/>
      <c r="M51" s="374"/>
    </row>
    <row r="52" spans="2:13" ht="15.75">
      <c r="B52" s="379">
        <v>46</v>
      </c>
      <c r="C52" s="383" t="s">
        <v>130</v>
      </c>
      <c r="D52" s="370" t="s">
        <v>104</v>
      </c>
      <c r="E52" s="371" t="s">
        <v>88</v>
      </c>
      <c r="F52" s="370" t="s">
        <v>13</v>
      </c>
      <c r="G52" s="377" t="s">
        <v>73</v>
      </c>
      <c r="H52" s="378"/>
      <c r="I52" s="372">
        <v>0</v>
      </c>
      <c r="J52" s="370" t="s">
        <v>13</v>
      </c>
      <c r="K52" s="372">
        <v>2</v>
      </c>
      <c r="L52" s="373"/>
      <c r="M52" s="374"/>
    </row>
    <row r="53" spans="2:13" ht="15.75">
      <c r="B53" s="379">
        <v>47</v>
      </c>
      <c r="C53" s="383" t="s">
        <v>131</v>
      </c>
      <c r="D53" s="370" t="s">
        <v>107</v>
      </c>
      <c r="E53" s="371" t="s">
        <v>64</v>
      </c>
      <c r="F53" s="370" t="s">
        <v>13</v>
      </c>
      <c r="G53" s="377" t="s">
        <v>79</v>
      </c>
      <c r="H53" s="378"/>
      <c r="I53" s="372">
        <v>2</v>
      </c>
      <c r="J53" s="370" t="s">
        <v>13</v>
      </c>
      <c r="K53" s="372">
        <v>0</v>
      </c>
      <c r="L53" s="373"/>
      <c r="M53" s="374"/>
    </row>
    <row r="54" spans="2:13" ht="15.75">
      <c r="B54" s="379">
        <v>48</v>
      </c>
      <c r="C54" s="383" t="s">
        <v>132</v>
      </c>
      <c r="D54" s="370" t="s">
        <v>107</v>
      </c>
      <c r="E54" s="371" t="s">
        <v>72</v>
      </c>
      <c r="F54" s="370" t="s">
        <v>13</v>
      </c>
      <c r="G54" s="377" t="s">
        <v>87</v>
      </c>
      <c r="H54" s="378"/>
      <c r="I54" s="372">
        <v>2</v>
      </c>
      <c r="J54" s="370" t="s">
        <v>13</v>
      </c>
      <c r="K54" s="372">
        <v>1</v>
      </c>
      <c r="L54" s="373"/>
      <c r="M54" s="374"/>
    </row>
    <row r="55" spans="2:13" ht="15.75">
      <c r="B55" s="379">
        <v>49</v>
      </c>
      <c r="C55" s="383" t="s">
        <v>133</v>
      </c>
      <c r="D55" s="370" t="s">
        <v>45</v>
      </c>
      <c r="E55" s="371" t="s">
        <v>34</v>
      </c>
      <c r="F55" s="370" t="s">
        <v>13</v>
      </c>
      <c r="G55" s="377" t="s">
        <v>26</v>
      </c>
      <c r="H55" s="378"/>
      <c r="I55" s="372">
        <v>0</v>
      </c>
      <c r="J55" s="370" t="s">
        <v>13</v>
      </c>
      <c r="K55" s="372">
        <v>3</v>
      </c>
      <c r="L55" s="373"/>
      <c r="M55" s="374"/>
    </row>
    <row r="56" spans="2:13" ht="15.75">
      <c r="B56" s="379">
        <v>50</v>
      </c>
      <c r="C56" s="383" t="s">
        <v>133</v>
      </c>
      <c r="D56" s="370" t="s">
        <v>45</v>
      </c>
      <c r="E56" s="371" t="s">
        <v>41</v>
      </c>
      <c r="F56" s="370" t="s">
        <v>13</v>
      </c>
      <c r="G56" s="377" t="s">
        <v>46</v>
      </c>
      <c r="H56" s="378"/>
      <c r="I56" s="372">
        <v>2</v>
      </c>
      <c r="J56" s="370" t="s">
        <v>13</v>
      </c>
      <c r="K56" s="372">
        <v>0</v>
      </c>
      <c r="L56" s="373"/>
      <c r="M56" s="374"/>
    </row>
    <row r="57" spans="2:13" ht="15.75">
      <c r="B57" s="379">
        <v>51</v>
      </c>
      <c r="C57" s="383" t="s">
        <v>134</v>
      </c>
      <c r="D57" s="370" t="s">
        <v>31</v>
      </c>
      <c r="E57" s="371" t="s">
        <v>25</v>
      </c>
      <c r="F57" s="370" t="s">
        <v>13</v>
      </c>
      <c r="G57" s="377" t="s">
        <v>32</v>
      </c>
      <c r="H57" s="378"/>
      <c r="I57" s="372">
        <v>2</v>
      </c>
      <c r="J57" s="370" t="s">
        <v>13</v>
      </c>
      <c r="K57" s="372">
        <v>0</v>
      </c>
      <c r="L57" s="373"/>
      <c r="M57" s="374"/>
    </row>
    <row r="58" spans="2:13" ht="15.75">
      <c r="B58" s="379">
        <v>52</v>
      </c>
      <c r="C58" s="383" t="s">
        <v>134</v>
      </c>
      <c r="D58" s="370" t="s">
        <v>31</v>
      </c>
      <c r="E58" s="371" t="s">
        <v>33</v>
      </c>
      <c r="F58" s="370" t="s">
        <v>13</v>
      </c>
      <c r="G58" s="377" t="s">
        <v>47</v>
      </c>
      <c r="H58" s="378"/>
      <c r="I58" s="372">
        <v>1</v>
      </c>
      <c r="J58" s="370" t="s">
        <v>13</v>
      </c>
      <c r="K58" s="372">
        <v>0</v>
      </c>
      <c r="L58" s="373"/>
      <c r="M58" s="374"/>
    </row>
    <row r="59" spans="2:13" ht="15.75">
      <c r="B59" s="379">
        <v>53</v>
      </c>
      <c r="C59" s="383" t="s">
        <v>135</v>
      </c>
      <c r="D59" s="370" t="s">
        <v>11</v>
      </c>
      <c r="E59" s="371" t="s">
        <v>24</v>
      </c>
      <c r="F59" s="370" t="s">
        <v>13</v>
      </c>
      <c r="G59" s="377" t="s">
        <v>12</v>
      </c>
      <c r="H59" s="378"/>
      <c r="I59" s="372">
        <v>0</v>
      </c>
      <c r="J59" s="370" t="s">
        <v>13</v>
      </c>
      <c r="K59" s="372">
        <v>2</v>
      </c>
      <c r="L59" s="373"/>
      <c r="M59" s="374"/>
    </row>
    <row r="60" spans="2:13" ht="15.75">
      <c r="B60" s="379">
        <v>54</v>
      </c>
      <c r="C60" s="383" t="s">
        <v>135</v>
      </c>
      <c r="D60" s="370" t="s">
        <v>11</v>
      </c>
      <c r="E60" s="371" t="s">
        <v>14</v>
      </c>
      <c r="F60" s="370" t="s">
        <v>13</v>
      </c>
      <c r="G60" s="377" t="s">
        <v>23</v>
      </c>
      <c r="H60" s="378"/>
      <c r="I60" s="372">
        <v>1</v>
      </c>
      <c r="J60" s="370" t="s">
        <v>13</v>
      </c>
      <c r="K60" s="372">
        <v>1</v>
      </c>
      <c r="L60" s="373"/>
      <c r="M60" s="374"/>
    </row>
    <row r="61" spans="2:13" ht="15.75">
      <c r="B61" s="379">
        <v>55</v>
      </c>
      <c r="C61" s="383" t="s">
        <v>136</v>
      </c>
      <c r="D61" s="370" t="s">
        <v>67</v>
      </c>
      <c r="E61" s="371" t="s">
        <v>49</v>
      </c>
      <c r="F61" s="370" t="s">
        <v>13</v>
      </c>
      <c r="G61" s="377" t="s">
        <v>42</v>
      </c>
      <c r="H61" s="378"/>
      <c r="I61" s="372">
        <v>0</v>
      </c>
      <c r="J61" s="370" t="s">
        <v>13</v>
      </c>
      <c r="K61" s="372">
        <v>2</v>
      </c>
      <c r="L61" s="373"/>
      <c r="M61" s="374"/>
    </row>
    <row r="62" spans="2:13" ht="15.75">
      <c r="B62" s="379">
        <v>56</v>
      </c>
      <c r="C62" s="383" t="s">
        <v>136</v>
      </c>
      <c r="D62" s="370" t="s">
        <v>67</v>
      </c>
      <c r="E62" s="371" t="s">
        <v>36</v>
      </c>
      <c r="F62" s="370" t="s">
        <v>13</v>
      </c>
      <c r="G62" s="377" t="s">
        <v>28</v>
      </c>
      <c r="H62" s="378"/>
      <c r="I62" s="372">
        <v>0</v>
      </c>
      <c r="J62" s="370" t="s">
        <v>13</v>
      </c>
      <c r="K62" s="372">
        <v>3</v>
      </c>
      <c r="L62" s="373"/>
      <c r="M62" s="374"/>
    </row>
    <row r="63" spans="2:13" ht="15.75">
      <c r="B63" s="379">
        <v>57</v>
      </c>
      <c r="C63" s="383" t="s">
        <v>137</v>
      </c>
      <c r="D63" s="370" t="s">
        <v>82</v>
      </c>
      <c r="E63" s="371" t="s">
        <v>43</v>
      </c>
      <c r="F63" s="370" t="s">
        <v>13</v>
      </c>
      <c r="G63" s="377" t="s">
        <v>37</v>
      </c>
      <c r="H63" s="378"/>
      <c r="I63" s="372">
        <v>1</v>
      </c>
      <c r="J63" s="370" t="s">
        <v>13</v>
      </c>
      <c r="K63" s="372">
        <v>2</v>
      </c>
      <c r="L63" s="373"/>
      <c r="M63" s="374"/>
    </row>
    <row r="64" spans="2:13" ht="15.75">
      <c r="B64" s="379">
        <v>58</v>
      </c>
      <c r="C64" s="383" t="s">
        <v>137</v>
      </c>
      <c r="D64" s="370" t="s">
        <v>82</v>
      </c>
      <c r="E64" s="371" t="s">
        <v>50</v>
      </c>
      <c r="F64" s="370" t="s">
        <v>13</v>
      </c>
      <c r="G64" s="377" t="s">
        <v>29</v>
      </c>
      <c r="H64" s="378"/>
      <c r="I64" s="372">
        <v>1</v>
      </c>
      <c r="J64" s="370" t="s">
        <v>13</v>
      </c>
      <c r="K64" s="372">
        <v>3</v>
      </c>
      <c r="L64" s="373"/>
      <c r="M64" s="374"/>
    </row>
    <row r="65" spans="2:14" ht="15.75">
      <c r="B65" s="379">
        <v>59</v>
      </c>
      <c r="C65" s="383" t="s">
        <v>138</v>
      </c>
      <c r="D65" s="370" t="s">
        <v>39</v>
      </c>
      <c r="E65" s="371" t="s">
        <v>27</v>
      </c>
      <c r="F65" s="370" t="s">
        <v>13</v>
      </c>
      <c r="G65" s="377" t="s">
        <v>35</v>
      </c>
      <c r="H65" s="378"/>
      <c r="I65" s="372">
        <v>0</v>
      </c>
      <c r="J65" s="370" t="s">
        <v>13</v>
      </c>
      <c r="K65" s="372">
        <v>2</v>
      </c>
      <c r="L65" s="373"/>
      <c r="M65" s="374"/>
      <c r="N65" s="347"/>
    </row>
    <row r="66" spans="2:14" ht="15.75">
      <c r="B66" s="379">
        <v>60</v>
      </c>
      <c r="C66" s="383" t="s">
        <v>138</v>
      </c>
      <c r="D66" s="370" t="s">
        <v>39</v>
      </c>
      <c r="E66" s="371" t="s">
        <v>40</v>
      </c>
      <c r="F66" s="370" t="s">
        <v>13</v>
      </c>
      <c r="G66" s="377" t="s">
        <v>48</v>
      </c>
      <c r="H66" s="378"/>
      <c r="I66" s="372">
        <v>2</v>
      </c>
      <c r="J66" s="370" t="s">
        <v>13</v>
      </c>
      <c r="K66" s="372">
        <v>1</v>
      </c>
      <c r="L66" s="373"/>
      <c r="M66" s="374"/>
      <c r="N66" s="347"/>
    </row>
    <row r="67" spans="2:14" ht="15.75">
      <c r="B67" s="379">
        <v>61</v>
      </c>
      <c r="C67" s="383" t="s">
        <v>139</v>
      </c>
      <c r="D67" s="370" t="s">
        <v>98</v>
      </c>
      <c r="E67" s="371" t="s">
        <v>70</v>
      </c>
      <c r="F67" s="370" t="s">
        <v>13</v>
      </c>
      <c r="G67" s="377" t="s">
        <v>62</v>
      </c>
      <c r="H67" s="378"/>
      <c r="I67" s="372">
        <v>0</v>
      </c>
      <c r="J67" s="370" t="s">
        <v>13</v>
      </c>
      <c r="K67" s="372">
        <v>2</v>
      </c>
      <c r="L67" s="373"/>
      <c r="M67" s="374"/>
      <c r="N67" s="347"/>
    </row>
    <row r="68" spans="2:14" ht="15.75">
      <c r="B68" s="379">
        <v>62</v>
      </c>
      <c r="C68" s="383" t="s">
        <v>139</v>
      </c>
      <c r="D68" s="370" t="s">
        <v>98</v>
      </c>
      <c r="E68" s="371" t="s">
        <v>77</v>
      </c>
      <c r="F68" s="370" t="s">
        <v>13</v>
      </c>
      <c r="G68" s="377" t="s">
        <v>85</v>
      </c>
      <c r="H68" s="378"/>
      <c r="I68" s="372">
        <v>2</v>
      </c>
      <c r="J68" s="370" t="s">
        <v>13</v>
      </c>
      <c r="K68" s="372">
        <v>0</v>
      </c>
      <c r="L68" s="373"/>
      <c r="M68" s="374"/>
      <c r="N68" s="347"/>
    </row>
    <row r="69" spans="2:14" ht="15.75">
      <c r="B69" s="379">
        <v>63</v>
      </c>
      <c r="C69" s="383" t="s">
        <v>140</v>
      </c>
      <c r="D69" s="370" t="s">
        <v>95</v>
      </c>
      <c r="E69" s="371" t="s">
        <v>68</v>
      </c>
      <c r="F69" s="370" t="s">
        <v>13</v>
      </c>
      <c r="G69" s="377" t="s">
        <v>83</v>
      </c>
      <c r="H69" s="378"/>
      <c r="I69" s="372">
        <v>1</v>
      </c>
      <c r="J69" s="370" t="s">
        <v>13</v>
      </c>
      <c r="K69" s="372">
        <v>1</v>
      </c>
      <c r="L69" s="373"/>
      <c r="M69" s="374"/>
      <c r="N69" s="347"/>
    </row>
    <row r="70" spans="2:14" ht="15.75">
      <c r="B70" s="379">
        <v>64</v>
      </c>
      <c r="C70" s="383" t="s">
        <v>140</v>
      </c>
      <c r="D70" s="370" t="s">
        <v>95</v>
      </c>
      <c r="E70" s="371" t="s">
        <v>75</v>
      </c>
      <c r="F70" s="370" t="s">
        <v>13</v>
      </c>
      <c r="G70" s="377" t="s">
        <v>60</v>
      </c>
      <c r="H70" s="378"/>
      <c r="I70" s="372">
        <v>0</v>
      </c>
      <c r="J70" s="370" t="s">
        <v>13</v>
      </c>
      <c r="K70" s="372">
        <v>4</v>
      </c>
      <c r="L70" s="373"/>
      <c r="M70" s="374"/>
      <c r="N70" s="347"/>
    </row>
    <row r="71" spans="2:14" ht="15.75">
      <c r="B71" s="379">
        <v>65</v>
      </c>
      <c r="C71" s="383" t="s">
        <v>141</v>
      </c>
      <c r="D71" s="370" t="s">
        <v>91</v>
      </c>
      <c r="E71" s="371" t="s">
        <v>76</v>
      </c>
      <c r="F71" s="370" t="s">
        <v>13</v>
      </c>
      <c r="G71" s="377" t="s">
        <v>84</v>
      </c>
      <c r="H71" s="378"/>
      <c r="I71" s="372">
        <v>0</v>
      </c>
      <c r="J71" s="370" t="s">
        <v>13</v>
      </c>
      <c r="K71" s="372">
        <v>0</v>
      </c>
      <c r="L71" s="373"/>
      <c r="M71" s="374"/>
      <c r="N71" s="347"/>
    </row>
    <row r="72" spans="2:14" ht="15.75">
      <c r="B72" s="379">
        <v>66</v>
      </c>
      <c r="C72" s="383" t="s">
        <v>141</v>
      </c>
      <c r="D72" s="370" t="s">
        <v>91</v>
      </c>
      <c r="E72" s="371" t="s">
        <v>69</v>
      </c>
      <c r="F72" s="370" t="s">
        <v>13</v>
      </c>
      <c r="G72" s="377" t="s">
        <v>61</v>
      </c>
      <c r="H72" s="378"/>
      <c r="I72" s="372">
        <v>1</v>
      </c>
      <c r="J72" s="370" t="s">
        <v>13</v>
      </c>
      <c r="K72" s="372">
        <v>1</v>
      </c>
      <c r="L72" s="373"/>
      <c r="M72" s="374"/>
      <c r="N72" s="347"/>
    </row>
    <row r="73" spans="2:14" ht="15.75">
      <c r="B73" s="379">
        <v>67</v>
      </c>
      <c r="C73" s="383" t="s">
        <v>142</v>
      </c>
      <c r="D73" s="370" t="s">
        <v>104</v>
      </c>
      <c r="E73" s="371" t="s">
        <v>88</v>
      </c>
      <c r="F73" s="370" t="s">
        <v>13</v>
      </c>
      <c r="G73" s="377" t="s">
        <v>65</v>
      </c>
      <c r="H73" s="378"/>
      <c r="I73" s="372">
        <v>0</v>
      </c>
      <c r="J73" s="370" t="s">
        <v>13</v>
      </c>
      <c r="K73" s="372">
        <v>4</v>
      </c>
      <c r="L73" s="373"/>
      <c r="M73" s="374"/>
      <c r="N73" s="347"/>
    </row>
    <row r="74" spans="2:14" ht="15.75">
      <c r="B74" s="379">
        <v>68</v>
      </c>
      <c r="C74" s="383" t="s">
        <v>142</v>
      </c>
      <c r="D74" s="370" t="s">
        <v>104</v>
      </c>
      <c r="E74" s="371" t="s">
        <v>73</v>
      </c>
      <c r="F74" s="370" t="s">
        <v>13</v>
      </c>
      <c r="G74" s="377" t="s">
        <v>80</v>
      </c>
      <c r="H74" s="378"/>
      <c r="I74" s="372">
        <v>1</v>
      </c>
      <c r="J74" s="370" t="s">
        <v>13</v>
      </c>
      <c r="K74" s="372">
        <v>1</v>
      </c>
      <c r="L74" s="373"/>
      <c r="M74" s="374"/>
      <c r="N74" s="347"/>
    </row>
    <row r="75" spans="2:14" ht="15.75">
      <c r="B75" s="379">
        <v>69</v>
      </c>
      <c r="C75" s="383" t="s">
        <v>143</v>
      </c>
      <c r="D75" s="370" t="s">
        <v>101</v>
      </c>
      <c r="E75" s="371" t="s">
        <v>78</v>
      </c>
      <c r="F75" s="370" t="s">
        <v>13</v>
      </c>
      <c r="G75" s="377" t="s">
        <v>71</v>
      </c>
      <c r="H75" s="378"/>
      <c r="I75" s="372">
        <v>1</v>
      </c>
      <c r="J75" s="370" t="s">
        <v>13</v>
      </c>
      <c r="K75" s="372">
        <v>1</v>
      </c>
      <c r="L75" s="373"/>
      <c r="M75" s="374"/>
      <c r="N75" s="347"/>
    </row>
    <row r="76" spans="2:14" ht="15.75">
      <c r="B76" s="379">
        <v>70</v>
      </c>
      <c r="C76" s="383" t="s">
        <v>143</v>
      </c>
      <c r="D76" s="370" t="s">
        <v>101</v>
      </c>
      <c r="E76" s="371" t="s">
        <v>86</v>
      </c>
      <c r="F76" s="370" t="s">
        <v>13</v>
      </c>
      <c r="G76" s="377" t="s">
        <v>63</v>
      </c>
      <c r="H76" s="378"/>
      <c r="I76" s="372">
        <v>0</v>
      </c>
      <c r="J76" s="370" t="s">
        <v>13</v>
      </c>
      <c r="K76" s="372">
        <v>3</v>
      </c>
      <c r="L76" s="373"/>
      <c r="M76" s="374"/>
      <c r="N76" s="347"/>
    </row>
    <row r="77" spans="2:14" ht="15.75">
      <c r="B77" s="379">
        <v>71</v>
      </c>
      <c r="C77" s="383" t="s">
        <v>144</v>
      </c>
      <c r="D77" s="370" t="s">
        <v>107</v>
      </c>
      <c r="E77" s="371" t="s">
        <v>72</v>
      </c>
      <c r="F77" s="370" t="s">
        <v>13</v>
      </c>
      <c r="G77" s="377" t="s">
        <v>64</v>
      </c>
      <c r="H77" s="378"/>
      <c r="I77" s="372">
        <v>1</v>
      </c>
      <c r="J77" s="370" t="s">
        <v>13</v>
      </c>
      <c r="K77" s="372">
        <v>1</v>
      </c>
      <c r="L77" s="373"/>
      <c r="M77" s="374"/>
      <c r="N77" s="347"/>
    </row>
    <row r="78" spans="2:14" ht="15.75">
      <c r="B78" s="379">
        <v>72</v>
      </c>
      <c r="C78" s="383" t="s">
        <v>144</v>
      </c>
      <c r="D78" s="370" t="s">
        <v>107</v>
      </c>
      <c r="E78" s="371" t="s">
        <v>87</v>
      </c>
      <c r="F78" s="370" t="s">
        <v>13</v>
      </c>
      <c r="G78" s="377" t="s">
        <v>79</v>
      </c>
      <c r="H78" s="378"/>
      <c r="I78" s="372">
        <v>1</v>
      </c>
      <c r="J78" s="370" t="s">
        <v>13</v>
      </c>
      <c r="K78" s="372">
        <v>0</v>
      </c>
      <c r="L78" s="373"/>
      <c r="M78" s="374"/>
      <c r="N78" s="347"/>
    </row>
    <row r="79" spans="2:14" ht="15.75">
      <c r="B79" s="347"/>
      <c r="C79" s="347"/>
      <c r="D79" s="348" t="s">
        <v>145</v>
      </c>
      <c r="E79" s="356" t="s">
        <v>26</v>
      </c>
      <c r="F79" s="369" t="s">
        <v>13</v>
      </c>
      <c r="G79" s="356" t="s">
        <v>63</v>
      </c>
      <c r="H79" s="347"/>
      <c r="I79" s="347"/>
      <c r="J79" s="347"/>
      <c r="K79" s="347"/>
      <c r="L79" s="360"/>
      <c r="M79" s="360"/>
      <c r="N79" s="361"/>
    </row>
    <row r="80" spans="2:14" ht="15.75">
      <c r="B80" s="347"/>
      <c r="C80" s="384"/>
      <c r="D80" s="348" t="s">
        <v>146</v>
      </c>
      <c r="E80" s="357" t="s">
        <v>62</v>
      </c>
      <c r="F80" s="369" t="s">
        <v>13</v>
      </c>
      <c r="G80" s="357" t="s">
        <v>61</v>
      </c>
      <c r="H80" s="347"/>
      <c r="I80" s="347"/>
      <c r="J80" s="347"/>
      <c r="K80" s="347"/>
      <c r="L80" s="355"/>
      <c r="M80" s="355"/>
      <c r="N80" s="361"/>
    </row>
    <row r="81" spans="1:14" ht="15.75">
      <c r="A81" s="347"/>
      <c r="B81" s="347"/>
      <c r="C81" s="384"/>
      <c r="D81" s="347"/>
      <c r="E81" s="347"/>
      <c r="F81" s="350"/>
      <c r="G81" s="347"/>
      <c r="H81" s="347"/>
      <c r="I81" s="347"/>
      <c r="J81" s="347"/>
      <c r="K81" s="350"/>
      <c r="L81" s="350"/>
      <c r="M81" s="350"/>
      <c r="N81" s="361"/>
    </row>
    <row r="82" spans="1:14" ht="15.75">
      <c r="A82" s="347"/>
      <c r="B82" s="347"/>
      <c r="C82" s="384"/>
      <c r="D82" s="347"/>
      <c r="E82" s="347"/>
      <c r="F82" s="350"/>
      <c r="G82" s="347"/>
      <c r="H82" s="347"/>
      <c r="I82" s="347"/>
      <c r="J82" s="347"/>
      <c r="K82" s="350"/>
      <c r="L82" s="358" t="s">
        <v>147</v>
      </c>
      <c r="M82" s="354"/>
      <c r="N82" s="361"/>
    </row>
    <row r="83" spans="1:14" ht="15.75">
      <c r="A83" s="347"/>
      <c r="B83" s="347"/>
      <c r="C83" s="384"/>
      <c r="D83" s="347"/>
      <c r="E83" s="347"/>
      <c r="F83" s="350"/>
      <c r="G83" s="347"/>
      <c r="H83" s="347"/>
      <c r="I83" s="347"/>
      <c r="J83" s="347"/>
      <c r="K83" s="350"/>
      <c r="L83" s="350"/>
      <c r="M83" s="350"/>
      <c r="N83" s="361"/>
    </row>
    <row r="84" spans="1:14" ht="15.75">
      <c r="A84" s="348"/>
      <c r="B84" s="347"/>
      <c r="C84" s="384"/>
      <c r="D84" s="347"/>
      <c r="E84" s="347"/>
      <c r="F84" s="350"/>
      <c r="G84" s="351"/>
      <c r="H84" s="347"/>
      <c r="I84" s="347"/>
      <c r="J84" s="347"/>
      <c r="K84" s="350"/>
      <c r="L84" s="347"/>
      <c r="M84" s="347"/>
      <c r="N84" s="347"/>
    </row>
    <row r="85" spans="1:14" ht="15.75">
      <c r="A85" s="348"/>
      <c r="B85" s="347"/>
      <c r="C85" s="384"/>
      <c r="D85" s="347"/>
      <c r="E85" s="347"/>
      <c r="F85" s="350"/>
      <c r="G85" s="351"/>
      <c r="H85" s="347"/>
      <c r="I85" s="347"/>
      <c r="J85" s="347"/>
      <c r="K85" s="350"/>
      <c r="L85" s="347"/>
      <c r="M85" s="347"/>
      <c r="N85" s="347"/>
    </row>
    <row r="86" spans="1:14" ht="15.75">
      <c r="A86" s="348"/>
      <c r="B86" s="349"/>
      <c r="C86" s="385"/>
      <c r="D86" s="347"/>
      <c r="E86" s="347"/>
      <c r="F86" s="350"/>
      <c r="G86" s="351"/>
      <c r="H86" s="347"/>
      <c r="I86" s="347"/>
      <c r="J86" s="347"/>
      <c r="K86" s="350"/>
      <c r="L86" s="347"/>
      <c r="M86" s="347"/>
      <c r="N86" s="347"/>
    </row>
    <row r="87" spans="1:14" ht="15.75">
      <c r="A87" s="348"/>
      <c r="B87" s="349"/>
      <c r="C87" s="385"/>
      <c r="D87" s="347"/>
      <c r="E87" s="347"/>
      <c r="F87" s="350"/>
      <c r="G87" s="351"/>
      <c r="H87" s="347"/>
      <c r="I87" s="347"/>
      <c r="J87" s="347"/>
      <c r="K87" s="350"/>
      <c r="L87" s="347"/>
      <c r="M87" s="347"/>
      <c r="N87" s="347"/>
    </row>
  </sheetData>
  <mergeCells count="1">
    <mergeCell ref="H2:M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U82"/>
  <sheetViews>
    <sheetView workbookViewId="0"/>
  </sheetViews>
  <sheetFormatPr defaultRowHeight="15"/>
  <sheetData>
    <row r="2" spans="2:21">
      <c r="G2" t="s">
        <v>0</v>
      </c>
    </row>
    <row r="4" spans="2:21">
      <c r="B4" t="s">
        <v>2</v>
      </c>
    </row>
    <row r="6" spans="2:21">
      <c r="C6" t="s">
        <v>3</v>
      </c>
      <c r="D6" t="s">
        <v>4</v>
      </c>
      <c r="F6" t="s">
        <v>5</v>
      </c>
      <c r="J6" t="s">
        <v>6</v>
      </c>
      <c r="L6" t="s">
        <v>7</v>
      </c>
      <c r="M6" t="s">
        <v>8</v>
      </c>
      <c r="O6" t="s">
        <v>9</v>
      </c>
    </row>
    <row r="7" spans="2:21">
      <c r="B7">
        <v>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J7" t="s">
        <v>13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 t="s">
        <v>21</v>
      </c>
    </row>
    <row r="8" spans="2:21">
      <c r="B8">
        <v>2</v>
      </c>
      <c r="C8" t="s">
        <v>22</v>
      </c>
      <c r="D8" t="s">
        <v>11</v>
      </c>
      <c r="E8" t="s">
        <v>23</v>
      </c>
      <c r="F8" t="s">
        <v>13</v>
      </c>
      <c r="G8" t="s">
        <v>24</v>
      </c>
      <c r="J8" t="s">
        <v>13</v>
      </c>
      <c r="O8">
        <v>1</v>
      </c>
    </row>
    <row r="9" spans="2:21">
      <c r="B9">
        <v>3</v>
      </c>
      <c r="C9" t="s">
        <v>30</v>
      </c>
      <c r="D9" t="s">
        <v>31</v>
      </c>
      <c r="E9" t="s">
        <v>32</v>
      </c>
      <c r="F9" t="s">
        <v>13</v>
      </c>
      <c r="G9" t="s">
        <v>33</v>
      </c>
      <c r="J9" t="s">
        <v>13</v>
      </c>
      <c r="O9">
        <v>2</v>
      </c>
    </row>
    <row r="10" spans="2:21">
      <c r="B10">
        <v>4</v>
      </c>
      <c r="C10" t="s">
        <v>38</v>
      </c>
      <c r="D10" t="s">
        <v>39</v>
      </c>
      <c r="E10" t="s">
        <v>35</v>
      </c>
      <c r="F10" t="s">
        <v>13</v>
      </c>
      <c r="G10" t="s">
        <v>40</v>
      </c>
      <c r="J10" t="s">
        <v>13</v>
      </c>
      <c r="O10">
        <v>3</v>
      </c>
    </row>
    <row r="11" spans="2:21">
      <c r="B11">
        <v>5</v>
      </c>
      <c r="C11" t="s">
        <v>44</v>
      </c>
      <c r="D11" t="s">
        <v>45</v>
      </c>
      <c r="E11" t="s">
        <v>46</v>
      </c>
      <c r="F11" t="s">
        <v>13</v>
      </c>
      <c r="G11" t="s">
        <v>34</v>
      </c>
      <c r="J11" t="s">
        <v>13</v>
      </c>
      <c r="O11">
        <v>4</v>
      </c>
    </row>
    <row r="12" spans="2:21">
      <c r="B12">
        <v>6</v>
      </c>
      <c r="C12" t="s">
        <v>51</v>
      </c>
      <c r="D12" t="s">
        <v>39</v>
      </c>
      <c r="E12" t="s">
        <v>48</v>
      </c>
      <c r="F12" t="s">
        <v>13</v>
      </c>
      <c r="G12" t="s">
        <v>27</v>
      </c>
      <c r="J12" t="s">
        <v>13</v>
      </c>
    </row>
    <row r="13" spans="2:21">
      <c r="B13">
        <v>7</v>
      </c>
      <c r="C13" t="s">
        <v>52</v>
      </c>
      <c r="D13" t="s">
        <v>45</v>
      </c>
      <c r="E13" t="s">
        <v>26</v>
      </c>
      <c r="F13" t="s">
        <v>13</v>
      </c>
      <c r="G13" t="s">
        <v>41</v>
      </c>
      <c r="J13" t="s">
        <v>13</v>
      </c>
      <c r="O13" t="s">
        <v>15</v>
      </c>
      <c r="P13" t="s">
        <v>53</v>
      </c>
      <c r="Q13" t="s">
        <v>54</v>
      </c>
      <c r="R13" t="s">
        <v>55</v>
      </c>
      <c r="S13" t="s">
        <v>56</v>
      </c>
      <c r="T13" t="s">
        <v>57</v>
      </c>
      <c r="U13" t="s">
        <v>58</v>
      </c>
    </row>
    <row r="14" spans="2:21">
      <c r="B14">
        <v>8</v>
      </c>
      <c r="C14" t="s">
        <v>59</v>
      </c>
      <c r="D14" t="s">
        <v>31</v>
      </c>
      <c r="E14" t="s">
        <v>47</v>
      </c>
      <c r="F14" t="s">
        <v>13</v>
      </c>
      <c r="G14" t="s">
        <v>25</v>
      </c>
      <c r="J14" t="s">
        <v>13</v>
      </c>
      <c r="O14">
        <v>1</v>
      </c>
    </row>
    <row r="15" spans="2:21">
      <c r="B15">
        <v>9</v>
      </c>
      <c r="C15" t="s">
        <v>66</v>
      </c>
      <c r="D15" t="s">
        <v>67</v>
      </c>
      <c r="E15" t="s">
        <v>42</v>
      </c>
      <c r="F15" t="s">
        <v>13</v>
      </c>
      <c r="G15" t="s">
        <v>36</v>
      </c>
      <c r="J15" t="s">
        <v>13</v>
      </c>
      <c r="O15">
        <v>2</v>
      </c>
    </row>
    <row r="16" spans="2:21">
      <c r="B16">
        <v>10</v>
      </c>
      <c r="C16" t="s">
        <v>74</v>
      </c>
      <c r="D16" t="s">
        <v>67</v>
      </c>
      <c r="E16" t="s">
        <v>28</v>
      </c>
      <c r="F16" t="s">
        <v>13</v>
      </c>
      <c r="G16" t="s">
        <v>49</v>
      </c>
      <c r="J16" t="s">
        <v>13</v>
      </c>
      <c r="O16">
        <v>3</v>
      </c>
    </row>
    <row r="17" spans="2:21">
      <c r="B17">
        <v>11</v>
      </c>
      <c r="C17" t="s">
        <v>81</v>
      </c>
      <c r="D17" t="s">
        <v>82</v>
      </c>
      <c r="E17" t="s">
        <v>29</v>
      </c>
      <c r="F17" t="s">
        <v>13</v>
      </c>
      <c r="G17" t="s">
        <v>43</v>
      </c>
      <c r="J17" t="s">
        <v>13</v>
      </c>
      <c r="O17">
        <v>4</v>
      </c>
    </row>
    <row r="18" spans="2:21">
      <c r="B18">
        <v>12</v>
      </c>
      <c r="C18" t="s">
        <v>89</v>
      </c>
      <c r="D18" t="s">
        <v>82</v>
      </c>
      <c r="E18" t="s">
        <v>37</v>
      </c>
      <c r="F18" t="s">
        <v>13</v>
      </c>
      <c r="G18" t="s">
        <v>50</v>
      </c>
      <c r="J18" t="s">
        <v>13</v>
      </c>
    </row>
    <row r="19" spans="2:21">
      <c r="B19">
        <v>13</v>
      </c>
      <c r="C19" t="s">
        <v>90</v>
      </c>
      <c r="D19" t="s">
        <v>91</v>
      </c>
      <c r="E19" t="s">
        <v>84</v>
      </c>
      <c r="F19" t="s">
        <v>13</v>
      </c>
      <c r="G19" t="s">
        <v>69</v>
      </c>
      <c r="J19" t="s">
        <v>13</v>
      </c>
    </row>
    <row r="20" spans="2:21">
      <c r="B20">
        <v>14</v>
      </c>
      <c r="C20" t="s">
        <v>92</v>
      </c>
      <c r="D20" t="s">
        <v>91</v>
      </c>
      <c r="E20" t="s">
        <v>61</v>
      </c>
      <c r="F20" t="s">
        <v>13</v>
      </c>
      <c r="G20" t="s">
        <v>76</v>
      </c>
      <c r="J20" t="s">
        <v>13</v>
      </c>
      <c r="O20" t="s">
        <v>93</v>
      </c>
    </row>
    <row r="21" spans="2:21">
      <c r="B21">
        <v>15</v>
      </c>
      <c r="C21" t="s">
        <v>94</v>
      </c>
      <c r="D21" t="s">
        <v>95</v>
      </c>
      <c r="E21" t="s">
        <v>83</v>
      </c>
      <c r="F21" t="s">
        <v>13</v>
      </c>
      <c r="G21" t="s">
        <v>75</v>
      </c>
      <c r="J21" t="s">
        <v>13</v>
      </c>
      <c r="P21" t="s">
        <v>16</v>
      </c>
      <c r="Q21" t="s">
        <v>17</v>
      </c>
      <c r="R21" t="s">
        <v>18</v>
      </c>
      <c r="S21" t="s">
        <v>19</v>
      </c>
      <c r="T21" t="s">
        <v>20</v>
      </c>
      <c r="U21" t="s">
        <v>21</v>
      </c>
    </row>
    <row r="22" spans="2:21">
      <c r="B22">
        <v>16</v>
      </c>
      <c r="C22" t="s">
        <v>96</v>
      </c>
      <c r="D22" t="s">
        <v>95</v>
      </c>
      <c r="E22" t="s">
        <v>60</v>
      </c>
      <c r="F22" t="s">
        <v>13</v>
      </c>
      <c r="G22" t="s">
        <v>68</v>
      </c>
      <c r="J22" t="s">
        <v>13</v>
      </c>
      <c r="P22" t="s">
        <v>12</v>
      </c>
      <c r="Q22" t="s">
        <v>32</v>
      </c>
      <c r="R22" t="s">
        <v>46</v>
      </c>
      <c r="S22" t="s">
        <v>35</v>
      </c>
      <c r="T22" t="s">
        <v>42</v>
      </c>
      <c r="U22" t="s">
        <v>29</v>
      </c>
    </row>
    <row r="23" spans="2:21">
      <c r="B23">
        <v>17</v>
      </c>
      <c r="C23" t="s">
        <v>97</v>
      </c>
      <c r="D23" t="s">
        <v>98</v>
      </c>
      <c r="E23" t="s">
        <v>62</v>
      </c>
      <c r="F23" t="s">
        <v>13</v>
      </c>
      <c r="G23" t="s">
        <v>77</v>
      </c>
      <c r="J23" t="s">
        <v>13</v>
      </c>
      <c r="P23" t="s">
        <v>14</v>
      </c>
      <c r="Q23" t="s">
        <v>33</v>
      </c>
      <c r="R23" t="s">
        <v>34</v>
      </c>
      <c r="S23" t="s">
        <v>40</v>
      </c>
      <c r="T23" t="s">
        <v>36</v>
      </c>
      <c r="U23" t="s">
        <v>43</v>
      </c>
    </row>
    <row r="24" spans="2:21">
      <c r="B24">
        <v>18</v>
      </c>
      <c r="C24" t="s">
        <v>99</v>
      </c>
      <c r="D24" t="s">
        <v>98</v>
      </c>
      <c r="E24" t="s">
        <v>85</v>
      </c>
      <c r="F24" t="s">
        <v>13</v>
      </c>
      <c r="G24" t="s">
        <v>70</v>
      </c>
      <c r="J24" t="s">
        <v>13</v>
      </c>
      <c r="P24" t="s">
        <v>23</v>
      </c>
      <c r="Q24" t="s">
        <v>47</v>
      </c>
      <c r="R24" t="s">
        <v>26</v>
      </c>
      <c r="S24" t="s">
        <v>48</v>
      </c>
      <c r="T24" t="s">
        <v>28</v>
      </c>
      <c r="U24" t="s">
        <v>37</v>
      </c>
    </row>
    <row r="25" spans="2:21">
      <c r="B25">
        <v>19</v>
      </c>
      <c r="C25" t="s">
        <v>100</v>
      </c>
      <c r="D25" t="s">
        <v>101</v>
      </c>
      <c r="E25" t="s">
        <v>63</v>
      </c>
      <c r="F25" t="s">
        <v>13</v>
      </c>
      <c r="G25" t="s">
        <v>78</v>
      </c>
      <c r="J25" t="s">
        <v>13</v>
      </c>
      <c r="P25" t="s">
        <v>24</v>
      </c>
      <c r="Q25" t="s">
        <v>25</v>
      </c>
      <c r="R25" t="s">
        <v>41</v>
      </c>
      <c r="S25" t="s">
        <v>27</v>
      </c>
      <c r="T25" t="s">
        <v>49</v>
      </c>
      <c r="U25" t="s">
        <v>50</v>
      </c>
    </row>
    <row r="26" spans="2:21">
      <c r="B26">
        <v>20</v>
      </c>
      <c r="C26" t="s">
        <v>102</v>
      </c>
      <c r="D26" t="s">
        <v>101</v>
      </c>
      <c r="E26" t="s">
        <v>71</v>
      </c>
      <c r="F26" t="s">
        <v>13</v>
      </c>
      <c r="G26" t="s">
        <v>86</v>
      </c>
      <c r="J26" t="s">
        <v>13</v>
      </c>
    </row>
    <row r="27" spans="2:21">
      <c r="B27">
        <v>21</v>
      </c>
      <c r="C27" t="s">
        <v>103</v>
      </c>
      <c r="D27" t="s">
        <v>104</v>
      </c>
      <c r="E27" t="s">
        <v>80</v>
      </c>
      <c r="F27" t="s">
        <v>13</v>
      </c>
      <c r="G27" t="s">
        <v>88</v>
      </c>
      <c r="J27" t="s">
        <v>13</v>
      </c>
      <c r="P27" t="s">
        <v>53</v>
      </c>
      <c r="Q27" t="s">
        <v>54</v>
      </c>
      <c r="R27" t="s">
        <v>55</v>
      </c>
      <c r="S27" t="s">
        <v>56</v>
      </c>
      <c r="T27" t="s">
        <v>57</v>
      </c>
      <c r="U27" t="s">
        <v>58</v>
      </c>
    </row>
    <row r="28" spans="2:21">
      <c r="B28">
        <v>22</v>
      </c>
      <c r="C28" t="s">
        <v>105</v>
      </c>
      <c r="D28" t="s">
        <v>104</v>
      </c>
      <c r="E28" t="s">
        <v>65</v>
      </c>
      <c r="F28" t="s">
        <v>13</v>
      </c>
      <c r="G28" t="s">
        <v>73</v>
      </c>
      <c r="J28" t="s">
        <v>13</v>
      </c>
      <c r="P28" t="s">
        <v>83</v>
      </c>
      <c r="Q28" t="s">
        <v>84</v>
      </c>
      <c r="R28" t="s">
        <v>62</v>
      </c>
      <c r="S28" t="s">
        <v>63</v>
      </c>
      <c r="T28" t="s">
        <v>64</v>
      </c>
      <c r="U28" t="s">
        <v>80</v>
      </c>
    </row>
    <row r="29" spans="2:21">
      <c r="B29">
        <v>23</v>
      </c>
      <c r="C29" t="s">
        <v>106</v>
      </c>
      <c r="D29" t="s">
        <v>107</v>
      </c>
      <c r="E29" t="s">
        <v>64</v>
      </c>
      <c r="F29" t="s">
        <v>13</v>
      </c>
      <c r="G29" t="s">
        <v>87</v>
      </c>
      <c r="J29" t="s">
        <v>13</v>
      </c>
      <c r="P29" t="s">
        <v>75</v>
      </c>
      <c r="Q29" t="s">
        <v>69</v>
      </c>
      <c r="R29" t="s">
        <v>77</v>
      </c>
      <c r="S29" t="s">
        <v>78</v>
      </c>
      <c r="T29" t="s">
        <v>87</v>
      </c>
      <c r="U29" t="s">
        <v>88</v>
      </c>
    </row>
    <row r="30" spans="2:21">
      <c r="B30">
        <v>24</v>
      </c>
      <c r="C30" t="s">
        <v>108</v>
      </c>
      <c r="D30" t="s">
        <v>107</v>
      </c>
      <c r="E30" t="s">
        <v>79</v>
      </c>
      <c r="F30" t="s">
        <v>13</v>
      </c>
      <c r="G30" t="s">
        <v>72</v>
      </c>
      <c r="J30" t="s">
        <v>13</v>
      </c>
      <c r="P30" t="s">
        <v>60</v>
      </c>
      <c r="Q30" t="s">
        <v>61</v>
      </c>
      <c r="R30" t="s">
        <v>85</v>
      </c>
      <c r="S30" t="s">
        <v>71</v>
      </c>
      <c r="T30" t="s">
        <v>79</v>
      </c>
      <c r="U30" t="s">
        <v>65</v>
      </c>
    </row>
    <row r="31" spans="2:21">
      <c r="B31">
        <v>25</v>
      </c>
      <c r="C31" t="s">
        <v>109</v>
      </c>
      <c r="D31" t="s">
        <v>11</v>
      </c>
      <c r="E31" t="s">
        <v>24</v>
      </c>
      <c r="F31" t="s">
        <v>13</v>
      </c>
      <c r="G31" t="s">
        <v>14</v>
      </c>
      <c r="J31" t="s">
        <v>13</v>
      </c>
      <c r="P31" t="s">
        <v>68</v>
      </c>
      <c r="Q31" t="s">
        <v>76</v>
      </c>
      <c r="R31" t="s">
        <v>70</v>
      </c>
      <c r="S31" t="s">
        <v>86</v>
      </c>
      <c r="T31" t="s">
        <v>72</v>
      </c>
      <c r="U31" t="s">
        <v>73</v>
      </c>
    </row>
    <row r="32" spans="2:21">
      <c r="B32">
        <v>26</v>
      </c>
      <c r="C32" t="s">
        <v>110</v>
      </c>
      <c r="D32" t="s">
        <v>31</v>
      </c>
      <c r="E32" t="s">
        <v>25</v>
      </c>
      <c r="F32" t="s">
        <v>13</v>
      </c>
      <c r="G32" t="s">
        <v>33</v>
      </c>
      <c r="J32" t="s">
        <v>13</v>
      </c>
    </row>
    <row r="33" spans="2:10">
      <c r="B33">
        <v>27</v>
      </c>
      <c r="C33" t="s">
        <v>111</v>
      </c>
      <c r="D33" t="s">
        <v>31</v>
      </c>
      <c r="E33" t="s">
        <v>32</v>
      </c>
      <c r="F33" t="s">
        <v>13</v>
      </c>
      <c r="G33" t="s">
        <v>47</v>
      </c>
      <c r="J33" t="s">
        <v>13</v>
      </c>
    </row>
    <row r="34" spans="2:10">
      <c r="B34">
        <v>28</v>
      </c>
      <c r="C34" t="s">
        <v>112</v>
      </c>
      <c r="D34" t="s">
        <v>11</v>
      </c>
      <c r="E34" t="s">
        <v>12</v>
      </c>
      <c r="F34" t="s">
        <v>13</v>
      </c>
      <c r="G34" t="s">
        <v>23</v>
      </c>
      <c r="J34" t="s">
        <v>13</v>
      </c>
    </row>
    <row r="35" spans="2:10">
      <c r="B35">
        <v>29</v>
      </c>
      <c r="C35" t="s">
        <v>113</v>
      </c>
      <c r="D35" t="s">
        <v>45</v>
      </c>
      <c r="E35" t="s">
        <v>26</v>
      </c>
      <c r="F35" t="s">
        <v>13</v>
      </c>
      <c r="G35" t="s">
        <v>46</v>
      </c>
      <c r="J35" t="s">
        <v>13</v>
      </c>
    </row>
    <row r="36" spans="2:10">
      <c r="B36">
        <v>30</v>
      </c>
      <c r="C36" t="s">
        <v>114</v>
      </c>
      <c r="D36" t="s">
        <v>45</v>
      </c>
      <c r="E36" t="s">
        <v>34</v>
      </c>
      <c r="F36" t="s">
        <v>13</v>
      </c>
      <c r="G36" t="s">
        <v>41</v>
      </c>
      <c r="J36" t="s">
        <v>13</v>
      </c>
    </row>
    <row r="37" spans="2:10">
      <c r="B37">
        <v>31</v>
      </c>
      <c r="C37" t="s">
        <v>115</v>
      </c>
      <c r="D37" t="s">
        <v>39</v>
      </c>
      <c r="E37" t="s">
        <v>27</v>
      </c>
      <c r="F37" t="s">
        <v>13</v>
      </c>
      <c r="G37" t="s">
        <v>40</v>
      </c>
      <c r="J37" t="s">
        <v>13</v>
      </c>
    </row>
    <row r="38" spans="2:10">
      <c r="B38">
        <v>32</v>
      </c>
      <c r="C38" t="s">
        <v>116</v>
      </c>
      <c r="D38" t="s">
        <v>39</v>
      </c>
      <c r="E38" t="s">
        <v>35</v>
      </c>
      <c r="F38" t="s">
        <v>13</v>
      </c>
      <c r="G38" t="s">
        <v>48</v>
      </c>
      <c r="J38" t="s">
        <v>13</v>
      </c>
    </row>
    <row r="39" spans="2:10">
      <c r="B39">
        <v>33</v>
      </c>
      <c r="C39" t="s">
        <v>117</v>
      </c>
      <c r="D39" t="s">
        <v>67</v>
      </c>
      <c r="E39" t="s">
        <v>28</v>
      </c>
      <c r="F39" t="s">
        <v>13</v>
      </c>
      <c r="G39" t="s">
        <v>42</v>
      </c>
      <c r="J39" t="s">
        <v>13</v>
      </c>
    </row>
    <row r="40" spans="2:10">
      <c r="B40">
        <v>34</v>
      </c>
      <c r="C40" t="s">
        <v>118</v>
      </c>
      <c r="D40" t="s">
        <v>67</v>
      </c>
      <c r="E40" t="s">
        <v>36</v>
      </c>
      <c r="F40" t="s">
        <v>13</v>
      </c>
      <c r="G40" t="s">
        <v>49</v>
      </c>
      <c r="J40" t="s">
        <v>13</v>
      </c>
    </row>
    <row r="41" spans="2:10">
      <c r="B41">
        <v>35</v>
      </c>
      <c r="C41" t="s">
        <v>119</v>
      </c>
      <c r="D41" t="s">
        <v>82</v>
      </c>
      <c r="E41" t="s">
        <v>29</v>
      </c>
      <c r="F41" t="s">
        <v>13</v>
      </c>
      <c r="G41" t="s">
        <v>37</v>
      </c>
      <c r="J41" t="s">
        <v>13</v>
      </c>
    </row>
    <row r="42" spans="2:10">
      <c r="B42">
        <v>36</v>
      </c>
      <c r="C42" t="s">
        <v>120</v>
      </c>
      <c r="D42" t="s">
        <v>82</v>
      </c>
      <c r="E42" t="s">
        <v>50</v>
      </c>
      <c r="F42" t="s">
        <v>13</v>
      </c>
      <c r="G42" t="s">
        <v>43</v>
      </c>
      <c r="J42" t="s">
        <v>13</v>
      </c>
    </row>
    <row r="43" spans="2:10">
      <c r="B43">
        <v>37</v>
      </c>
      <c r="C43" t="s">
        <v>121</v>
      </c>
      <c r="D43" t="s">
        <v>91</v>
      </c>
      <c r="E43" t="s">
        <v>69</v>
      </c>
      <c r="F43" t="s">
        <v>13</v>
      </c>
      <c r="G43" t="s">
        <v>76</v>
      </c>
      <c r="J43" t="s">
        <v>13</v>
      </c>
    </row>
    <row r="44" spans="2:10">
      <c r="B44">
        <v>38</v>
      </c>
      <c r="C44" t="s">
        <v>122</v>
      </c>
      <c r="D44" t="s">
        <v>91</v>
      </c>
      <c r="E44" t="s">
        <v>61</v>
      </c>
      <c r="F44" t="s">
        <v>13</v>
      </c>
      <c r="G44" t="s">
        <v>84</v>
      </c>
      <c r="J44" t="s">
        <v>13</v>
      </c>
    </row>
    <row r="45" spans="2:10">
      <c r="B45">
        <v>39</v>
      </c>
      <c r="C45" t="s">
        <v>123</v>
      </c>
      <c r="D45" t="s">
        <v>95</v>
      </c>
      <c r="E45" t="s">
        <v>60</v>
      </c>
      <c r="F45" t="s">
        <v>13</v>
      </c>
      <c r="G45" t="s">
        <v>83</v>
      </c>
      <c r="J45" t="s">
        <v>13</v>
      </c>
    </row>
    <row r="46" spans="2:10">
      <c r="B46">
        <v>40</v>
      </c>
      <c r="C46" t="s">
        <v>124</v>
      </c>
      <c r="D46" t="s">
        <v>95</v>
      </c>
      <c r="E46" t="s">
        <v>75</v>
      </c>
      <c r="F46" t="s">
        <v>13</v>
      </c>
      <c r="G46" t="s">
        <v>68</v>
      </c>
      <c r="J46" t="s">
        <v>13</v>
      </c>
    </row>
    <row r="47" spans="2:10">
      <c r="B47">
        <v>41</v>
      </c>
      <c r="C47" t="s">
        <v>125</v>
      </c>
      <c r="D47" t="s">
        <v>98</v>
      </c>
      <c r="E47" t="s">
        <v>70</v>
      </c>
      <c r="F47" t="s">
        <v>13</v>
      </c>
      <c r="G47" t="s">
        <v>77</v>
      </c>
      <c r="J47" t="s">
        <v>13</v>
      </c>
    </row>
    <row r="48" spans="2:10">
      <c r="B48">
        <v>42</v>
      </c>
      <c r="C48" t="s">
        <v>126</v>
      </c>
      <c r="D48" t="s">
        <v>98</v>
      </c>
      <c r="E48" t="s">
        <v>62</v>
      </c>
      <c r="F48" t="s">
        <v>13</v>
      </c>
      <c r="G48" t="s">
        <v>85</v>
      </c>
      <c r="J48" t="s">
        <v>13</v>
      </c>
    </row>
    <row r="49" spans="2:10">
      <c r="B49">
        <v>43</v>
      </c>
      <c r="C49" t="s">
        <v>127</v>
      </c>
      <c r="D49" t="s">
        <v>101</v>
      </c>
      <c r="E49" t="s">
        <v>63</v>
      </c>
      <c r="F49" t="s">
        <v>13</v>
      </c>
      <c r="G49" t="s">
        <v>71</v>
      </c>
      <c r="J49" t="s">
        <v>13</v>
      </c>
    </row>
    <row r="50" spans="2:10">
      <c r="B50">
        <v>44</v>
      </c>
      <c r="C50" t="s">
        <v>128</v>
      </c>
      <c r="D50" t="s">
        <v>101</v>
      </c>
      <c r="E50" t="s">
        <v>86</v>
      </c>
      <c r="F50" t="s">
        <v>13</v>
      </c>
      <c r="G50" t="s">
        <v>78</v>
      </c>
      <c r="J50" t="s">
        <v>13</v>
      </c>
    </row>
    <row r="51" spans="2:10">
      <c r="B51">
        <v>45</v>
      </c>
      <c r="C51" t="s">
        <v>129</v>
      </c>
      <c r="D51" t="s">
        <v>104</v>
      </c>
      <c r="E51" t="s">
        <v>65</v>
      </c>
      <c r="F51" t="s">
        <v>13</v>
      </c>
      <c r="G51" t="s">
        <v>80</v>
      </c>
      <c r="J51" t="s">
        <v>13</v>
      </c>
    </row>
    <row r="52" spans="2:10">
      <c r="B52">
        <v>46</v>
      </c>
      <c r="C52" t="s">
        <v>130</v>
      </c>
      <c r="D52" t="s">
        <v>104</v>
      </c>
      <c r="E52" t="s">
        <v>88</v>
      </c>
      <c r="F52" t="s">
        <v>13</v>
      </c>
      <c r="G52" t="s">
        <v>73</v>
      </c>
      <c r="J52" t="s">
        <v>13</v>
      </c>
    </row>
    <row r="53" spans="2:10">
      <c r="B53">
        <v>47</v>
      </c>
      <c r="C53" t="s">
        <v>131</v>
      </c>
      <c r="D53" t="s">
        <v>107</v>
      </c>
      <c r="E53" t="s">
        <v>64</v>
      </c>
      <c r="F53" t="s">
        <v>13</v>
      </c>
      <c r="G53" t="s">
        <v>79</v>
      </c>
      <c r="J53" t="s">
        <v>13</v>
      </c>
    </row>
    <row r="54" spans="2:10">
      <c r="B54">
        <v>48</v>
      </c>
      <c r="C54" t="s">
        <v>132</v>
      </c>
      <c r="D54" t="s">
        <v>107</v>
      </c>
      <c r="E54" t="s">
        <v>72</v>
      </c>
      <c r="F54" t="s">
        <v>13</v>
      </c>
      <c r="G54" t="s">
        <v>87</v>
      </c>
      <c r="J54" t="s">
        <v>13</v>
      </c>
    </row>
    <row r="55" spans="2:10">
      <c r="B55">
        <v>49</v>
      </c>
      <c r="C55" t="s">
        <v>133</v>
      </c>
      <c r="D55" t="s">
        <v>45</v>
      </c>
      <c r="E55" t="s">
        <v>34</v>
      </c>
      <c r="F55" t="s">
        <v>13</v>
      </c>
      <c r="G55" t="s">
        <v>26</v>
      </c>
      <c r="J55" t="s">
        <v>13</v>
      </c>
    </row>
    <row r="56" spans="2:10">
      <c r="B56">
        <v>50</v>
      </c>
      <c r="C56" t="s">
        <v>133</v>
      </c>
      <c r="D56" t="s">
        <v>45</v>
      </c>
      <c r="E56" t="s">
        <v>41</v>
      </c>
      <c r="F56" t="s">
        <v>13</v>
      </c>
      <c r="G56" t="s">
        <v>46</v>
      </c>
      <c r="J56" t="s">
        <v>13</v>
      </c>
    </row>
    <row r="57" spans="2:10">
      <c r="B57">
        <v>51</v>
      </c>
      <c r="C57" t="s">
        <v>134</v>
      </c>
      <c r="D57" t="s">
        <v>31</v>
      </c>
      <c r="E57" t="s">
        <v>25</v>
      </c>
      <c r="F57" t="s">
        <v>13</v>
      </c>
      <c r="G57" t="s">
        <v>32</v>
      </c>
      <c r="J57" t="s">
        <v>13</v>
      </c>
    </row>
    <row r="58" spans="2:10">
      <c r="B58">
        <v>52</v>
      </c>
      <c r="C58" t="s">
        <v>134</v>
      </c>
      <c r="D58" t="s">
        <v>31</v>
      </c>
      <c r="E58" t="s">
        <v>33</v>
      </c>
      <c r="F58" t="s">
        <v>13</v>
      </c>
      <c r="G58" t="s">
        <v>47</v>
      </c>
      <c r="J58" t="s">
        <v>13</v>
      </c>
    </row>
    <row r="59" spans="2:10">
      <c r="B59">
        <v>53</v>
      </c>
      <c r="C59" t="s">
        <v>135</v>
      </c>
      <c r="D59" t="s">
        <v>11</v>
      </c>
      <c r="E59" t="s">
        <v>24</v>
      </c>
      <c r="F59" t="s">
        <v>13</v>
      </c>
      <c r="G59" t="s">
        <v>12</v>
      </c>
      <c r="J59" t="s">
        <v>13</v>
      </c>
    </row>
    <row r="60" spans="2:10">
      <c r="B60">
        <v>54</v>
      </c>
      <c r="C60" t="s">
        <v>135</v>
      </c>
      <c r="D60" t="s">
        <v>11</v>
      </c>
      <c r="E60" t="s">
        <v>14</v>
      </c>
      <c r="F60" t="s">
        <v>13</v>
      </c>
      <c r="G60" t="s">
        <v>23</v>
      </c>
      <c r="J60" t="s">
        <v>13</v>
      </c>
    </row>
    <row r="61" spans="2:10">
      <c r="B61">
        <v>55</v>
      </c>
      <c r="C61" t="s">
        <v>136</v>
      </c>
      <c r="D61" t="s">
        <v>67</v>
      </c>
      <c r="E61" t="s">
        <v>49</v>
      </c>
      <c r="F61" t="s">
        <v>13</v>
      </c>
      <c r="G61" t="s">
        <v>42</v>
      </c>
      <c r="J61" t="s">
        <v>13</v>
      </c>
    </row>
    <row r="62" spans="2:10">
      <c r="B62">
        <v>56</v>
      </c>
      <c r="C62" t="s">
        <v>136</v>
      </c>
      <c r="D62" t="s">
        <v>67</v>
      </c>
      <c r="E62" t="s">
        <v>36</v>
      </c>
      <c r="F62" t="s">
        <v>13</v>
      </c>
      <c r="G62" t="s">
        <v>28</v>
      </c>
      <c r="J62" t="s">
        <v>13</v>
      </c>
    </row>
    <row r="63" spans="2:10">
      <c r="B63">
        <v>57</v>
      </c>
      <c r="C63" t="s">
        <v>137</v>
      </c>
      <c r="D63" t="s">
        <v>82</v>
      </c>
      <c r="E63" t="s">
        <v>43</v>
      </c>
      <c r="F63" t="s">
        <v>13</v>
      </c>
      <c r="G63" t="s">
        <v>37</v>
      </c>
      <c r="J63" t="s">
        <v>13</v>
      </c>
    </row>
    <row r="64" spans="2:10">
      <c r="B64">
        <v>58</v>
      </c>
      <c r="C64" t="s">
        <v>137</v>
      </c>
      <c r="D64" t="s">
        <v>82</v>
      </c>
      <c r="E64" t="s">
        <v>50</v>
      </c>
      <c r="F64" t="s">
        <v>13</v>
      </c>
      <c r="G64" t="s">
        <v>29</v>
      </c>
      <c r="J64" t="s">
        <v>13</v>
      </c>
    </row>
    <row r="65" spans="2:10">
      <c r="B65">
        <v>59</v>
      </c>
      <c r="C65" t="s">
        <v>138</v>
      </c>
      <c r="D65" t="s">
        <v>39</v>
      </c>
      <c r="E65" t="s">
        <v>27</v>
      </c>
      <c r="F65" t="s">
        <v>13</v>
      </c>
      <c r="G65" t="s">
        <v>35</v>
      </c>
      <c r="J65" t="s">
        <v>13</v>
      </c>
    </row>
    <row r="66" spans="2:10">
      <c r="B66">
        <v>60</v>
      </c>
      <c r="C66" t="s">
        <v>138</v>
      </c>
      <c r="D66" t="s">
        <v>39</v>
      </c>
      <c r="E66" t="s">
        <v>40</v>
      </c>
      <c r="F66" t="s">
        <v>13</v>
      </c>
      <c r="G66" t="s">
        <v>48</v>
      </c>
      <c r="J66" t="s">
        <v>13</v>
      </c>
    </row>
    <row r="67" spans="2:10">
      <c r="B67">
        <v>61</v>
      </c>
      <c r="C67" t="s">
        <v>139</v>
      </c>
      <c r="D67" t="s">
        <v>98</v>
      </c>
      <c r="E67" t="s">
        <v>70</v>
      </c>
      <c r="F67" t="s">
        <v>13</v>
      </c>
      <c r="G67" t="s">
        <v>62</v>
      </c>
      <c r="J67" t="s">
        <v>13</v>
      </c>
    </row>
    <row r="68" spans="2:10">
      <c r="B68">
        <v>62</v>
      </c>
      <c r="C68" t="s">
        <v>139</v>
      </c>
      <c r="D68" t="s">
        <v>98</v>
      </c>
      <c r="E68" t="s">
        <v>77</v>
      </c>
      <c r="F68" t="s">
        <v>13</v>
      </c>
      <c r="G68" t="s">
        <v>85</v>
      </c>
      <c r="J68" t="s">
        <v>13</v>
      </c>
    </row>
    <row r="69" spans="2:10">
      <c r="B69">
        <v>63</v>
      </c>
      <c r="C69" t="s">
        <v>140</v>
      </c>
      <c r="D69" t="s">
        <v>95</v>
      </c>
      <c r="E69" t="s">
        <v>68</v>
      </c>
      <c r="F69" t="s">
        <v>13</v>
      </c>
      <c r="G69" t="s">
        <v>83</v>
      </c>
      <c r="J69" t="s">
        <v>13</v>
      </c>
    </row>
    <row r="70" spans="2:10">
      <c r="B70">
        <v>64</v>
      </c>
      <c r="C70" t="s">
        <v>140</v>
      </c>
      <c r="D70" t="s">
        <v>95</v>
      </c>
      <c r="E70" t="s">
        <v>75</v>
      </c>
      <c r="F70" t="s">
        <v>13</v>
      </c>
      <c r="G70" t="s">
        <v>60</v>
      </c>
      <c r="J70" t="s">
        <v>13</v>
      </c>
    </row>
    <row r="71" spans="2:10">
      <c r="B71">
        <v>65</v>
      </c>
      <c r="C71" t="s">
        <v>141</v>
      </c>
      <c r="D71" t="s">
        <v>91</v>
      </c>
      <c r="E71" t="s">
        <v>76</v>
      </c>
      <c r="F71" t="s">
        <v>13</v>
      </c>
      <c r="G71" t="s">
        <v>84</v>
      </c>
      <c r="J71" t="s">
        <v>13</v>
      </c>
    </row>
    <row r="72" spans="2:10">
      <c r="B72">
        <v>66</v>
      </c>
      <c r="C72" t="s">
        <v>141</v>
      </c>
      <c r="D72" t="s">
        <v>91</v>
      </c>
      <c r="E72" t="s">
        <v>69</v>
      </c>
      <c r="F72" t="s">
        <v>13</v>
      </c>
      <c r="G72" t="s">
        <v>61</v>
      </c>
      <c r="J72" t="s">
        <v>13</v>
      </c>
    </row>
    <row r="73" spans="2:10">
      <c r="B73">
        <v>67</v>
      </c>
      <c r="C73" t="s">
        <v>142</v>
      </c>
      <c r="D73" t="s">
        <v>104</v>
      </c>
      <c r="E73" t="s">
        <v>88</v>
      </c>
      <c r="F73" t="s">
        <v>13</v>
      </c>
      <c r="G73" t="s">
        <v>65</v>
      </c>
      <c r="J73" t="s">
        <v>13</v>
      </c>
    </row>
    <row r="74" spans="2:10">
      <c r="B74">
        <v>68</v>
      </c>
      <c r="C74" t="s">
        <v>142</v>
      </c>
      <c r="D74" t="s">
        <v>104</v>
      </c>
      <c r="E74" t="s">
        <v>73</v>
      </c>
      <c r="F74" t="s">
        <v>13</v>
      </c>
      <c r="G74" t="s">
        <v>80</v>
      </c>
      <c r="J74" t="s">
        <v>13</v>
      </c>
    </row>
    <row r="75" spans="2:10">
      <c r="B75">
        <v>69</v>
      </c>
      <c r="C75" t="s">
        <v>143</v>
      </c>
      <c r="D75" t="s">
        <v>101</v>
      </c>
      <c r="E75" t="s">
        <v>78</v>
      </c>
      <c r="F75" t="s">
        <v>13</v>
      </c>
      <c r="G75" t="s">
        <v>71</v>
      </c>
      <c r="J75" t="s">
        <v>13</v>
      </c>
    </row>
    <row r="76" spans="2:10">
      <c r="B76">
        <v>70</v>
      </c>
      <c r="C76" t="s">
        <v>143</v>
      </c>
      <c r="D76" t="s">
        <v>101</v>
      </c>
      <c r="E76" t="s">
        <v>86</v>
      </c>
      <c r="F76" t="s">
        <v>13</v>
      </c>
      <c r="G76" t="s">
        <v>63</v>
      </c>
      <c r="J76" t="s">
        <v>13</v>
      </c>
    </row>
    <row r="77" spans="2:10">
      <c r="B77">
        <v>71</v>
      </c>
      <c r="C77" t="s">
        <v>144</v>
      </c>
      <c r="D77" t="s">
        <v>107</v>
      </c>
      <c r="E77" t="s">
        <v>72</v>
      </c>
      <c r="F77" t="s">
        <v>13</v>
      </c>
      <c r="G77" t="s">
        <v>64</v>
      </c>
      <c r="J77" t="s">
        <v>13</v>
      </c>
    </row>
    <row r="78" spans="2:10">
      <c r="B78">
        <v>72</v>
      </c>
      <c r="C78" t="s">
        <v>144</v>
      </c>
      <c r="D78" t="s">
        <v>107</v>
      </c>
      <c r="E78" t="s">
        <v>87</v>
      </c>
      <c r="F78" t="s">
        <v>13</v>
      </c>
      <c r="G78" t="s">
        <v>79</v>
      </c>
      <c r="J78" t="s">
        <v>13</v>
      </c>
    </row>
    <row r="79" spans="2:10">
      <c r="D79" t="s">
        <v>145</v>
      </c>
      <c r="F79" t="s">
        <v>13</v>
      </c>
    </row>
    <row r="80" spans="2:10">
      <c r="D80" t="s">
        <v>146</v>
      </c>
      <c r="F80" t="s">
        <v>13</v>
      </c>
    </row>
    <row r="82" spans="12:12">
      <c r="L82" t="s">
        <v>147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U82"/>
  <sheetViews>
    <sheetView workbookViewId="0"/>
  </sheetViews>
  <sheetFormatPr defaultRowHeight="15"/>
  <sheetData>
    <row r="2" spans="2:21">
      <c r="G2" t="s">
        <v>0</v>
      </c>
    </row>
    <row r="4" spans="2:21">
      <c r="B4" t="s">
        <v>2</v>
      </c>
    </row>
    <row r="6" spans="2:21">
      <c r="C6" t="s">
        <v>3</v>
      </c>
      <c r="D6" t="s">
        <v>4</v>
      </c>
      <c r="F6" t="s">
        <v>5</v>
      </c>
      <c r="J6" t="s">
        <v>6</v>
      </c>
      <c r="L6" t="s">
        <v>7</v>
      </c>
      <c r="M6" t="s">
        <v>8</v>
      </c>
      <c r="O6" t="s">
        <v>9</v>
      </c>
    </row>
    <row r="7" spans="2:21">
      <c r="B7">
        <v>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J7" t="s">
        <v>13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 t="s">
        <v>21</v>
      </c>
    </row>
    <row r="8" spans="2:21">
      <c r="B8">
        <v>2</v>
      </c>
      <c r="C8" t="s">
        <v>22</v>
      </c>
      <c r="D8" t="s">
        <v>11</v>
      </c>
      <c r="E8" t="s">
        <v>23</v>
      </c>
      <c r="F8" t="s">
        <v>13</v>
      </c>
      <c r="G8" t="s">
        <v>24</v>
      </c>
      <c r="J8" t="s">
        <v>13</v>
      </c>
      <c r="O8">
        <v>1</v>
      </c>
    </row>
    <row r="9" spans="2:21">
      <c r="B9">
        <v>3</v>
      </c>
      <c r="C9" t="s">
        <v>30</v>
      </c>
      <c r="D9" t="s">
        <v>31</v>
      </c>
      <c r="E9" t="s">
        <v>32</v>
      </c>
      <c r="F9" t="s">
        <v>13</v>
      </c>
      <c r="G9" t="s">
        <v>33</v>
      </c>
      <c r="J9" t="s">
        <v>13</v>
      </c>
      <c r="O9">
        <v>2</v>
      </c>
    </row>
    <row r="10" spans="2:21">
      <c r="B10">
        <v>4</v>
      </c>
      <c r="C10" t="s">
        <v>38</v>
      </c>
      <c r="D10" t="s">
        <v>39</v>
      </c>
      <c r="E10" t="s">
        <v>35</v>
      </c>
      <c r="F10" t="s">
        <v>13</v>
      </c>
      <c r="G10" t="s">
        <v>40</v>
      </c>
      <c r="J10" t="s">
        <v>13</v>
      </c>
      <c r="O10">
        <v>3</v>
      </c>
    </row>
    <row r="11" spans="2:21">
      <c r="B11">
        <v>5</v>
      </c>
      <c r="C11" t="s">
        <v>44</v>
      </c>
      <c r="D11" t="s">
        <v>45</v>
      </c>
      <c r="E11" t="s">
        <v>46</v>
      </c>
      <c r="F11" t="s">
        <v>13</v>
      </c>
      <c r="G11" t="s">
        <v>34</v>
      </c>
      <c r="J11" t="s">
        <v>13</v>
      </c>
      <c r="O11">
        <v>4</v>
      </c>
    </row>
    <row r="12" spans="2:21">
      <c r="B12">
        <v>6</v>
      </c>
      <c r="C12" t="s">
        <v>51</v>
      </c>
      <c r="D12" t="s">
        <v>39</v>
      </c>
      <c r="E12" t="s">
        <v>48</v>
      </c>
      <c r="F12" t="s">
        <v>13</v>
      </c>
      <c r="G12" t="s">
        <v>27</v>
      </c>
      <c r="J12" t="s">
        <v>13</v>
      </c>
    </row>
    <row r="13" spans="2:21">
      <c r="B13">
        <v>7</v>
      </c>
      <c r="C13" t="s">
        <v>52</v>
      </c>
      <c r="D13" t="s">
        <v>45</v>
      </c>
      <c r="E13" t="s">
        <v>26</v>
      </c>
      <c r="F13" t="s">
        <v>13</v>
      </c>
      <c r="G13" t="s">
        <v>41</v>
      </c>
      <c r="J13" t="s">
        <v>13</v>
      </c>
      <c r="O13" t="s">
        <v>15</v>
      </c>
      <c r="P13" t="s">
        <v>53</v>
      </c>
      <c r="Q13" t="s">
        <v>54</v>
      </c>
      <c r="R13" t="s">
        <v>55</v>
      </c>
      <c r="S13" t="s">
        <v>56</v>
      </c>
      <c r="T13" t="s">
        <v>57</v>
      </c>
      <c r="U13" t="s">
        <v>58</v>
      </c>
    </row>
    <row r="14" spans="2:21">
      <c r="B14">
        <v>8</v>
      </c>
      <c r="C14" t="s">
        <v>59</v>
      </c>
      <c r="D14" t="s">
        <v>31</v>
      </c>
      <c r="E14" t="s">
        <v>47</v>
      </c>
      <c r="F14" t="s">
        <v>13</v>
      </c>
      <c r="G14" t="s">
        <v>25</v>
      </c>
      <c r="J14" t="s">
        <v>13</v>
      </c>
      <c r="O14">
        <v>1</v>
      </c>
    </row>
    <row r="15" spans="2:21">
      <c r="B15">
        <v>9</v>
      </c>
      <c r="C15" t="s">
        <v>66</v>
      </c>
      <c r="D15" t="s">
        <v>67</v>
      </c>
      <c r="E15" t="s">
        <v>42</v>
      </c>
      <c r="F15" t="s">
        <v>13</v>
      </c>
      <c r="G15" t="s">
        <v>36</v>
      </c>
      <c r="J15" t="s">
        <v>13</v>
      </c>
      <c r="O15">
        <v>2</v>
      </c>
    </row>
    <row r="16" spans="2:21">
      <c r="B16">
        <v>10</v>
      </c>
      <c r="C16" t="s">
        <v>74</v>
      </c>
      <c r="D16" t="s">
        <v>67</v>
      </c>
      <c r="E16" t="s">
        <v>28</v>
      </c>
      <c r="F16" t="s">
        <v>13</v>
      </c>
      <c r="G16" t="s">
        <v>49</v>
      </c>
      <c r="J16" t="s">
        <v>13</v>
      </c>
      <c r="O16">
        <v>3</v>
      </c>
    </row>
    <row r="17" spans="2:21">
      <c r="B17">
        <v>11</v>
      </c>
      <c r="C17" t="s">
        <v>81</v>
      </c>
      <c r="D17" t="s">
        <v>82</v>
      </c>
      <c r="E17" t="s">
        <v>29</v>
      </c>
      <c r="F17" t="s">
        <v>13</v>
      </c>
      <c r="G17" t="s">
        <v>43</v>
      </c>
      <c r="J17" t="s">
        <v>13</v>
      </c>
      <c r="O17">
        <v>4</v>
      </c>
    </row>
    <row r="18" spans="2:21">
      <c r="B18">
        <v>12</v>
      </c>
      <c r="C18" t="s">
        <v>89</v>
      </c>
      <c r="D18" t="s">
        <v>82</v>
      </c>
      <c r="E18" t="s">
        <v>37</v>
      </c>
      <c r="F18" t="s">
        <v>13</v>
      </c>
      <c r="G18" t="s">
        <v>50</v>
      </c>
      <c r="J18" t="s">
        <v>13</v>
      </c>
    </row>
    <row r="19" spans="2:21">
      <c r="B19">
        <v>13</v>
      </c>
      <c r="C19" t="s">
        <v>90</v>
      </c>
      <c r="D19" t="s">
        <v>91</v>
      </c>
      <c r="E19" t="s">
        <v>84</v>
      </c>
      <c r="F19" t="s">
        <v>13</v>
      </c>
      <c r="G19" t="s">
        <v>69</v>
      </c>
      <c r="J19" t="s">
        <v>13</v>
      </c>
    </row>
    <row r="20" spans="2:21">
      <c r="B20">
        <v>14</v>
      </c>
      <c r="C20" t="s">
        <v>92</v>
      </c>
      <c r="D20" t="s">
        <v>91</v>
      </c>
      <c r="E20" t="s">
        <v>61</v>
      </c>
      <c r="F20" t="s">
        <v>13</v>
      </c>
      <c r="G20" t="s">
        <v>76</v>
      </c>
      <c r="J20" t="s">
        <v>13</v>
      </c>
      <c r="O20" t="s">
        <v>93</v>
      </c>
    </row>
    <row r="21" spans="2:21">
      <c r="B21">
        <v>15</v>
      </c>
      <c r="C21" t="s">
        <v>94</v>
      </c>
      <c r="D21" t="s">
        <v>95</v>
      </c>
      <c r="E21" t="s">
        <v>83</v>
      </c>
      <c r="F21" t="s">
        <v>13</v>
      </c>
      <c r="G21" t="s">
        <v>75</v>
      </c>
      <c r="J21" t="s">
        <v>13</v>
      </c>
      <c r="P21" t="s">
        <v>16</v>
      </c>
      <c r="Q21" t="s">
        <v>17</v>
      </c>
      <c r="R21" t="s">
        <v>18</v>
      </c>
      <c r="S21" t="s">
        <v>19</v>
      </c>
      <c r="T21" t="s">
        <v>20</v>
      </c>
      <c r="U21" t="s">
        <v>21</v>
      </c>
    </row>
    <row r="22" spans="2:21">
      <c r="B22">
        <v>16</v>
      </c>
      <c r="C22" t="s">
        <v>96</v>
      </c>
      <c r="D22" t="s">
        <v>95</v>
      </c>
      <c r="E22" t="s">
        <v>60</v>
      </c>
      <c r="F22" t="s">
        <v>13</v>
      </c>
      <c r="G22" t="s">
        <v>68</v>
      </c>
      <c r="J22" t="s">
        <v>13</v>
      </c>
      <c r="P22" t="s">
        <v>12</v>
      </c>
      <c r="Q22" t="s">
        <v>32</v>
      </c>
      <c r="R22" t="s">
        <v>46</v>
      </c>
      <c r="S22" t="s">
        <v>35</v>
      </c>
      <c r="T22" t="s">
        <v>42</v>
      </c>
      <c r="U22" t="s">
        <v>29</v>
      </c>
    </row>
    <row r="23" spans="2:21">
      <c r="B23">
        <v>17</v>
      </c>
      <c r="C23" t="s">
        <v>97</v>
      </c>
      <c r="D23" t="s">
        <v>98</v>
      </c>
      <c r="E23" t="s">
        <v>62</v>
      </c>
      <c r="F23" t="s">
        <v>13</v>
      </c>
      <c r="G23" t="s">
        <v>77</v>
      </c>
      <c r="J23" t="s">
        <v>13</v>
      </c>
      <c r="P23" t="s">
        <v>14</v>
      </c>
      <c r="Q23" t="s">
        <v>33</v>
      </c>
      <c r="R23" t="s">
        <v>34</v>
      </c>
      <c r="S23" t="s">
        <v>40</v>
      </c>
      <c r="T23" t="s">
        <v>36</v>
      </c>
      <c r="U23" t="s">
        <v>43</v>
      </c>
    </row>
    <row r="24" spans="2:21">
      <c r="B24">
        <v>18</v>
      </c>
      <c r="C24" t="s">
        <v>99</v>
      </c>
      <c r="D24" t="s">
        <v>98</v>
      </c>
      <c r="E24" t="s">
        <v>85</v>
      </c>
      <c r="F24" t="s">
        <v>13</v>
      </c>
      <c r="G24" t="s">
        <v>70</v>
      </c>
      <c r="J24" t="s">
        <v>13</v>
      </c>
      <c r="P24" t="s">
        <v>23</v>
      </c>
      <c r="Q24" t="s">
        <v>47</v>
      </c>
      <c r="R24" t="s">
        <v>26</v>
      </c>
      <c r="S24" t="s">
        <v>48</v>
      </c>
      <c r="T24" t="s">
        <v>28</v>
      </c>
      <c r="U24" t="s">
        <v>37</v>
      </c>
    </row>
    <row r="25" spans="2:21">
      <c r="B25">
        <v>19</v>
      </c>
      <c r="C25" t="s">
        <v>100</v>
      </c>
      <c r="D25" t="s">
        <v>101</v>
      </c>
      <c r="E25" t="s">
        <v>63</v>
      </c>
      <c r="F25" t="s">
        <v>13</v>
      </c>
      <c r="G25" t="s">
        <v>78</v>
      </c>
      <c r="J25" t="s">
        <v>13</v>
      </c>
      <c r="P25" t="s">
        <v>24</v>
      </c>
      <c r="Q25" t="s">
        <v>25</v>
      </c>
      <c r="R25" t="s">
        <v>41</v>
      </c>
      <c r="S25" t="s">
        <v>27</v>
      </c>
      <c r="T25" t="s">
        <v>49</v>
      </c>
      <c r="U25" t="s">
        <v>50</v>
      </c>
    </row>
    <row r="26" spans="2:21">
      <c r="B26">
        <v>20</v>
      </c>
      <c r="C26" t="s">
        <v>102</v>
      </c>
      <c r="D26" t="s">
        <v>101</v>
      </c>
      <c r="E26" t="s">
        <v>71</v>
      </c>
      <c r="F26" t="s">
        <v>13</v>
      </c>
      <c r="G26" t="s">
        <v>86</v>
      </c>
      <c r="J26" t="s">
        <v>13</v>
      </c>
    </row>
    <row r="27" spans="2:21">
      <c r="B27">
        <v>21</v>
      </c>
      <c r="C27" t="s">
        <v>103</v>
      </c>
      <c r="D27" t="s">
        <v>104</v>
      </c>
      <c r="E27" t="s">
        <v>80</v>
      </c>
      <c r="F27" t="s">
        <v>13</v>
      </c>
      <c r="G27" t="s">
        <v>88</v>
      </c>
      <c r="J27" t="s">
        <v>13</v>
      </c>
      <c r="P27" t="s">
        <v>53</v>
      </c>
      <c r="Q27" t="s">
        <v>54</v>
      </c>
      <c r="R27" t="s">
        <v>55</v>
      </c>
      <c r="S27" t="s">
        <v>56</v>
      </c>
      <c r="T27" t="s">
        <v>57</v>
      </c>
      <c r="U27" t="s">
        <v>58</v>
      </c>
    </row>
    <row r="28" spans="2:21">
      <c r="B28">
        <v>22</v>
      </c>
      <c r="C28" t="s">
        <v>105</v>
      </c>
      <c r="D28" t="s">
        <v>104</v>
      </c>
      <c r="E28" t="s">
        <v>65</v>
      </c>
      <c r="F28" t="s">
        <v>13</v>
      </c>
      <c r="G28" t="s">
        <v>73</v>
      </c>
      <c r="J28" t="s">
        <v>13</v>
      </c>
      <c r="P28" t="s">
        <v>83</v>
      </c>
      <c r="Q28" t="s">
        <v>84</v>
      </c>
      <c r="R28" t="s">
        <v>62</v>
      </c>
      <c r="S28" t="s">
        <v>63</v>
      </c>
      <c r="T28" t="s">
        <v>64</v>
      </c>
      <c r="U28" t="s">
        <v>80</v>
      </c>
    </row>
    <row r="29" spans="2:21">
      <c r="B29">
        <v>23</v>
      </c>
      <c r="C29" t="s">
        <v>106</v>
      </c>
      <c r="D29" t="s">
        <v>107</v>
      </c>
      <c r="E29" t="s">
        <v>64</v>
      </c>
      <c r="F29" t="s">
        <v>13</v>
      </c>
      <c r="G29" t="s">
        <v>87</v>
      </c>
      <c r="J29" t="s">
        <v>13</v>
      </c>
      <c r="P29" t="s">
        <v>75</v>
      </c>
      <c r="Q29" t="s">
        <v>69</v>
      </c>
      <c r="R29" t="s">
        <v>77</v>
      </c>
      <c r="S29" t="s">
        <v>78</v>
      </c>
      <c r="T29" t="s">
        <v>87</v>
      </c>
      <c r="U29" t="s">
        <v>88</v>
      </c>
    </row>
    <row r="30" spans="2:21">
      <c r="B30">
        <v>24</v>
      </c>
      <c r="C30" t="s">
        <v>108</v>
      </c>
      <c r="D30" t="s">
        <v>107</v>
      </c>
      <c r="E30" t="s">
        <v>79</v>
      </c>
      <c r="F30" t="s">
        <v>13</v>
      </c>
      <c r="G30" t="s">
        <v>72</v>
      </c>
      <c r="J30" t="s">
        <v>13</v>
      </c>
      <c r="P30" t="s">
        <v>60</v>
      </c>
      <c r="Q30" t="s">
        <v>61</v>
      </c>
      <c r="R30" t="s">
        <v>85</v>
      </c>
      <c r="S30" t="s">
        <v>71</v>
      </c>
      <c r="T30" t="s">
        <v>79</v>
      </c>
      <c r="U30" t="s">
        <v>65</v>
      </c>
    </row>
    <row r="31" spans="2:21">
      <c r="B31">
        <v>25</v>
      </c>
      <c r="C31" t="s">
        <v>109</v>
      </c>
      <c r="D31" t="s">
        <v>11</v>
      </c>
      <c r="E31" t="s">
        <v>24</v>
      </c>
      <c r="F31" t="s">
        <v>13</v>
      </c>
      <c r="G31" t="s">
        <v>14</v>
      </c>
      <c r="J31" t="s">
        <v>13</v>
      </c>
      <c r="P31" t="s">
        <v>68</v>
      </c>
      <c r="Q31" t="s">
        <v>76</v>
      </c>
      <c r="R31" t="s">
        <v>70</v>
      </c>
      <c r="S31" t="s">
        <v>86</v>
      </c>
      <c r="T31" t="s">
        <v>72</v>
      </c>
      <c r="U31" t="s">
        <v>73</v>
      </c>
    </row>
    <row r="32" spans="2:21">
      <c r="B32">
        <v>26</v>
      </c>
      <c r="C32" t="s">
        <v>110</v>
      </c>
      <c r="D32" t="s">
        <v>31</v>
      </c>
      <c r="E32" t="s">
        <v>25</v>
      </c>
      <c r="F32" t="s">
        <v>13</v>
      </c>
      <c r="G32" t="s">
        <v>33</v>
      </c>
      <c r="J32" t="s">
        <v>13</v>
      </c>
    </row>
    <row r="33" spans="2:10">
      <c r="B33">
        <v>27</v>
      </c>
      <c r="C33" t="s">
        <v>111</v>
      </c>
      <c r="D33" t="s">
        <v>31</v>
      </c>
      <c r="E33" t="s">
        <v>32</v>
      </c>
      <c r="F33" t="s">
        <v>13</v>
      </c>
      <c r="G33" t="s">
        <v>47</v>
      </c>
      <c r="J33" t="s">
        <v>13</v>
      </c>
    </row>
    <row r="34" spans="2:10">
      <c r="B34">
        <v>28</v>
      </c>
      <c r="C34" t="s">
        <v>112</v>
      </c>
      <c r="D34" t="s">
        <v>11</v>
      </c>
      <c r="E34" t="s">
        <v>12</v>
      </c>
      <c r="F34" t="s">
        <v>13</v>
      </c>
      <c r="G34" t="s">
        <v>23</v>
      </c>
      <c r="J34" t="s">
        <v>13</v>
      </c>
    </row>
    <row r="35" spans="2:10">
      <c r="B35">
        <v>29</v>
      </c>
      <c r="C35" t="s">
        <v>113</v>
      </c>
      <c r="D35" t="s">
        <v>45</v>
      </c>
      <c r="E35" t="s">
        <v>26</v>
      </c>
      <c r="F35" t="s">
        <v>13</v>
      </c>
      <c r="G35" t="s">
        <v>46</v>
      </c>
      <c r="J35" t="s">
        <v>13</v>
      </c>
    </row>
    <row r="36" spans="2:10">
      <c r="B36">
        <v>30</v>
      </c>
      <c r="C36" t="s">
        <v>114</v>
      </c>
      <c r="D36" t="s">
        <v>45</v>
      </c>
      <c r="E36" t="s">
        <v>34</v>
      </c>
      <c r="F36" t="s">
        <v>13</v>
      </c>
      <c r="G36" t="s">
        <v>41</v>
      </c>
      <c r="J36" t="s">
        <v>13</v>
      </c>
    </row>
    <row r="37" spans="2:10">
      <c r="B37">
        <v>31</v>
      </c>
      <c r="C37" t="s">
        <v>115</v>
      </c>
      <c r="D37" t="s">
        <v>39</v>
      </c>
      <c r="E37" t="s">
        <v>27</v>
      </c>
      <c r="F37" t="s">
        <v>13</v>
      </c>
      <c r="G37" t="s">
        <v>40</v>
      </c>
      <c r="J37" t="s">
        <v>13</v>
      </c>
    </row>
    <row r="38" spans="2:10">
      <c r="B38">
        <v>32</v>
      </c>
      <c r="C38" t="s">
        <v>116</v>
      </c>
      <c r="D38" t="s">
        <v>39</v>
      </c>
      <c r="E38" t="s">
        <v>35</v>
      </c>
      <c r="F38" t="s">
        <v>13</v>
      </c>
      <c r="G38" t="s">
        <v>48</v>
      </c>
      <c r="J38" t="s">
        <v>13</v>
      </c>
    </row>
    <row r="39" spans="2:10">
      <c r="B39">
        <v>33</v>
      </c>
      <c r="C39" t="s">
        <v>117</v>
      </c>
      <c r="D39" t="s">
        <v>67</v>
      </c>
      <c r="E39" t="s">
        <v>28</v>
      </c>
      <c r="F39" t="s">
        <v>13</v>
      </c>
      <c r="G39" t="s">
        <v>42</v>
      </c>
      <c r="J39" t="s">
        <v>13</v>
      </c>
    </row>
    <row r="40" spans="2:10">
      <c r="B40">
        <v>34</v>
      </c>
      <c r="C40" t="s">
        <v>118</v>
      </c>
      <c r="D40" t="s">
        <v>67</v>
      </c>
      <c r="E40" t="s">
        <v>36</v>
      </c>
      <c r="F40" t="s">
        <v>13</v>
      </c>
      <c r="G40" t="s">
        <v>49</v>
      </c>
      <c r="J40" t="s">
        <v>13</v>
      </c>
    </row>
    <row r="41" spans="2:10">
      <c r="B41">
        <v>35</v>
      </c>
      <c r="C41" t="s">
        <v>119</v>
      </c>
      <c r="D41" t="s">
        <v>82</v>
      </c>
      <c r="E41" t="s">
        <v>29</v>
      </c>
      <c r="F41" t="s">
        <v>13</v>
      </c>
      <c r="G41" t="s">
        <v>37</v>
      </c>
      <c r="J41" t="s">
        <v>13</v>
      </c>
    </row>
    <row r="42" spans="2:10">
      <c r="B42">
        <v>36</v>
      </c>
      <c r="C42" t="s">
        <v>120</v>
      </c>
      <c r="D42" t="s">
        <v>82</v>
      </c>
      <c r="E42" t="s">
        <v>50</v>
      </c>
      <c r="F42" t="s">
        <v>13</v>
      </c>
      <c r="G42" t="s">
        <v>43</v>
      </c>
      <c r="J42" t="s">
        <v>13</v>
      </c>
    </row>
    <row r="43" spans="2:10">
      <c r="B43">
        <v>37</v>
      </c>
      <c r="C43" t="s">
        <v>121</v>
      </c>
      <c r="D43" t="s">
        <v>91</v>
      </c>
      <c r="E43" t="s">
        <v>69</v>
      </c>
      <c r="F43" t="s">
        <v>13</v>
      </c>
      <c r="G43" t="s">
        <v>76</v>
      </c>
      <c r="J43" t="s">
        <v>13</v>
      </c>
    </row>
    <row r="44" spans="2:10">
      <c r="B44">
        <v>38</v>
      </c>
      <c r="C44" t="s">
        <v>122</v>
      </c>
      <c r="D44" t="s">
        <v>91</v>
      </c>
      <c r="E44" t="s">
        <v>61</v>
      </c>
      <c r="F44" t="s">
        <v>13</v>
      </c>
      <c r="G44" t="s">
        <v>84</v>
      </c>
      <c r="J44" t="s">
        <v>13</v>
      </c>
    </row>
    <row r="45" spans="2:10">
      <c r="B45">
        <v>39</v>
      </c>
      <c r="C45" t="s">
        <v>123</v>
      </c>
      <c r="D45" t="s">
        <v>95</v>
      </c>
      <c r="E45" t="s">
        <v>60</v>
      </c>
      <c r="F45" t="s">
        <v>13</v>
      </c>
      <c r="G45" t="s">
        <v>83</v>
      </c>
      <c r="J45" t="s">
        <v>13</v>
      </c>
    </row>
    <row r="46" spans="2:10">
      <c r="B46">
        <v>40</v>
      </c>
      <c r="C46" t="s">
        <v>124</v>
      </c>
      <c r="D46" t="s">
        <v>95</v>
      </c>
      <c r="E46" t="s">
        <v>75</v>
      </c>
      <c r="F46" t="s">
        <v>13</v>
      </c>
      <c r="G46" t="s">
        <v>68</v>
      </c>
      <c r="J46" t="s">
        <v>13</v>
      </c>
    </row>
    <row r="47" spans="2:10">
      <c r="B47">
        <v>41</v>
      </c>
      <c r="C47" t="s">
        <v>125</v>
      </c>
      <c r="D47" t="s">
        <v>98</v>
      </c>
      <c r="E47" t="s">
        <v>70</v>
      </c>
      <c r="F47" t="s">
        <v>13</v>
      </c>
      <c r="G47" t="s">
        <v>77</v>
      </c>
      <c r="J47" t="s">
        <v>13</v>
      </c>
    </row>
    <row r="48" spans="2:10">
      <c r="B48">
        <v>42</v>
      </c>
      <c r="C48" t="s">
        <v>126</v>
      </c>
      <c r="D48" t="s">
        <v>98</v>
      </c>
      <c r="E48" t="s">
        <v>62</v>
      </c>
      <c r="F48" t="s">
        <v>13</v>
      </c>
      <c r="G48" t="s">
        <v>85</v>
      </c>
      <c r="J48" t="s">
        <v>13</v>
      </c>
    </row>
    <row r="49" spans="2:10">
      <c r="B49">
        <v>43</v>
      </c>
      <c r="C49" t="s">
        <v>127</v>
      </c>
      <c r="D49" t="s">
        <v>101</v>
      </c>
      <c r="E49" t="s">
        <v>63</v>
      </c>
      <c r="F49" t="s">
        <v>13</v>
      </c>
      <c r="G49" t="s">
        <v>71</v>
      </c>
      <c r="J49" t="s">
        <v>13</v>
      </c>
    </row>
    <row r="50" spans="2:10">
      <c r="B50">
        <v>44</v>
      </c>
      <c r="C50" t="s">
        <v>128</v>
      </c>
      <c r="D50" t="s">
        <v>101</v>
      </c>
      <c r="E50" t="s">
        <v>86</v>
      </c>
      <c r="F50" t="s">
        <v>13</v>
      </c>
      <c r="G50" t="s">
        <v>78</v>
      </c>
      <c r="J50" t="s">
        <v>13</v>
      </c>
    </row>
    <row r="51" spans="2:10">
      <c r="B51">
        <v>45</v>
      </c>
      <c r="C51" t="s">
        <v>129</v>
      </c>
      <c r="D51" t="s">
        <v>104</v>
      </c>
      <c r="E51" t="s">
        <v>65</v>
      </c>
      <c r="F51" t="s">
        <v>13</v>
      </c>
      <c r="G51" t="s">
        <v>80</v>
      </c>
      <c r="J51" t="s">
        <v>13</v>
      </c>
    </row>
    <row r="52" spans="2:10">
      <c r="B52">
        <v>46</v>
      </c>
      <c r="C52" t="s">
        <v>130</v>
      </c>
      <c r="D52" t="s">
        <v>104</v>
      </c>
      <c r="E52" t="s">
        <v>88</v>
      </c>
      <c r="F52" t="s">
        <v>13</v>
      </c>
      <c r="G52" t="s">
        <v>73</v>
      </c>
      <c r="J52" t="s">
        <v>13</v>
      </c>
    </row>
    <row r="53" spans="2:10">
      <c r="B53">
        <v>47</v>
      </c>
      <c r="C53" t="s">
        <v>131</v>
      </c>
      <c r="D53" t="s">
        <v>107</v>
      </c>
      <c r="E53" t="s">
        <v>64</v>
      </c>
      <c r="F53" t="s">
        <v>13</v>
      </c>
      <c r="G53" t="s">
        <v>79</v>
      </c>
      <c r="J53" t="s">
        <v>13</v>
      </c>
    </row>
    <row r="54" spans="2:10">
      <c r="B54">
        <v>48</v>
      </c>
      <c r="C54" t="s">
        <v>132</v>
      </c>
      <c r="D54" t="s">
        <v>107</v>
      </c>
      <c r="E54" t="s">
        <v>72</v>
      </c>
      <c r="F54" t="s">
        <v>13</v>
      </c>
      <c r="G54" t="s">
        <v>87</v>
      </c>
      <c r="J54" t="s">
        <v>13</v>
      </c>
    </row>
    <row r="55" spans="2:10">
      <c r="B55">
        <v>49</v>
      </c>
      <c r="C55" t="s">
        <v>133</v>
      </c>
      <c r="D55" t="s">
        <v>45</v>
      </c>
      <c r="E55" t="s">
        <v>34</v>
      </c>
      <c r="F55" t="s">
        <v>13</v>
      </c>
      <c r="G55" t="s">
        <v>26</v>
      </c>
      <c r="J55" t="s">
        <v>13</v>
      </c>
    </row>
    <row r="56" spans="2:10">
      <c r="B56">
        <v>50</v>
      </c>
      <c r="C56" t="s">
        <v>133</v>
      </c>
      <c r="D56" t="s">
        <v>45</v>
      </c>
      <c r="E56" t="s">
        <v>41</v>
      </c>
      <c r="F56" t="s">
        <v>13</v>
      </c>
      <c r="G56" t="s">
        <v>46</v>
      </c>
      <c r="J56" t="s">
        <v>13</v>
      </c>
    </row>
    <row r="57" spans="2:10">
      <c r="B57">
        <v>51</v>
      </c>
      <c r="C57" t="s">
        <v>134</v>
      </c>
      <c r="D57" t="s">
        <v>31</v>
      </c>
      <c r="E57" t="s">
        <v>25</v>
      </c>
      <c r="F57" t="s">
        <v>13</v>
      </c>
      <c r="G57" t="s">
        <v>32</v>
      </c>
      <c r="J57" t="s">
        <v>13</v>
      </c>
    </row>
    <row r="58" spans="2:10">
      <c r="B58">
        <v>52</v>
      </c>
      <c r="C58" t="s">
        <v>134</v>
      </c>
      <c r="D58" t="s">
        <v>31</v>
      </c>
      <c r="E58" t="s">
        <v>33</v>
      </c>
      <c r="F58" t="s">
        <v>13</v>
      </c>
      <c r="G58" t="s">
        <v>47</v>
      </c>
      <c r="J58" t="s">
        <v>13</v>
      </c>
    </row>
    <row r="59" spans="2:10">
      <c r="B59">
        <v>53</v>
      </c>
      <c r="C59" t="s">
        <v>135</v>
      </c>
      <c r="D59" t="s">
        <v>11</v>
      </c>
      <c r="E59" t="s">
        <v>24</v>
      </c>
      <c r="F59" t="s">
        <v>13</v>
      </c>
      <c r="G59" t="s">
        <v>12</v>
      </c>
      <c r="J59" t="s">
        <v>13</v>
      </c>
    </row>
    <row r="60" spans="2:10">
      <c r="B60">
        <v>54</v>
      </c>
      <c r="C60" t="s">
        <v>135</v>
      </c>
      <c r="D60" t="s">
        <v>11</v>
      </c>
      <c r="E60" t="s">
        <v>14</v>
      </c>
      <c r="F60" t="s">
        <v>13</v>
      </c>
      <c r="G60" t="s">
        <v>23</v>
      </c>
      <c r="J60" t="s">
        <v>13</v>
      </c>
    </row>
    <row r="61" spans="2:10">
      <c r="B61">
        <v>55</v>
      </c>
      <c r="C61" t="s">
        <v>136</v>
      </c>
      <c r="D61" t="s">
        <v>67</v>
      </c>
      <c r="E61" t="s">
        <v>49</v>
      </c>
      <c r="F61" t="s">
        <v>13</v>
      </c>
      <c r="G61" t="s">
        <v>42</v>
      </c>
      <c r="J61" t="s">
        <v>13</v>
      </c>
    </row>
    <row r="62" spans="2:10">
      <c r="B62">
        <v>56</v>
      </c>
      <c r="C62" t="s">
        <v>136</v>
      </c>
      <c r="D62" t="s">
        <v>67</v>
      </c>
      <c r="E62" t="s">
        <v>36</v>
      </c>
      <c r="F62" t="s">
        <v>13</v>
      </c>
      <c r="G62" t="s">
        <v>28</v>
      </c>
      <c r="J62" t="s">
        <v>13</v>
      </c>
    </row>
    <row r="63" spans="2:10">
      <c r="B63">
        <v>57</v>
      </c>
      <c r="C63" t="s">
        <v>137</v>
      </c>
      <c r="D63" t="s">
        <v>82</v>
      </c>
      <c r="E63" t="s">
        <v>43</v>
      </c>
      <c r="F63" t="s">
        <v>13</v>
      </c>
      <c r="G63" t="s">
        <v>37</v>
      </c>
      <c r="J63" t="s">
        <v>13</v>
      </c>
    </row>
    <row r="64" spans="2:10">
      <c r="B64">
        <v>58</v>
      </c>
      <c r="C64" t="s">
        <v>137</v>
      </c>
      <c r="D64" t="s">
        <v>82</v>
      </c>
      <c r="E64" t="s">
        <v>50</v>
      </c>
      <c r="F64" t="s">
        <v>13</v>
      </c>
      <c r="G64" t="s">
        <v>29</v>
      </c>
      <c r="J64" t="s">
        <v>13</v>
      </c>
    </row>
    <row r="65" spans="2:10">
      <c r="B65">
        <v>59</v>
      </c>
      <c r="C65" t="s">
        <v>138</v>
      </c>
      <c r="D65" t="s">
        <v>39</v>
      </c>
      <c r="E65" t="s">
        <v>27</v>
      </c>
      <c r="F65" t="s">
        <v>13</v>
      </c>
      <c r="G65" t="s">
        <v>35</v>
      </c>
      <c r="J65" t="s">
        <v>13</v>
      </c>
    </row>
    <row r="66" spans="2:10">
      <c r="B66">
        <v>60</v>
      </c>
      <c r="C66" t="s">
        <v>138</v>
      </c>
      <c r="D66" t="s">
        <v>39</v>
      </c>
      <c r="E66" t="s">
        <v>40</v>
      </c>
      <c r="F66" t="s">
        <v>13</v>
      </c>
      <c r="G66" t="s">
        <v>48</v>
      </c>
      <c r="J66" t="s">
        <v>13</v>
      </c>
    </row>
    <row r="67" spans="2:10">
      <c r="B67">
        <v>61</v>
      </c>
      <c r="C67" t="s">
        <v>139</v>
      </c>
      <c r="D67" t="s">
        <v>98</v>
      </c>
      <c r="E67" t="s">
        <v>70</v>
      </c>
      <c r="F67" t="s">
        <v>13</v>
      </c>
      <c r="G67" t="s">
        <v>62</v>
      </c>
      <c r="J67" t="s">
        <v>13</v>
      </c>
    </row>
    <row r="68" spans="2:10">
      <c r="B68">
        <v>62</v>
      </c>
      <c r="C68" t="s">
        <v>139</v>
      </c>
      <c r="D68" t="s">
        <v>98</v>
      </c>
      <c r="E68" t="s">
        <v>77</v>
      </c>
      <c r="F68" t="s">
        <v>13</v>
      </c>
      <c r="G68" t="s">
        <v>85</v>
      </c>
      <c r="J68" t="s">
        <v>13</v>
      </c>
    </row>
    <row r="69" spans="2:10">
      <c r="B69">
        <v>63</v>
      </c>
      <c r="C69" t="s">
        <v>140</v>
      </c>
      <c r="D69" t="s">
        <v>95</v>
      </c>
      <c r="E69" t="s">
        <v>68</v>
      </c>
      <c r="F69" t="s">
        <v>13</v>
      </c>
      <c r="G69" t="s">
        <v>83</v>
      </c>
      <c r="J69" t="s">
        <v>13</v>
      </c>
    </row>
    <row r="70" spans="2:10">
      <c r="B70">
        <v>64</v>
      </c>
      <c r="C70" t="s">
        <v>140</v>
      </c>
      <c r="D70" t="s">
        <v>95</v>
      </c>
      <c r="E70" t="s">
        <v>75</v>
      </c>
      <c r="F70" t="s">
        <v>13</v>
      </c>
      <c r="G70" t="s">
        <v>60</v>
      </c>
      <c r="J70" t="s">
        <v>13</v>
      </c>
    </row>
    <row r="71" spans="2:10">
      <c r="B71">
        <v>65</v>
      </c>
      <c r="C71" t="s">
        <v>141</v>
      </c>
      <c r="D71" t="s">
        <v>91</v>
      </c>
      <c r="E71" t="s">
        <v>76</v>
      </c>
      <c r="F71" t="s">
        <v>13</v>
      </c>
      <c r="G71" t="s">
        <v>84</v>
      </c>
      <c r="J71" t="s">
        <v>13</v>
      </c>
    </row>
    <row r="72" spans="2:10">
      <c r="B72">
        <v>66</v>
      </c>
      <c r="C72" t="s">
        <v>141</v>
      </c>
      <c r="D72" t="s">
        <v>91</v>
      </c>
      <c r="E72" t="s">
        <v>69</v>
      </c>
      <c r="F72" t="s">
        <v>13</v>
      </c>
      <c r="G72" t="s">
        <v>61</v>
      </c>
      <c r="J72" t="s">
        <v>13</v>
      </c>
    </row>
    <row r="73" spans="2:10">
      <c r="B73">
        <v>67</v>
      </c>
      <c r="C73" t="s">
        <v>142</v>
      </c>
      <c r="D73" t="s">
        <v>104</v>
      </c>
      <c r="E73" t="s">
        <v>88</v>
      </c>
      <c r="F73" t="s">
        <v>13</v>
      </c>
      <c r="G73" t="s">
        <v>65</v>
      </c>
      <c r="J73" t="s">
        <v>13</v>
      </c>
    </row>
    <row r="74" spans="2:10">
      <c r="B74">
        <v>68</v>
      </c>
      <c r="C74" t="s">
        <v>142</v>
      </c>
      <c r="D74" t="s">
        <v>104</v>
      </c>
      <c r="E74" t="s">
        <v>73</v>
      </c>
      <c r="F74" t="s">
        <v>13</v>
      </c>
      <c r="G74" t="s">
        <v>80</v>
      </c>
      <c r="J74" t="s">
        <v>13</v>
      </c>
    </row>
    <row r="75" spans="2:10">
      <c r="B75">
        <v>69</v>
      </c>
      <c r="C75" t="s">
        <v>143</v>
      </c>
      <c r="D75" t="s">
        <v>101</v>
      </c>
      <c r="E75" t="s">
        <v>78</v>
      </c>
      <c r="F75" t="s">
        <v>13</v>
      </c>
      <c r="G75" t="s">
        <v>71</v>
      </c>
      <c r="J75" t="s">
        <v>13</v>
      </c>
    </row>
    <row r="76" spans="2:10">
      <c r="B76">
        <v>70</v>
      </c>
      <c r="C76" t="s">
        <v>143</v>
      </c>
      <c r="D76" t="s">
        <v>101</v>
      </c>
      <c r="E76" t="s">
        <v>86</v>
      </c>
      <c r="F76" t="s">
        <v>13</v>
      </c>
      <c r="G76" t="s">
        <v>63</v>
      </c>
      <c r="J76" t="s">
        <v>13</v>
      </c>
    </row>
    <row r="77" spans="2:10">
      <c r="B77">
        <v>71</v>
      </c>
      <c r="C77" t="s">
        <v>144</v>
      </c>
      <c r="D77" t="s">
        <v>107</v>
      </c>
      <c r="E77" t="s">
        <v>72</v>
      </c>
      <c r="F77" t="s">
        <v>13</v>
      </c>
      <c r="G77" t="s">
        <v>64</v>
      </c>
      <c r="J77" t="s">
        <v>13</v>
      </c>
    </row>
    <row r="78" spans="2:10">
      <c r="B78">
        <v>72</v>
      </c>
      <c r="C78" t="s">
        <v>144</v>
      </c>
      <c r="D78" t="s">
        <v>107</v>
      </c>
      <c r="E78" t="s">
        <v>87</v>
      </c>
      <c r="F78" t="s">
        <v>13</v>
      </c>
      <c r="G78" t="s">
        <v>79</v>
      </c>
      <c r="J78" t="s">
        <v>13</v>
      </c>
    </row>
    <row r="79" spans="2:10">
      <c r="D79" t="s">
        <v>145</v>
      </c>
      <c r="F79" t="s">
        <v>13</v>
      </c>
    </row>
    <row r="80" spans="2:10">
      <c r="D80" t="s">
        <v>146</v>
      </c>
      <c r="F80" t="s">
        <v>13</v>
      </c>
    </row>
    <row r="82" spans="12:12">
      <c r="L82" t="s">
        <v>147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U82"/>
  <sheetViews>
    <sheetView workbookViewId="0"/>
  </sheetViews>
  <sheetFormatPr defaultRowHeight="15"/>
  <sheetData>
    <row r="2" spans="2:21">
      <c r="G2" t="s">
        <v>0</v>
      </c>
    </row>
    <row r="4" spans="2:21">
      <c r="B4" t="s">
        <v>2</v>
      </c>
    </row>
    <row r="6" spans="2:21">
      <c r="C6" t="s">
        <v>3</v>
      </c>
      <c r="D6" t="s">
        <v>4</v>
      </c>
      <c r="F6" t="s">
        <v>5</v>
      </c>
      <c r="J6" t="s">
        <v>6</v>
      </c>
      <c r="L6" t="s">
        <v>7</v>
      </c>
      <c r="M6" t="s">
        <v>8</v>
      </c>
      <c r="O6" t="s">
        <v>9</v>
      </c>
    </row>
    <row r="7" spans="2:21">
      <c r="B7">
        <v>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J7" t="s">
        <v>13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 t="s">
        <v>21</v>
      </c>
    </row>
    <row r="8" spans="2:21">
      <c r="B8">
        <v>2</v>
      </c>
      <c r="C8" t="s">
        <v>22</v>
      </c>
      <c r="D8" t="s">
        <v>11</v>
      </c>
      <c r="E8" t="s">
        <v>23</v>
      </c>
      <c r="F8" t="s">
        <v>13</v>
      </c>
      <c r="G8" t="s">
        <v>24</v>
      </c>
      <c r="J8" t="s">
        <v>13</v>
      </c>
      <c r="O8">
        <v>1</v>
      </c>
    </row>
    <row r="9" spans="2:21">
      <c r="B9">
        <v>3</v>
      </c>
      <c r="C9" t="s">
        <v>30</v>
      </c>
      <c r="D9" t="s">
        <v>31</v>
      </c>
      <c r="E9" t="s">
        <v>32</v>
      </c>
      <c r="F9" t="s">
        <v>13</v>
      </c>
      <c r="G9" t="s">
        <v>33</v>
      </c>
      <c r="J9" t="s">
        <v>13</v>
      </c>
      <c r="O9">
        <v>2</v>
      </c>
    </row>
    <row r="10" spans="2:21">
      <c r="B10">
        <v>4</v>
      </c>
      <c r="C10" t="s">
        <v>38</v>
      </c>
      <c r="D10" t="s">
        <v>39</v>
      </c>
      <c r="E10" t="s">
        <v>35</v>
      </c>
      <c r="F10" t="s">
        <v>13</v>
      </c>
      <c r="G10" t="s">
        <v>40</v>
      </c>
      <c r="J10" t="s">
        <v>13</v>
      </c>
      <c r="O10">
        <v>3</v>
      </c>
    </row>
    <row r="11" spans="2:21">
      <c r="B11">
        <v>5</v>
      </c>
      <c r="C11" t="s">
        <v>44</v>
      </c>
      <c r="D11" t="s">
        <v>45</v>
      </c>
      <c r="E11" t="s">
        <v>46</v>
      </c>
      <c r="F11" t="s">
        <v>13</v>
      </c>
      <c r="G11" t="s">
        <v>34</v>
      </c>
      <c r="J11" t="s">
        <v>13</v>
      </c>
      <c r="O11">
        <v>4</v>
      </c>
    </row>
    <row r="12" spans="2:21">
      <c r="B12">
        <v>6</v>
      </c>
      <c r="C12" t="s">
        <v>51</v>
      </c>
      <c r="D12" t="s">
        <v>39</v>
      </c>
      <c r="E12" t="s">
        <v>48</v>
      </c>
      <c r="F12" t="s">
        <v>13</v>
      </c>
      <c r="G12" t="s">
        <v>27</v>
      </c>
      <c r="J12" t="s">
        <v>13</v>
      </c>
    </row>
    <row r="13" spans="2:21">
      <c r="B13">
        <v>7</v>
      </c>
      <c r="C13" t="s">
        <v>52</v>
      </c>
      <c r="D13" t="s">
        <v>45</v>
      </c>
      <c r="E13" t="s">
        <v>26</v>
      </c>
      <c r="F13" t="s">
        <v>13</v>
      </c>
      <c r="G13" t="s">
        <v>41</v>
      </c>
      <c r="J13" t="s">
        <v>13</v>
      </c>
      <c r="O13" t="s">
        <v>15</v>
      </c>
      <c r="P13" t="s">
        <v>53</v>
      </c>
      <c r="Q13" t="s">
        <v>54</v>
      </c>
      <c r="R13" t="s">
        <v>55</v>
      </c>
      <c r="S13" t="s">
        <v>56</v>
      </c>
      <c r="T13" t="s">
        <v>57</v>
      </c>
      <c r="U13" t="s">
        <v>58</v>
      </c>
    </row>
    <row r="14" spans="2:21">
      <c r="B14">
        <v>8</v>
      </c>
      <c r="C14" t="s">
        <v>59</v>
      </c>
      <c r="D14" t="s">
        <v>31</v>
      </c>
      <c r="E14" t="s">
        <v>47</v>
      </c>
      <c r="F14" t="s">
        <v>13</v>
      </c>
      <c r="G14" t="s">
        <v>25</v>
      </c>
      <c r="J14" t="s">
        <v>13</v>
      </c>
      <c r="O14">
        <v>1</v>
      </c>
    </row>
    <row r="15" spans="2:21">
      <c r="B15">
        <v>9</v>
      </c>
      <c r="C15" t="s">
        <v>66</v>
      </c>
      <c r="D15" t="s">
        <v>67</v>
      </c>
      <c r="E15" t="s">
        <v>42</v>
      </c>
      <c r="F15" t="s">
        <v>13</v>
      </c>
      <c r="G15" t="s">
        <v>36</v>
      </c>
      <c r="J15" t="s">
        <v>13</v>
      </c>
      <c r="O15">
        <v>2</v>
      </c>
    </row>
    <row r="16" spans="2:21">
      <c r="B16">
        <v>10</v>
      </c>
      <c r="C16" t="s">
        <v>74</v>
      </c>
      <c r="D16" t="s">
        <v>67</v>
      </c>
      <c r="E16" t="s">
        <v>28</v>
      </c>
      <c r="F16" t="s">
        <v>13</v>
      </c>
      <c r="G16" t="s">
        <v>49</v>
      </c>
      <c r="J16" t="s">
        <v>13</v>
      </c>
      <c r="O16">
        <v>3</v>
      </c>
    </row>
    <row r="17" spans="2:21">
      <c r="B17">
        <v>11</v>
      </c>
      <c r="C17" t="s">
        <v>81</v>
      </c>
      <c r="D17" t="s">
        <v>82</v>
      </c>
      <c r="E17" t="s">
        <v>29</v>
      </c>
      <c r="F17" t="s">
        <v>13</v>
      </c>
      <c r="G17" t="s">
        <v>43</v>
      </c>
      <c r="J17" t="s">
        <v>13</v>
      </c>
      <c r="O17">
        <v>4</v>
      </c>
    </row>
    <row r="18" spans="2:21">
      <c r="B18">
        <v>12</v>
      </c>
      <c r="C18" t="s">
        <v>89</v>
      </c>
      <c r="D18" t="s">
        <v>82</v>
      </c>
      <c r="E18" t="s">
        <v>37</v>
      </c>
      <c r="F18" t="s">
        <v>13</v>
      </c>
      <c r="G18" t="s">
        <v>50</v>
      </c>
      <c r="J18" t="s">
        <v>13</v>
      </c>
    </row>
    <row r="19" spans="2:21">
      <c r="B19">
        <v>13</v>
      </c>
      <c r="C19" t="s">
        <v>90</v>
      </c>
      <c r="D19" t="s">
        <v>91</v>
      </c>
      <c r="E19" t="s">
        <v>84</v>
      </c>
      <c r="F19" t="s">
        <v>13</v>
      </c>
      <c r="G19" t="s">
        <v>69</v>
      </c>
      <c r="J19" t="s">
        <v>13</v>
      </c>
    </row>
    <row r="20" spans="2:21">
      <c r="B20">
        <v>14</v>
      </c>
      <c r="C20" t="s">
        <v>92</v>
      </c>
      <c r="D20" t="s">
        <v>91</v>
      </c>
      <c r="E20" t="s">
        <v>61</v>
      </c>
      <c r="F20" t="s">
        <v>13</v>
      </c>
      <c r="G20" t="s">
        <v>76</v>
      </c>
      <c r="J20" t="s">
        <v>13</v>
      </c>
      <c r="O20" t="s">
        <v>93</v>
      </c>
    </row>
    <row r="21" spans="2:21">
      <c r="B21">
        <v>15</v>
      </c>
      <c r="C21" t="s">
        <v>94</v>
      </c>
      <c r="D21" t="s">
        <v>95</v>
      </c>
      <c r="E21" t="s">
        <v>83</v>
      </c>
      <c r="F21" t="s">
        <v>13</v>
      </c>
      <c r="G21" t="s">
        <v>75</v>
      </c>
      <c r="J21" t="s">
        <v>13</v>
      </c>
      <c r="P21" t="s">
        <v>16</v>
      </c>
      <c r="Q21" t="s">
        <v>17</v>
      </c>
      <c r="R21" t="s">
        <v>18</v>
      </c>
      <c r="S21" t="s">
        <v>19</v>
      </c>
      <c r="T21" t="s">
        <v>20</v>
      </c>
      <c r="U21" t="s">
        <v>21</v>
      </c>
    </row>
    <row r="22" spans="2:21">
      <c r="B22">
        <v>16</v>
      </c>
      <c r="C22" t="s">
        <v>96</v>
      </c>
      <c r="D22" t="s">
        <v>95</v>
      </c>
      <c r="E22" t="s">
        <v>60</v>
      </c>
      <c r="F22" t="s">
        <v>13</v>
      </c>
      <c r="G22" t="s">
        <v>68</v>
      </c>
      <c r="J22" t="s">
        <v>13</v>
      </c>
      <c r="P22" t="s">
        <v>12</v>
      </c>
      <c r="Q22" t="s">
        <v>32</v>
      </c>
      <c r="R22" t="s">
        <v>46</v>
      </c>
      <c r="S22" t="s">
        <v>35</v>
      </c>
      <c r="T22" t="s">
        <v>42</v>
      </c>
      <c r="U22" t="s">
        <v>29</v>
      </c>
    </row>
    <row r="23" spans="2:21">
      <c r="B23">
        <v>17</v>
      </c>
      <c r="C23" t="s">
        <v>97</v>
      </c>
      <c r="D23" t="s">
        <v>98</v>
      </c>
      <c r="E23" t="s">
        <v>62</v>
      </c>
      <c r="F23" t="s">
        <v>13</v>
      </c>
      <c r="G23" t="s">
        <v>77</v>
      </c>
      <c r="J23" t="s">
        <v>13</v>
      </c>
      <c r="P23" t="s">
        <v>14</v>
      </c>
      <c r="Q23" t="s">
        <v>33</v>
      </c>
      <c r="R23" t="s">
        <v>34</v>
      </c>
      <c r="S23" t="s">
        <v>40</v>
      </c>
      <c r="T23" t="s">
        <v>36</v>
      </c>
      <c r="U23" t="s">
        <v>43</v>
      </c>
    </row>
    <row r="24" spans="2:21">
      <c r="B24">
        <v>18</v>
      </c>
      <c r="C24" t="s">
        <v>99</v>
      </c>
      <c r="D24" t="s">
        <v>98</v>
      </c>
      <c r="E24" t="s">
        <v>85</v>
      </c>
      <c r="F24" t="s">
        <v>13</v>
      </c>
      <c r="G24" t="s">
        <v>70</v>
      </c>
      <c r="J24" t="s">
        <v>13</v>
      </c>
      <c r="P24" t="s">
        <v>23</v>
      </c>
      <c r="Q24" t="s">
        <v>47</v>
      </c>
      <c r="R24" t="s">
        <v>26</v>
      </c>
      <c r="S24" t="s">
        <v>48</v>
      </c>
      <c r="T24" t="s">
        <v>28</v>
      </c>
      <c r="U24" t="s">
        <v>37</v>
      </c>
    </row>
    <row r="25" spans="2:21">
      <c r="B25">
        <v>19</v>
      </c>
      <c r="C25" t="s">
        <v>100</v>
      </c>
      <c r="D25" t="s">
        <v>101</v>
      </c>
      <c r="E25" t="s">
        <v>63</v>
      </c>
      <c r="F25" t="s">
        <v>13</v>
      </c>
      <c r="G25" t="s">
        <v>78</v>
      </c>
      <c r="J25" t="s">
        <v>13</v>
      </c>
      <c r="P25" t="s">
        <v>24</v>
      </c>
      <c r="Q25" t="s">
        <v>25</v>
      </c>
      <c r="R25" t="s">
        <v>41</v>
      </c>
      <c r="S25" t="s">
        <v>27</v>
      </c>
      <c r="T25" t="s">
        <v>49</v>
      </c>
      <c r="U25" t="s">
        <v>50</v>
      </c>
    </row>
    <row r="26" spans="2:21">
      <c r="B26">
        <v>20</v>
      </c>
      <c r="C26" t="s">
        <v>102</v>
      </c>
      <c r="D26" t="s">
        <v>101</v>
      </c>
      <c r="E26" t="s">
        <v>71</v>
      </c>
      <c r="F26" t="s">
        <v>13</v>
      </c>
      <c r="G26" t="s">
        <v>86</v>
      </c>
      <c r="J26" t="s">
        <v>13</v>
      </c>
    </row>
    <row r="27" spans="2:21">
      <c r="B27">
        <v>21</v>
      </c>
      <c r="C27" t="s">
        <v>103</v>
      </c>
      <c r="D27" t="s">
        <v>104</v>
      </c>
      <c r="E27" t="s">
        <v>80</v>
      </c>
      <c r="F27" t="s">
        <v>13</v>
      </c>
      <c r="G27" t="s">
        <v>88</v>
      </c>
      <c r="J27" t="s">
        <v>13</v>
      </c>
      <c r="P27" t="s">
        <v>53</v>
      </c>
      <c r="Q27" t="s">
        <v>54</v>
      </c>
      <c r="R27" t="s">
        <v>55</v>
      </c>
      <c r="S27" t="s">
        <v>56</v>
      </c>
      <c r="T27" t="s">
        <v>57</v>
      </c>
      <c r="U27" t="s">
        <v>58</v>
      </c>
    </row>
    <row r="28" spans="2:21">
      <c r="B28">
        <v>22</v>
      </c>
      <c r="C28" t="s">
        <v>105</v>
      </c>
      <c r="D28" t="s">
        <v>104</v>
      </c>
      <c r="E28" t="s">
        <v>65</v>
      </c>
      <c r="F28" t="s">
        <v>13</v>
      </c>
      <c r="G28" t="s">
        <v>73</v>
      </c>
      <c r="J28" t="s">
        <v>13</v>
      </c>
      <c r="P28" t="s">
        <v>83</v>
      </c>
      <c r="Q28" t="s">
        <v>84</v>
      </c>
      <c r="R28" t="s">
        <v>62</v>
      </c>
      <c r="S28" t="s">
        <v>63</v>
      </c>
      <c r="T28" t="s">
        <v>64</v>
      </c>
      <c r="U28" t="s">
        <v>80</v>
      </c>
    </row>
    <row r="29" spans="2:21">
      <c r="B29">
        <v>23</v>
      </c>
      <c r="C29" t="s">
        <v>106</v>
      </c>
      <c r="D29" t="s">
        <v>107</v>
      </c>
      <c r="E29" t="s">
        <v>64</v>
      </c>
      <c r="F29" t="s">
        <v>13</v>
      </c>
      <c r="G29" t="s">
        <v>87</v>
      </c>
      <c r="J29" t="s">
        <v>13</v>
      </c>
      <c r="P29" t="s">
        <v>75</v>
      </c>
      <c r="Q29" t="s">
        <v>69</v>
      </c>
      <c r="R29" t="s">
        <v>77</v>
      </c>
      <c r="S29" t="s">
        <v>78</v>
      </c>
      <c r="T29" t="s">
        <v>87</v>
      </c>
      <c r="U29" t="s">
        <v>88</v>
      </c>
    </row>
    <row r="30" spans="2:21">
      <c r="B30">
        <v>24</v>
      </c>
      <c r="C30" t="s">
        <v>108</v>
      </c>
      <c r="D30" t="s">
        <v>107</v>
      </c>
      <c r="E30" t="s">
        <v>79</v>
      </c>
      <c r="F30" t="s">
        <v>13</v>
      </c>
      <c r="G30" t="s">
        <v>72</v>
      </c>
      <c r="J30" t="s">
        <v>13</v>
      </c>
      <c r="P30" t="s">
        <v>60</v>
      </c>
      <c r="Q30" t="s">
        <v>61</v>
      </c>
      <c r="R30" t="s">
        <v>85</v>
      </c>
      <c r="S30" t="s">
        <v>71</v>
      </c>
      <c r="T30" t="s">
        <v>79</v>
      </c>
      <c r="U30" t="s">
        <v>65</v>
      </c>
    </row>
    <row r="31" spans="2:21">
      <c r="B31">
        <v>25</v>
      </c>
      <c r="C31" t="s">
        <v>109</v>
      </c>
      <c r="D31" t="s">
        <v>11</v>
      </c>
      <c r="E31" t="s">
        <v>24</v>
      </c>
      <c r="F31" t="s">
        <v>13</v>
      </c>
      <c r="G31" t="s">
        <v>14</v>
      </c>
      <c r="J31" t="s">
        <v>13</v>
      </c>
      <c r="P31" t="s">
        <v>68</v>
      </c>
      <c r="Q31" t="s">
        <v>76</v>
      </c>
      <c r="R31" t="s">
        <v>70</v>
      </c>
      <c r="S31" t="s">
        <v>86</v>
      </c>
      <c r="T31" t="s">
        <v>72</v>
      </c>
      <c r="U31" t="s">
        <v>73</v>
      </c>
    </row>
    <row r="32" spans="2:21">
      <c r="B32">
        <v>26</v>
      </c>
      <c r="C32" t="s">
        <v>110</v>
      </c>
      <c r="D32" t="s">
        <v>31</v>
      </c>
      <c r="E32" t="s">
        <v>25</v>
      </c>
      <c r="F32" t="s">
        <v>13</v>
      </c>
      <c r="G32" t="s">
        <v>33</v>
      </c>
      <c r="J32" t="s">
        <v>13</v>
      </c>
    </row>
    <row r="33" spans="2:10">
      <c r="B33">
        <v>27</v>
      </c>
      <c r="C33" t="s">
        <v>111</v>
      </c>
      <c r="D33" t="s">
        <v>31</v>
      </c>
      <c r="E33" t="s">
        <v>32</v>
      </c>
      <c r="F33" t="s">
        <v>13</v>
      </c>
      <c r="G33" t="s">
        <v>47</v>
      </c>
      <c r="J33" t="s">
        <v>13</v>
      </c>
    </row>
    <row r="34" spans="2:10">
      <c r="B34">
        <v>28</v>
      </c>
      <c r="C34" t="s">
        <v>112</v>
      </c>
      <c r="D34" t="s">
        <v>11</v>
      </c>
      <c r="E34" t="s">
        <v>12</v>
      </c>
      <c r="F34" t="s">
        <v>13</v>
      </c>
      <c r="G34" t="s">
        <v>23</v>
      </c>
      <c r="J34" t="s">
        <v>13</v>
      </c>
    </row>
    <row r="35" spans="2:10">
      <c r="B35">
        <v>29</v>
      </c>
      <c r="C35" t="s">
        <v>113</v>
      </c>
      <c r="D35" t="s">
        <v>45</v>
      </c>
      <c r="E35" t="s">
        <v>26</v>
      </c>
      <c r="F35" t="s">
        <v>13</v>
      </c>
      <c r="G35" t="s">
        <v>46</v>
      </c>
      <c r="J35" t="s">
        <v>13</v>
      </c>
    </row>
    <row r="36" spans="2:10">
      <c r="B36">
        <v>30</v>
      </c>
      <c r="C36" t="s">
        <v>114</v>
      </c>
      <c r="D36" t="s">
        <v>45</v>
      </c>
      <c r="E36" t="s">
        <v>34</v>
      </c>
      <c r="F36" t="s">
        <v>13</v>
      </c>
      <c r="G36" t="s">
        <v>41</v>
      </c>
      <c r="J36" t="s">
        <v>13</v>
      </c>
    </row>
    <row r="37" spans="2:10">
      <c r="B37">
        <v>31</v>
      </c>
      <c r="C37" t="s">
        <v>115</v>
      </c>
      <c r="D37" t="s">
        <v>39</v>
      </c>
      <c r="E37" t="s">
        <v>27</v>
      </c>
      <c r="F37" t="s">
        <v>13</v>
      </c>
      <c r="G37" t="s">
        <v>40</v>
      </c>
      <c r="J37" t="s">
        <v>13</v>
      </c>
    </row>
    <row r="38" spans="2:10">
      <c r="B38">
        <v>32</v>
      </c>
      <c r="C38" t="s">
        <v>116</v>
      </c>
      <c r="D38" t="s">
        <v>39</v>
      </c>
      <c r="E38" t="s">
        <v>35</v>
      </c>
      <c r="F38" t="s">
        <v>13</v>
      </c>
      <c r="G38" t="s">
        <v>48</v>
      </c>
      <c r="J38" t="s">
        <v>13</v>
      </c>
    </row>
    <row r="39" spans="2:10">
      <c r="B39">
        <v>33</v>
      </c>
      <c r="C39" t="s">
        <v>117</v>
      </c>
      <c r="D39" t="s">
        <v>67</v>
      </c>
      <c r="E39" t="s">
        <v>28</v>
      </c>
      <c r="F39" t="s">
        <v>13</v>
      </c>
      <c r="G39" t="s">
        <v>42</v>
      </c>
      <c r="J39" t="s">
        <v>13</v>
      </c>
    </row>
    <row r="40" spans="2:10">
      <c r="B40">
        <v>34</v>
      </c>
      <c r="C40" t="s">
        <v>118</v>
      </c>
      <c r="D40" t="s">
        <v>67</v>
      </c>
      <c r="E40" t="s">
        <v>36</v>
      </c>
      <c r="F40" t="s">
        <v>13</v>
      </c>
      <c r="G40" t="s">
        <v>49</v>
      </c>
      <c r="J40" t="s">
        <v>13</v>
      </c>
    </row>
    <row r="41" spans="2:10">
      <c r="B41">
        <v>35</v>
      </c>
      <c r="C41" t="s">
        <v>119</v>
      </c>
      <c r="D41" t="s">
        <v>82</v>
      </c>
      <c r="E41" t="s">
        <v>29</v>
      </c>
      <c r="F41" t="s">
        <v>13</v>
      </c>
      <c r="G41" t="s">
        <v>37</v>
      </c>
      <c r="J41" t="s">
        <v>13</v>
      </c>
    </row>
    <row r="42" spans="2:10">
      <c r="B42">
        <v>36</v>
      </c>
      <c r="C42" t="s">
        <v>120</v>
      </c>
      <c r="D42" t="s">
        <v>82</v>
      </c>
      <c r="E42" t="s">
        <v>50</v>
      </c>
      <c r="F42" t="s">
        <v>13</v>
      </c>
      <c r="G42" t="s">
        <v>43</v>
      </c>
      <c r="J42" t="s">
        <v>13</v>
      </c>
    </row>
    <row r="43" spans="2:10">
      <c r="B43">
        <v>37</v>
      </c>
      <c r="C43" t="s">
        <v>121</v>
      </c>
      <c r="D43" t="s">
        <v>91</v>
      </c>
      <c r="E43" t="s">
        <v>69</v>
      </c>
      <c r="F43" t="s">
        <v>13</v>
      </c>
      <c r="G43" t="s">
        <v>76</v>
      </c>
      <c r="J43" t="s">
        <v>13</v>
      </c>
    </row>
    <row r="44" spans="2:10">
      <c r="B44">
        <v>38</v>
      </c>
      <c r="C44" t="s">
        <v>122</v>
      </c>
      <c r="D44" t="s">
        <v>91</v>
      </c>
      <c r="E44" t="s">
        <v>61</v>
      </c>
      <c r="F44" t="s">
        <v>13</v>
      </c>
      <c r="G44" t="s">
        <v>84</v>
      </c>
      <c r="J44" t="s">
        <v>13</v>
      </c>
    </row>
    <row r="45" spans="2:10">
      <c r="B45">
        <v>39</v>
      </c>
      <c r="C45" t="s">
        <v>123</v>
      </c>
      <c r="D45" t="s">
        <v>95</v>
      </c>
      <c r="E45" t="s">
        <v>60</v>
      </c>
      <c r="F45" t="s">
        <v>13</v>
      </c>
      <c r="G45" t="s">
        <v>83</v>
      </c>
      <c r="J45" t="s">
        <v>13</v>
      </c>
    </row>
    <row r="46" spans="2:10">
      <c r="B46">
        <v>40</v>
      </c>
      <c r="C46" t="s">
        <v>124</v>
      </c>
      <c r="D46" t="s">
        <v>95</v>
      </c>
      <c r="E46" t="s">
        <v>75</v>
      </c>
      <c r="F46" t="s">
        <v>13</v>
      </c>
      <c r="G46" t="s">
        <v>68</v>
      </c>
      <c r="J46" t="s">
        <v>13</v>
      </c>
    </row>
    <row r="47" spans="2:10">
      <c r="B47">
        <v>41</v>
      </c>
      <c r="C47" t="s">
        <v>125</v>
      </c>
      <c r="D47" t="s">
        <v>98</v>
      </c>
      <c r="E47" t="s">
        <v>70</v>
      </c>
      <c r="F47" t="s">
        <v>13</v>
      </c>
      <c r="G47" t="s">
        <v>77</v>
      </c>
      <c r="J47" t="s">
        <v>13</v>
      </c>
    </row>
    <row r="48" spans="2:10">
      <c r="B48">
        <v>42</v>
      </c>
      <c r="C48" t="s">
        <v>126</v>
      </c>
      <c r="D48" t="s">
        <v>98</v>
      </c>
      <c r="E48" t="s">
        <v>62</v>
      </c>
      <c r="F48" t="s">
        <v>13</v>
      </c>
      <c r="G48" t="s">
        <v>85</v>
      </c>
      <c r="J48" t="s">
        <v>13</v>
      </c>
    </row>
    <row r="49" spans="2:10">
      <c r="B49">
        <v>43</v>
      </c>
      <c r="C49" t="s">
        <v>127</v>
      </c>
      <c r="D49" t="s">
        <v>101</v>
      </c>
      <c r="E49" t="s">
        <v>63</v>
      </c>
      <c r="F49" t="s">
        <v>13</v>
      </c>
      <c r="G49" t="s">
        <v>71</v>
      </c>
      <c r="J49" t="s">
        <v>13</v>
      </c>
    </row>
    <row r="50" spans="2:10">
      <c r="B50">
        <v>44</v>
      </c>
      <c r="C50" t="s">
        <v>128</v>
      </c>
      <c r="D50" t="s">
        <v>101</v>
      </c>
      <c r="E50" t="s">
        <v>86</v>
      </c>
      <c r="F50" t="s">
        <v>13</v>
      </c>
      <c r="G50" t="s">
        <v>78</v>
      </c>
      <c r="J50" t="s">
        <v>13</v>
      </c>
    </row>
    <row r="51" spans="2:10">
      <c r="B51">
        <v>45</v>
      </c>
      <c r="C51" t="s">
        <v>129</v>
      </c>
      <c r="D51" t="s">
        <v>104</v>
      </c>
      <c r="E51" t="s">
        <v>65</v>
      </c>
      <c r="F51" t="s">
        <v>13</v>
      </c>
      <c r="G51" t="s">
        <v>80</v>
      </c>
      <c r="J51" t="s">
        <v>13</v>
      </c>
    </row>
    <row r="52" spans="2:10">
      <c r="B52">
        <v>46</v>
      </c>
      <c r="C52" t="s">
        <v>130</v>
      </c>
      <c r="D52" t="s">
        <v>104</v>
      </c>
      <c r="E52" t="s">
        <v>88</v>
      </c>
      <c r="F52" t="s">
        <v>13</v>
      </c>
      <c r="G52" t="s">
        <v>73</v>
      </c>
      <c r="J52" t="s">
        <v>13</v>
      </c>
    </row>
    <row r="53" spans="2:10">
      <c r="B53">
        <v>47</v>
      </c>
      <c r="C53" t="s">
        <v>131</v>
      </c>
      <c r="D53" t="s">
        <v>107</v>
      </c>
      <c r="E53" t="s">
        <v>64</v>
      </c>
      <c r="F53" t="s">
        <v>13</v>
      </c>
      <c r="G53" t="s">
        <v>79</v>
      </c>
      <c r="J53" t="s">
        <v>13</v>
      </c>
    </row>
    <row r="54" spans="2:10">
      <c r="B54">
        <v>48</v>
      </c>
      <c r="C54" t="s">
        <v>132</v>
      </c>
      <c r="D54" t="s">
        <v>107</v>
      </c>
      <c r="E54" t="s">
        <v>72</v>
      </c>
      <c r="F54" t="s">
        <v>13</v>
      </c>
      <c r="G54" t="s">
        <v>87</v>
      </c>
      <c r="J54" t="s">
        <v>13</v>
      </c>
    </row>
    <row r="55" spans="2:10">
      <c r="B55">
        <v>49</v>
      </c>
      <c r="C55" t="s">
        <v>133</v>
      </c>
      <c r="D55" t="s">
        <v>45</v>
      </c>
      <c r="E55" t="s">
        <v>34</v>
      </c>
      <c r="F55" t="s">
        <v>13</v>
      </c>
      <c r="G55" t="s">
        <v>26</v>
      </c>
      <c r="J55" t="s">
        <v>13</v>
      </c>
    </row>
    <row r="56" spans="2:10">
      <c r="B56">
        <v>50</v>
      </c>
      <c r="C56" t="s">
        <v>133</v>
      </c>
      <c r="D56" t="s">
        <v>45</v>
      </c>
      <c r="E56" t="s">
        <v>41</v>
      </c>
      <c r="F56" t="s">
        <v>13</v>
      </c>
      <c r="G56" t="s">
        <v>46</v>
      </c>
      <c r="J56" t="s">
        <v>13</v>
      </c>
    </row>
    <row r="57" spans="2:10">
      <c r="B57">
        <v>51</v>
      </c>
      <c r="C57" t="s">
        <v>134</v>
      </c>
      <c r="D57" t="s">
        <v>31</v>
      </c>
      <c r="E57" t="s">
        <v>25</v>
      </c>
      <c r="F57" t="s">
        <v>13</v>
      </c>
      <c r="G57" t="s">
        <v>32</v>
      </c>
      <c r="J57" t="s">
        <v>13</v>
      </c>
    </row>
    <row r="58" spans="2:10">
      <c r="B58">
        <v>52</v>
      </c>
      <c r="C58" t="s">
        <v>134</v>
      </c>
      <c r="D58" t="s">
        <v>31</v>
      </c>
      <c r="E58" t="s">
        <v>33</v>
      </c>
      <c r="F58" t="s">
        <v>13</v>
      </c>
      <c r="G58" t="s">
        <v>47</v>
      </c>
      <c r="J58" t="s">
        <v>13</v>
      </c>
    </row>
    <row r="59" spans="2:10">
      <c r="B59">
        <v>53</v>
      </c>
      <c r="C59" t="s">
        <v>135</v>
      </c>
      <c r="D59" t="s">
        <v>11</v>
      </c>
      <c r="E59" t="s">
        <v>24</v>
      </c>
      <c r="F59" t="s">
        <v>13</v>
      </c>
      <c r="G59" t="s">
        <v>12</v>
      </c>
      <c r="J59" t="s">
        <v>13</v>
      </c>
    </row>
    <row r="60" spans="2:10">
      <c r="B60">
        <v>54</v>
      </c>
      <c r="C60" t="s">
        <v>135</v>
      </c>
      <c r="D60" t="s">
        <v>11</v>
      </c>
      <c r="E60" t="s">
        <v>14</v>
      </c>
      <c r="F60" t="s">
        <v>13</v>
      </c>
      <c r="G60" t="s">
        <v>23</v>
      </c>
      <c r="J60" t="s">
        <v>13</v>
      </c>
    </row>
    <row r="61" spans="2:10">
      <c r="B61">
        <v>55</v>
      </c>
      <c r="C61" t="s">
        <v>136</v>
      </c>
      <c r="D61" t="s">
        <v>67</v>
      </c>
      <c r="E61" t="s">
        <v>49</v>
      </c>
      <c r="F61" t="s">
        <v>13</v>
      </c>
      <c r="G61" t="s">
        <v>42</v>
      </c>
      <c r="J61" t="s">
        <v>13</v>
      </c>
    </row>
    <row r="62" spans="2:10">
      <c r="B62">
        <v>56</v>
      </c>
      <c r="C62" t="s">
        <v>136</v>
      </c>
      <c r="D62" t="s">
        <v>67</v>
      </c>
      <c r="E62" t="s">
        <v>36</v>
      </c>
      <c r="F62" t="s">
        <v>13</v>
      </c>
      <c r="G62" t="s">
        <v>28</v>
      </c>
      <c r="J62" t="s">
        <v>13</v>
      </c>
    </row>
    <row r="63" spans="2:10">
      <c r="B63">
        <v>57</v>
      </c>
      <c r="C63" t="s">
        <v>137</v>
      </c>
      <c r="D63" t="s">
        <v>82</v>
      </c>
      <c r="E63" t="s">
        <v>43</v>
      </c>
      <c r="F63" t="s">
        <v>13</v>
      </c>
      <c r="G63" t="s">
        <v>37</v>
      </c>
      <c r="J63" t="s">
        <v>13</v>
      </c>
    </row>
    <row r="64" spans="2:10">
      <c r="B64">
        <v>58</v>
      </c>
      <c r="C64" t="s">
        <v>137</v>
      </c>
      <c r="D64" t="s">
        <v>82</v>
      </c>
      <c r="E64" t="s">
        <v>50</v>
      </c>
      <c r="F64" t="s">
        <v>13</v>
      </c>
      <c r="G64" t="s">
        <v>29</v>
      </c>
      <c r="J64" t="s">
        <v>13</v>
      </c>
    </row>
    <row r="65" spans="2:10">
      <c r="B65">
        <v>59</v>
      </c>
      <c r="C65" t="s">
        <v>138</v>
      </c>
      <c r="D65" t="s">
        <v>39</v>
      </c>
      <c r="E65" t="s">
        <v>27</v>
      </c>
      <c r="F65" t="s">
        <v>13</v>
      </c>
      <c r="G65" t="s">
        <v>35</v>
      </c>
      <c r="J65" t="s">
        <v>13</v>
      </c>
    </row>
    <row r="66" spans="2:10">
      <c r="B66">
        <v>60</v>
      </c>
      <c r="C66" t="s">
        <v>138</v>
      </c>
      <c r="D66" t="s">
        <v>39</v>
      </c>
      <c r="E66" t="s">
        <v>40</v>
      </c>
      <c r="F66" t="s">
        <v>13</v>
      </c>
      <c r="G66" t="s">
        <v>48</v>
      </c>
      <c r="J66" t="s">
        <v>13</v>
      </c>
    </row>
    <row r="67" spans="2:10">
      <c r="B67">
        <v>61</v>
      </c>
      <c r="C67" t="s">
        <v>139</v>
      </c>
      <c r="D67" t="s">
        <v>98</v>
      </c>
      <c r="E67" t="s">
        <v>70</v>
      </c>
      <c r="F67" t="s">
        <v>13</v>
      </c>
      <c r="G67" t="s">
        <v>62</v>
      </c>
      <c r="J67" t="s">
        <v>13</v>
      </c>
    </row>
    <row r="68" spans="2:10">
      <c r="B68">
        <v>62</v>
      </c>
      <c r="C68" t="s">
        <v>139</v>
      </c>
      <c r="D68" t="s">
        <v>98</v>
      </c>
      <c r="E68" t="s">
        <v>77</v>
      </c>
      <c r="F68" t="s">
        <v>13</v>
      </c>
      <c r="G68" t="s">
        <v>85</v>
      </c>
      <c r="J68" t="s">
        <v>13</v>
      </c>
    </row>
    <row r="69" spans="2:10">
      <c r="B69">
        <v>63</v>
      </c>
      <c r="C69" t="s">
        <v>140</v>
      </c>
      <c r="D69" t="s">
        <v>95</v>
      </c>
      <c r="E69" t="s">
        <v>68</v>
      </c>
      <c r="F69" t="s">
        <v>13</v>
      </c>
      <c r="G69" t="s">
        <v>83</v>
      </c>
      <c r="J69" t="s">
        <v>13</v>
      </c>
    </row>
    <row r="70" spans="2:10">
      <c r="B70">
        <v>64</v>
      </c>
      <c r="C70" t="s">
        <v>140</v>
      </c>
      <c r="D70" t="s">
        <v>95</v>
      </c>
      <c r="E70" t="s">
        <v>75</v>
      </c>
      <c r="F70" t="s">
        <v>13</v>
      </c>
      <c r="G70" t="s">
        <v>60</v>
      </c>
      <c r="J70" t="s">
        <v>13</v>
      </c>
    </row>
    <row r="71" spans="2:10">
      <c r="B71">
        <v>65</v>
      </c>
      <c r="C71" t="s">
        <v>141</v>
      </c>
      <c r="D71" t="s">
        <v>91</v>
      </c>
      <c r="E71" t="s">
        <v>76</v>
      </c>
      <c r="F71" t="s">
        <v>13</v>
      </c>
      <c r="G71" t="s">
        <v>84</v>
      </c>
      <c r="J71" t="s">
        <v>13</v>
      </c>
    </row>
    <row r="72" spans="2:10">
      <c r="B72">
        <v>66</v>
      </c>
      <c r="C72" t="s">
        <v>141</v>
      </c>
      <c r="D72" t="s">
        <v>91</v>
      </c>
      <c r="E72" t="s">
        <v>69</v>
      </c>
      <c r="F72" t="s">
        <v>13</v>
      </c>
      <c r="G72" t="s">
        <v>61</v>
      </c>
      <c r="J72" t="s">
        <v>13</v>
      </c>
    </row>
    <row r="73" spans="2:10">
      <c r="B73">
        <v>67</v>
      </c>
      <c r="C73" t="s">
        <v>142</v>
      </c>
      <c r="D73" t="s">
        <v>104</v>
      </c>
      <c r="E73" t="s">
        <v>88</v>
      </c>
      <c r="F73" t="s">
        <v>13</v>
      </c>
      <c r="G73" t="s">
        <v>65</v>
      </c>
      <c r="J73" t="s">
        <v>13</v>
      </c>
    </row>
    <row r="74" spans="2:10">
      <c r="B74">
        <v>68</v>
      </c>
      <c r="C74" t="s">
        <v>142</v>
      </c>
      <c r="D74" t="s">
        <v>104</v>
      </c>
      <c r="E74" t="s">
        <v>73</v>
      </c>
      <c r="F74" t="s">
        <v>13</v>
      </c>
      <c r="G74" t="s">
        <v>80</v>
      </c>
      <c r="J74" t="s">
        <v>13</v>
      </c>
    </row>
    <row r="75" spans="2:10">
      <c r="B75">
        <v>69</v>
      </c>
      <c r="C75" t="s">
        <v>143</v>
      </c>
      <c r="D75" t="s">
        <v>101</v>
      </c>
      <c r="E75" t="s">
        <v>78</v>
      </c>
      <c r="F75" t="s">
        <v>13</v>
      </c>
      <c r="G75" t="s">
        <v>71</v>
      </c>
      <c r="J75" t="s">
        <v>13</v>
      </c>
    </row>
    <row r="76" spans="2:10">
      <c r="B76">
        <v>70</v>
      </c>
      <c r="C76" t="s">
        <v>143</v>
      </c>
      <c r="D76" t="s">
        <v>101</v>
      </c>
      <c r="E76" t="s">
        <v>86</v>
      </c>
      <c r="F76" t="s">
        <v>13</v>
      </c>
      <c r="G76" t="s">
        <v>63</v>
      </c>
      <c r="J76" t="s">
        <v>13</v>
      </c>
    </row>
    <row r="77" spans="2:10">
      <c r="B77">
        <v>71</v>
      </c>
      <c r="C77" t="s">
        <v>144</v>
      </c>
      <c r="D77" t="s">
        <v>107</v>
      </c>
      <c r="E77" t="s">
        <v>72</v>
      </c>
      <c r="F77" t="s">
        <v>13</v>
      </c>
      <c r="G77" t="s">
        <v>64</v>
      </c>
      <c r="J77" t="s">
        <v>13</v>
      </c>
    </row>
    <row r="78" spans="2:10">
      <c r="B78">
        <v>72</v>
      </c>
      <c r="C78" t="s">
        <v>144</v>
      </c>
      <c r="D78" t="s">
        <v>107</v>
      </c>
      <c r="E78" t="s">
        <v>87</v>
      </c>
      <c r="F78" t="s">
        <v>13</v>
      </c>
      <c r="G78" t="s">
        <v>79</v>
      </c>
      <c r="J78" t="s">
        <v>13</v>
      </c>
    </row>
    <row r="79" spans="2:10">
      <c r="D79" t="s">
        <v>145</v>
      </c>
      <c r="F79" t="s">
        <v>13</v>
      </c>
    </row>
    <row r="80" spans="2:10">
      <c r="D80" t="s">
        <v>146</v>
      </c>
      <c r="F80" t="s">
        <v>13</v>
      </c>
    </row>
    <row r="82" spans="12:12">
      <c r="L82" t="s">
        <v>147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2:U82"/>
  <sheetViews>
    <sheetView workbookViewId="0"/>
  </sheetViews>
  <sheetFormatPr defaultRowHeight="15"/>
  <sheetData>
    <row r="2" spans="2:21">
      <c r="G2" t="s">
        <v>0</v>
      </c>
    </row>
    <row r="4" spans="2:21">
      <c r="B4" t="s">
        <v>2</v>
      </c>
    </row>
    <row r="6" spans="2:21">
      <c r="C6" t="s">
        <v>3</v>
      </c>
      <c r="D6" t="s">
        <v>4</v>
      </c>
      <c r="F6" t="s">
        <v>5</v>
      </c>
      <c r="J6" t="s">
        <v>6</v>
      </c>
      <c r="L6" t="s">
        <v>7</v>
      </c>
      <c r="M6" t="s">
        <v>8</v>
      </c>
      <c r="O6" t="s">
        <v>9</v>
      </c>
    </row>
    <row r="7" spans="2:21">
      <c r="B7">
        <v>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J7" t="s">
        <v>13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 t="s">
        <v>21</v>
      </c>
    </row>
    <row r="8" spans="2:21">
      <c r="B8">
        <v>2</v>
      </c>
      <c r="C8" t="s">
        <v>22</v>
      </c>
      <c r="D8" t="s">
        <v>11</v>
      </c>
      <c r="E8" t="s">
        <v>23</v>
      </c>
      <c r="F8" t="s">
        <v>13</v>
      </c>
      <c r="G8" t="s">
        <v>24</v>
      </c>
      <c r="J8" t="s">
        <v>13</v>
      </c>
      <c r="O8">
        <v>1</v>
      </c>
    </row>
    <row r="9" spans="2:21">
      <c r="B9">
        <v>3</v>
      </c>
      <c r="C9" t="s">
        <v>30</v>
      </c>
      <c r="D9" t="s">
        <v>31</v>
      </c>
      <c r="E9" t="s">
        <v>32</v>
      </c>
      <c r="F9" t="s">
        <v>13</v>
      </c>
      <c r="G9" t="s">
        <v>33</v>
      </c>
      <c r="J9" t="s">
        <v>13</v>
      </c>
      <c r="O9">
        <v>2</v>
      </c>
    </row>
    <row r="10" spans="2:21">
      <c r="B10">
        <v>4</v>
      </c>
      <c r="C10" t="s">
        <v>38</v>
      </c>
      <c r="D10" t="s">
        <v>39</v>
      </c>
      <c r="E10" t="s">
        <v>35</v>
      </c>
      <c r="F10" t="s">
        <v>13</v>
      </c>
      <c r="G10" t="s">
        <v>40</v>
      </c>
      <c r="J10" t="s">
        <v>13</v>
      </c>
      <c r="O10">
        <v>3</v>
      </c>
    </row>
    <row r="11" spans="2:21">
      <c r="B11">
        <v>5</v>
      </c>
      <c r="C11" t="s">
        <v>44</v>
      </c>
      <c r="D11" t="s">
        <v>45</v>
      </c>
      <c r="E11" t="s">
        <v>46</v>
      </c>
      <c r="F11" t="s">
        <v>13</v>
      </c>
      <c r="G11" t="s">
        <v>34</v>
      </c>
      <c r="J11" t="s">
        <v>13</v>
      </c>
      <c r="O11">
        <v>4</v>
      </c>
    </row>
    <row r="12" spans="2:21">
      <c r="B12">
        <v>6</v>
      </c>
      <c r="C12" t="s">
        <v>51</v>
      </c>
      <c r="D12" t="s">
        <v>39</v>
      </c>
      <c r="E12" t="s">
        <v>48</v>
      </c>
      <c r="F12" t="s">
        <v>13</v>
      </c>
      <c r="G12" t="s">
        <v>27</v>
      </c>
      <c r="J12" t="s">
        <v>13</v>
      </c>
    </row>
    <row r="13" spans="2:21">
      <c r="B13">
        <v>7</v>
      </c>
      <c r="C13" t="s">
        <v>52</v>
      </c>
      <c r="D13" t="s">
        <v>45</v>
      </c>
      <c r="E13" t="s">
        <v>26</v>
      </c>
      <c r="F13" t="s">
        <v>13</v>
      </c>
      <c r="G13" t="s">
        <v>41</v>
      </c>
      <c r="J13" t="s">
        <v>13</v>
      </c>
      <c r="O13" t="s">
        <v>15</v>
      </c>
      <c r="P13" t="s">
        <v>53</v>
      </c>
      <c r="Q13" t="s">
        <v>54</v>
      </c>
      <c r="R13" t="s">
        <v>55</v>
      </c>
      <c r="S13" t="s">
        <v>56</v>
      </c>
      <c r="T13" t="s">
        <v>57</v>
      </c>
      <c r="U13" t="s">
        <v>58</v>
      </c>
    </row>
    <row r="14" spans="2:21">
      <c r="B14">
        <v>8</v>
      </c>
      <c r="C14" t="s">
        <v>59</v>
      </c>
      <c r="D14" t="s">
        <v>31</v>
      </c>
      <c r="E14" t="s">
        <v>47</v>
      </c>
      <c r="F14" t="s">
        <v>13</v>
      </c>
      <c r="G14" t="s">
        <v>25</v>
      </c>
      <c r="J14" t="s">
        <v>13</v>
      </c>
      <c r="O14">
        <v>1</v>
      </c>
    </row>
    <row r="15" spans="2:21">
      <c r="B15">
        <v>9</v>
      </c>
      <c r="C15" t="s">
        <v>66</v>
      </c>
      <c r="D15" t="s">
        <v>67</v>
      </c>
      <c r="E15" t="s">
        <v>42</v>
      </c>
      <c r="F15" t="s">
        <v>13</v>
      </c>
      <c r="G15" t="s">
        <v>36</v>
      </c>
      <c r="J15" t="s">
        <v>13</v>
      </c>
      <c r="O15">
        <v>2</v>
      </c>
    </row>
    <row r="16" spans="2:21">
      <c r="B16">
        <v>10</v>
      </c>
      <c r="C16" t="s">
        <v>74</v>
      </c>
      <c r="D16" t="s">
        <v>67</v>
      </c>
      <c r="E16" t="s">
        <v>28</v>
      </c>
      <c r="F16" t="s">
        <v>13</v>
      </c>
      <c r="G16" t="s">
        <v>49</v>
      </c>
      <c r="J16" t="s">
        <v>13</v>
      </c>
      <c r="O16">
        <v>3</v>
      </c>
    </row>
    <row r="17" spans="2:21">
      <c r="B17">
        <v>11</v>
      </c>
      <c r="C17" t="s">
        <v>81</v>
      </c>
      <c r="D17" t="s">
        <v>82</v>
      </c>
      <c r="E17" t="s">
        <v>29</v>
      </c>
      <c r="F17" t="s">
        <v>13</v>
      </c>
      <c r="G17" t="s">
        <v>43</v>
      </c>
      <c r="J17" t="s">
        <v>13</v>
      </c>
      <c r="O17">
        <v>4</v>
      </c>
    </row>
    <row r="18" spans="2:21">
      <c r="B18">
        <v>12</v>
      </c>
      <c r="C18" t="s">
        <v>89</v>
      </c>
      <c r="D18" t="s">
        <v>82</v>
      </c>
      <c r="E18" t="s">
        <v>37</v>
      </c>
      <c r="F18" t="s">
        <v>13</v>
      </c>
      <c r="G18" t="s">
        <v>50</v>
      </c>
      <c r="J18" t="s">
        <v>13</v>
      </c>
    </row>
    <row r="19" spans="2:21">
      <c r="B19">
        <v>13</v>
      </c>
      <c r="C19" t="s">
        <v>90</v>
      </c>
      <c r="D19" t="s">
        <v>91</v>
      </c>
      <c r="E19" t="s">
        <v>84</v>
      </c>
      <c r="F19" t="s">
        <v>13</v>
      </c>
      <c r="G19" t="s">
        <v>69</v>
      </c>
      <c r="J19" t="s">
        <v>13</v>
      </c>
    </row>
    <row r="20" spans="2:21">
      <c r="B20">
        <v>14</v>
      </c>
      <c r="C20" t="s">
        <v>92</v>
      </c>
      <c r="D20" t="s">
        <v>91</v>
      </c>
      <c r="E20" t="s">
        <v>61</v>
      </c>
      <c r="F20" t="s">
        <v>13</v>
      </c>
      <c r="G20" t="s">
        <v>76</v>
      </c>
      <c r="J20" t="s">
        <v>13</v>
      </c>
      <c r="O20" t="s">
        <v>93</v>
      </c>
    </row>
    <row r="21" spans="2:21">
      <c r="B21">
        <v>15</v>
      </c>
      <c r="C21" t="s">
        <v>94</v>
      </c>
      <c r="D21" t="s">
        <v>95</v>
      </c>
      <c r="E21" t="s">
        <v>83</v>
      </c>
      <c r="F21" t="s">
        <v>13</v>
      </c>
      <c r="G21" t="s">
        <v>75</v>
      </c>
      <c r="J21" t="s">
        <v>13</v>
      </c>
      <c r="P21" t="s">
        <v>16</v>
      </c>
      <c r="Q21" t="s">
        <v>17</v>
      </c>
      <c r="R21" t="s">
        <v>18</v>
      </c>
      <c r="S21" t="s">
        <v>19</v>
      </c>
      <c r="T21" t="s">
        <v>20</v>
      </c>
      <c r="U21" t="s">
        <v>21</v>
      </c>
    </row>
    <row r="22" spans="2:21">
      <c r="B22">
        <v>16</v>
      </c>
      <c r="C22" t="s">
        <v>96</v>
      </c>
      <c r="D22" t="s">
        <v>95</v>
      </c>
      <c r="E22" t="s">
        <v>60</v>
      </c>
      <c r="F22" t="s">
        <v>13</v>
      </c>
      <c r="G22" t="s">
        <v>68</v>
      </c>
      <c r="J22" t="s">
        <v>13</v>
      </c>
      <c r="P22" t="s">
        <v>12</v>
      </c>
      <c r="Q22" t="s">
        <v>32</v>
      </c>
      <c r="R22" t="s">
        <v>46</v>
      </c>
      <c r="S22" t="s">
        <v>35</v>
      </c>
      <c r="T22" t="s">
        <v>42</v>
      </c>
      <c r="U22" t="s">
        <v>29</v>
      </c>
    </row>
    <row r="23" spans="2:21">
      <c r="B23">
        <v>17</v>
      </c>
      <c r="C23" t="s">
        <v>97</v>
      </c>
      <c r="D23" t="s">
        <v>98</v>
      </c>
      <c r="E23" t="s">
        <v>62</v>
      </c>
      <c r="F23" t="s">
        <v>13</v>
      </c>
      <c r="G23" t="s">
        <v>77</v>
      </c>
      <c r="J23" t="s">
        <v>13</v>
      </c>
      <c r="P23" t="s">
        <v>14</v>
      </c>
      <c r="Q23" t="s">
        <v>33</v>
      </c>
      <c r="R23" t="s">
        <v>34</v>
      </c>
      <c r="S23" t="s">
        <v>40</v>
      </c>
      <c r="T23" t="s">
        <v>36</v>
      </c>
      <c r="U23" t="s">
        <v>43</v>
      </c>
    </row>
    <row r="24" spans="2:21">
      <c r="B24">
        <v>18</v>
      </c>
      <c r="C24" t="s">
        <v>99</v>
      </c>
      <c r="D24" t="s">
        <v>98</v>
      </c>
      <c r="E24" t="s">
        <v>85</v>
      </c>
      <c r="F24" t="s">
        <v>13</v>
      </c>
      <c r="G24" t="s">
        <v>70</v>
      </c>
      <c r="J24" t="s">
        <v>13</v>
      </c>
      <c r="P24" t="s">
        <v>23</v>
      </c>
      <c r="Q24" t="s">
        <v>47</v>
      </c>
      <c r="R24" t="s">
        <v>26</v>
      </c>
      <c r="S24" t="s">
        <v>48</v>
      </c>
      <c r="T24" t="s">
        <v>28</v>
      </c>
      <c r="U24" t="s">
        <v>37</v>
      </c>
    </row>
    <row r="25" spans="2:21">
      <c r="B25">
        <v>19</v>
      </c>
      <c r="C25" t="s">
        <v>100</v>
      </c>
      <c r="D25" t="s">
        <v>101</v>
      </c>
      <c r="E25" t="s">
        <v>63</v>
      </c>
      <c r="F25" t="s">
        <v>13</v>
      </c>
      <c r="G25" t="s">
        <v>78</v>
      </c>
      <c r="J25" t="s">
        <v>13</v>
      </c>
      <c r="P25" t="s">
        <v>24</v>
      </c>
      <c r="Q25" t="s">
        <v>25</v>
      </c>
      <c r="R25" t="s">
        <v>41</v>
      </c>
      <c r="S25" t="s">
        <v>27</v>
      </c>
      <c r="T25" t="s">
        <v>49</v>
      </c>
      <c r="U25" t="s">
        <v>50</v>
      </c>
    </row>
    <row r="26" spans="2:21">
      <c r="B26">
        <v>20</v>
      </c>
      <c r="C26" t="s">
        <v>102</v>
      </c>
      <c r="D26" t="s">
        <v>101</v>
      </c>
      <c r="E26" t="s">
        <v>71</v>
      </c>
      <c r="F26" t="s">
        <v>13</v>
      </c>
      <c r="G26" t="s">
        <v>86</v>
      </c>
      <c r="J26" t="s">
        <v>13</v>
      </c>
    </row>
    <row r="27" spans="2:21">
      <c r="B27">
        <v>21</v>
      </c>
      <c r="C27" t="s">
        <v>103</v>
      </c>
      <c r="D27" t="s">
        <v>104</v>
      </c>
      <c r="E27" t="s">
        <v>80</v>
      </c>
      <c r="F27" t="s">
        <v>13</v>
      </c>
      <c r="G27" t="s">
        <v>88</v>
      </c>
      <c r="J27" t="s">
        <v>13</v>
      </c>
      <c r="P27" t="s">
        <v>53</v>
      </c>
      <c r="Q27" t="s">
        <v>54</v>
      </c>
      <c r="R27" t="s">
        <v>55</v>
      </c>
      <c r="S27" t="s">
        <v>56</v>
      </c>
      <c r="T27" t="s">
        <v>57</v>
      </c>
      <c r="U27" t="s">
        <v>58</v>
      </c>
    </row>
    <row r="28" spans="2:21">
      <c r="B28">
        <v>22</v>
      </c>
      <c r="C28" t="s">
        <v>105</v>
      </c>
      <c r="D28" t="s">
        <v>104</v>
      </c>
      <c r="E28" t="s">
        <v>65</v>
      </c>
      <c r="F28" t="s">
        <v>13</v>
      </c>
      <c r="G28" t="s">
        <v>73</v>
      </c>
      <c r="J28" t="s">
        <v>13</v>
      </c>
      <c r="P28" t="s">
        <v>83</v>
      </c>
      <c r="Q28" t="s">
        <v>84</v>
      </c>
      <c r="R28" t="s">
        <v>62</v>
      </c>
      <c r="S28" t="s">
        <v>63</v>
      </c>
      <c r="T28" t="s">
        <v>64</v>
      </c>
      <c r="U28" t="s">
        <v>80</v>
      </c>
    </row>
    <row r="29" spans="2:21">
      <c r="B29">
        <v>23</v>
      </c>
      <c r="C29" t="s">
        <v>106</v>
      </c>
      <c r="D29" t="s">
        <v>107</v>
      </c>
      <c r="E29" t="s">
        <v>64</v>
      </c>
      <c r="F29" t="s">
        <v>13</v>
      </c>
      <c r="G29" t="s">
        <v>87</v>
      </c>
      <c r="J29" t="s">
        <v>13</v>
      </c>
      <c r="P29" t="s">
        <v>75</v>
      </c>
      <c r="Q29" t="s">
        <v>69</v>
      </c>
      <c r="R29" t="s">
        <v>77</v>
      </c>
      <c r="S29" t="s">
        <v>78</v>
      </c>
      <c r="T29" t="s">
        <v>87</v>
      </c>
      <c r="U29" t="s">
        <v>88</v>
      </c>
    </row>
    <row r="30" spans="2:21">
      <c r="B30">
        <v>24</v>
      </c>
      <c r="C30" t="s">
        <v>108</v>
      </c>
      <c r="D30" t="s">
        <v>107</v>
      </c>
      <c r="E30" t="s">
        <v>79</v>
      </c>
      <c r="F30" t="s">
        <v>13</v>
      </c>
      <c r="G30" t="s">
        <v>72</v>
      </c>
      <c r="J30" t="s">
        <v>13</v>
      </c>
      <c r="P30" t="s">
        <v>60</v>
      </c>
      <c r="Q30" t="s">
        <v>61</v>
      </c>
      <c r="R30" t="s">
        <v>85</v>
      </c>
      <c r="S30" t="s">
        <v>71</v>
      </c>
      <c r="T30" t="s">
        <v>79</v>
      </c>
      <c r="U30" t="s">
        <v>65</v>
      </c>
    </row>
    <row r="31" spans="2:21">
      <c r="B31">
        <v>25</v>
      </c>
      <c r="C31" t="s">
        <v>109</v>
      </c>
      <c r="D31" t="s">
        <v>11</v>
      </c>
      <c r="E31" t="s">
        <v>24</v>
      </c>
      <c r="F31" t="s">
        <v>13</v>
      </c>
      <c r="G31" t="s">
        <v>14</v>
      </c>
      <c r="J31" t="s">
        <v>13</v>
      </c>
      <c r="P31" t="s">
        <v>68</v>
      </c>
      <c r="Q31" t="s">
        <v>76</v>
      </c>
      <c r="R31" t="s">
        <v>70</v>
      </c>
      <c r="S31" t="s">
        <v>86</v>
      </c>
      <c r="T31" t="s">
        <v>72</v>
      </c>
      <c r="U31" t="s">
        <v>73</v>
      </c>
    </row>
    <row r="32" spans="2:21">
      <c r="B32">
        <v>26</v>
      </c>
      <c r="C32" t="s">
        <v>110</v>
      </c>
      <c r="D32" t="s">
        <v>31</v>
      </c>
      <c r="E32" t="s">
        <v>25</v>
      </c>
      <c r="F32" t="s">
        <v>13</v>
      </c>
      <c r="G32" t="s">
        <v>33</v>
      </c>
      <c r="J32" t="s">
        <v>13</v>
      </c>
    </row>
    <row r="33" spans="2:10">
      <c r="B33">
        <v>27</v>
      </c>
      <c r="C33" t="s">
        <v>111</v>
      </c>
      <c r="D33" t="s">
        <v>31</v>
      </c>
      <c r="E33" t="s">
        <v>32</v>
      </c>
      <c r="F33" t="s">
        <v>13</v>
      </c>
      <c r="G33" t="s">
        <v>47</v>
      </c>
      <c r="J33" t="s">
        <v>13</v>
      </c>
    </row>
    <row r="34" spans="2:10">
      <c r="B34">
        <v>28</v>
      </c>
      <c r="C34" t="s">
        <v>112</v>
      </c>
      <c r="D34" t="s">
        <v>11</v>
      </c>
      <c r="E34" t="s">
        <v>12</v>
      </c>
      <c r="F34" t="s">
        <v>13</v>
      </c>
      <c r="G34" t="s">
        <v>23</v>
      </c>
      <c r="J34" t="s">
        <v>13</v>
      </c>
    </row>
    <row r="35" spans="2:10">
      <c r="B35">
        <v>29</v>
      </c>
      <c r="C35" t="s">
        <v>113</v>
      </c>
      <c r="D35" t="s">
        <v>45</v>
      </c>
      <c r="E35" t="s">
        <v>26</v>
      </c>
      <c r="F35" t="s">
        <v>13</v>
      </c>
      <c r="G35" t="s">
        <v>46</v>
      </c>
      <c r="J35" t="s">
        <v>13</v>
      </c>
    </row>
    <row r="36" spans="2:10">
      <c r="B36">
        <v>30</v>
      </c>
      <c r="C36" t="s">
        <v>114</v>
      </c>
      <c r="D36" t="s">
        <v>45</v>
      </c>
      <c r="E36" t="s">
        <v>34</v>
      </c>
      <c r="F36" t="s">
        <v>13</v>
      </c>
      <c r="G36" t="s">
        <v>41</v>
      </c>
      <c r="J36" t="s">
        <v>13</v>
      </c>
    </row>
    <row r="37" spans="2:10">
      <c r="B37">
        <v>31</v>
      </c>
      <c r="C37" t="s">
        <v>115</v>
      </c>
      <c r="D37" t="s">
        <v>39</v>
      </c>
      <c r="E37" t="s">
        <v>27</v>
      </c>
      <c r="F37" t="s">
        <v>13</v>
      </c>
      <c r="G37" t="s">
        <v>40</v>
      </c>
      <c r="J37" t="s">
        <v>13</v>
      </c>
    </row>
    <row r="38" spans="2:10">
      <c r="B38">
        <v>32</v>
      </c>
      <c r="C38" t="s">
        <v>116</v>
      </c>
      <c r="D38" t="s">
        <v>39</v>
      </c>
      <c r="E38" t="s">
        <v>35</v>
      </c>
      <c r="F38" t="s">
        <v>13</v>
      </c>
      <c r="G38" t="s">
        <v>48</v>
      </c>
      <c r="J38" t="s">
        <v>13</v>
      </c>
    </row>
    <row r="39" spans="2:10">
      <c r="B39">
        <v>33</v>
      </c>
      <c r="C39" t="s">
        <v>117</v>
      </c>
      <c r="D39" t="s">
        <v>67</v>
      </c>
      <c r="E39" t="s">
        <v>28</v>
      </c>
      <c r="F39" t="s">
        <v>13</v>
      </c>
      <c r="G39" t="s">
        <v>42</v>
      </c>
      <c r="J39" t="s">
        <v>13</v>
      </c>
    </row>
    <row r="40" spans="2:10">
      <c r="B40">
        <v>34</v>
      </c>
      <c r="C40" t="s">
        <v>118</v>
      </c>
      <c r="D40" t="s">
        <v>67</v>
      </c>
      <c r="E40" t="s">
        <v>36</v>
      </c>
      <c r="F40" t="s">
        <v>13</v>
      </c>
      <c r="G40" t="s">
        <v>49</v>
      </c>
      <c r="J40" t="s">
        <v>13</v>
      </c>
    </row>
    <row r="41" spans="2:10">
      <c r="B41">
        <v>35</v>
      </c>
      <c r="C41" t="s">
        <v>119</v>
      </c>
      <c r="D41" t="s">
        <v>82</v>
      </c>
      <c r="E41" t="s">
        <v>29</v>
      </c>
      <c r="F41" t="s">
        <v>13</v>
      </c>
      <c r="G41" t="s">
        <v>37</v>
      </c>
      <c r="J41" t="s">
        <v>13</v>
      </c>
    </row>
    <row r="42" spans="2:10">
      <c r="B42">
        <v>36</v>
      </c>
      <c r="C42" t="s">
        <v>120</v>
      </c>
      <c r="D42" t="s">
        <v>82</v>
      </c>
      <c r="E42" t="s">
        <v>50</v>
      </c>
      <c r="F42" t="s">
        <v>13</v>
      </c>
      <c r="G42" t="s">
        <v>43</v>
      </c>
      <c r="J42" t="s">
        <v>13</v>
      </c>
    </row>
    <row r="43" spans="2:10">
      <c r="B43">
        <v>37</v>
      </c>
      <c r="C43" t="s">
        <v>121</v>
      </c>
      <c r="D43" t="s">
        <v>91</v>
      </c>
      <c r="E43" t="s">
        <v>69</v>
      </c>
      <c r="F43" t="s">
        <v>13</v>
      </c>
      <c r="G43" t="s">
        <v>76</v>
      </c>
      <c r="J43" t="s">
        <v>13</v>
      </c>
    </row>
    <row r="44" spans="2:10">
      <c r="B44">
        <v>38</v>
      </c>
      <c r="C44" t="s">
        <v>122</v>
      </c>
      <c r="D44" t="s">
        <v>91</v>
      </c>
      <c r="E44" t="s">
        <v>61</v>
      </c>
      <c r="F44" t="s">
        <v>13</v>
      </c>
      <c r="G44" t="s">
        <v>84</v>
      </c>
      <c r="J44" t="s">
        <v>13</v>
      </c>
    </row>
    <row r="45" spans="2:10">
      <c r="B45">
        <v>39</v>
      </c>
      <c r="C45" t="s">
        <v>123</v>
      </c>
      <c r="D45" t="s">
        <v>95</v>
      </c>
      <c r="E45" t="s">
        <v>60</v>
      </c>
      <c r="F45" t="s">
        <v>13</v>
      </c>
      <c r="G45" t="s">
        <v>83</v>
      </c>
      <c r="J45" t="s">
        <v>13</v>
      </c>
    </row>
    <row r="46" spans="2:10">
      <c r="B46">
        <v>40</v>
      </c>
      <c r="C46" t="s">
        <v>124</v>
      </c>
      <c r="D46" t="s">
        <v>95</v>
      </c>
      <c r="E46" t="s">
        <v>75</v>
      </c>
      <c r="F46" t="s">
        <v>13</v>
      </c>
      <c r="G46" t="s">
        <v>68</v>
      </c>
      <c r="J46" t="s">
        <v>13</v>
      </c>
    </row>
    <row r="47" spans="2:10">
      <c r="B47">
        <v>41</v>
      </c>
      <c r="C47" t="s">
        <v>125</v>
      </c>
      <c r="D47" t="s">
        <v>98</v>
      </c>
      <c r="E47" t="s">
        <v>70</v>
      </c>
      <c r="F47" t="s">
        <v>13</v>
      </c>
      <c r="G47" t="s">
        <v>77</v>
      </c>
      <c r="J47" t="s">
        <v>13</v>
      </c>
    </row>
    <row r="48" spans="2:10">
      <c r="B48">
        <v>42</v>
      </c>
      <c r="C48" t="s">
        <v>126</v>
      </c>
      <c r="D48" t="s">
        <v>98</v>
      </c>
      <c r="E48" t="s">
        <v>62</v>
      </c>
      <c r="F48" t="s">
        <v>13</v>
      </c>
      <c r="G48" t="s">
        <v>85</v>
      </c>
      <c r="J48" t="s">
        <v>13</v>
      </c>
    </row>
    <row r="49" spans="2:10">
      <c r="B49">
        <v>43</v>
      </c>
      <c r="C49" t="s">
        <v>127</v>
      </c>
      <c r="D49" t="s">
        <v>101</v>
      </c>
      <c r="E49" t="s">
        <v>63</v>
      </c>
      <c r="F49" t="s">
        <v>13</v>
      </c>
      <c r="G49" t="s">
        <v>71</v>
      </c>
      <c r="J49" t="s">
        <v>13</v>
      </c>
    </row>
    <row r="50" spans="2:10">
      <c r="B50">
        <v>44</v>
      </c>
      <c r="C50" t="s">
        <v>128</v>
      </c>
      <c r="D50" t="s">
        <v>101</v>
      </c>
      <c r="E50" t="s">
        <v>86</v>
      </c>
      <c r="F50" t="s">
        <v>13</v>
      </c>
      <c r="G50" t="s">
        <v>78</v>
      </c>
      <c r="J50" t="s">
        <v>13</v>
      </c>
    </row>
    <row r="51" spans="2:10">
      <c r="B51">
        <v>45</v>
      </c>
      <c r="C51" t="s">
        <v>129</v>
      </c>
      <c r="D51" t="s">
        <v>104</v>
      </c>
      <c r="E51" t="s">
        <v>65</v>
      </c>
      <c r="F51" t="s">
        <v>13</v>
      </c>
      <c r="G51" t="s">
        <v>80</v>
      </c>
      <c r="J51" t="s">
        <v>13</v>
      </c>
    </row>
    <row r="52" spans="2:10">
      <c r="B52">
        <v>46</v>
      </c>
      <c r="C52" t="s">
        <v>130</v>
      </c>
      <c r="D52" t="s">
        <v>104</v>
      </c>
      <c r="E52" t="s">
        <v>88</v>
      </c>
      <c r="F52" t="s">
        <v>13</v>
      </c>
      <c r="G52" t="s">
        <v>73</v>
      </c>
      <c r="J52" t="s">
        <v>13</v>
      </c>
    </row>
    <row r="53" spans="2:10">
      <c r="B53">
        <v>47</v>
      </c>
      <c r="C53" t="s">
        <v>131</v>
      </c>
      <c r="D53" t="s">
        <v>107</v>
      </c>
      <c r="E53" t="s">
        <v>64</v>
      </c>
      <c r="F53" t="s">
        <v>13</v>
      </c>
      <c r="G53" t="s">
        <v>79</v>
      </c>
      <c r="J53" t="s">
        <v>13</v>
      </c>
    </row>
    <row r="54" spans="2:10">
      <c r="B54">
        <v>48</v>
      </c>
      <c r="C54" t="s">
        <v>132</v>
      </c>
      <c r="D54" t="s">
        <v>107</v>
      </c>
      <c r="E54" t="s">
        <v>72</v>
      </c>
      <c r="F54" t="s">
        <v>13</v>
      </c>
      <c r="G54" t="s">
        <v>87</v>
      </c>
      <c r="J54" t="s">
        <v>13</v>
      </c>
    </row>
    <row r="55" spans="2:10">
      <c r="B55">
        <v>49</v>
      </c>
      <c r="C55" t="s">
        <v>133</v>
      </c>
      <c r="D55" t="s">
        <v>45</v>
      </c>
      <c r="E55" t="s">
        <v>34</v>
      </c>
      <c r="F55" t="s">
        <v>13</v>
      </c>
      <c r="G55" t="s">
        <v>26</v>
      </c>
      <c r="J55" t="s">
        <v>13</v>
      </c>
    </row>
    <row r="56" spans="2:10">
      <c r="B56">
        <v>50</v>
      </c>
      <c r="C56" t="s">
        <v>133</v>
      </c>
      <c r="D56" t="s">
        <v>45</v>
      </c>
      <c r="E56" t="s">
        <v>41</v>
      </c>
      <c r="F56" t="s">
        <v>13</v>
      </c>
      <c r="G56" t="s">
        <v>46</v>
      </c>
      <c r="J56" t="s">
        <v>13</v>
      </c>
    </row>
    <row r="57" spans="2:10">
      <c r="B57">
        <v>51</v>
      </c>
      <c r="C57" t="s">
        <v>134</v>
      </c>
      <c r="D57" t="s">
        <v>31</v>
      </c>
      <c r="E57" t="s">
        <v>25</v>
      </c>
      <c r="F57" t="s">
        <v>13</v>
      </c>
      <c r="G57" t="s">
        <v>32</v>
      </c>
      <c r="J57" t="s">
        <v>13</v>
      </c>
    </row>
    <row r="58" spans="2:10">
      <c r="B58">
        <v>52</v>
      </c>
      <c r="C58" t="s">
        <v>134</v>
      </c>
      <c r="D58" t="s">
        <v>31</v>
      </c>
      <c r="E58" t="s">
        <v>33</v>
      </c>
      <c r="F58" t="s">
        <v>13</v>
      </c>
      <c r="G58" t="s">
        <v>47</v>
      </c>
      <c r="J58" t="s">
        <v>13</v>
      </c>
    </row>
    <row r="59" spans="2:10">
      <c r="B59">
        <v>53</v>
      </c>
      <c r="C59" t="s">
        <v>135</v>
      </c>
      <c r="D59" t="s">
        <v>11</v>
      </c>
      <c r="E59" t="s">
        <v>24</v>
      </c>
      <c r="F59" t="s">
        <v>13</v>
      </c>
      <c r="G59" t="s">
        <v>12</v>
      </c>
      <c r="J59" t="s">
        <v>13</v>
      </c>
    </row>
    <row r="60" spans="2:10">
      <c r="B60">
        <v>54</v>
      </c>
      <c r="C60" t="s">
        <v>135</v>
      </c>
      <c r="D60" t="s">
        <v>11</v>
      </c>
      <c r="E60" t="s">
        <v>14</v>
      </c>
      <c r="F60" t="s">
        <v>13</v>
      </c>
      <c r="G60" t="s">
        <v>23</v>
      </c>
      <c r="J60" t="s">
        <v>13</v>
      </c>
    </row>
    <row r="61" spans="2:10">
      <c r="B61">
        <v>55</v>
      </c>
      <c r="C61" t="s">
        <v>136</v>
      </c>
      <c r="D61" t="s">
        <v>67</v>
      </c>
      <c r="E61" t="s">
        <v>49</v>
      </c>
      <c r="F61" t="s">
        <v>13</v>
      </c>
      <c r="G61" t="s">
        <v>42</v>
      </c>
      <c r="J61" t="s">
        <v>13</v>
      </c>
    </row>
    <row r="62" spans="2:10">
      <c r="B62">
        <v>56</v>
      </c>
      <c r="C62" t="s">
        <v>136</v>
      </c>
      <c r="D62" t="s">
        <v>67</v>
      </c>
      <c r="E62" t="s">
        <v>36</v>
      </c>
      <c r="F62" t="s">
        <v>13</v>
      </c>
      <c r="G62" t="s">
        <v>28</v>
      </c>
      <c r="J62" t="s">
        <v>13</v>
      </c>
    </row>
    <row r="63" spans="2:10">
      <c r="B63">
        <v>57</v>
      </c>
      <c r="C63" t="s">
        <v>137</v>
      </c>
      <c r="D63" t="s">
        <v>82</v>
      </c>
      <c r="E63" t="s">
        <v>43</v>
      </c>
      <c r="F63" t="s">
        <v>13</v>
      </c>
      <c r="G63" t="s">
        <v>37</v>
      </c>
      <c r="J63" t="s">
        <v>13</v>
      </c>
    </row>
    <row r="64" spans="2:10">
      <c r="B64">
        <v>58</v>
      </c>
      <c r="C64" t="s">
        <v>137</v>
      </c>
      <c r="D64" t="s">
        <v>82</v>
      </c>
      <c r="E64" t="s">
        <v>50</v>
      </c>
      <c r="F64" t="s">
        <v>13</v>
      </c>
      <c r="G64" t="s">
        <v>29</v>
      </c>
      <c r="J64" t="s">
        <v>13</v>
      </c>
    </row>
    <row r="65" spans="2:10">
      <c r="B65">
        <v>59</v>
      </c>
      <c r="C65" t="s">
        <v>138</v>
      </c>
      <c r="D65" t="s">
        <v>39</v>
      </c>
      <c r="E65" t="s">
        <v>27</v>
      </c>
      <c r="F65" t="s">
        <v>13</v>
      </c>
      <c r="G65" t="s">
        <v>35</v>
      </c>
      <c r="J65" t="s">
        <v>13</v>
      </c>
    </row>
    <row r="66" spans="2:10">
      <c r="B66">
        <v>60</v>
      </c>
      <c r="C66" t="s">
        <v>138</v>
      </c>
      <c r="D66" t="s">
        <v>39</v>
      </c>
      <c r="E66" t="s">
        <v>40</v>
      </c>
      <c r="F66" t="s">
        <v>13</v>
      </c>
      <c r="G66" t="s">
        <v>48</v>
      </c>
      <c r="J66" t="s">
        <v>13</v>
      </c>
    </row>
    <row r="67" spans="2:10">
      <c r="B67">
        <v>61</v>
      </c>
      <c r="C67" t="s">
        <v>139</v>
      </c>
      <c r="D67" t="s">
        <v>98</v>
      </c>
      <c r="E67" t="s">
        <v>70</v>
      </c>
      <c r="F67" t="s">
        <v>13</v>
      </c>
      <c r="G67" t="s">
        <v>62</v>
      </c>
      <c r="J67" t="s">
        <v>13</v>
      </c>
    </row>
    <row r="68" spans="2:10">
      <c r="B68">
        <v>62</v>
      </c>
      <c r="C68" t="s">
        <v>139</v>
      </c>
      <c r="D68" t="s">
        <v>98</v>
      </c>
      <c r="E68" t="s">
        <v>77</v>
      </c>
      <c r="F68" t="s">
        <v>13</v>
      </c>
      <c r="G68" t="s">
        <v>85</v>
      </c>
      <c r="J68" t="s">
        <v>13</v>
      </c>
    </row>
    <row r="69" spans="2:10">
      <c r="B69">
        <v>63</v>
      </c>
      <c r="C69" t="s">
        <v>140</v>
      </c>
      <c r="D69" t="s">
        <v>95</v>
      </c>
      <c r="E69" t="s">
        <v>68</v>
      </c>
      <c r="F69" t="s">
        <v>13</v>
      </c>
      <c r="G69" t="s">
        <v>83</v>
      </c>
      <c r="J69" t="s">
        <v>13</v>
      </c>
    </row>
    <row r="70" spans="2:10">
      <c r="B70">
        <v>64</v>
      </c>
      <c r="C70" t="s">
        <v>140</v>
      </c>
      <c r="D70" t="s">
        <v>95</v>
      </c>
      <c r="E70" t="s">
        <v>75</v>
      </c>
      <c r="F70" t="s">
        <v>13</v>
      </c>
      <c r="G70" t="s">
        <v>60</v>
      </c>
      <c r="J70" t="s">
        <v>13</v>
      </c>
    </row>
    <row r="71" spans="2:10">
      <c r="B71">
        <v>65</v>
      </c>
      <c r="C71" t="s">
        <v>141</v>
      </c>
      <c r="D71" t="s">
        <v>91</v>
      </c>
      <c r="E71" t="s">
        <v>76</v>
      </c>
      <c r="F71" t="s">
        <v>13</v>
      </c>
      <c r="G71" t="s">
        <v>84</v>
      </c>
      <c r="J71" t="s">
        <v>13</v>
      </c>
    </row>
    <row r="72" spans="2:10">
      <c r="B72">
        <v>66</v>
      </c>
      <c r="C72" t="s">
        <v>141</v>
      </c>
      <c r="D72" t="s">
        <v>91</v>
      </c>
      <c r="E72" t="s">
        <v>69</v>
      </c>
      <c r="F72" t="s">
        <v>13</v>
      </c>
      <c r="G72" t="s">
        <v>61</v>
      </c>
      <c r="J72" t="s">
        <v>13</v>
      </c>
    </row>
    <row r="73" spans="2:10">
      <c r="B73">
        <v>67</v>
      </c>
      <c r="C73" t="s">
        <v>142</v>
      </c>
      <c r="D73" t="s">
        <v>104</v>
      </c>
      <c r="E73" t="s">
        <v>88</v>
      </c>
      <c r="F73" t="s">
        <v>13</v>
      </c>
      <c r="G73" t="s">
        <v>65</v>
      </c>
      <c r="J73" t="s">
        <v>13</v>
      </c>
    </row>
    <row r="74" spans="2:10">
      <c r="B74">
        <v>68</v>
      </c>
      <c r="C74" t="s">
        <v>142</v>
      </c>
      <c r="D74" t="s">
        <v>104</v>
      </c>
      <c r="E74" t="s">
        <v>73</v>
      </c>
      <c r="F74" t="s">
        <v>13</v>
      </c>
      <c r="G74" t="s">
        <v>80</v>
      </c>
      <c r="J74" t="s">
        <v>13</v>
      </c>
    </row>
    <row r="75" spans="2:10">
      <c r="B75">
        <v>69</v>
      </c>
      <c r="C75" t="s">
        <v>143</v>
      </c>
      <c r="D75" t="s">
        <v>101</v>
      </c>
      <c r="E75" t="s">
        <v>78</v>
      </c>
      <c r="F75" t="s">
        <v>13</v>
      </c>
      <c r="G75" t="s">
        <v>71</v>
      </c>
      <c r="J75" t="s">
        <v>13</v>
      </c>
    </row>
    <row r="76" spans="2:10">
      <c r="B76">
        <v>70</v>
      </c>
      <c r="C76" t="s">
        <v>143</v>
      </c>
      <c r="D76" t="s">
        <v>101</v>
      </c>
      <c r="E76" t="s">
        <v>86</v>
      </c>
      <c r="F76" t="s">
        <v>13</v>
      </c>
      <c r="G76" t="s">
        <v>63</v>
      </c>
      <c r="J76" t="s">
        <v>13</v>
      </c>
    </row>
    <row r="77" spans="2:10">
      <c r="B77">
        <v>71</v>
      </c>
      <c r="C77" t="s">
        <v>144</v>
      </c>
      <c r="D77" t="s">
        <v>107</v>
      </c>
      <c r="E77" t="s">
        <v>72</v>
      </c>
      <c r="F77" t="s">
        <v>13</v>
      </c>
      <c r="G77" t="s">
        <v>64</v>
      </c>
      <c r="J77" t="s">
        <v>13</v>
      </c>
    </row>
    <row r="78" spans="2:10">
      <c r="B78">
        <v>72</v>
      </c>
      <c r="C78" t="s">
        <v>144</v>
      </c>
      <c r="D78" t="s">
        <v>107</v>
      </c>
      <c r="E78" t="s">
        <v>87</v>
      </c>
      <c r="F78" t="s">
        <v>13</v>
      </c>
      <c r="G78" t="s">
        <v>79</v>
      </c>
      <c r="J78" t="s">
        <v>13</v>
      </c>
    </row>
    <row r="79" spans="2:10">
      <c r="D79" t="s">
        <v>145</v>
      </c>
      <c r="F79" t="s">
        <v>13</v>
      </c>
    </row>
    <row r="80" spans="2:10">
      <c r="D80" t="s">
        <v>146</v>
      </c>
      <c r="F80" t="s">
        <v>13</v>
      </c>
    </row>
    <row r="82" spans="12:12">
      <c r="L82" t="s">
        <v>147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2:U82"/>
  <sheetViews>
    <sheetView workbookViewId="0"/>
  </sheetViews>
  <sheetFormatPr defaultRowHeight="15"/>
  <sheetData>
    <row r="2" spans="2:21">
      <c r="G2" t="s">
        <v>0</v>
      </c>
    </row>
    <row r="4" spans="2:21">
      <c r="B4" t="s">
        <v>2</v>
      </c>
    </row>
    <row r="6" spans="2:21">
      <c r="C6" t="s">
        <v>3</v>
      </c>
      <c r="D6" t="s">
        <v>4</v>
      </c>
      <c r="F6" t="s">
        <v>5</v>
      </c>
      <c r="J6" t="s">
        <v>6</v>
      </c>
      <c r="L6" t="s">
        <v>7</v>
      </c>
      <c r="M6" t="s">
        <v>8</v>
      </c>
      <c r="O6" t="s">
        <v>9</v>
      </c>
    </row>
    <row r="7" spans="2:21">
      <c r="B7">
        <v>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J7" t="s">
        <v>13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 t="s">
        <v>21</v>
      </c>
    </row>
    <row r="8" spans="2:21">
      <c r="B8">
        <v>2</v>
      </c>
      <c r="C8" t="s">
        <v>22</v>
      </c>
      <c r="D8" t="s">
        <v>11</v>
      </c>
      <c r="E8" t="s">
        <v>23</v>
      </c>
      <c r="F8" t="s">
        <v>13</v>
      </c>
      <c r="G8" t="s">
        <v>24</v>
      </c>
      <c r="J8" t="s">
        <v>13</v>
      </c>
      <c r="O8">
        <v>1</v>
      </c>
    </row>
    <row r="9" spans="2:21">
      <c r="B9">
        <v>3</v>
      </c>
      <c r="C9" t="s">
        <v>30</v>
      </c>
      <c r="D9" t="s">
        <v>31</v>
      </c>
      <c r="E9" t="s">
        <v>32</v>
      </c>
      <c r="F9" t="s">
        <v>13</v>
      </c>
      <c r="G9" t="s">
        <v>33</v>
      </c>
      <c r="J9" t="s">
        <v>13</v>
      </c>
      <c r="O9">
        <v>2</v>
      </c>
    </row>
    <row r="10" spans="2:21">
      <c r="B10">
        <v>4</v>
      </c>
      <c r="C10" t="s">
        <v>38</v>
      </c>
      <c r="D10" t="s">
        <v>39</v>
      </c>
      <c r="E10" t="s">
        <v>35</v>
      </c>
      <c r="F10" t="s">
        <v>13</v>
      </c>
      <c r="G10" t="s">
        <v>40</v>
      </c>
      <c r="J10" t="s">
        <v>13</v>
      </c>
      <c r="O10">
        <v>3</v>
      </c>
    </row>
    <row r="11" spans="2:21">
      <c r="B11">
        <v>5</v>
      </c>
      <c r="C11" t="s">
        <v>44</v>
      </c>
      <c r="D11" t="s">
        <v>45</v>
      </c>
      <c r="E11" t="s">
        <v>46</v>
      </c>
      <c r="F11" t="s">
        <v>13</v>
      </c>
      <c r="G11" t="s">
        <v>34</v>
      </c>
      <c r="J11" t="s">
        <v>13</v>
      </c>
      <c r="O11">
        <v>4</v>
      </c>
    </row>
    <row r="12" spans="2:21">
      <c r="B12">
        <v>6</v>
      </c>
      <c r="C12" t="s">
        <v>51</v>
      </c>
      <c r="D12" t="s">
        <v>39</v>
      </c>
      <c r="E12" t="s">
        <v>48</v>
      </c>
      <c r="F12" t="s">
        <v>13</v>
      </c>
      <c r="G12" t="s">
        <v>27</v>
      </c>
      <c r="J12" t="s">
        <v>13</v>
      </c>
    </row>
    <row r="13" spans="2:21">
      <c r="B13">
        <v>7</v>
      </c>
      <c r="C13" t="s">
        <v>52</v>
      </c>
      <c r="D13" t="s">
        <v>45</v>
      </c>
      <c r="E13" t="s">
        <v>26</v>
      </c>
      <c r="F13" t="s">
        <v>13</v>
      </c>
      <c r="G13" t="s">
        <v>41</v>
      </c>
      <c r="J13" t="s">
        <v>13</v>
      </c>
      <c r="O13" t="s">
        <v>15</v>
      </c>
      <c r="P13" t="s">
        <v>53</v>
      </c>
      <c r="Q13" t="s">
        <v>54</v>
      </c>
      <c r="R13" t="s">
        <v>55</v>
      </c>
      <c r="S13" t="s">
        <v>56</v>
      </c>
      <c r="T13" t="s">
        <v>57</v>
      </c>
      <c r="U13" t="s">
        <v>58</v>
      </c>
    </row>
    <row r="14" spans="2:21">
      <c r="B14">
        <v>8</v>
      </c>
      <c r="C14" t="s">
        <v>59</v>
      </c>
      <c r="D14" t="s">
        <v>31</v>
      </c>
      <c r="E14" t="s">
        <v>47</v>
      </c>
      <c r="F14" t="s">
        <v>13</v>
      </c>
      <c r="G14" t="s">
        <v>25</v>
      </c>
      <c r="J14" t="s">
        <v>13</v>
      </c>
      <c r="O14">
        <v>1</v>
      </c>
    </row>
    <row r="15" spans="2:21">
      <c r="B15">
        <v>9</v>
      </c>
      <c r="C15" t="s">
        <v>66</v>
      </c>
      <c r="D15" t="s">
        <v>67</v>
      </c>
      <c r="E15" t="s">
        <v>42</v>
      </c>
      <c r="F15" t="s">
        <v>13</v>
      </c>
      <c r="G15" t="s">
        <v>36</v>
      </c>
      <c r="J15" t="s">
        <v>13</v>
      </c>
      <c r="O15">
        <v>2</v>
      </c>
    </row>
    <row r="16" spans="2:21">
      <c r="B16">
        <v>10</v>
      </c>
      <c r="C16" t="s">
        <v>74</v>
      </c>
      <c r="D16" t="s">
        <v>67</v>
      </c>
      <c r="E16" t="s">
        <v>28</v>
      </c>
      <c r="F16" t="s">
        <v>13</v>
      </c>
      <c r="G16" t="s">
        <v>49</v>
      </c>
      <c r="J16" t="s">
        <v>13</v>
      </c>
      <c r="O16">
        <v>3</v>
      </c>
    </row>
    <row r="17" spans="2:21">
      <c r="B17">
        <v>11</v>
      </c>
      <c r="C17" t="s">
        <v>81</v>
      </c>
      <c r="D17" t="s">
        <v>82</v>
      </c>
      <c r="E17" t="s">
        <v>29</v>
      </c>
      <c r="F17" t="s">
        <v>13</v>
      </c>
      <c r="G17" t="s">
        <v>43</v>
      </c>
      <c r="J17" t="s">
        <v>13</v>
      </c>
      <c r="O17">
        <v>4</v>
      </c>
    </row>
    <row r="18" spans="2:21">
      <c r="B18">
        <v>12</v>
      </c>
      <c r="C18" t="s">
        <v>89</v>
      </c>
      <c r="D18" t="s">
        <v>82</v>
      </c>
      <c r="E18" t="s">
        <v>37</v>
      </c>
      <c r="F18" t="s">
        <v>13</v>
      </c>
      <c r="G18" t="s">
        <v>50</v>
      </c>
      <c r="J18" t="s">
        <v>13</v>
      </c>
    </row>
    <row r="19" spans="2:21">
      <c r="B19">
        <v>13</v>
      </c>
      <c r="C19" t="s">
        <v>90</v>
      </c>
      <c r="D19" t="s">
        <v>91</v>
      </c>
      <c r="E19" t="s">
        <v>84</v>
      </c>
      <c r="F19" t="s">
        <v>13</v>
      </c>
      <c r="G19" t="s">
        <v>69</v>
      </c>
      <c r="J19" t="s">
        <v>13</v>
      </c>
    </row>
    <row r="20" spans="2:21">
      <c r="B20">
        <v>14</v>
      </c>
      <c r="C20" t="s">
        <v>92</v>
      </c>
      <c r="D20" t="s">
        <v>91</v>
      </c>
      <c r="E20" t="s">
        <v>61</v>
      </c>
      <c r="F20" t="s">
        <v>13</v>
      </c>
      <c r="G20" t="s">
        <v>76</v>
      </c>
      <c r="J20" t="s">
        <v>13</v>
      </c>
      <c r="O20" t="s">
        <v>93</v>
      </c>
    </row>
    <row r="21" spans="2:21">
      <c r="B21">
        <v>15</v>
      </c>
      <c r="C21" t="s">
        <v>94</v>
      </c>
      <c r="D21" t="s">
        <v>95</v>
      </c>
      <c r="E21" t="s">
        <v>83</v>
      </c>
      <c r="F21" t="s">
        <v>13</v>
      </c>
      <c r="G21" t="s">
        <v>75</v>
      </c>
      <c r="J21" t="s">
        <v>13</v>
      </c>
      <c r="P21" t="s">
        <v>16</v>
      </c>
      <c r="Q21" t="s">
        <v>17</v>
      </c>
      <c r="R21" t="s">
        <v>18</v>
      </c>
      <c r="S21" t="s">
        <v>19</v>
      </c>
      <c r="T21" t="s">
        <v>20</v>
      </c>
      <c r="U21" t="s">
        <v>21</v>
      </c>
    </row>
    <row r="22" spans="2:21">
      <c r="B22">
        <v>16</v>
      </c>
      <c r="C22" t="s">
        <v>96</v>
      </c>
      <c r="D22" t="s">
        <v>95</v>
      </c>
      <c r="E22" t="s">
        <v>60</v>
      </c>
      <c r="F22" t="s">
        <v>13</v>
      </c>
      <c r="G22" t="s">
        <v>68</v>
      </c>
      <c r="J22" t="s">
        <v>13</v>
      </c>
      <c r="P22" t="s">
        <v>12</v>
      </c>
      <c r="Q22" t="s">
        <v>32</v>
      </c>
      <c r="R22" t="s">
        <v>46</v>
      </c>
      <c r="S22" t="s">
        <v>35</v>
      </c>
      <c r="T22" t="s">
        <v>42</v>
      </c>
      <c r="U22" t="s">
        <v>29</v>
      </c>
    </row>
    <row r="23" spans="2:21">
      <c r="B23">
        <v>17</v>
      </c>
      <c r="C23" t="s">
        <v>97</v>
      </c>
      <c r="D23" t="s">
        <v>98</v>
      </c>
      <c r="E23" t="s">
        <v>62</v>
      </c>
      <c r="F23" t="s">
        <v>13</v>
      </c>
      <c r="G23" t="s">
        <v>77</v>
      </c>
      <c r="J23" t="s">
        <v>13</v>
      </c>
      <c r="P23" t="s">
        <v>14</v>
      </c>
      <c r="Q23" t="s">
        <v>33</v>
      </c>
      <c r="R23" t="s">
        <v>34</v>
      </c>
      <c r="S23" t="s">
        <v>40</v>
      </c>
      <c r="T23" t="s">
        <v>36</v>
      </c>
      <c r="U23" t="s">
        <v>43</v>
      </c>
    </row>
    <row r="24" spans="2:21">
      <c r="B24">
        <v>18</v>
      </c>
      <c r="C24" t="s">
        <v>99</v>
      </c>
      <c r="D24" t="s">
        <v>98</v>
      </c>
      <c r="E24" t="s">
        <v>85</v>
      </c>
      <c r="F24" t="s">
        <v>13</v>
      </c>
      <c r="G24" t="s">
        <v>70</v>
      </c>
      <c r="J24" t="s">
        <v>13</v>
      </c>
      <c r="P24" t="s">
        <v>23</v>
      </c>
      <c r="Q24" t="s">
        <v>47</v>
      </c>
      <c r="R24" t="s">
        <v>26</v>
      </c>
      <c r="S24" t="s">
        <v>48</v>
      </c>
      <c r="T24" t="s">
        <v>28</v>
      </c>
      <c r="U24" t="s">
        <v>37</v>
      </c>
    </row>
    <row r="25" spans="2:21">
      <c r="B25">
        <v>19</v>
      </c>
      <c r="C25" t="s">
        <v>100</v>
      </c>
      <c r="D25" t="s">
        <v>101</v>
      </c>
      <c r="E25" t="s">
        <v>63</v>
      </c>
      <c r="F25" t="s">
        <v>13</v>
      </c>
      <c r="G25" t="s">
        <v>78</v>
      </c>
      <c r="J25" t="s">
        <v>13</v>
      </c>
      <c r="P25" t="s">
        <v>24</v>
      </c>
      <c r="Q25" t="s">
        <v>25</v>
      </c>
      <c r="R25" t="s">
        <v>41</v>
      </c>
      <c r="S25" t="s">
        <v>27</v>
      </c>
      <c r="T25" t="s">
        <v>49</v>
      </c>
      <c r="U25" t="s">
        <v>50</v>
      </c>
    </row>
    <row r="26" spans="2:21">
      <c r="B26">
        <v>20</v>
      </c>
      <c r="C26" t="s">
        <v>102</v>
      </c>
      <c r="D26" t="s">
        <v>101</v>
      </c>
      <c r="E26" t="s">
        <v>71</v>
      </c>
      <c r="F26" t="s">
        <v>13</v>
      </c>
      <c r="G26" t="s">
        <v>86</v>
      </c>
      <c r="J26" t="s">
        <v>13</v>
      </c>
    </row>
    <row r="27" spans="2:21">
      <c r="B27">
        <v>21</v>
      </c>
      <c r="C27" t="s">
        <v>103</v>
      </c>
      <c r="D27" t="s">
        <v>104</v>
      </c>
      <c r="E27" t="s">
        <v>80</v>
      </c>
      <c r="F27" t="s">
        <v>13</v>
      </c>
      <c r="G27" t="s">
        <v>88</v>
      </c>
      <c r="J27" t="s">
        <v>13</v>
      </c>
      <c r="P27" t="s">
        <v>53</v>
      </c>
      <c r="Q27" t="s">
        <v>54</v>
      </c>
      <c r="R27" t="s">
        <v>55</v>
      </c>
      <c r="S27" t="s">
        <v>56</v>
      </c>
      <c r="T27" t="s">
        <v>57</v>
      </c>
      <c r="U27" t="s">
        <v>58</v>
      </c>
    </row>
    <row r="28" spans="2:21">
      <c r="B28">
        <v>22</v>
      </c>
      <c r="C28" t="s">
        <v>105</v>
      </c>
      <c r="D28" t="s">
        <v>104</v>
      </c>
      <c r="E28" t="s">
        <v>65</v>
      </c>
      <c r="F28" t="s">
        <v>13</v>
      </c>
      <c r="G28" t="s">
        <v>73</v>
      </c>
      <c r="J28" t="s">
        <v>13</v>
      </c>
      <c r="P28" t="s">
        <v>83</v>
      </c>
      <c r="Q28" t="s">
        <v>84</v>
      </c>
      <c r="R28" t="s">
        <v>62</v>
      </c>
      <c r="S28" t="s">
        <v>63</v>
      </c>
      <c r="T28" t="s">
        <v>64</v>
      </c>
      <c r="U28" t="s">
        <v>80</v>
      </c>
    </row>
    <row r="29" spans="2:21">
      <c r="B29">
        <v>23</v>
      </c>
      <c r="C29" t="s">
        <v>106</v>
      </c>
      <c r="D29" t="s">
        <v>107</v>
      </c>
      <c r="E29" t="s">
        <v>64</v>
      </c>
      <c r="F29" t="s">
        <v>13</v>
      </c>
      <c r="G29" t="s">
        <v>87</v>
      </c>
      <c r="J29" t="s">
        <v>13</v>
      </c>
      <c r="P29" t="s">
        <v>75</v>
      </c>
      <c r="Q29" t="s">
        <v>69</v>
      </c>
      <c r="R29" t="s">
        <v>77</v>
      </c>
      <c r="S29" t="s">
        <v>78</v>
      </c>
      <c r="T29" t="s">
        <v>87</v>
      </c>
      <c r="U29" t="s">
        <v>88</v>
      </c>
    </row>
    <row r="30" spans="2:21">
      <c r="B30">
        <v>24</v>
      </c>
      <c r="C30" t="s">
        <v>108</v>
      </c>
      <c r="D30" t="s">
        <v>107</v>
      </c>
      <c r="E30" t="s">
        <v>79</v>
      </c>
      <c r="F30" t="s">
        <v>13</v>
      </c>
      <c r="G30" t="s">
        <v>72</v>
      </c>
      <c r="J30" t="s">
        <v>13</v>
      </c>
      <c r="P30" t="s">
        <v>60</v>
      </c>
      <c r="Q30" t="s">
        <v>61</v>
      </c>
      <c r="R30" t="s">
        <v>85</v>
      </c>
      <c r="S30" t="s">
        <v>71</v>
      </c>
      <c r="T30" t="s">
        <v>79</v>
      </c>
      <c r="U30" t="s">
        <v>65</v>
      </c>
    </row>
    <row r="31" spans="2:21">
      <c r="B31">
        <v>25</v>
      </c>
      <c r="C31" t="s">
        <v>109</v>
      </c>
      <c r="D31" t="s">
        <v>11</v>
      </c>
      <c r="E31" t="s">
        <v>24</v>
      </c>
      <c r="F31" t="s">
        <v>13</v>
      </c>
      <c r="G31" t="s">
        <v>14</v>
      </c>
      <c r="J31" t="s">
        <v>13</v>
      </c>
      <c r="P31" t="s">
        <v>68</v>
      </c>
      <c r="Q31" t="s">
        <v>76</v>
      </c>
      <c r="R31" t="s">
        <v>70</v>
      </c>
      <c r="S31" t="s">
        <v>86</v>
      </c>
      <c r="T31" t="s">
        <v>72</v>
      </c>
      <c r="U31" t="s">
        <v>73</v>
      </c>
    </row>
    <row r="32" spans="2:21">
      <c r="B32">
        <v>26</v>
      </c>
      <c r="C32" t="s">
        <v>110</v>
      </c>
      <c r="D32" t="s">
        <v>31</v>
      </c>
      <c r="E32" t="s">
        <v>25</v>
      </c>
      <c r="F32" t="s">
        <v>13</v>
      </c>
      <c r="G32" t="s">
        <v>33</v>
      </c>
      <c r="J32" t="s">
        <v>13</v>
      </c>
    </row>
    <row r="33" spans="2:10">
      <c r="B33">
        <v>27</v>
      </c>
      <c r="C33" t="s">
        <v>111</v>
      </c>
      <c r="D33" t="s">
        <v>31</v>
      </c>
      <c r="E33" t="s">
        <v>32</v>
      </c>
      <c r="F33" t="s">
        <v>13</v>
      </c>
      <c r="G33" t="s">
        <v>47</v>
      </c>
      <c r="J33" t="s">
        <v>13</v>
      </c>
    </row>
    <row r="34" spans="2:10">
      <c r="B34">
        <v>28</v>
      </c>
      <c r="C34" t="s">
        <v>112</v>
      </c>
      <c r="D34" t="s">
        <v>11</v>
      </c>
      <c r="E34" t="s">
        <v>12</v>
      </c>
      <c r="F34" t="s">
        <v>13</v>
      </c>
      <c r="G34" t="s">
        <v>23</v>
      </c>
      <c r="J34" t="s">
        <v>13</v>
      </c>
    </row>
    <row r="35" spans="2:10">
      <c r="B35">
        <v>29</v>
      </c>
      <c r="C35" t="s">
        <v>113</v>
      </c>
      <c r="D35" t="s">
        <v>45</v>
      </c>
      <c r="E35" t="s">
        <v>26</v>
      </c>
      <c r="F35" t="s">
        <v>13</v>
      </c>
      <c r="G35" t="s">
        <v>46</v>
      </c>
      <c r="J35" t="s">
        <v>13</v>
      </c>
    </row>
    <row r="36" spans="2:10">
      <c r="B36">
        <v>30</v>
      </c>
      <c r="C36" t="s">
        <v>114</v>
      </c>
      <c r="D36" t="s">
        <v>45</v>
      </c>
      <c r="E36" t="s">
        <v>34</v>
      </c>
      <c r="F36" t="s">
        <v>13</v>
      </c>
      <c r="G36" t="s">
        <v>41</v>
      </c>
      <c r="J36" t="s">
        <v>13</v>
      </c>
    </row>
    <row r="37" spans="2:10">
      <c r="B37">
        <v>31</v>
      </c>
      <c r="C37" t="s">
        <v>115</v>
      </c>
      <c r="D37" t="s">
        <v>39</v>
      </c>
      <c r="E37" t="s">
        <v>27</v>
      </c>
      <c r="F37" t="s">
        <v>13</v>
      </c>
      <c r="G37" t="s">
        <v>40</v>
      </c>
      <c r="J37" t="s">
        <v>13</v>
      </c>
    </row>
    <row r="38" spans="2:10">
      <c r="B38">
        <v>32</v>
      </c>
      <c r="C38" t="s">
        <v>116</v>
      </c>
      <c r="D38" t="s">
        <v>39</v>
      </c>
      <c r="E38" t="s">
        <v>35</v>
      </c>
      <c r="F38" t="s">
        <v>13</v>
      </c>
      <c r="G38" t="s">
        <v>48</v>
      </c>
      <c r="J38" t="s">
        <v>13</v>
      </c>
    </row>
    <row r="39" spans="2:10">
      <c r="B39">
        <v>33</v>
      </c>
      <c r="C39" t="s">
        <v>117</v>
      </c>
      <c r="D39" t="s">
        <v>67</v>
      </c>
      <c r="E39" t="s">
        <v>28</v>
      </c>
      <c r="F39" t="s">
        <v>13</v>
      </c>
      <c r="G39" t="s">
        <v>42</v>
      </c>
      <c r="J39" t="s">
        <v>13</v>
      </c>
    </row>
    <row r="40" spans="2:10">
      <c r="B40">
        <v>34</v>
      </c>
      <c r="C40" t="s">
        <v>118</v>
      </c>
      <c r="D40" t="s">
        <v>67</v>
      </c>
      <c r="E40" t="s">
        <v>36</v>
      </c>
      <c r="F40" t="s">
        <v>13</v>
      </c>
      <c r="G40" t="s">
        <v>49</v>
      </c>
      <c r="J40" t="s">
        <v>13</v>
      </c>
    </row>
    <row r="41" spans="2:10">
      <c r="B41">
        <v>35</v>
      </c>
      <c r="C41" t="s">
        <v>119</v>
      </c>
      <c r="D41" t="s">
        <v>82</v>
      </c>
      <c r="E41" t="s">
        <v>29</v>
      </c>
      <c r="F41" t="s">
        <v>13</v>
      </c>
      <c r="G41" t="s">
        <v>37</v>
      </c>
      <c r="J41" t="s">
        <v>13</v>
      </c>
    </row>
    <row r="42" spans="2:10">
      <c r="B42">
        <v>36</v>
      </c>
      <c r="C42" t="s">
        <v>120</v>
      </c>
      <c r="D42" t="s">
        <v>82</v>
      </c>
      <c r="E42" t="s">
        <v>50</v>
      </c>
      <c r="F42" t="s">
        <v>13</v>
      </c>
      <c r="G42" t="s">
        <v>43</v>
      </c>
      <c r="J42" t="s">
        <v>13</v>
      </c>
    </row>
    <row r="43" spans="2:10">
      <c r="B43">
        <v>37</v>
      </c>
      <c r="C43" t="s">
        <v>121</v>
      </c>
      <c r="D43" t="s">
        <v>91</v>
      </c>
      <c r="E43" t="s">
        <v>69</v>
      </c>
      <c r="F43" t="s">
        <v>13</v>
      </c>
      <c r="G43" t="s">
        <v>76</v>
      </c>
      <c r="J43" t="s">
        <v>13</v>
      </c>
    </row>
    <row r="44" spans="2:10">
      <c r="B44">
        <v>38</v>
      </c>
      <c r="C44" t="s">
        <v>122</v>
      </c>
      <c r="D44" t="s">
        <v>91</v>
      </c>
      <c r="E44" t="s">
        <v>61</v>
      </c>
      <c r="F44" t="s">
        <v>13</v>
      </c>
      <c r="G44" t="s">
        <v>84</v>
      </c>
      <c r="J44" t="s">
        <v>13</v>
      </c>
    </row>
    <row r="45" spans="2:10">
      <c r="B45">
        <v>39</v>
      </c>
      <c r="C45" t="s">
        <v>123</v>
      </c>
      <c r="D45" t="s">
        <v>95</v>
      </c>
      <c r="E45" t="s">
        <v>60</v>
      </c>
      <c r="F45" t="s">
        <v>13</v>
      </c>
      <c r="G45" t="s">
        <v>83</v>
      </c>
      <c r="J45" t="s">
        <v>13</v>
      </c>
    </row>
    <row r="46" spans="2:10">
      <c r="B46">
        <v>40</v>
      </c>
      <c r="C46" t="s">
        <v>124</v>
      </c>
      <c r="D46" t="s">
        <v>95</v>
      </c>
      <c r="E46" t="s">
        <v>75</v>
      </c>
      <c r="F46" t="s">
        <v>13</v>
      </c>
      <c r="G46" t="s">
        <v>68</v>
      </c>
      <c r="J46" t="s">
        <v>13</v>
      </c>
    </row>
    <row r="47" spans="2:10">
      <c r="B47">
        <v>41</v>
      </c>
      <c r="C47" t="s">
        <v>125</v>
      </c>
      <c r="D47" t="s">
        <v>98</v>
      </c>
      <c r="E47" t="s">
        <v>70</v>
      </c>
      <c r="F47" t="s">
        <v>13</v>
      </c>
      <c r="G47" t="s">
        <v>77</v>
      </c>
      <c r="J47" t="s">
        <v>13</v>
      </c>
    </row>
    <row r="48" spans="2:10">
      <c r="B48">
        <v>42</v>
      </c>
      <c r="C48" t="s">
        <v>126</v>
      </c>
      <c r="D48" t="s">
        <v>98</v>
      </c>
      <c r="E48" t="s">
        <v>62</v>
      </c>
      <c r="F48" t="s">
        <v>13</v>
      </c>
      <c r="G48" t="s">
        <v>85</v>
      </c>
      <c r="J48" t="s">
        <v>13</v>
      </c>
    </row>
    <row r="49" spans="2:10">
      <c r="B49">
        <v>43</v>
      </c>
      <c r="C49" t="s">
        <v>127</v>
      </c>
      <c r="D49" t="s">
        <v>101</v>
      </c>
      <c r="E49" t="s">
        <v>63</v>
      </c>
      <c r="F49" t="s">
        <v>13</v>
      </c>
      <c r="G49" t="s">
        <v>71</v>
      </c>
      <c r="J49" t="s">
        <v>13</v>
      </c>
    </row>
    <row r="50" spans="2:10">
      <c r="B50">
        <v>44</v>
      </c>
      <c r="C50" t="s">
        <v>128</v>
      </c>
      <c r="D50" t="s">
        <v>101</v>
      </c>
      <c r="E50" t="s">
        <v>86</v>
      </c>
      <c r="F50" t="s">
        <v>13</v>
      </c>
      <c r="G50" t="s">
        <v>78</v>
      </c>
      <c r="J50" t="s">
        <v>13</v>
      </c>
    </row>
    <row r="51" spans="2:10">
      <c r="B51">
        <v>45</v>
      </c>
      <c r="C51" t="s">
        <v>129</v>
      </c>
      <c r="D51" t="s">
        <v>104</v>
      </c>
      <c r="E51" t="s">
        <v>65</v>
      </c>
      <c r="F51" t="s">
        <v>13</v>
      </c>
      <c r="G51" t="s">
        <v>80</v>
      </c>
      <c r="J51" t="s">
        <v>13</v>
      </c>
    </row>
    <row r="52" spans="2:10">
      <c r="B52">
        <v>46</v>
      </c>
      <c r="C52" t="s">
        <v>130</v>
      </c>
      <c r="D52" t="s">
        <v>104</v>
      </c>
      <c r="E52" t="s">
        <v>88</v>
      </c>
      <c r="F52" t="s">
        <v>13</v>
      </c>
      <c r="G52" t="s">
        <v>73</v>
      </c>
      <c r="J52" t="s">
        <v>13</v>
      </c>
    </row>
    <row r="53" spans="2:10">
      <c r="B53">
        <v>47</v>
      </c>
      <c r="C53" t="s">
        <v>131</v>
      </c>
      <c r="D53" t="s">
        <v>107</v>
      </c>
      <c r="E53" t="s">
        <v>64</v>
      </c>
      <c r="F53" t="s">
        <v>13</v>
      </c>
      <c r="G53" t="s">
        <v>79</v>
      </c>
      <c r="J53" t="s">
        <v>13</v>
      </c>
    </row>
    <row r="54" spans="2:10">
      <c r="B54">
        <v>48</v>
      </c>
      <c r="C54" t="s">
        <v>132</v>
      </c>
      <c r="D54" t="s">
        <v>107</v>
      </c>
      <c r="E54" t="s">
        <v>72</v>
      </c>
      <c r="F54" t="s">
        <v>13</v>
      </c>
      <c r="G54" t="s">
        <v>87</v>
      </c>
      <c r="J54" t="s">
        <v>13</v>
      </c>
    </row>
    <row r="55" spans="2:10">
      <c r="B55">
        <v>49</v>
      </c>
      <c r="C55" t="s">
        <v>133</v>
      </c>
      <c r="D55" t="s">
        <v>45</v>
      </c>
      <c r="E55" t="s">
        <v>34</v>
      </c>
      <c r="F55" t="s">
        <v>13</v>
      </c>
      <c r="G55" t="s">
        <v>26</v>
      </c>
      <c r="J55" t="s">
        <v>13</v>
      </c>
    </row>
    <row r="56" spans="2:10">
      <c r="B56">
        <v>50</v>
      </c>
      <c r="C56" t="s">
        <v>133</v>
      </c>
      <c r="D56" t="s">
        <v>45</v>
      </c>
      <c r="E56" t="s">
        <v>41</v>
      </c>
      <c r="F56" t="s">
        <v>13</v>
      </c>
      <c r="G56" t="s">
        <v>46</v>
      </c>
      <c r="J56" t="s">
        <v>13</v>
      </c>
    </row>
    <row r="57" spans="2:10">
      <c r="B57">
        <v>51</v>
      </c>
      <c r="C57" t="s">
        <v>134</v>
      </c>
      <c r="D57" t="s">
        <v>31</v>
      </c>
      <c r="E57" t="s">
        <v>25</v>
      </c>
      <c r="F57" t="s">
        <v>13</v>
      </c>
      <c r="G57" t="s">
        <v>32</v>
      </c>
      <c r="J57" t="s">
        <v>13</v>
      </c>
    </row>
    <row r="58" spans="2:10">
      <c r="B58">
        <v>52</v>
      </c>
      <c r="C58" t="s">
        <v>134</v>
      </c>
      <c r="D58" t="s">
        <v>31</v>
      </c>
      <c r="E58" t="s">
        <v>33</v>
      </c>
      <c r="F58" t="s">
        <v>13</v>
      </c>
      <c r="G58" t="s">
        <v>47</v>
      </c>
      <c r="J58" t="s">
        <v>13</v>
      </c>
    </row>
    <row r="59" spans="2:10">
      <c r="B59">
        <v>53</v>
      </c>
      <c r="C59" t="s">
        <v>135</v>
      </c>
      <c r="D59" t="s">
        <v>11</v>
      </c>
      <c r="E59" t="s">
        <v>24</v>
      </c>
      <c r="F59" t="s">
        <v>13</v>
      </c>
      <c r="G59" t="s">
        <v>12</v>
      </c>
      <c r="J59" t="s">
        <v>13</v>
      </c>
    </row>
    <row r="60" spans="2:10">
      <c r="B60">
        <v>54</v>
      </c>
      <c r="C60" t="s">
        <v>135</v>
      </c>
      <c r="D60" t="s">
        <v>11</v>
      </c>
      <c r="E60" t="s">
        <v>14</v>
      </c>
      <c r="F60" t="s">
        <v>13</v>
      </c>
      <c r="G60" t="s">
        <v>23</v>
      </c>
      <c r="J60" t="s">
        <v>13</v>
      </c>
    </row>
    <row r="61" spans="2:10">
      <c r="B61">
        <v>55</v>
      </c>
      <c r="C61" t="s">
        <v>136</v>
      </c>
      <c r="D61" t="s">
        <v>67</v>
      </c>
      <c r="E61" t="s">
        <v>49</v>
      </c>
      <c r="F61" t="s">
        <v>13</v>
      </c>
      <c r="G61" t="s">
        <v>42</v>
      </c>
      <c r="J61" t="s">
        <v>13</v>
      </c>
    </row>
    <row r="62" spans="2:10">
      <c r="B62">
        <v>56</v>
      </c>
      <c r="C62" t="s">
        <v>136</v>
      </c>
      <c r="D62" t="s">
        <v>67</v>
      </c>
      <c r="E62" t="s">
        <v>36</v>
      </c>
      <c r="F62" t="s">
        <v>13</v>
      </c>
      <c r="G62" t="s">
        <v>28</v>
      </c>
      <c r="J62" t="s">
        <v>13</v>
      </c>
    </row>
    <row r="63" spans="2:10">
      <c r="B63">
        <v>57</v>
      </c>
      <c r="C63" t="s">
        <v>137</v>
      </c>
      <c r="D63" t="s">
        <v>82</v>
      </c>
      <c r="E63" t="s">
        <v>43</v>
      </c>
      <c r="F63" t="s">
        <v>13</v>
      </c>
      <c r="G63" t="s">
        <v>37</v>
      </c>
      <c r="J63" t="s">
        <v>13</v>
      </c>
    </row>
    <row r="64" spans="2:10">
      <c r="B64">
        <v>58</v>
      </c>
      <c r="C64" t="s">
        <v>137</v>
      </c>
      <c r="D64" t="s">
        <v>82</v>
      </c>
      <c r="E64" t="s">
        <v>50</v>
      </c>
      <c r="F64" t="s">
        <v>13</v>
      </c>
      <c r="G64" t="s">
        <v>29</v>
      </c>
      <c r="J64" t="s">
        <v>13</v>
      </c>
    </row>
    <row r="65" spans="2:10">
      <c r="B65">
        <v>59</v>
      </c>
      <c r="C65" t="s">
        <v>138</v>
      </c>
      <c r="D65" t="s">
        <v>39</v>
      </c>
      <c r="E65" t="s">
        <v>27</v>
      </c>
      <c r="F65" t="s">
        <v>13</v>
      </c>
      <c r="G65" t="s">
        <v>35</v>
      </c>
      <c r="J65" t="s">
        <v>13</v>
      </c>
    </row>
    <row r="66" spans="2:10">
      <c r="B66">
        <v>60</v>
      </c>
      <c r="C66" t="s">
        <v>138</v>
      </c>
      <c r="D66" t="s">
        <v>39</v>
      </c>
      <c r="E66" t="s">
        <v>40</v>
      </c>
      <c r="F66" t="s">
        <v>13</v>
      </c>
      <c r="G66" t="s">
        <v>48</v>
      </c>
      <c r="J66" t="s">
        <v>13</v>
      </c>
    </row>
    <row r="67" spans="2:10">
      <c r="B67">
        <v>61</v>
      </c>
      <c r="C67" t="s">
        <v>139</v>
      </c>
      <c r="D67" t="s">
        <v>98</v>
      </c>
      <c r="E67" t="s">
        <v>70</v>
      </c>
      <c r="F67" t="s">
        <v>13</v>
      </c>
      <c r="G67" t="s">
        <v>62</v>
      </c>
      <c r="J67" t="s">
        <v>13</v>
      </c>
    </row>
    <row r="68" spans="2:10">
      <c r="B68">
        <v>62</v>
      </c>
      <c r="C68" t="s">
        <v>139</v>
      </c>
      <c r="D68" t="s">
        <v>98</v>
      </c>
      <c r="E68" t="s">
        <v>77</v>
      </c>
      <c r="F68" t="s">
        <v>13</v>
      </c>
      <c r="G68" t="s">
        <v>85</v>
      </c>
      <c r="J68" t="s">
        <v>13</v>
      </c>
    </row>
    <row r="69" spans="2:10">
      <c r="B69">
        <v>63</v>
      </c>
      <c r="C69" t="s">
        <v>140</v>
      </c>
      <c r="D69" t="s">
        <v>95</v>
      </c>
      <c r="E69" t="s">
        <v>68</v>
      </c>
      <c r="F69" t="s">
        <v>13</v>
      </c>
      <c r="G69" t="s">
        <v>83</v>
      </c>
      <c r="J69" t="s">
        <v>13</v>
      </c>
    </row>
    <row r="70" spans="2:10">
      <c r="B70">
        <v>64</v>
      </c>
      <c r="C70" t="s">
        <v>140</v>
      </c>
      <c r="D70" t="s">
        <v>95</v>
      </c>
      <c r="E70" t="s">
        <v>75</v>
      </c>
      <c r="F70" t="s">
        <v>13</v>
      </c>
      <c r="G70" t="s">
        <v>60</v>
      </c>
      <c r="J70" t="s">
        <v>13</v>
      </c>
    </row>
    <row r="71" spans="2:10">
      <c r="B71">
        <v>65</v>
      </c>
      <c r="C71" t="s">
        <v>141</v>
      </c>
      <c r="D71" t="s">
        <v>91</v>
      </c>
      <c r="E71" t="s">
        <v>76</v>
      </c>
      <c r="F71" t="s">
        <v>13</v>
      </c>
      <c r="G71" t="s">
        <v>84</v>
      </c>
      <c r="J71" t="s">
        <v>13</v>
      </c>
    </row>
    <row r="72" spans="2:10">
      <c r="B72">
        <v>66</v>
      </c>
      <c r="C72" t="s">
        <v>141</v>
      </c>
      <c r="D72" t="s">
        <v>91</v>
      </c>
      <c r="E72" t="s">
        <v>69</v>
      </c>
      <c r="F72" t="s">
        <v>13</v>
      </c>
      <c r="G72" t="s">
        <v>61</v>
      </c>
      <c r="J72" t="s">
        <v>13</v>
      </c>
    </row>
    <row r="73" spans="2:10">
      <c r="B73">
        <v>67</v>
      </c>
      <c r="C73" t="s">
        <v>142</v>
      </c>
      <c r="D73" t="s">
        <v>104</v>
      </c>
      <c r="E73" t="s">
        <v>88</v>
      </c>
      <c r="F73" t="s">
        <v>13</v>
      </c>
      <c r="G73" t="s">
        <v>65</v>
      </c>
      <c r="J73" t="s">
        <v>13</v>
      </c>
    </row>
    <row r="74" spans="2:10">
      <c r="B74">
        <v>68</v>
      </c>
      <c r="C74" t="s">
        <v>142</v>
      </c>
      <c r="D74" t="s">
        <v>104</v>
      </c>
      <c r="E74" t="s">
        <v>73</v>
      </c>
      <c r="F74" t="s">
        <v>13</v>
      </c>
      <c r="G74" t="s">
        <v>80</v>
      </c>
      <c r="J74" t="s">
        <v>13</v>
      </c>
    </row>
    <row r="75" spans="2:10">
      <c r="B75">
        <v>69</v>
      </c>
      <c r="C75" t="s">
        <v>143</v>
      </c>
      <c r="D75" t="s">
        <v>101</v>
      </c>
      <c r="E75" t="s">
        <v>78</v>
      </c>
      <c r="F75" t="s">
        <v>13</v>
      </c>
      <c r="G75" t="s">
        <v>71</v>
      </c>
      <c r="J75" t="s">
        <v>13</v>
      </c>
    </row>
    <row r="76" spans="2:10">
      <c r="B76">
        <v>70</v>
      </c>
      <c r="C76" t="s">
        <v>143</v>
      </c>
      <c r="D76" t="s">
        <v>101</v>
      </c>
      <c r="E76" t="s">
        <v>86</v>
      </c>
      <c r="F76" t="s">
        <v>13</v>
      </c>
      <c r="G76" t="s">
        <v>63</v>
      </c>
      <c r="J76" t="s">
        <v>13</v>
      </c>
    </row>
    <row r="77" spans="2:10">
      <c r="B77">
        <v>71</v>
      </c>
      <c r="C77" t="s">
        <v>144</v>
      </c>
      <c r="D77" t="s">
        <v>107</v>
      </c>
      <c r="E77" t="s">
        <v>72</v>
      </c>
      <c r="F77" t="s">
        <v>13</v>
      </c>
      <c r="G77" t="s">
        <v>64</v>
      </c>
      <c r="J77" t="s">
        <v>13</v>
      </c>
    </row>
    <row r="78" spans="2:10">
      <c r="B78">
        <v>72</v>
      </c>
      <c r="C78" t="s">
        <v>144</v>
      </c>
      <c r="D78" t="s">
        <v>107</v>
      </c>
      <c r="E78" t="s">
        <v>87</v>
      </c>
      <c r="F78" t="s">
        <v>13</v>
      </c>
      <c r="G78" t="s">
        <v>79</v>
      </c>
      <c r="J78" t="s">
        <v>13</v>
      </c>
    </row>
    <row r="79" spans="2:10">
      <c r="D79" t="s">
        <v>145</v>
      </c>
      <c r="F79" t="s">
        <v>13</v>
      </c>
    </row>
    <row r="80" spans="2:10">
      <c r="D80" t="s">
        <v>146</v>
      </c>
      <c r="F80" t="s">
        <v>13</v>
      </c>
    </row>
    <row r="82" spans="12:12">
      <c r="L82" t="s">
        <v>147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U82"/>
  <sheetViews>
    <sheetView workbookViewId="0"/>
  </sheetViews>
  <sheetFormatPr defaultRowHeight="15"/>
  <sheetData>
    <row r="2" spans="2:21">
      <c r="G2" t="s">
        <v>0</v>
      </c>
    </row>
    <row r="4" spans="2:21">
      <c r="B4" t="s">
        <v>2</v>
      </c>
    </row>
    <row r="6" spans="2:21">
      <c r="C6" t="s">
        <v>3</v>
      </c>
      <c r="D6" t="s">
        <v>4</v>
      </c>
      <c r="F6" t="s">
        <v>5</v>
      </c>
      <c r="J6" t="s">
        <v>6</v>
      </c>
      <c r="L6" t="s">
        <v>7</v>
      </c>
      <c r="M6" t="s">
        <v>8</v>
      </c>
      <c r="O6" t="s">
        <v>9</v>
      </c>
    </row>
    <row r="7" spans="2:21">
      <c r="B7">
        <v>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J7" t="s">
        <v>13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 t="s">
        <v>21</v>
      </c>
    </row>
    <row r="8" spans="2:21">
      <c r="B8">
        <v>2</v>
      </c>
      <c r="C8" t="s">
        <v>22</v>
      </c>
      <c r="D8" t="s">
        <v>11</v>
      </c>
      <c r="E8" t="s">
        <v>23</v>
      </c>
      <c r="F8" t="s">
        <v>13</v>
      </c>
      <c r="G8" t="s">
        <v>24</v>
      </c>
      <c r="J8" t="s">
        <v>13</v>
      </c>
      <c r="O8">
        <v>1</v>
      </c>
    </row>
    <row r="9" spans="2:21">
      <c r="B9">
        <v>3</v>
      </c>
      <c r="C9" t="s">
        <v>30</v>
      </c>
      <c r="D9" t="s">
        <v>31</v>
      </c>
      <c r="E9" t="s">
        <v>32</v>
      </c>
      <c r="F9" t="s">
        <v>13</v>
      </c>
      <c r="G9" t="s">
        <v>33</v>
      </c>
      <c r="J9" t="s">
        <v>13</v>
      </c>
      <c r="O9">
        <v>2</v>
      </c>
    </row>
    <row r="10" spans="2:21">
      <c r="B10">
        <v>4</v>
      </c>
      <c r="C10" t="s">
        <v>38</v>
      </c>
      <c r="D10" t="s">
        <v>39</v>
      </c>
      <c r="E10" t="s">
        <v>35</v>
      </c>
      <c r="F10" t="s">
        <v>13</v>
      </c>
      <c r="G10" t="s">
        <v>40</v>
      </c>
      <c r="J10" t="s">
        <v>13</v>
      </c>
      <c r="O10">
        <v>3</v>
      </c>
    </row>
    <row r="11" spans="2:21">
      <c r="B11">
        <v>5</v>
      </c>
      <c r="C11" t="s">
        <v>44</v>
      </c>
      <c r="D11" t="s">
        <v>45</v>
      </c>
      <c r="E11" t="s">
        <v>46</v>
      </c>
      <c r="F11" t="s">
        <v>13</v>
      </c>
      <c r="G11" t="s">
        <v>34</v>
      </c>
      <c r="J11" t="s">
        <v>13</v>
      </c>
      <c r="O11">
        <v>4</v>
      </c>
    </row>
    <row r="12" spans="2:21">
      <c r="B12">
        <v>6</v>
      </c>
      <c r="C12" t="s">
        <v>51</v>
      </c>
      <c r="D12" t="s">
        <v>39</v>
      </c>
      <c r="E12" t="s">
        <v>48</v>
      </c>
      <c r="F12" t="s">
        <v>13</v>
      </c>
      <c r="G12" t="s">
        <v>27</v>
      </c>
      <c r="J12" t="s">
        <v>13</v>
      </c>
    </row>
    <row r="13" spans="2:21">
      <c r="B13">
        <v>7</v>
      </c>
      <c r="C13" t="s">
        <v>52</v>
      </c>
      <c r="D13" t="s">
        <v>45</v>
      </c>
      <c r="E13" t="s">
        <v>26</v>
      </c>
      <c r="F13" t="s">
        <v>13</v>
      </c>
      <c r="G13" t="s">
        <v>41</v>
      </c>
      <c r="J13" t="s">
        <v>13</v>
      </c>
      <c r="O13" t="s">
        <v>15</v>
      </c>
      <c r="P13" t="s">
        <v>53</v>
      </c>
      <c r="Q13" t="s">
        <v>54</v>
      </c>
      <c r="R13" t="s">
        <v>55</v>
      </c>
      <c r="S13" t="s">
        <v>56</v>
      </c>
      <c r="T13" t="s">
        <v>57</v>
      </c>
      <c r="U13" t="s">
        <v>58</v>
      </c>
    </row>
    <row r="14" spans="2:21">
      <c r="B14">
        <v>8</v>
      </c>
      <c r="C14" t="s">
        <v>59</v>
      </c>
      <c r="D14" t="s">
        <v>31</v>
      </c>
      <c r="E14" t="s">
        <v>47</v>
      </c>
      <c r="F14" t="s">
        <v>13</v>
      </c>
      <c r="G14" t="s">
        <v>25</v>
      </c>
      <c r="J14" t="s">
        <v>13</v>
      </c>
      <c r="O14">
        <v>1</v>
      </c>
    </row>
    <row r="15" spans="2:21">
      <c r="B15">
        <v>9</v>
      </c>
      <c r="C15" t="s">
        <v>66</v>
      </c>
      <c r="D15" t="s">
        <v>67</v>
      </c>
      <c r="E15" t="s">
        <v>42</v>
      </c>
      <c r="F15" t="s">
        <v>13</v>
      </c>
      <c r="G15" t="s">
        <v>36</v>
      </c>
      <c r="J15" t="s">
        <v>13</v>
      </c>
      <c r="O15">
        <v>2</v>
      </c>
    </row>
    <row r="16" spans="2:21">
      <c r="B16">
        <v>10</v>
      </c>
      <c r="C16" t="s">
        <v>74</v>
      </c>
      <c r="D16" t="s">
        <v>67</v>
      </c>
      <c r="E16" t="s">
        <v>28</v>
      </c>
      <c r="F16" t="s">
        <v>13</v>
      </c>
      <c r="G16" t="s">
        <v>49</v>
      </c>
      <c r="J16" t="s">
        <v>13</v>
      </c>
      <c r="O16">
        <v>3</v>
      </c>
    </row>
    <row r="17" spans="2:21">
      <c r="B17">
        <v>11</v>
      </c>
      <c r="C17" t="s">
        <v>81</v>
      </c>
      <c r="D17" t="s">
        <v>82</v>
      </c>
      <c r="E17" t="s">
        <v>29</v>
      </c>
      <c r="F17" t="s">
        <v>13</v>
      </c>
      <c r="G17" t="s">
        <v>43</v>
      </c>
      <c r="J17" t="s">
        <v>13</v>
      </c>
      <c r="O17">
        <v>4</v>
      </c>
    </row>
    <row r="18" spans="2:21">
      <c r="B18">
        <v>12</v>
      </c>
      <c r="C18" t="s">
        <v>89</v>
      </c>
      <c r="D18" t="s">
        <v>82</v>
      </c>
      <c r="E18" t="s">
        <v>37</v>
      </c>
      <c r="F18" t="s">
        <v>13</v>
      </c>
      <c r="G18" t="s">
        <v>50</v>
      </c>
      <c r="J18" t="s">
        <v>13</v>
      </c>
    </row>
    <row r="19" spans="2:21">
      <c r="B19">
        <v>13</v>
      </c>
      <c r="C19" t="s">
        <v>90</v>
      </c>
      <c r="D19" t="s">
        <v>91</v>
      </c>
      <c r="E19" t="s">
        <v>84</v>
      </c>
      <c r="F19" t="s">
        <v>13</v>
      </c>
      <c r="G19" t="s">
        <v>69</v>
      </c>
      <c r="J19" t="s">
        <v>13</v>
      </c>
    </row>
    <row r="20" spans="2:21">
      <c r="B20">
        <v>14</v>
      </c>
      <c r="C20" t="s">
        <v>92</v>
      </c>
      <c r="D20" t="s">
        <v>91</v>
      </c>
      <c r="E20" t="s">
        <v>61</v>
      </c>
      <c r="F20" t="s">
        <v>13</v>
      </c>
      <c r="G20" t="s">
        <v>76</v>
      </c>
      <c r="J20" t="s">
        <v>13</v>
      </c>
      <c r="O20" t="s">
        <v>93</v>
      </c>
    </row>
    <row r="21" spans="2:21">
      <c r="B21">
        <v>15</v>
      </c>
      <c r="C21" t="s">
        <v>94</v>
      </c>
      <c r="D21" t="s">
        <v>95</v>
      </c>
      <c r="E21" t="s">
        <v>83</v>
      </c>
      <c r="F21" t="s">
        <v>13</v>
      </c>
      <c r="G21" t="s">
        <v>75</v>
      </c>
      <c r="J21" t="s">
        <v>13</v>
      </c>
      <c r="P21" t="s">
        <v>16</v>
      </c>
      <c r="Q21" t="s">
        <v>17</v>
      </c>
      <c r="R21" t="s">
        <v>18</v>
      </c>
      <c r="S21" t="s">
        <v>19</v>
      </c>
      <c r="T21" t="s">
        <v>20</v>
      </c>
      <c r="U21" t="s">
        <v>21</v>
      </c>
    </row>
    <row r="22" spans="2:21">
      <c r="B22">
        <v>16</v>
      </c>
      <c r="C22" t="s">
        <v>96</v>
      </c>
      <c r="D22" t="s">
        <v>95</v>
      </c>
      <c r="E22" t="s">
        <v>60</v>
      </c>
      <c r="F22" t="s">
        <v>13</v>
      </c>
      <c r="G22" t="s">
        <v>68</v>
      </c>
      <c r="J22" t="s">
        <v>13</v>
      </c>
      <c r="P22" t="s">
        <v>12</v>
      </c>
      <c r="Q22" t="s">
        <v>32</v>
      </c>
      <c r="R22" t="s">
        <v>46</v>
      </c>
      <c r="S22" t="s">
        <v>35</v>
      </c>
      <c r="T22" t="s">
        <v>42</v>
      </c>
      <c r="U22" t="s">
        <v>29</v>
      </c>
    </row>
    <row r="23" spans="2:21">
      <c r="B23">
        <v>17</v>
      </c>
      <c r="C23" t="s">
        <v>97</v>
      </c>
      <c r="D23" t="s">
        <v>98</v>
      </c>
      <c r="E23" t="s">
        <v>62</v>
      </c>
      <c r="F23" t="s">
        <v>13</v>
      </c>
      <c r="G23" t="s">
        <v>77</v>
      </c>
      <c r="J23" t="s">
        <v>13</v>
      </c>
      <c r="P23" t="s">
        <v>14</v>
      </c>
      <c r="Q23" t="s">
        <v>33</v>
      </c>
      <c r="R23" t="s">
        <v>34</v>
      </c>
      <c r="S23" t="s">
        <v>40</v>
      </c>
      <c r="T23" t="s">
        <v>36</v>
      </c>
      <c r="U23" t="s">
        <v>43</v>
      </c>
    </row>
    <row r="24" spans="2:21">
      <c r="B24">
        <v>18</v>
      </c>
      <c r="C24" t="s">
        <v>99</v>
      </c>
      <c r="D24" t="s">
        <v>98</v>
      </c>
      <c r="E24" t="s">
        <v>85</v>
      </c>
      <c r="F24" t="s">
        <v>13</v>
      </c>
      <c r="G24" t="s">
        <v>70</v>
      </c>
      <c r="J24" t="s">
        <v>13</v>
      </c>
      <c r="P24" t="s">
        <v>23</v>
      </c>
      <c r="Q24" t="s">
        <v>47</v>
      </c>
      <c r="R24" t="s">
        <v>26</v>
      </c>
      <c r="S24" t="s">
        <v>48</v>
      </c>
      <c r="T24" t="s">
        <v>28</v>
      </c>
      <c r="U24" t="s">
        <v>37</v>
      </c>
    </row>
    <row r="25" spans="2:21">
      <c r="B25">
        <v>19</v>
      </c>
      <c r="C25" t="s">
        <v>100</v>
      </c>
      <c r="D25" t="s">
        <v>101</v>
      </c>
      <c r="E25" t="s">
        <v>63</v>
      </c>
      <c r="F25" t="s">
        <v>13</v>
      </c>
      <c r="G25" t="s">
        <v>78</v>
      </c>
      <c r="J25" t="s">
        <v>13</v>
      </c>
      <c r="P25" t="s">
        <v>24</v>
      </c>
      <c r="Q25" t="s">
        <v>25</v>
      </c>
      <c r="R25" t="s">
        <v>41</v>
      </c>
      <c r="S25" t="s">
        <v>27</v>
      </c>
      <c r="T25" t="s">
        <v>49</v>
      </c>
      <c r="U25" t="s">
        <v>50</v>
      </c>
    </row>
    <row r="26" spans="2:21">
      <c r="B26">
        <v>20</v>
      </c>
      <c r="C26" t="s">
        <v>102</v>
      </c>
      <c r="D26" t="s">
        <v>101</v>
      </c>
      <c r="E26" t="s">
        <v>71</v>
      </c>
      <c r="F26" t="s">
        <v>13</v>
      </c>
      <c r="G26" t="s">
        <v>86</v>
      </c>
      <c r="J26" t="s">
        <v>13</v>
      </c>
    </row>
    <row r="27" spans="2:21">
      <c r="B27">
        <v>21</v>
      </c>
      <c r="C27" t="s">
        <v>103</v>
      </c>
      <c r="D27" t="s">
        <v>104</v>
      </c>
      <c r="E27" t="s">
        <v>80</v>
      </c>
      <c r="F27" t="s">
        <v>13</v>
      </c>
      <c r="G27" t="s">
        <v>88</v>
      </c>
      <c r="J27" t="s">
        <v>13</v>
      </c>
      <c r="P27" t="s">
        <v>53</v>
      </c>
      <c r="Q27" t="s">
        <v>54</v>
      </c>
      <c r="R27" t="s">
        <v>55</v>
      </c>
      <c r="S27" t="s">
        <v>56</v>
      </c>
      <c r="T27" t="s">
        <v>57</v>
      </c>
      <c r="U27" t="s">
        <v>58</v>
      </c>
    </row>
    <row r="28" spans="2:21">
      <c r="B28">
        <v>22</v>
      </c>
      <c r="C28" t="s">
        <v>105</v>
      </c>
      <c r="D28" t="s">
        <v>104</v>
      </c>
      <c r="E28" t="s">
        <v>65</v>
      </c>
      <c r="F28" t="s">
        <v>13</v>
      </c>
      <c r="G28" t="s">
        <v>73</v>
      </c>
      <c r="J28" t="s">
        <v>13</v>
      </c>
      <c r="P28" t="s">
        <v>83</v>
      </c>
      <c r="Q28" t="s">
        <v>84</v>
      </c>
      <c r="R28" t="s">
        <v>62</v>
      </c>
      <c r="S28" t="s">
        <v>63</v>
      </c>
      <c r="T28" t="s">
        <v>64</v>
      </c>
      <c r="U28" t="s">
        <v>80</v>
      </c>
    </row>
    <row r="29" spans="2:21">
      <c r="B29">
        <v>23</v>
      </c>
      <c r="C29" t="s">
        <v>106</v>
      </c>
      <c r="D29" t="s">
        <v>107</v>
      </c>
      <c r="E29" t="s">
        <v>64</v>
      </c>
      <c r="F29" t="s">
        <v>13</v>
      </c>
      <c r="G29" t="s">
        <v>87</v>
      </c>
      <c r="J29" t="s">
        <v>13</v>
      </c>
      <c r="P29" t="s">
        <v>75</v>
      </c>
      <c r="Q29" t="s">
        <v>69</v>
      </c>
      <c r="R29" t="s">
        <v>77</v>
      </c>
      <c r="S29" t="s">
        <v>78</v>
      </c>
      <c r="T29" t="s">
        <v>87</v>
      </c>
      <c r="U29" t="s">
        <v>88</v>
      </c>
    </row>
    <row r="30" spans="2:21">
      <c r="B30">
        <v>24</v>
      </c>
      <c r="C30" t="s">
        <v>108</v>
      </c>
      <c r="D30" t="s">
        <v>107</v>
      </c>
      <c r="E30" t="s">
        <v>79</v>
      </c>
      <c r="F30" t="s">
        <v>13</v>
      </c>
      <c r="G30" t="s">
        <v>72</v>
      </c>
      <c r="J30" t="s">
        <v>13</v>
      </c>
      <c r="P30" t="s">
        <v>60</v>
      </c>
      <c r="Q30" t="s">
        <v>61</v>
      </c>
      <c r="R30" t="s">
        <v>85</v>
      </c>
      <c r="S30" t="s">
        <v>71</v>
      </c>
      <c r="T30" t="s">
        <v>79</v>
      </c>
      <c r="U30" t="s">
        <v>65</v>
      </c>
    </row>
    <row r="31" spans="2:21">
      <c r="B31">
        <v>25</v>
      </c>
      <c r="C31" t="s">
        <v>109</v>
      </c>
      <c r="D31" t="s">
        <v>11</v>
      </c>
      <c r="E31" t="s">
        <v>24</v>
      </c>
      <c r="F31" t="s">
        <v>13</v>
      </c>
      <c r="G31" t="s">
        <v>14</v>
      </c>
      <c r="J31" t="s">
        <v>13</v>
      </c>
      <c r="P31" t="s">
        <v>68</v>
      </c>
      <c r="Q31" t="s">
        <v>76</v>
      </c>
      <c r="R31" t="s">
        <v>70</v>
      </c>
      <c r="S31" t="s">
        <v>86</v>
      </c>
      <c r="T31" t="s">
        <v>72</v>
      </c>
      <c r="U31" t="s">
        <v>73</v>
      </c>
    </row>
    <row r="32" spans="2:21">
      <c r="B32">
        <v>26</v>
      </c>
      <c r="C32" t="s">
        <v>110</v>
      </c>
      <c r="D32" t="s">
        <v>31</v>
      </c>
      <c r="E32" t="s">
        <v>25</v>
      </c>
      <c r="F32" t="s">
        <v>13</v>
      </c>
      <c r="G32" t="s">
        <v>33</v>
      </c>
      <c r="J32" t="s">
        <v>13</v>
      </c>
    </row>
    <row r="33" spans="2:10">
      <c r="B33">
        <v>27</v>
      </c>
      <c r="C33" t="s">
        <v>111</v>
      </c>
      <c r="D33" t="s">
        <v>31</v>
      </c>
      <c r="E33" t="s">
        <v>32</v>
      </c>
      <c r="F33" t="s">
        <v>13</v>
      </c>
      <c r="G33" t="s">
        <v>47</v>
      </c>
      <c r="J33" t="s">
        <v>13</v>
      </c>
    </row>
    <row r="34" spans="2:10">
      <c r="B34">
        <v>28</v>
      </c>
      <c r="C34" t="s">
        <v>112</v>
      </c>
      <c r="D34" t="s">
        <v>11</v>
      </c>
      <c r="E34" t="s">
        <v>12</v>
      </c>
      <c r="F34" t="s">
        <v>13</v>
      </c>
      <c r="G34" t="s">
        <v>23</v>
      </c>
      <c r="J34" t="s">
        <v>13</v>
      </c>
    </row>
    <row r="35" spans="2:10">
      <c r="B35">
        <v>29</v>
      </c>
      <c r="C35" t="s">
        <v>113</v>
      </c>
      <c r="D35" t="s">
        <v>45</v>
      </c>
      <c r="E35" t="s">
        <v>26</v>
      </c>
      <c r="F35" t="s">
        <v>13</v>
      </c>
      <c r="G35" t="s">
        <v>46</v>
      </c>
      <c r="J35" t="s">
        <v>13</v>
      </c>
    </row>
    <row r="36" spans="2:10">
      <c r="B36">
        <v>30</v>
      </c>
      <c r="C36" t="s">
        <v>114</v>
      </c>
      <c r="D36" t="s">
        <v>45</v>
      </c>
      <c r="E36" t="s">
        <v>34</v>
      </c>
      <c r="F36" t="s">
        <v>13</v>
      </c>
      <c r="G36" t="s">
        <v>41</v>
      </c>
      <c r="J36" t="s">
        <v>13</v>
      </c>
    </row>
    <row r="37" spans="2:10">
      <c r="B37">
        <v>31</v>
      </c>
      <c r="C37" t="s">
        <v>115</v>
      </c>
      <c r="D37" t="s">
        <v>39</v>
      </c>
      <c r="E37" t="s">
        <v>27</v>
      </c>
      <c r="F37" t="s">
        <v>13</v>
      </c>
      <c r="G37" t="s">
        <v>40</v>
      </c>
      <c r="J37" t="s">
        <v>13</v>
      </c>
    </row>
    <row r="38" spans="2:10">
      <c r="B38">
        <v>32</v>
      </c>
      <c r="C38" t="s">
        <v>116</v>
      </c>
      <c r="D38" t="s">
        <v>39</v>
      </c>
      <c r="E38" t="s">
        <v>35</v>
      </c>
      <c r="F38" t="s">
        <v>13</v>
      </c>
      <c r="G38" t="s">
        <v>48</v>
      </c>
      <c r="J38" t="s">
        <v>13</v>
      </c>
    </row>
    <row r="39" spans="2:10">
      <c r="B39">
        <v>33</v>
      </c>
      <c r="C39" t="s">
        <v>117</v>
      </c>
      <c r="D39" t="s">
        <v>67</v>
      </c>
      <c r="E39" t="s">
        <v>28</v>
      </c>
      <c r="F39" t="s">
        <v>13</v>
      </c>
      <c r="G39" t="s">
        <v>42</v>
      </c>
      <c r="J39" t="s">
        <v>13</v>
      </c>
    </row>
    <row r="40" spans="2:10">
      <c r="B40">
        <v>34</v>
      </c>
      <c r="C40" t="s">
        <v>118</v>
      </c>
      <c r="D40" t="s">
        <v>67</v>
      </c>
      <c r="E40" t="s">
        <v>36</v>
      </c>
      <c r="F40" t="s">
        <v>13</v>
      </c>
      <c r="G40" t="s">
        <v>49</v>
      </c>
      <c r="J40" t="s">
        <v>13</v>
      </c>
    </row>
    <row r="41" spans="2:10">
      <c r="B41">
        <v>35</v>
      </c>
      <c r="C41" t="s">
        <v>119</v>
      </c>
      <c r="D41" t="s">
        <v>82</v>
      </c>
      <c r="E41" t="s">
        <v>29</v>
      </c>
      <c r="F41" t="s">
        <v>13</v>
      </c>
      <c r="G41" t="s">
        <v>37</v>
      </c>
      <c r="J41" t="s">
        <v>13</v>
      </c>
    </row>
    <row r="42" spans="2:10">
      <c r="B42">
        <v>36</v>
      </c>
      <c r="C42" t="s">
        <v>120</v>
      </c>
      <c r="D42" t="s">
        <v>82</v>
      </c>
      <c r="E42" t="s">
        <v>50</v>
      </c>
      <c r="F42" t="s">
        <v>13</v>
      </c>
      <c r="G42" t="s">
        <v>43</v>
      </c>
      <c r="J42" t="s">
        <v>13</v>
      </c>
    </row>
    <row r="43" spans="2:10">
      <c r="B43">
        <v>37</v>
      </c>
      <c r="C43" t="s">
        <v>121</v>
      </c>
      <c r="D43" t="s">
        <v>91</v>
      </c>
      <c r="E43" t="s">
        <v>69</v>
      </c>
      <c r="F43" t="s">
        <v>13</v>
      </c>
      <c r="G43" t="s">
        <v>76</v>
      </c>
      <c r="J43" t="s">
        <v>13</v>
      </c>
    </row>
    <row r="44" spans="2:10">
      <c r="B44">
        <v>38</v>
      </c>
      <c r="C44" t="s">
        <v>122</v>
      </c>
      <c r="D44" t="s">
        <v>91</v>
      </c>
      <c r="E44" t="s">
        <v>61</v>
      </c>
      <c r="F44" t="s">
        <v>13</v>
      </c>
      <c r="G44" t="s">
        <v>84</v>
      </c>
      <c r="J44" t="s">
        <v>13</v>
      </c>
    </row>
    <row r="45" spans="2:10">
      <c r="B45">
        <v>39</v>
      </c>
      <c r="C45" t="s">
        <v>123</v>
      </c>
      <c r="D45" t="s">
        <v>95</v>
      </c>
      <c r="E45" t="s">
        <v>60</v>
      </c>
      <c r="F45" t="s">
        <v>13</v>
      </c>
      <c r="G45" t="s">
        <v>83</v>
      </c>
      <c r="J45" t="s">
        <v>13</v>
      </c>
    </row>
    <row r="46" spans="2:10">
      <c r="B46">
        <v>40</v>
      </c>
      <c r="C46" t="s">
        <v>124</v>
      </c>
      <c r="D46" t="s">
        <v>95</v>
      </c>
      <c r="E46" t="s">
        <v>75</v>
      </c>
      <c r="F46" t="s">
        <v>13</v>
      </c>
      <c r="G46" t="s">
        <v>68</v>
      </c>
      <c r="J46" t="s">
        <v>13</v>
      </c>
    </row>
    <row r="47" spans="2:10">
      <c r="B47">
        <v>41</v>
      </c>
      <c r="C47" t="s">
        <v>125</v>
      </c>
      <c r="D47" t="s">
        <v>98</v>
      </c>
      <c r="E47" t="s">
        <v>70</v>
      </c>
      <c r="F47" t="s">
        <v>13</v>
      </c>
      <c r="G47" t="s">
        <v>77</v>
      </c>
      <c r="J47" t="s">
        <v>13</v>
      </c>
    </row>
    <row r="48" spans="2:10">
      <c r="B48">
        <v>42</v>
      </c>
      <c r="C48" t="s">
        <v>126</v>
      </c>
      <c r="D48" t="s">
        <v>98</v>
      </c>
      <c r="E48" t="s">
        <v>62</v>
      </c>
      <c r="F48" t="s">
        <v>13</v>
      </c>
      <c r="G48" t="s">
        <v>85</v>
      </c>
      <c r="J48" t="s">
        <v>13</v>
      </c>
    </row>
    <row r="49" spans="2:10">
      <c r="B49">
        <v>43</v>
      </c>
      <c r="C49" t="s">
        <v>127</v>
      </c>
      <c r="D49" t="s">
        <v>101</v>
      </c>
      <c r="E49" t="s">
        <v>63</v>
      </c>
      <c r="F49" t="s">
        <v>13</v>
      </c>
      <c r="G49" t="s">
        <v>71</v>
      </c>
      <c r="J49" t="s">
        <v>13</v>
      </c>
    </row>
    <row r="50" spans="2:10">
      <c r="B50">
        <v>44</v>
      </c>
      <c r="C50" t="s">
        <v>128</v>
      </c>
      <c r="D50" t="s">
        <v>101</v>
      </c>
      <c r="E50" t="s">
        <v>86</v>
      </c>
      <c r="F50" t="s">
        <v>13</v>
      </c>
      <c r="G50" t="s">
        <v>78</v>
      </c>
      <c r="J50" t="s">
        <v>13</v>
      </c>
    </row>
    <row r="51" spans="2:10">
      <c r="B51">
        <v>45</v>
      </c>
      <c r="C51" t="s">
        <v>129</v>
      </c>
      <c r="D51" t="s">
        <v>104</v>
      </c>
      <c r="E51" t="s">
        <v>65</v>
      </c>
      <c r="F51" t="s">
        <v>13</v>
      </c>
      <c r="G51" t="s">
        <v>80</v>
      </c>
      <c r="J51" t="s">
        <v>13</v>
      </c>
    </row>
    <row r="52" spans="2:10">
      <c r="B52">
        <v>46</v>
      </c>
      <c r="C52" t="s">
        <v>130</v>
      </c>
      <c r="D52" t="s">
        <v>104</v>
      </c>
      <c r="E52" t="s">
        <v>88</v>
      </c>
      <c r="F52" t="s">
        <v>13</v>
      </c>
      <c r="G52" t="s">
        <v>73</v>
      </c>
      <c r="J52" t="s">
        <v>13</v>
      </c>
    </row>
    <row r="53" spans="2:10">
      <c r="B53">
        <v>47</v>
      </c>
      <c r="C53" t="s">
        <v>131</v>
      </c>
      <c r="D53" t="s">
        <v>107</v>
      </c>
      <c r="E53" t="s">
        <v>64</v>
      </c>
      <c r="F53" t="s">
        <v>13</v>
      </c>
      <c r="G53" t="s">
        <v>79</v>
      </c>
      <c r="J53" t="s">
        <v>13</v>
      </c>
    </row>
    <row r="54" spans="2:10">
      <c r="B54">
        <v>48</v>
      </c>
      <c r="C54" t="s">
        <v>132</v>
      </c>
      <c r="D54" t="s">
        <v>107</v>
      </c>
      <c r="E54" t="s">
        <v>72</v>
      </c>
      <c r="F54" t="s">
        <v>13</v>
      </c>
      <c r="G54" t="s">
        <v>87</v>
      </c>
      <c r="J54" t="s">
        <v>13</v>
      </c>
    </row>
    <row r="55" spans="2:10">
      <c r="B55">
        <v>49</v>
      </c>
      <c r="C55" t="s">
        <v>133</v>
      </c>
      <c r="D55" t="s">
        <v>45</v>
      </c>
      <c r="E55" t="s">
        <v>34</v>
      </c>
      <c r="F55" t="s">
        <v>13</v>
      </c>
      <c r="G55" t="s">
        <v>26</v>
      </c>
      <c r="J55" t="s">
        <v>13</v>
      </c>
    </row>
    <row r="56" spans="2:10">
      <c r="B56">
        <v>50</v>
      </c>
      <c r="C56" t="s">
        <v>133</v>
      </c>
      <c r="D56" t="s">
        <v>45</v>
      </c>
      <c r="E56" t="s">
        <v>41</v>
      </c>
      <c r="F56" t="s">
        <v>13</v>
      </c>
      <c r="G56" t="s">
        <v>46</v>
      </c>
      <c r="J56" t="s">
        <v>13</v>
      </c>
    </row>
    <row r="57" spans="2:10">
      <c r="B57">
        <v>51</v>
      </c>
      <c r="C57" t="s">
        <v>134</v>
      </c>
      <c r="D57" t="s">
        <v>31</v>
      </c>
      <c r="E57" t="s">
        <v>25</v>
      </c>
      <c r="F57" t="s">
        <v>13</v>
      </c>
      <c r="G57" t="s">
        <v>32</v>
      </c>
      <c r="J57" t="s">
        <v>13</v>
      </c>
    </row>
    <row r="58" spans="2:10">
      <c r="B58">
        <v>52</v>
      </c>
      <c r="C58" t="s">
        <v>134</v>
      </c>
      <c r="D58" t="s">
        <v>31</v>
      </c>
      <c r="E58" t="s">
        <v>33</v>
      </c>
      <c r="F58" t="s">
        <v>13</v>
      </c>
      <c r="G58" t="s">
        <v>47</v>
      </c>
      <c r="J58" t="s">
        <v>13</v>
      </c>
    </row>
    <row r="59" spans="2:10">
      <c r="B59">
        <v>53</v>
      </c>
      <c r="C59" t="s">
        <v>135</v>
      </c>
      <c r="D59" t="s">
        <v>11</v>
      </c>
      <c r="E59" t="s">
        <v>24</v>
      </c>
      <c r="F59" t="s">
        <v>13</v>
      </c>
      <c r="G59" t="s">
        <v>12</v>
      </c>
      <c r="J59" t="s">
        <v>13</v>
      </c>
    </row>
    <row r="60" spans="2:10">
      <c r="B60">
        <v>54</v>
      </c>
      <c r="C60" t="s">
        <v>135</v>
      </c>
      <c r="D60" t="s">
        <v>11</v>
      </c>
      <c r="E60" t="s">
        <v>14</v>
      </c>
      <c r="F60" t="s">
        <v>13</v>
      </c>
      <c r="G60" t="s">
        <v>23</v>
      </c>
      <c r="J60" t="s">
        <v>13</v>
      </c>
    </row>
    <row r="61" spans="2:10">
      <c r="B61">
        <v>55</v>
      </c>
      <c r="C61" t="s">
        <v>136</v>
      </c>
      <c r="D61" t="s">
        <v>67</v>
      </c>
      <c r="E61" t="s">
        <v>49</v>
      </c>
      <c r="F61" t="s">
        <v>13</v>
      </c>
      <c r="G61" t="s">
        <v>42</v>
      </c>
      <c r="J61" t="s">
        <v>13</v>
      </c>
    </row>
    <row r="62" spans="2:10">
      <c r="B62">
        <v>56</v>
      </c>
      <c r="C62" t="s">
        <v>136</v>
      </c>
      <c r="D62" t="s">
        <v>67</v>
      </c>
      <c r="E62" t="s">
        <v>36</v>
      </c>
      <c r="F62" t="s">
        <v>13</v>
      </c>
      <c r="G62" t="s">
        <v>28</v>
      </c>
      <c r="J62" t="s">
        <v>13</v>
      </c>
    </row>
    <row r="63" spans="2:10">
      <c r="B63">
        <v>57</v>
      </c>
      <c r="C63" t="s">
        <v>137</v>
      </c>
      <c r="D63" t="s">
        <v>82</v>
      </c>
      <c r="E63" t="s">
        <v>43</v>
      </c>
      <c r="F63" t="s">
        <v>13</v>
      </c>
      <c r="G63" t="s">
        <v>37</v>
      </c>
      <c r="J63" t="s">
        <v>13</v>
      </c>
    </row>
    <row r="64" spans="2:10">
      <c r="B64">
        <v>58</v>
      </c>
      <c r="C64" t="s">
        <v>137</v>
      </c>
      <c r="D64" t="s">
        <v>82</v>
      </c>
      <c r="E64" t="s">
        <v>50</v>
      </c>
      <c r="F64" t="s">
        <v>13</v>
      </c>
      <c r="G64" t="s">
        <v>29</v>
      </c>
      <c r="J64" t="s">
        <v>13</v>
      </c>
    </row>
    <row r="65" spans="2:10">
      <c r="B65">
        <v>59</v>
      </c>
      <c r="C65" t="s">
        <v>138</v>
      </c>
      <c r="D65" t="s">
        <v>39</v>
      </c>
      <c r="E65" t="s">
        <v>27</v>
      </c>
      <c r="F65" t="s">
        <v>13</v>
      </c>
      <c r="G65" t="s">
        <v>35</v>
      </c>
      <c r="J65" t="s">
        <v>13</v>
      </c>
    </row>
    <row r="66" spans="2:10">
      <c r="B66">
        <v>60</v>
      </c>
      <c r="C66" t="s">
        <v>138</v>
      </c>
      <c r="D66" t="s">
        <v>39</v>
      </c>
      <c r="E66" t="s">
        <v>40</v>
      </c>
      <c r="F66" t="s">
        <v>13</v>
      </c>
      <c r="G66" t="s">
        <v>48</v>
      </c>
      <c r="J66" t="s">
        <v>13</v>
      </c>
    </row>
    <row r="67" spans="2:10">
      <c r="B67">
        <v>61</v>
      </c>
      <c r="C67" t="s">
        <v>139</v>
      </c>
      <c r="D67" t="s">
        <v>98</v>
      </c>
      <c r="E67" t="s">
        <v>70</v>
      </c>
      <c r="F67" t="s">
        <v>13</v>
      </c>
      <c r="G67" t="s">
        <v>62</v>
      </c>
      <c r="J67" t="s">
        <v>13</v>
      </c>
    </row>
    <row r="68" spans="2:10">
      <c r="B68">
        <v>62</v>
      </c>
      <c r="C68" t="s">
        <v>139</v>
      </c>
      <c r="D68" t="s">
        <v>98</v>
      </c>
      <c r="E68" t="s">
        <v>77</v>
      </c>
      <c r="F68" t="s">
        <v>13</v>
      </c>
      <c r="G68" t="s">
        <v>85</v>
      </c>
      <c r="J68" t="s">
        <v>13</v>
      </c>
    </row>
    <row r="69" spans="2:10">
      <c r="B69">
        <v>63</v>
      </c>
      <c r="C69" t="s">
        <v>140</v>
      </c>
      <c r="D69" t="s">
        <v>95</v>
      </c>
      <c r="E69" t="s">
        <v>68</v>
      </c>
      <c r="F69" t="s">
        <v>13</v>
      </c>
      <c r="G69" t="s">
        <v>83</v>
      </c>
      <c r="J69" t="s">
        <v>13</v>
      </c>
    </row>
    <row r="70" spans="2:10">
      <c r="B70">
        <v>64</v>
      </c>
      <c r="C70" t="s">
        <v>140</v>
      </c>
      <c r="D70" t="s">
        <v>95</v>
      </c>
      <c r="E70" t="s">
        <v>75</v>
      </c>
      <c r="F70" t="s">
        <v>13</v>
      </c>
      <c r="G70" t="s">
        <v>60</v>
      </c>
      <c r="J70" t="s">
        <v>13</v>
      </c>
    </row>
    <row r="71" spans="2:10">
      <c r="B71">
        <v>65</v>
      </c>
      <c r="C71" t="s">
        <v>141</v>
      </c>
      <c r="D71" t="s">
        <v>91</v>
      </c>
      <c r="E71" t="s">
        <v>76</v>
      </c>
      <c r="F71" t="s">
        <v>13</v>
      </c>
      <c r="G71" t="s">
        <v>84</v>
      </c>
      <c r="J71" t="s">
        <v>13</v>
      </c>
    </row>
    <row r="72" spans="2:10">
      <c r="B72">
        <v>66</v>
      </c>
      <c r="C72" t="s">
        <v>141</v>
      </c>
      <c r="D72" t="s">
        <v>91</v>
      </c>
      <c r="E72" t="s">
        <v>69</v>
      </c>
      <c r="F72" t="s">
        <v>13</v>
      </c>
      <c r="G72" t="s">
        <v>61</v>
      </c>
      <c r="J72" t="s">
        <v>13</v>
      </c>
    </row>
    <row r="73" spans="2:10">
      <c r="B73">
        <v>67</v>
      </c>
      <c r="C73" t="s">
        <v>142</v>
      </c>
      <c r="D73" t="s">
        <v>104</v>
      </c>
      <c r="E73" t="s">
        <v>88</v>
      </c>
      <c r="F73" t="s">
        <v>13</v>
      </c>
      <c r="G73" t="s">
        <v>65</v>
      </c>
      <c r="J73" t="s">
        <v>13</v>
      </c>
    </row>
    <row r="74" spans="2:10">
      <c r="B74">
        <v>68</v>
      </c>
      <c r="C74" t="s">
        <v>142</v>
      </c>
      <c r="D74" t="s">
        <v>104</v>
      </c>
      <c r="E74" t="s">
        <v>73</v>
      </c>
      <c r="F74" t="s">
        <v>13</v>
      </c>
      <c r="G74" t="s">
        <v>80</v>
      </c>
      <c r="J74" t="s">
        <v>13</v>
      </c>
    </row>
    <row r="75" spans="2:10">
      <c r="B75">
        <v>69</v>
      </c>
      <c r="C75" t="s">
        <v>143</v>
      </c>
      <c r="D75" t="s">
        <v>101</v>
      </c>
      <c r="E75" t="s">
        <v>78</v>
      </c>
      <c r="F75" t="s">
        <v>13</v>
      </c>
      <c r="G75" t="s">
        <v>71</v>
      </c>
      <c r="J75" t="s">
        <v>13</v>
      </c>
    </row>
    <row r="76" spans="2:10">
      <c r="B76">
        <v>70</v>
      </c>
      <c r="C76" t="s">
        <v>143</v>
      </c>
      <c r="D76" t="s">
        <v>101</v>
      </c>
      <c r="E76" t="s">
        <v>86</v>
      </c>
      <c r="F76" t="s">
        <v>13</v>
      </c>
      <c r="G76" t="s">
        <v>63</v>
      </c>
      <c r="J76" t="s">
        <v>13</v>
      </c>
    </row>
    <row r="77" spans="2:10">
      <c r="B77">
        <v>71</v>
      </c>
      <c r="C77" t="s">
        <v>144</v>
      </c>
      <c r="D77" t="s">
        <v>107</v>
      </c>
      <c r="E77" t="s">
        <v>72</v>
      </c>
      <c r="F77" t="s">
        <v>13</v>
      </c>
      <c r="G77" t="s">
        <v>64</v>
      </c>
      <c r="J77" t="s">
        <v>13</v>
      </c>
    </row>
    <row r="78" spans="2:10">
      <c r="B78">
        <v>72</v>
      </c>
      <c r="C78" t="s">
        <v>144</v>
      </c>
      <c r="D78" t="s">
        <v>107</v>
      </c>
      <c r="E78" t="s">
        <v>87</v>
      </c>
      <c r="F78" t="s">
        <v>13</v>
      </c>
      <c r="G78" t="s">
        <v>79</v>
      </c>
      <c r="J78" t="s">
        <v>13</v>
      </c>
    </row>
    <row r="79" spans="2:10">
      <c r="D79" t="s">
        <v>145</v>
      </c>
      <c r="F79" t="s">
        <v>13</v>
      </c>
    </row>
    <row r="80" spans="2:10">
      <c r="D80" t="s">
        <v>146</v>
      </c>
      <c r="F80" t="s">
        <v>13</v>
      </c>
    </row>
    <row r="82" spans="12:12">
      <c r="L8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33</vt:i4>
      </vt:variant>
    </vt:vector>
  </HeadingPairs>
  <TitlesOfParts>
    <vt:vector size="33" baseType="lpstr">
      <vt:lpstr>Tulokset</vt:lpstr>
      <vt:lpstr>Pisteet</vt:lpstr>
      <vt:lpstr>Laskenta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Tuukka Hyytiäinen</cp:lastModifiedBy>
  <dcterms:modified xsi:type="dcterms:W3CDTF">2026-06-10T07:30:54Z</dcterms:modified>
</cp:coreProperties>
</file>